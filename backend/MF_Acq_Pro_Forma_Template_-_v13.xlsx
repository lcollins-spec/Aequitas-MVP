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01" sheetId="1" state="visible" r:id="rId1"/>
  </sheets>
  <definedNames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I">#REF!</definedName>
    <definedName name="\k">#N/A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v">#N/A</definedName>
    <definedName name="\X">#REF!</definedName>
    <definedName name="\y">#REF!</definedName>
    <definedName name="\Z">#REF!</definedName>
    <definedName name="_" hidden="1">#REF!</definedName>
    <definedName name="__" hidden="1">#REF!</definedName>
    <definedName name="___" hidden="1">#REF!</definedName>
    <definedName name="____" hidden="1">#REF!</definedName>
    <definedName name="________________________________________________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___________________________old2" hidden="1">{#N/A,#N/A,FALSE,"Chart 2 by Prop Type"}</definedName>
    <definedName name="______________________________________old2" hidden="1">{#N/A,#N/A,FALSE,"Chart 2 by Prop Type"}</definedName>
    <definedName name="_____________________________________old2" hidden="1">{#N/A,#N/A,FALSE,"Chart 2 by Prop Type"}</definedName>
    <definedName name="____________________________________old2" hidden="1">{#N/A,#N/A,FALSE,"Chart 2 by Prop Type"}</definedName>
    <definedName name="___________________________________old2" hidden="1">{#N/A,#N/A,FALSE,"Chart 2 by Prop Type"}</definedName>
    <definedName name="__________________________________old2" hidden="1">{#N/A,#N/A,FALSE,"Chart 2 by Prop Type"}</definedName>
    <definedName name="_________________________________old2" hidden="1">{#N/A,#N/A,FALSE,"Chart 2 by Prop Type"}</definedName>
    <definedName name="________________________________old2" hidden="1">{#N/A,#N/A,FALSE,"Chart 2 by Prop Type"}</definedName>
    <definedName name="_______________________________old2" hidden="1">{#N/A,#N/A,FALSE,"Chart 2 by Prop Type"}</definedName>
    <definedName name="______________________________old2" hidden="1">{#N/A,#N/A,FALSE,"Chart 2 by Prop Type"}</definedName>
    <definedName name="_____________________________old2" hidden="1">{#N/A,#N/A,FALSE,"Chart 2 by Prop Type"}</definedName>
    <definedName name="____________________________old2" hidden="1">{#N/A,#N/A,FALSE,"Chart 2 by Prop Type"}</definedName>
    <definedName name="___________________________old2" hidden="1">{#N/A,#N/A,FALSE,"Chart 2 by Prop Type"}</definedName>
    <definedName name="__________________________old2" hidden="1">{#N/A,#N/A,FALSE,"Chart 2 by Prop Type"}</definedName>
    <definedName name="_________________________old2" hidden="1">{#N/A,#N/A,FALSE,"Chart 2 by Prop Type"}</definedName>
    <definedName name="_________________________wrn3" hidden="1">{#N/A,#N/A,FALSE,"Aging Summary";#N/A,#N/A,FALSE,"Ratio Analysis";#N/A,#N/A,FALSE,"Test 120 Day Accts";#N/A,#N/A,FALSE,"Tickmarks"}</definedName>
    <definedName name="________________________old2" hidden="1">{#N/A,#N/A,FALSE,"Chart 2 by Prop Type"}</definedName>
    <definedName name="_______________________old2" hidden="1">{#N/A,#N/A,FALSE,"Chart 2 by Prop Type"}</definedName>
    <definedName name="_______________________wrn3" hidden="1">{#N/A,#N/A,FALSE,"Aging Summary";#N/A,#N/A,FALSE,"Ratio Analysis";#N/A,#N/A,FALSE,"Test 120 Day Accts";#N/A,#N/A,FALSE,"Tickmarks"}</definedName>
    <definedName name="______________________old2" hidden="1">{#N/A,#N/A,FALSE,"Chart 2 by Prop Type"}</definedName>
    <definedName name="_____________________old2" hidden="1">{#N/A,#N/A,FALSE,"Chart 2 by Prop Type"}</definedName>
    <definedName name="_____________________wrn3" hidden="1">{#N/A,#N/A,FALSE,"Aging Summary";#N/A,#N/A,FALSE,"Ratio Analysis";#N/A,#N/A,FALSE,"Test 120 Day Accts";#N/A,#N/A,FALSE,"Tickmarks"}</definedName>
    <definedName name="____________________old2" hidden="1">{#N/A,#N/A,FALSE,"Chart 2 by Prop Type"}</definedName>
    <definedName name="____________________wrn3" hidden="1">{#N/A,#N/A,FALSE,"Aging Summary";#N/A,#N/A,FALSE,"Ratio Analysis";#N/A,#N/A,FALSE,"Test 120 Day Accts";#N/A,#N/A,FALSE,"Tickmarks"}</definedName>
    <definedName name="___________________Feb03" hidden="1">{#N/A,#N/A,FALSE,"Class A";#N/A,#N/A,FALSE,"Class B";#N/A,#N/A,FALSE,"Class C"}</definedName>
    <definedName name="___________________old2" hidden="1">{#N/A,#N/A,FALSE,"Chart 2 by Prop Type"}</definedName>
    <definedName name="___________________wrn3" hidden="1">{#N/A,#N/A,FALSE,"Aging Summary";#N/A,#N/A,FALSE,"Ratio Analysis";#N/A,#N/A,FALSE,"Test 120 Day Accts";#N/A,#N/A,FALSE,"Tickmarks"}</definedName>
    <definedName name="__________________old2" hidden="1">{#N/A,#N/A,FALSE,"Chart 2 by Prop Type"}</definedName>
    <definedName name="_________________Feb03" hidden="1">{#N/A,#N/A,FALSE,"Class A";#N/A,#N/A,FALSE,"Class B";#N/A,#N/A,FALSE,"Class C"}</definedName>
    <definedName name="_________________old2" hidden="1">{#N/A,#N/A,FALSE,"Chart 2 by Prop Type"}</definedName>
    <definedName name="_________________wrn3" hidden="1">{#N/A,#N/A,FALSE,"Aging Summary";#N/A,#N/A,FALSE,"Ratio Analysis";#N/A,#N/A,FALSE,"Test 120 Day Accts";#N/A,#N/A,FALSE,"Tickmarks"}</definedName>
    <definedName name="________________Feb03" hidden="1">{#N/A,#N/A,FALSE,"Class A";#N/A,#N/A,FALSE,"Class B";#N/A,#N/A,FALSE,"Class C"}</definedName>
    <definedName name="________________old2" hidden="1">{#N/A,#N/A,FALSE,"Chart 2 by Prop Type"}</definedName>
    <definedName name="________________TX3" hidden="1">{#N/A,#N/A,FALSE,"Aging Summary";#N/A,#N/A,FALSE,"Ratio Analysis";#N/A,#N/A,FALSE,"Test 120 Day Accts";#N/A,#N/A,FALSE,"Tickmarks"}</definedName>
    <definedName name="________________wrn3" hidden="1">{#N/A,#N/A,FALSE,"Aging Summary";#N/A,#N/A,FALSE,"Ratio Analysis";#N/A,#N/A,FALSE,"Test 120 Day Accts";#N/A,#N/A,FALSE,"Tickmarks"}</definedName>
    <definedName name="_______________Feb03" hidden="1">{#N/A,#N/A,FALSE,"Class A";#N/A,#N/A,FALSE,"Class B";#N/A,#N/A,FALSE,"Class C"}</definedName>
    <definedName name="_______________old2" hidden="1">{#N/A,#N/A,FALSE,"Chart 2 by Prop Type"}</definedName>
    <definedName name="_______________TX2" hidden="1">{#N/A,#N/A,FALSE,"Aging Summary";#N/A,#N/A,FALSE,"Ratio Analysis";#N/A,#N/A,FALSE,"Test 120 Day Accts";#N/A,#N/A,FALSE,"Tickmarks"}</definedName>
    <definedName name="_______________wrn3" hidden="1">{#N/A,#N/A,FALSE,"Aging Summary";#N/A,#N/A,FALSE,"Ratio Analysis";#N/A,#N/A,FALSE,"Test 120 Day Accts";#N/A,#N/A,FALSE,"Tickmarks"}</definedName>
    <definedName name="______________old2" hidden="1">{#N/A,#N/A,FALSE,"Chart 2 by Prop Type"}</definedName>
    <definedName name="______________wrn3" hidden="1">{#N/A,#N/A,FALSE,"Aging Summary";#N/A,#N/A,FALSE,"Ratio Analysis";#N/A,#N/A,FALSE,"Test 120 Day Accts";#N/A,#N/A,FALSE,"Tickmarks"}</definedName>
    <definedName name="_____________Feb03" hidden="1">{#N/A,#N/A,FALSE,"Class A";#N/A,#N/A,FALSE,"Class B";#N/A,#N/A,FALSE,"Class C"}</definedName>
    <definedName name="_____________old2" hidden="1">{#N/A,#N/A,FALSE,"Chart 2 by Prop Type"}</definedName>
    <definedName name="_____________wrn3" hidden="1">{#N/A,#N/A,FALSE,"Aging Summary";#N/A,#N/A,FALSE,"Ratio Analysis";#N/A,#N/A,FALSE,"Test 120 Day Accts";#N/A,#N/A,FALSE,"Tickmarks"}</definedName>
    <definedName name="____________Feb03" hidden="1">{#N/A,#N/A,FALSE,"Class A";#N/A,#N/A,FALSE,"Class B";#N/A,#N/A,FALSE,"Class C"}</definedName>
    <definedName name="_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_OK2" hidden="1">{#N/A,#N/A,FALSE,"Cover";#N/A,#N/A,FALSE,"LUMI";#N/A,#N/A,FALSE,"COMD";#N/A,#N/A,FALSE,"Valuation";#N/A,#N/A,FALSE,"Assumptions";#N/A,#N/A,FALSE,"Pooling";#N/A,#N/A,FALSE,"BalanceSheet"}</definedName>
    <definedName name="____________old2" hidden="1">{#N/A,#N/A,FALSE,"Chart 2 by Prop Type"}</definedName>
    <definedName name="____________wrn3" hidden="1">{#N/A,#N/A,FALSE,"Aging Summary";#N/A,#N/A,FALSE,"Ratio Analysis";#N/A,#N/A,FALSE,"Test 120 Day Accts";#N/A,#N/A,FALSE,"Tickmarks"}</definedName>
    <definedName name="___________k" hidden="1">{#N/A,#N/A,TRUE,"A-site";#N/A,#N/A,TRUE,"B-Buildings";#N/A,#N/A,TRUE,"c-out-of-fence";#N/A,#N/A,TRUE,"d-proj.infr.";#N/A,#N/A,TRUE,"e- land"}</definedName>
    <definedName name="_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_OK2" hidden="1">{#N/A,#N/A,FALSE,"Cover";#N/A,#N/A,FALSE,"LUMI";#N/A,#N/A,FALSE,"COMD";#N/A,#N/A,FALSE,"Valuation";#N/A,#N/A,FALSE,"Assumptions";#N/A,#N/A,FALSE,"Pooling";#N/A,#N/A,FALSE,"BalanceSheet"}</definedName>
    <definedName name="___________old2" hidden="1">{#N/A,#N/A,FALSE,"Chart 2 by Prop Type"}</definedName>
    <definedName name="___________w" hidden="1">{#N/A,#N/A,TRUE,"A-site";#N/A,#N/A,TRUE,"B-Buildings";#N/A,#N/A,TRUE,"c-out-of-fence";#N/A,#N/A,TRUE,"d-proj.infr.";#N/A,#N/A,TRUE,"e- land"}</definedName>
    <definedName name="___________wrn3" hidden="1">{#N/A,#N/A,FALSE,"Aging Summary";#N/A,#N/A,FALSE,"Ratio Analysis";#N/A,#N/A,FALSE,"Test 120 Day Accts";#N/A,#N/A,FALSE,"Tickmarks"}</definedName>
    <definedName name="__________Feb03" hidden="1">{#N/A,#N/A,FALSE,"Class A";#N/A,#N/A,FALSE,"Class B";#N/A,#N/A,FALSE,"Class C"}</definedName>
    <definedName name="_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_OK2" hidden="1">{#N/A,#N/A,FALSE,"Cover";#N/A,#N/A,FALSE,"LUMI";#N/A,#N/A,FALSE,"COMD";#N/A,#N/A,FALSE,"Valuation";#N/A,#N/A,FALSE,"Assumptions";#N/A,#N/A,FALSE,"Pooling";#N/A,#N/A,FALSE,"BalanceSheet"}</definedName>
    <definedName name="__________old2" hidden="1">{#N/A,#N/A,FALSE,"Chart 2 by Prop Type"}</definedName>
    <definedName name="__________wrn3" hidden="1">{#N/A,#N/A,FALSE,"Aging Summary";#N/A,#N/A,FALSE,"Ratio Analysis";#N/A,#N/A,FALSE,"Test 120 Day Accts";#N/A,#N/A,FALSE,"Tickmarks"}</definedName>
    <definedName name="_________Feb03" hidden="1">{#N/A,#N/A,FALSE,"Class A";#N/A,#N/A,FALSE,"Class B";#N/A,#N/A,FALSE,"Class C"}</definedName>
    <definedName name="_________key1" hidden="1">#REF!</definedName>
    <definedName name="_________key2" hidden="1">#REF!</definedName>
    <definedName name="_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_OK2" hidden="1">{#N/A,#N/A,FALSE,"Cover";#N/A,#N/A,FALSE,"LUMI";#N/A,#N/A,FALSE,"COMD";#N/A,#N/A,FALSE,"Valuation";#N/A,#N/A,FALSE,"Assumptions";#N/A,#N/A,FALSE,"Pooling";#N/A,#N/A,FALSE,"BalanceSheet"}</definedName>
    <definedName name="_________old2" hidden="1">{#N/A,#N/A,FALSE,"Chart 2 by Prop Type"}</definedName>
    <definedName name="_________wrn3" hidden="1">{#N/A,#N/A,FALSE,"Aging Summary";#N/A,#N/A,FALSE,"Ratio Analysis";#N/A,#N/A,FALSE,"Test 120 Day Accts";#N/A,#N/A,FALSE,"Tickmarks"}</definedName>
    <definedName name="________Feb03" hidden="1">{#N/A,#N/A,FALSE,"Class A";#N/A,#N/A,FALSE,"Class B";#N/A,#N/A,FALSE,"Class C"}</definedName>
    <definedName name="________key1" hidden="1">#REF!</definedName>
    <definedName name="________key2" hidden="1">#REF!</definedName>
    <definedName name="_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_OK2" hidden="1">{#N/A,#N/A,FALSE,"Cover";#N/A,#N/A,FALSE,"LUMI";#N/A,#N/A,FALSE,"COMD";#N/A,#N/A,FALSE,"Valuation";#N/A,#N/A,FALSE,"Assumptions";#N/A,#N/A,FALSE,"Pooling";#N/A,#N/A,FALSE,"BalanceSheet"}</definedName>
    <definedName name="________old2" hidden="1">{#N/A,#N/A,FALSE,"Chart 2 by Prop Type"}</definedName>
    <definedName name="________wrn3" hidden="1">{#N/A,#N/A,FALSE,"Aging Summary";#N/A,#N/A,FALSE,"Ratio Analysis";#N/A,#N/A,FALSE,"Test 120 Day Accts";#N/A,#N/A,FALSE,"Tickmarks"}</definedName>
    <definedName name="________z1" hidden="1">{"Commish",#N/A,FALSE,"LAWTC"}</definedName>
    <definedName name="_______a1" hidden="1">{"Assump",#N/A,TRUE,"Proforma";"first",#N/A,TRUE,"Proforma";"second",#N/A,TRUE,"Proforma";"lease1",#N/A,TRUE,"Proforma";"lease2",#N/A,TRUE,"Proforma"}</definedName>
    <definedName name="_______Feb03" hidden="1">{#N/A,#N/A,FALSE,"Class A";#N/A,#N/A,FALSE,"Class B";#N/A,#N/A,FALSE,"Class C"}</definedName>
    <definedName name="_______key1" hidden="1">#REF!</definedName>
    <definedName name="_______key2" hidden="1">#REF!</definedName>
    <definedName name="_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_OK2" hidden="1">{#N/A,#N/A,FALSE,"Cover";#N/A,#N/A,FALSE,"LUMI";#N/A,#N/A,FALSE,"COMD";#N/A,#N/A,FALSE,"Valuation";#N/A,#N/A,FALSE,"Assumptions";#N/A,#N/A,FALSE,"Pooling";#N/A,#N/A,FALSE,"BalanceSheet"}</definedName>
    <definedName name="_______old2" hidden="1">{#N/A,#N/A,FALSE,"Chart 2 by Prop Type"}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_wrn1_1" hidden="1">{"schedule1",#N/A,FALSE,"Sheet1";"schedule2",#N/A,FALSE,"Sheet1";"schedule3",#N/A,FALSE,"Sheet1";"schedule4",#N/A,FALSE,"Sheet1";"schedule5",#N/A,FALSE,"Sheet1";"schedule6",#N/A,FALSE,"Sheet1"}</definedName>
    <definedName name="_______wrn1_2" hidden="1">{"schedule1",#N/A,FALSE,"Sheet1";"schedule2",#N/A,FALSE,"Sheet1";"schedule3",#N/A,FALSE,"Sheet1";"schedule4",#N/A,FALSE,"Sheet1";"schedule5",#N/A,FALSE,"Sheet1";"schedule6",#N/A,FALSE,"Sheet1"}</definedName>
    <definedName name="_______wrn1_3" hidden="1">{"schedule1",#N/A,FALSE,"Sheet1";"schedule2",#N/A,FALSE,"Sheet1";"schedule3",#N/A,FALSE,"Sheet1";"schedule4",#N/A,FALSE,"Sheet1";"schedule5",#N/A,FALSE,"Sheet1";"schedule6",#N/A,FALSE,"Sheet1"}</definedName>
    <definedName name="_______wrn1_4" hidden="1">{"schedule1",#N/A,FALSE,"Sheet1";"schedule2",#N/A,FALSE,"Sheet1";"schedule3",#N/A,FALSE,"Sheet1";"schedule4",#N/A,FALSE,"Sheet1";"schedule5",#N/A,FALSE,"Sheet1";"schedule6",#N/A,FALSE,"Sheet1"}</definedName>
    <definedName name="_______wrn3" hidden="1">{#N/A,#N/A,FALSE,"Aging Summary";#N/A,#N/A,FALSE,"Ratio Analysis";#N/A,#N/A,FALSE,"Test 120 Day Accts";#N/A,#N/A,FALSE,"Tickmarks"}</definedName>
    <definedName name="______a1" hidden="1">{"Assump",#N/A,TRUE,"Proforma";"first",#N/A,TRUE,"Proforma";"second",#N/A,TRUE,"Proforma";"lease1",#N/A,TRUE,"Proforma";"lease2",#N/A,TRUE,"Proforma"}</definedName>
    <definedName name="______al1" hidden="1">{"sheet a",#N/A,FALSE,"A";"sheet b 1",#N/A,FALSE,"B";"sheet b 2",#N/A,FALSE,"B"}</definedName>
    <definedName name="______Feb03" hidden="1">{#N/A,#N/A,FALSE,"Class A";#N/A,#N/A,FALSE,"Class B";#N/A,#N/A,FALSE,"Class C"}</definedName>
    <definedName name="_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_new1">#REF!</definedName>
    <definedName name="______OK2" hidden="1">{#N/A,#N/A,FALSE,"Cover";#N/A,#N/A,FALSE,"LUMI";#N/A,#N/A,FALSE,"COMD";#N/A,#N/A,FALSE,"Valuation";#N/A,#N/A,FALSE,"Assumptions";#N/A,#N/A,FALSE,"Pooling";#N/A,#N/A,FALSE,"BalanceSheet"}</definedName>
    <definedName name="______old2" hidden="1">{#N/A,#N/A,FALSE,"Chart 2 by Prop Type"}</definedName>
    <definedName name="______wmp1" hidden="1">{#N/A,#N/A,FALSE,"ENVIRONMENTAL"}</definedName>
    <definedName name="______wpm1" hidden="1">{#N/A,#N/A,FALSE,"LOAN ANALYSIS"}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_wrn1_1" hidden="1">{"schedule1",#N/A,FALSE,"Sheet1";"schedule2",#N/A,FALSE,"Sheet1";"schedule3",#N/A,FALSE,"Sheet1";"schedule4",#N/A,FALSE,"Sheet1";"schedule5",#N/A,FALSE,"Sheet1";"schedule6",#N/A,FALSE,"Sheet1"}</definedName>
    <definedName name="______wrn1_2" hidden="1">{"schedule1",#N/A,FALSE,"Sheet1";"schedule2",#N/A,FALSE,"Sheet1";"schedule3",#N/A,FALSE,"Sheet1";"schedule4",#N/A,FALSE,"Sheet1";"schedule5",#N/A,FALSE,"Sheet1";"schedule6",#N/A,FALSE,"Sheet1"}</definedName>
    <definedName name="______wrn1_3" hidden="1">{"schedule1",#N/A,FALSE,"Sheet1";"schedule2",#N/A,FALSE,"Sheet1";"schedule3",#N/A,FALSE,"Sheet1";"schedule4",#N/A,FALSE,"Sheet1";"schedule5",#N/A,FALSE,"Sheet1";"schedule6",#N/A,FALSE,"Sheet1"}</definedName>
    <definedName name="______wrn1_4" hidden="1">{"schedule1",#N/A,FALSE,"Sheet1";"schedule2",#N/A,FALSE,"Sheet1";"schedule3",#N/A,FALSE,"Sheet1";"schedule4",#N/A,FALSE,"Sheet1";"schedule5",#N/A,FALSE,"Sheet1";"schedule6",#N/A,FALSE,"Sheet1"}</definedName>
    <definedName name="______wrn3" hidden="1">{#N/A,#N/A,FALSE,"Aging Summary";#N/A,#N/A,FALSE,"Ratio Analysis";#N/A,#N/A,FALSE,"Test 120 Day Accts";#N/A,#N/A,FALSE,"Tickmarks"}</definedName>
    <definedName name="______z1" hidden="1">{"Commish",#N/A,FALSE,"LAWTC"}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as2" hidden="1">{"FCB_ALL",#N/A,FALSE,"FCB"}</definedName>
    <definedName name="_____key1" hidden="1">#REF!</definedName>
    <definedName name="_____key2" hidden="1">#REF!</definedName>
    <definedName name="_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_new1">#REF!</definedName>
    <definedName name="_____OK2" hidden="1">{#N/A,#N/A,FALSE,"Cover";#N/A,#N/A,FALSE,"LUMI";#N/A,#N/A,FALSE,"COMD";#N/A,#N/A,FALSE,"Valuation";#N/A,#N/A,FALSE,"Assumptions";#N/A,#N/A,FALSE,"Pooling";#N/A,#N/A,FALSE,"BalanceSheet"}</definedName>
    <definedName name="_____old2" hidden="1">{#N/A,#N/A,FALSE,"Chart 2 by Prop Type"}</definedName>
    <definedName name="_____sad2" hidden="1">{"MonthlyRentRoll",#N/A,FALSE,"RentRoll"}</definedName>
    <definedName name="_____wmp1" hidden="1">{#N/A,#N/A,FALSE,"ENVIRONMENTAL"}</definedName>
    <definedName name="_____wpm1" hidden="1">{#N/A,#N/A,FALSE,"LOAN ANALYSIS"}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_wrn3" hidden="1">{#N/A,#N/A,FALSE,"Aging Summary";#N/A,#N/A,FALSE,"Ratio Analysis";#N/A,#N/A,FALSE,"Test 120 Day Accts";#N/A,#N/A,FALSE,"Tickmarks"}</definedName>
    <definedName name="_____wrn4" hidden="1">{"data",#N/A,FALSE,"INPUT"}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as2" hidden="1">{"FCB_ALL",#N/A,FALSE,"FCB"}</definedName>
    <definedName name="____Feb03" hidden="1">{#N/A,#N/A,FALSE,"Class A";#N/A,#N/A,FALSE,"Class B";#N/A,#N/A,FALSE,"Class C"}</definedName>
    <definedName name="____key1" hidden="1">#REF!</definedName>
    <definedName name="____key2" hidden="1">#REF!</definedName>
    <definedName name="_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_new2" hidden="1">{"'B-2 QSER Jun 98 4-27-98 cor'!$A$1:$F$57"}</definedName>
    <definedName name="____new5" hidden="1">{"'B-2 QSER Jun 98 4-27-98 cor'!$A$1:$F$57"}</definedName>
    <definedName name="____OK2" hidden="1">{#N/A,#N/A,FALSE,"Cover";#N/A,#N/A,FALSE,"LUMI";#N/A,#N/A,FALSE,"COMD";#N/A,#N/A,FALSE,"Valuation";#N/A,#N/A,FALSE,"Assumptions";#N/A,#N/A,FALSE,"Pooling";#N/A,#N/A,FALSE,"BalanceSheet"}</definedName>
    <definedName name="____old2" hidden="1">{#N/A,#N/A,FALSE,"Chart 2 by Prop Type"}</definedName>
    <definedName name="____sad2" hidden="1">{"MonthlyRentRoll",#N/A,FALSE,"RentRoll"}</definedName>
    <definedName name="____wmp1" hidden="1">{#N/A,#N/A,FALSE,"ENVIRONMENTAL"}</definedName>
    <definedName name="____wpm1" hidden="1">{#N/A,#N/A,FALSE,"LOAN ANALYSIS"}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_wrn1_1" hidden="1">{"schedule1",#N/A,FALSE,"Sheet1";"schedule2",#N/A,FALSE,"Sheet1";"schedule3",#N/A,FALSE,"Sheet1";"schedule4",#N/A,FALSE,"Sheet1";"schedule5",#N/A,FALSE,"Sheet1";"schedule6",#N/A,FALSE,"Sheet1"}</definedName>
    <definedName name="____wrn1_2" hidden="1">{"schedule1",#N/A,FALSE,"Sheet1";"schedule2",#N/A,FALSE,"Sheet1";"schedule3",#N/A,FALSE,"Sheet1";"schedule4",#N/A,FALSE,"Sheet1";"schedule5",#N/A,FALSE,"Sheet1";"schedule6",#N/A,FALSE,"Sheet1"}</definedName>
    <definedName name="____wrn1_3" hidden="1">{"schedule1",#N/A,FALSE,"Sheet1";"schedule2",#N/A,FALSE,"Sheet1";"schedule3",#N/A,FALSE,"Sheet1";"schedule4",#N/A,FALSE,"Sheet1";"schedule5",#N/A,FALSE,"Sheet1";"schedule6",#N/A,FALSE,"Sheet1"}</definedName>
    <definedName name="____wrn1_4" hidden="1">{"schedule1",#N/A,FALSE,"Sheet1";"schedule2",#N/A,FALSE,"Sheet1";"schedule3",#N/A,FALSE,"Sheet1";"schedule4",#N/A,FALSE,"Sheet1";"schedule5",#N/A,FALSE,"Sheet1";"schedule6",#N/A,FALSE,"Sheet1"}</definedName>
    <definedName name="__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__wrn3" hidden="1">{#N/A,#N/A,FALSE,"Aging Summary";#N/A,#N/A,FALSE,"Ratio Analysis";#N/A,#N/A,FALSE,"Test 120 Day Accts";#N/A,#N/A,FALSE,"Tickmarks"}</definedName>
    <definedName name="____wrn4" hidden="1">{"data",#N/A,FALSE,"INPUT"}</definedName>
    <definedName name="____z1" hidden="1">{"Commish",#N/A,FALSE,"LAWTC"}</definedName>
    <definedName name="___a1" hidden="1">{"Assump",#N/A,TRUE,"Proforma";"first",#N/A,TRUE,"Proforma";"second",#N/A,TRUE,"Proforma";"lease1",#N/A,TRUE,"Proforma";"lease2",#N/A,TRUE,"Proforma"}</definedName>
    <definedName name="___ABC2" hidden="1">{"CHART",#N/A,FALSE,"Arch Communications"}</definedName>
    <definedName name="___ad2" hidden="1">{"CHART",#N/A,FALSE,"Arch Communications"}</definedName>
    <definedName name="___ADS1" hidden="1">{"FCB_ALL",#N/A,FALSE,"FCB"}</definedName>
    <definedName name="___al1" hidden="1">{"sheet a",#N/A,FALSE,"A";"sheet b 1",#N/A,FALSE,"B";"sheet b 2",#N/A,FALSE,"B"}</definedName>
    <definedName name="___as1" hidden="1">{"FCB_ALL",#N/A,FALSE,"FCB"}</definedName>
    <definedName name="___as2" hidden="1">{"FCB_ALL",#N/A,FALSE,"FCB"}</definedName>
    <definedName name="___as3" hidden="1">{"FCB_ALL",#N/A,FALSE,"FCB"}</definedName>
    <definedName name="___AS4" hidden="1">{"FCB_ALL",#N/A,FALSE,"FCB"}</definedName>
    <definedName name="___as6" hidden="1">{"FCB_ALL",#N/A,FALSE,"FCB"}</definedName>
    <definedName name="___AS7" hidden="1">{"FCB_ALL",#N/A,FALSE,"FCB"}</definedName>
    <definedName name="___d1" hidden="1">{#N/A,#N/A,FALSE,"Sales"}</definedName>
    <definedName name="___d116" hidden="1">{#N/A,#N/A,FALSE,"Sales"}</definedName>
    <definedName name="___d16" hidden="1">{"Annual",#N/A,FALSE,"Sales &amp; Market";"Quarterly",#N/A,FALSE,"Sales &amp; Market"}</definedName>
    <definedName name="___d2" hidden="1">{#N/A,#N/A,FALSE,"Sales"}</definedName>
    <definedName name="___d216" hidden="1">{#N/A,#N/A,FALSE,"Sales"}</definedName>
    <definedName name="___dcf1" hidden="1">{#N/A,#N/A,FALSE,"Tar-Ass";#N/A,#N/A,FALSE,"Tar-IS";#N/A,#N/A,FALSE,"Tar-BS";#N/A,#N/A,FALSE,"Tar-Adg BS";#N/A,#N/A,FALSE,"Tar-CF"}</definedName>
    <definedName name="___df1" hidden="1">{#N/A,#N/A,FALSE,"Calc";#N/A,#N/A,FALSE,"Sensitivity";#N/A,#N/A,FALSE,"LT Earn.Dil.";#N/A,#N/A,FALSE,"Dil. AVP"}</definedName>
    <definedName name="___df2" hidden="1">{#N/A,#N/A,FALSE,"Calc";#N/A,#N/A,FALSE,"Sensitivity";#N/A,#N/A,FALSE,"LT Earn.Dil.";#N/A,#N/A,FALSE,"Dil. AVP"}</definedName>
    <definedName name="___dfd1" hidden="1">{"FCB_ALL",#N/A,FALSE,"FCB";"GREY_ALL",#N/A,FALSE,"GREY"}</definedName>
    <definedName name="___Feb03" hidden="1">{#N/A,#N/A,FALSE,"Class A";#N/A,#N/A,FALSE,"Class B";#N/A,#N/A,FALSE,"Class C"}</definedName>
    <definedName name="___fff1" hidden="1">{"Annual",#N/A,FALSE,"Sales &amp; Market";"Quarterly",#N/A,FALSE,"Sales &amp; Market"}</definedName>
    <definedName name="___gc1" hidden="1">{"Annual",#N/A,FALSE,"Sales &amp; Market";"Quarterly",#N/A,FALSE,"Sales &amp; Market"}</definedName>
    <definedName name="___hd1" hidden="1">{#N/A,#N/A,FALSE,"Calc";#N/A,#N/A,FALSE,"Sensitivity";#N/A,#N/A,FALSE,"LT Earn.Dil.";#N/A,#N/A,FALSE,"Dil. AVP"}</definedName>
    <definedName name="___hd2" hidden="1">{#N/A,#N/A,FALSE,"Calc";#N/A,#N/A,FALSE,"Sensitivity";#N/A,#N/A,FALSE,"LT Earn.Dil.";#N/A,#N/A,FALSE,"Dil. AVP"}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MRG2" hidden="1">{"INCOME",#N/A,FALSE,"ProNet";"VALUE",#N/A,FALSE,"ProNet"}</definedName>
    <definedName name="___MRG22" hidden="1">{"INCOME",#N/A,FALSE,"ProNet";"VALUE",#N/A,FALSE,"ProNet"}</definedName>
    <definedName name="___mrg4" hidden="1">{"INCOME",#N/A,FALSE,"ProNet";"VALUE",#N/A,FALSE,"ProNet"}</definedName>
    <definedName name="___mrg8" hidden="1">{"INCOME",#N/A,FALSE,"ProNet";"VALUE",#N/A,FALSE,"ProNet"}</definedName>
    <definedName name="___new1">#REF!</definedName>
    <definedName name="___ok1" hidden="1">{"Annual",#N/A,FALSE,"Sales &amp; Market";"Quarterly",#N/A,FALSE,"Sales &amp; Market"}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old2" hidden="1">{#N/A,#N/A,FALSE,"Chart 2 by Prop Type"}</definedName>
    <definedName name="___pj2" hidden="1">{"INCOME",#N/A,FALSE,"ProNet";"VALUE",#N/A,FALSE,"ProNet"}</definedName>
    <definedName name="_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_thinkcellWUMAAAAAAAAAAAAA.qKOZ2HjcUS0vtZdGnn.Uw" hidden="1">#REF!</definedName>
    <definedName name="___we2" hidden="1">{"INCOME",#N/A,FALSE,"ProNet";"VALUE",#N/A,FALSE,"ProNet"}</definedName>
    <definedName name="___wmp1" hidden="1">{#N/A,#N/A,FALSE,"ENVIRONMENTAL"}</definedName>
    <definedName name="___wpm1" hidden="1">{#N/A,#N/A,FALSE,"LOAN ANALYSIS"}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wrn1_1" hidden="1">{"schedule1",#N/A,FALSE,"Sheet1";"schedule2",#N/A,FALSE,"Sheet1";"schedule3",#N/A,FALSE,"Sheet1";"schedule4",#N/A,FALSE,"Sheet1";"schedule5",#N/A,FALSE,"Sheet1";"schedule6",#N/A,FALSE,"Sheet1"}</definedName>
    <definedName name="___wrn1_2" hidden="1">{"schedule1",#N/A,FALSE,"Sheet1";"schedule2",#N/A,FALSE,"Sheet1";"schedule3",#N/A,FALSE,"Sheet1";"schedule4",#N/A,FALSE,"Sheet1";"schedule5",#N/A,FALSE,"Sheet1";"schedule6",#N/A,FALSE,"Sheet1"}</definedName>
    <definedName name="___wrn1_3" hidden="1">{"schedule1",#N/A,FALSE,"Sheet1";"schedule2",#N/A,FALSE,"Sheet1";"schedule3",#N/A,FALSE,"Sheet1";"schedule4",#N/A,FALSE,"Sheet1";"schedule5",#N/A,FALSE,"Sheet1";"schedule6",#N/A,FALSE,"Sheet1"}</definedName>
    <definedName name="___wrn1_4" hidden="1">{"schedule1",#N/A,FALSE,"Sheet1";"schedule2",#N/A,FALSE,"Sheet1";"schedule3",#N/A,FALSE,"Sheet1";"schedule4",#N/A,FALSE,"Sheet1";"schedule5",#N/A,FALSE,"Sheet1";"schedule6",#N/A,FALSE,"Sheet1"}</definedName>
    <definedName name="___wrn3" hidden="1">{#N/A,#N/A,FALSE,"Aging Summary";#N/A,#N/A,FALSE,"Ratio Analysis";#N/A,#N/A,FALSE,"Test 120 Day Accts";#N/A,#N/A,FALSE,"Tickmarks"}</definedName>
    <definedName name="___wrn4" hidden="1">{"data",#N/A,FALSE,"INPUT"}</definedName>
    <definedName name="___wrn9" hidden="1">{"FCB_ALL",#N/A,FALSE,"FCB"}</definedName>
    <definedName name="__1__123Graph_ACHART_1" hidden="1">#REF!</definedName>
    <definedName name="__1__123Graph_ACHART_28" hidden="1">#REF!</definedName>
    <definedName name="__1__123Graph_BCHART_4" hidden="1">#REF!</definedName>
    <definedName name="__10__123Graph_BCHART_5" hidden="1">#REF!</definedName>
    <definedName name="__10__123Graph_FCHART_1" hidden="1">#REF!</definedName>
    <definedName name="__11__123Graph_BCHART_6" hidden="1">#REF!</definedName>
    <definedName name="__11__123Graph_XCHART_2" hidden="1">#REF!</definedName>
    <definedName name="__12__123Graph_BCHART_7" hidden="1">#REF!</definedName>
    <definedName name="__123Graph_A" hidden="1">#REF!</definedName>
    <definedName name="__123Graph_AANNUAL" hidden="1">#REF!</definedName>
    <definedName name="__123Graph_AAVERAGE" hidden="1">#REF!</definedName>
    <definedName name="__123Graph_ABC" hidden="1">#REF!</definedName>
    <definedName name="__123Graph_ABCBAR" hidden="1">#REF!</definedName>
    <definedName name="__123Graph_ABICBETA" hidden="1">#REF!</definedName>
    <definedName name="__123Graph_ABOOK" hidden="1">#REF!</definedName>
    <definedName name="__123Graph_ABOOKBETA" hidden="1">#REF!</definedName>
    <definedName name="__123Graph_ACAPEX" hidden="1">#REF!</definedName>
    <definedName name="__123Graph_ACASHCOST1" hidden="1">#REF!</definedName>
    <definedName name="__123Graph_ACASHCOSTS" hidden="1">#REF!</definedName>
    <definedName name="__123Graph_ACONC" hidden="1">#REF!</definedName>
    <definedName name="__123Graph_ACurrent" hidden="1">#REF!</definedName>
    <definedName name="__123Graph_ADA" hidden="1">#REF!</definedName>
    <definedName name="__123Graph_ADEPREC2" hidden="1">#REF!</definedName>
    <definedName name="__123Graph_AEBITDABETA" hidden="1">#REF!</definedName>
    <definedName name="__123Graph_AEMPBETA" hidden="1">#REF!</definedName>
    <definedName name="__123Graph_AEMPLOYEE" hidden="1">#REF!</definedName>
    <definedName name="__123Graph_AGRAPH1" hidden="1">#REF!</definedName>
    <definedName name="__123Graph_AGRAPH4" hidden="1">#REF!</definedName>
    <definedName name="__123Graph_AGRAPH5" hidden="1">#REF!</definedName>
    <definedName name="__123Graph_AGRAPH85" hidden="1">#REF!</definedName>
    <definedName name="__123Graph_AGRAPH87" hidden="1">#REF!</definedName>
    <definedName name="__123Graph_AINVPRICE" hidden="1">#REF!</definedName>
    <definedName name="__123Graph_ALEASED" hidden="1">#REF!</definedName>
    <definedName name="__123Graph_AMKTVBETA" hidden="1">#REF!</definedName>
    <definedName name="__123Graph_AMONTHCONSUM" hidden="1">#REF!</definedName>
    <definedName name="__123Graph_AMOVEMINPRO" hidden="1">#REF!</definedName>
    <definedName name="__123Graph_AMOVEREFCONS" hidden="1">#REF!</definedName>
    <definedName name="__123Graph_AMOVEREFPRO" hidden="1">#REF!</definedName>
    <definedName name="__123Graph_AMVIC" hidden="1">#REF!</definedName>
    <definedName name="__123Graph_AMVICBETA" hidden="1">#REF!</definedName>
    <definedName name="__123Graph_ANIBETA" hidden="1">#REF!</definedName>
    <definedName name="__123Graph_AOAR" hidden="1">#REF!</definedName>
    <definedName name="__123Graph_APEDFLOT" hidden="1">#REF!</definedName>
    <definedName name="__123Graph_APROCEEDS" hidden="1">#REF!</definedName>
    <definedName name="__123Graph_APRODPROF" hidden="1">#REF!</definedName>
    <definedName name="__123Graph_ARECENT" hidden="1">#REF!</definedName>
    <definedName name="__123Graph_ASALEBETA" hidden="1">#REF!</definedName>
    <definedName name="__123Graph_ASALES" hidden="1">#REF!</definedName>
    <definedName name="__123Graph_ASQFT" hidden="1">#REF!</definedName>
    <definedName name="__123Graph_ATOTINVPRIWKS" hidden="1">#REF!</definedName>
    <definedName name="__123Graph_ATOTINVREPRIWKS" hidden="1">#REF!</definedName>
    <definedName name="__123Graph_ATREND" hidden="1">#REF!</definedName>
    <definedName name="__123Graph_AUNIT" hidden="1">#REF!</definedName>
    <definedName name="__123Graph_B" hidden="1">#REF!</definedName>
    <definedName name="__123Graph_BBCBAR" hidden="1">#REF!</definedName>
    <definedName name="__123Graph_BBICBETA" hidden="1">#REF!</definedName>
    <definedName name="__123Graph_BBOOK" hidden="1">#REF!</definedName>
    <definedName name="__123Graph_BBOOKBETA" hidden="1">#REF!</definedName>
    <definedName name="__123Graph_BCAPEX" hidden="1">#REF!</definedName>
    <definedName name="__123Graph_BCASHCOST1" hidden="1">#REF!</definedName>
    <definedName name="__123Graph_BCASHCOSTS" hidden="1">#REF!</definedName>
    <definedName name="__123Graph_BCurrent" hidden="1">#REF!</definedName>
    <definedName name="__123Graph_BEBITDABETA" hidden="1">#REF!</definedName>
    <definedName name="__123Graph_BEMPBETA" hidden="1">#REF!</definedName>
    <definedName name="__123Graph_BEMPLOYEE" hidden="1">#REF!</definedName>
    <definedName name="__123Graph_BGRAPH1" hidden="1">#REF!</definedName>
    <definedName name="__123Graph_BGRAPH85" hidden="1">#REF!</definedName>
    <definedName name="__123Graph_BGRAPH87" hidden="1">#REF!</definedName>
    <definedName name="__123Graph_BINVPRICE" hidden="1">#REF!</definedName>
    <definedName name="__123Graph_BMKTVBETA" hidden="1">#REF!</definedName>
    <definedName name="__123Graph_BMONTHCONSUM" hidden="1">#REF!</definedName>
    <definedName name="__123Graph_BMONTHMINPRO" hidden="1">#REF!</definedName>
    <definedName name="__123Graph_BMONTHREFPRO" hidden="1">#REF!</definedName>
    <definedName name="__123Graph_BMOVEMINPRO" hidden="1">#REF!</definedName>
    <definedName name="__123Graph_BMOVEREFCONS" hidden="1">#REF!</definedName>
    <definedName name="__123Graph_BMOVEREFPRO" hidden="1">#REF!</definedName>
    <definedName name="__123Graph_BMVIC" hidden="1">#REF!</definedName>
    <definedName name="__123Graph_BMVICBETA" hidden="1">#REF!</definedName>
    <definedName name="__123Graph_BNIBETA" hidden="1">#REF!</definedName>
    <definedName name="__123Graph_BPEDFLOT" hidden="1">#REF!</definedName>
    <definedName name="__123Graph_BPROCEEDS" hidden="1">#REF!</definedName>
    <definedName name="__123Graph_BPRODPROF" hidden="1">#REF!</definedName>
    <definedName name="__123Graph_BRECENT" hidden="1">#REF!</definedName>
    <definedName name="__123Graph_BSALEBETA" hidden="1">#REF!</definedName>
    <definedName name="__123Graph_BSALES" hidden="1">#REF!</definedName>
    <definedName name="__123Graph_BTREND" hidden="1">#REF!</definedName>
    <definedName name="__123Graph_C" hidden="1">#REF!</definedName>
    <definedName name="__123Graph_CBCBAR" hidden="1">#REF!</definedName>
    <definedName name="__123Graph_CCAPEX" hidden="1">#REF!</definedName>
    <definedName name="__123Graph_CCASHCOST1" hidden="1">#REF!</definedName>
    <definedName name="__123Graph_CCASHCOSTS" hidden="1">#REF!</definedName>
    <definedName name="__123Graph_CCurrent" hidden="1">#REF!</definedName>
    <definedName name="__123Graph_CGRAPH1" hidden="1">#REF!</definedName>
    <definedName name="__123Graph_CMONTHCONSUM" hidden="1">#REF!</definedName>
    <definedName name="__123Graph_CMONTHMINPRO" hidden="1">#REF!</definedName>
    <definedName name="__123Graph_CMONTHREFPRO" hidden="1">#REF!</definedName>
    <definedName name="__123Graph_CPROCEEDS" hidden="1">#REF!</definedName>
    <definedName name="__123Graph_CPRODPROF" hidden="1">#REF!</definedName>
    <definedName name="__123Graph_CRECENT" hidden="1">#REF!</definedName>
    <definedName name="__123Graph_CTREND" hidden="1">#REF!</definedName>
    <definedName name="__123Graph_D" hidden="1">#REF!</definedName>
    <definedName name="__123Graph_DBCBAR" hidden="1">#REF!</definedName>
    <definedName name="__123Graph_DCurrent" hidden="1">#REF!</definedName>
    <definedName name="__123Graph_DINVPRICE" hidden="1">#REF!</definedName>
    <definedName name="__123Graph_DMONTHCONSUM" hidden="1">#REF!</definedName>
    <definedName name="__123Graph_DMONTHMINPRO" hidden="1">#REF!</definedName>
    <definedName name="__123Graph_DMONTHREFPRO" hidden="1">#REF!</definedName>
    <definedName name="__123Graph_DRECENT" hidden="1">#REF!</definedName>
    <definedName name="__123Graph_E" hidden="1">#REF!</definedName>
    <definedName name="__123Graph_EMONTHCONSUM" hidden="1">#REF!</definedName>
    <definedName name="__123Graph_EMONTHMINPRO" hidden="1">#REF!</definedName>
    <definedName name="__123Graph_EMONTHREFPRO" hidden="1">#REF!</definedName>
    <definedName name="__123Graph_ERECENT" hidden="1">#REF!</definedName>
    <definedName name="__123Graph_F" hidden="1">#REF!</definedName>
    <definedName name="__123Graph_FMONTHCONSUM" hidden="1">#REF!</definedName>
    <definedName name="__123Graph_FMONTHMINPRO" hidden="1">#REF!</definedName>
    <definedName name="__123Graph_FMONTHREFPRO" hidden="1">#REF!</definedName>
    <definedName name="__123Graph_FPROFILE" hidden="1">#REF!</definedName>
    <definedName name="__123Graph_LBL_A" hidden="1">#REF!</definedName>
    <definedName name="__123Graph_LBL_AAVERAGE" hidden="1">#REF!</definedName>
    <definedName name="__123Graph_LBL_AGRAPH4" hidden="1">#REF!</definedName>
    <definedName name="__123Graph_LBL_AGRAPH5" hidden="1">#REF!</definedName>
    <definedName name="__123Graph_LBL_ALEASED" hidden="1">#REF!</definedName>
    <definedName name="__123Graph_LBL_AMETPLX" hidden="1">#REF!</definedName>
    <definedName name="__123Graph_LBL_ANDALLAS" hidden="1">#REF!</definedName>
    <definedName name="__123Graph_LBL_ASQFT" hidden="1">#REF!</definedName>
    <definedName name="__123Graph_LBL_AUNIT" hidden="1">#REF!</definedName>
    <definedName name="__123Graph_LBL_B" hidden="1">#REF!</definedName>
    <definedName name="__123Graph_LBL_BGRAPH4" hidden="1">#REF!</definedName>
    <definedName name="__123Graph_LBL_BGRAPH5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NNUAL" hidden="1">#REF!</definedName>
    <definedName name="__123Graph_XBC" hidden="1">#REF!</definedName>
    <definedName name="__123Graph_XBCBAR" hidden="1">#REF!</definedName>
    <definedName name="__123Graph_XCAPEX" hidden="1">#REF!</definedName>
    <definedName name="__123Graph_XCASHCOST1" hidden="1">#REF!</definedName>
    <definedName name="__123Graph_XCASHCOSTS" hidden="1">#REF!</definedName>
    <definedName name="__123Graph_XCONC" hidden="1">#REF!</definedName>
    <definedName name="__123Graph_XEMPLOYEE" hidden="1">#REF!</definedName>
    <definedName name="__123Graph_XGRAPH1" hidden="1">#REF!</definedName>
    <definedName name="__123Graph_XGRAPH4" hidden="1">#REF!</definedName>
    <definedName name="__123Graph_XGRAPH5" hidden="1">#REF!</definedName>
    <definedName name="__123Graph_XINVPRICE" hidden="1">#REF!</definedName>
    <definedName name="__123Graph_XMONTHCONSUM" hidden="1">#REF!</definedName>
    <definedName name="__123Graph_XMONTHMINPRO" hidden="1">#REF!</definedName>
    <definedName name="__123Graph_XMONTHREFPRO" hidden="1">#REF!</definedName>
    <definedName name="__123Graph_XMOVEMINPRO" hidden="1">#REF!</definedName>
    <definedName name="__123Graph_XMOVEREFCONS" hidden="1">#REF!</definedName>
    <definedName name="__123Graph_XMOVEREFPRO" hidden="1">#REF!</definedName>
    <definedName name="__123Graph_XOAR" hidden="1">#REF!</definedName>
    <definedName name="__123Graph_XPROCEEDS" hidden="1">#REF!</definedName>
    <definedName name="__123Graph_XPRODPROF" hidden="1">#REF!</definedName>
    <definedName name="__123Graph_XTOTINVPRIWKS" hidden="1">#REF!</definedName>
    <definedName name="__123Graph_XTOTINVREPRIWKS" hidden="1">#REF!</definedName>
    <definedName name="__123Graph_XTREND" hidden="1">#REF!</definedName>
    <definedName name="__123Graph_ZZ" hidden="1">#REF!</definedName>
    <definedName name="__13__123Graph_CCHART_4" hidden="1">#REF!</definedName>
    <definedName name="__14__123Graph_XCHART_5" hidden="1">#REF!</definedName>
    <definedName name="__15__123Graph_XCHART_6" hidden="1">#REF!</definedName>
    <definedName name="__16__123Graph_XCHART_7" hidden="1">#REF!</definedName>
    <definedName name="__2__123Graph_ACHART_2" hidden="1">#REF!</definedName>
    <definedName name="__2__123Graph_BCHART_28" hidden="1">#REF!</definedName>
    <definedName name="__2__123Graph_LBL_ACHART_5" hidden="1">#REF!</definedName>
    <definedName name="__3__123Graph_BCHART_1" hidden="1">#REF!</definedName>
    <definedName name="__3__123Graph_CCHART_28" hidden="1">#REF!</definedName>
    <definedName name="__3__123Graph_LBL_BCHART_4" hidden="1">#REF!</definedName>
    <definedName name="__4__123Graph_DCHART_28" hidden="1">#REF!</definedName>
    <definedName name="__4__123Graph_XCHART_1" hidden="1">#REF!</definedName>
    <definedName name="__5__123Graph_ACHART_4" hidden="1">#REF!</definedName>
    <definedName name="__5__123Graph_CCHART_1" hidden="1">#REF!</definedName>
    <definedName name="__5__123Graph_ECHART_28" hidden="1">#REF!</definedName>
    <definedName name="__5__123Graph_XCHART_2" hidden="1">#REF!</definedName>
    <definedName name="__6__123Graph_ACHART_5" hidden="1">#REF!</definedName>
    <definedName name="__6__123Graph_CCHART_2" hidden="1">#REF!</definedName>
    <definedName name="__6__123Graph_FCHART_28" hidden="1">#REF!</definedName>
    <definedName name="__7__123Graph_ACHART_6" hidden="1">#REF!</definedName>
    <definedName name="__7__123Graph_DCHART_1" hidden="1">#REF!</definedName>
    <definedName name="__8__123Graph_ACHART_7" hidden="1">#REF!</definedName>
    <definedName name="__8__123Graph_DCHART_2" hidden="1">#REF!</definedName>
    <definedName name="__9__123Graph_BCHART_4" hidden="1">#REF!</definedName>
    <definedName name="__9__123Graph_ECHART_1" hidden="1">#REF!</definedName>
    <definedName name="__a1" hidden="1">{"Assump",#N/A,TRUE,"Proforma";"first",#N/A,TRUE,"Proforma";"second",#N/A,TRUE,"Proforma";"lease1",#N/A,TRUE,"Proforma";"lease2",#N/A,TRUE,"Proforma"}</definedName>
    <definedName name="__ABC2" hidden="1">{"CHART",#N/A,FALSE,"Arch Communications"}</definedName>
    <definedName name="__ad2" hidden="1">{"CHART",#N/A,FALSE,"Arch Communications"}</definedName>
    <definedName name="__ADS1" hidden="1">{"FCB_ALL",#N/A,FALSE,"FCB"}</definedName>
    <definedName name="__al1" hidden="1">{"sheet a",#N/A,FALSE,"A";"sheet b 1",#N/A,FALSE,"B";"sheet b 2",#N/A,FALSE,"B"}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d1" hidden="1">{#N/A,#N/A,FALSE,"Sales"}</definedName>
    <definedName name="__d116" hidden="1">{#N/A,#N/A,FALSE,"Sales"}</definedName>
    <definedName name="__d16" hidden="1">{"Annual",#N/A,FALSE,"Sales &amp; Market";"Quarterly",#N/A,FALSE,"Sales &amp; Market"}</definedName>
    <definedName name="__d2" hidden="1">{#N/A,#N/A,FALSE,"Sales"}</definedName>
    <definedName name="__d216" hidden="1">{#N/A,#N/A,FALSE,"Sales"}</definedName>
    <definedName name="__dan1" hidden="1">#REF!</definedName>
    <definedName name="__dcf1" hidden="1">{#N/A,#N/A,FALSE,"Tar-Ass";#N/A,#N/A,FALSE,"Tar-IS";#N/A,#N/A,FALSE,"Tar-BS";#N/A,#N/A,FALSE,"Tar-Adg BS";#N/A,#N/A,FALSE,"Tar-CF"}</definedName>
    <definedName name="__df1" hidden="1">{#N/A,#N/A,FALSE,"Calc";#N/A,#N/A,FALSE,"Sensitivity";#N/A,#N/A,FALSE,"LT Earn.Dil.";#N/A,#N/A,FALSE,"Dil. AVP"}</definedName>
    <definedName name="__df2" hidden="1">{#N/A,#N/A,FALSE,"Calc";#N/A,#N/A,FALSE,"Sensitivity";#N/A,#N/A,FALSE,"LT Earn.Dil.";#N/A,#N/A,FALSE,"Dil. AVP"}</definedName>
    <definedName name="__dfd1" hidden="1">{"FCB_ALL",#N/A,FALSE,"FCB";"GREY_ALL",#N/A,FALSE,"GREY"}</definedName>
    <definedName name="__FDS_HYPERLINK_TOGGLE_STATE__" hidden="1">"ON"</definedName>
    <definedName name="__FDS_UNIQUE_RANGE_ID_GENERATOR_COUNTER" hidden="1">1</definedName>
    <definedName name="__FDS_USED_FOR_REUSING_RANGE_IDS_RECYCLE" hidden="1">{33,33,33,33,33}</definedName>
    <definedName name="__Feb03" hidden="1">{#N/A,#N/A,FALSE,"Class A";#N/A,#N/A,FALSE,"Class B";#N/A,#N/A,FALSE,"Class C"}</definedName>
    <definedName name="__fff1" hidden="1">{"Annual",#N/A,FALSE,"Sales &amp; Market";"Quarterly",#N/A,FALSE,"Sales &amp; Market"}</definedName>
    <definedName name="__gc1" hidden="1">{"Annual",#N/A,FALSE,"Sales &amp; Market";"Quarterly",#N/A,FALSE,"Sales &amp; Market"}</definedName>
    <definedName name="__hd1" hidden="1">{#N/A,#N/A,FALSE,"Calc";#N/A,#N/A,FALSE,"Sensitivity";#N/A,#N/A,FALSE,"LT Earn.Dil.";#N/A,#N/A,FALSE,"Dil. AVP"}</definedName>
    <definedName name="__hd2" hidden="1">{#N/A,#N/A,FALSE,"Calc";#N/A,#N/A,FALSE,"Sensitivity";#N/A,#N/A,FALSE,"LT Earn.Dil.";#N/A,#N/A,FALSE,"Dil. AVP"}</definedName>
    <definedName name="__Ht_Data_Spc_Version_Spc_1" hidden="1">"01._Spc_Current_Spc_Data_Spc_Version"</definedName>
    <definedName name="__Ht_Data_Spc_Version_Spc_2" hidden="1">"02._Spc_Previous_Spc_Year_Spc_Data_Spc_Version"</definedName>
    <definedName name="__Ht_Data_Spc_Version_Spc_3" hidden="1">"03._Spc_Most_Spc_recent_Spc_Budget_Spc_Version"</definedName>
    <definedName name="__Ht_Data_Spc_Version_Spc_4" hidden="1">"04._Spc_Target_Spc_Data_Spc_version_Spc_for_Spc_Quarter_Hyp_to_Hyp_go"</definedName>
    <definedName name="__Ht_Data_Spc_Version_Spc_5" hidden="1">"02b._Spc_Previous_Spc_Year_Spc_Current_Spc_volume_Spc_Version"</definedName>
    <definedName name="__Ht_Data_Spc_Version_Spc_6" hidden="1">"03b._Spc_Most_Spc_recent_Spc_budget_Spc_Current_Spc_volume_Spc_version"</definedName>
    <definedName name="__Ht_Data_Spc_Version_Spc_7" hidden="1">"01b._Spc_Current_Spc_volume_Spc_Data_Spc_Version"</definedName>
    <definedName name="__Ht_Data_Spc_Version_Spc_8" hidden="1">"04b._Spc_Target_Spc_Volume_Spc_version_Spc_for_Spc_Quarter_Hyp_to_Hyp_go"</definedName>
    <definedName name="__Ht_Period_Spc_1" hidden="1">"05._Spc_Current_Spc_Month"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"18._Spc_Select_Spc_your_Spc_region"</definedName>
    <definedName name="__Ht_USD_Spc_Month_Spc_1?" hidden="1">"12._Spc_Financials_Spc_Month"</definedName>
    <definedName name="__Ht_USD_Spc_Quarter_Spc_1?" hidden="1">"13._Spc_Financials_Spc_Quarter"</definedName>
    <definedName name="__Ht_USD_Spc_YTD_Spc_1?" hidden="1">"14._Spc_Financials_Spc_YTD"</definedName>
    <definedName name="__Ht_Variance_Spc_Description_Spc_1" hidden="1">"08._Spc_Variance_Spc_Description_Spc_vs._Spc_Actual"</definedName>
    <definedName name="__Ht_Variance_Spc_Description_Spc_2" hidden="1">"9._Spc_Variance_Spc_Description_Spc_vs._Spc_Budget"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_IntlFixup" hidden="1">TRUE</definedName>
    <definedName name="__k" hidden="1">{#N/A,#N/A,TRUE,"A-site";#N/A,#N/A,TRUE,"B-Buildings";#N/A,#N/A,TRUE,"c-out-of-fence";#N/A,#N/A,TRUE,"d-proj.infr.";#N/A,#N/A,TRUE,"e- land"}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MRG2" hidden="1">{"INCOME",#N/A,FALSE,"ProNet";"VALUE",#N/A,FALSE,"ProNet"}</definedName>
    <definedName name="__MRG22" hidden="1">{"INCOME",#N/A,FALSE,"ProNet";"VALUE",#N/A,FALSE,"ProNet"}</definedName>
    <definedName name="__mrg4" hidden="1">{"INCOME",#N/A,FALSE,"ProNet";"VALUE",#N/A,FALSE,"ProNet"}</definedName>
    <definedName name="__mrg8" hidden="1">{"INCOME",#N/A,FALSE,"ProNet";"VALUE",#N/A,FALSE,"ProNet"}</definedName>
    <definedName name="__new1">#REF!</definedName>
    <definedName name="__new2" hidden="1">{"'B-2 QSER Jun 98 4-27-98 cor'!$A$1:$F$57"}</definedName>
    <definedName name="__new5" hidden="1">{"'B-2 QSER Jun 98 4-27-98 cor'!$A$1:$F$57"}</definedName>
    <definedName name="__ok1" hidden="1">{"Annual",#N/A,FALSE,"Sales &amp; Market";"Quarterly",#N/A,FALSE,"Sales &amp; Market"}</definedName>
    <definedName name="__OK2" hidden="1">{#N/A,#N/A,FALSE,"Cover";#N/A,#N/A,FALSE,"LUMI";#N/A,#N/A,FALSE,"COMD";#N/A,#N/A,FALSE,"Valuation";#N/A,#N/A,FALSE,"Assumptions";#N/A,#N/A,FALSE,"Pooling";#N/A,#N/A,FALSE,"BalanceSheet"}</definedName>
    <definedName name="__old2" hidden="1">{#N/A,#N/A,FALSE,"Chart 2 by Prop Type"}</definedName>
    <definedName name="__pj2" hidden="1">{"INCOME",#N/A,FALSE,"ProNet";"VALUE",#N/A,FALSE,"ProNet"}</definedName>
    <definedName name="__sad2" hidden="1">{"MonthlyRentRoll",#N/A,FALSE,"RentRoll"}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w" hidden="1">{#N/A,#N/A,TRUE,"A-site";#N/A,#N/A,TRUE,"B-Buildings";#N/A,#N/A,TRUE,"c-out-of-fence";#N/A,#N/A,TRUE,"d-proj.infr.";#N/A,#N/A,TRUE,"e- land"}</definedName>
    <definedName name="__we2" hidden="1">{"INCOME",#N/A,FALSE,"ProNet";"VALUE",#N/A,FALSE,"ProNet"}</definedName>
    <definedName name="__wmp1" hidden="1">{#N/A,#N/A,FALSE,"ENVIRONMENTAL"}</definedName>
    <definedName name="__wpm1" hidden="1">{#N/A,#N/A,FALSE,"LOAN ANALYSIS"}</definedName>
    <definedName name="__wrn1" hidden="1">{"schedule1",#N/A,FALSE,"Sheet1";"schedule2",#N/A,FALSE,"Sheet1";"schedule3",#N/A,FALSE,"Sheet1";"schedule4",#N/A,FALSE,"Sheet1";"schedule5",#N/A,FALSE,"Sheet1";"schedule6",#N/A,FALSE,"Sheet1"}</definedName>
    <definedName name="__wrn2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_wrn3" hidden="1">{#N/A,#N/A,FALSE,"Aging Summary";#N/A,#N/A,FALSE,"Ratio Analysis";#N/A,#N/A,FALSE,"Test 120 Day Accts";#N/A,#N/A,FALSE,"Tickmarks"}</definedName>
    <definedName name="__wrn4" hidden="1">{"data",#N/A,FALSE,"INPUT"}</definedName>
    <definedName name="__wrn9" hidden="1">{"FCB_ALL",#N/A,FALSE,"FCB"}</definedName>
    <definedName name="__xlfn.RTD" hidden="1">#NAME?</definedName>
    <definedName name="__y1" hidden="1">#REF!</definedName>
    <definedName name="__y2" hidden="1">#REF!</definedName>
    <definedName name="__y3" hidden="1">#REF!</definedName>
    <definedName name="__y4" hidden="1">#REF!</definedName>
    <definedName name="__y5" hidden="1">#REF!</definedName>
    <definedName name="__yr1" hidden="1">#REF!</definedName>
    <definedName name="__yr2" hidden="1">#REF!</definedName>
    <definedName name="__yr3" hidden="1">#REF!</definedName>
    <definedName name="__yr4" hidden="1">#REF!</definedName>
    <definedName name="__z1" hidden="1">{"Commish",#N/A,FALSE,"LAWTC"}</definedName>
    <definedName name="_0215" hidden="1">#REF!</definedName>
    <definedName name="_1__123Graph_ACHART_1" hidden="1">#REF!</definedName>
    <definedName name="_1__123Graph_ACHART_12" hidden="1">#REF!</definedName>
    <definedName name="_1__123Graph_ACHART_2" hidden="1">#REF!</definedName>
    <definedName name="_1__123Graph_ACHART_28" hidden="1">#REF!</definedName>
    <definedName name="_1__123Graph_ACHART_3A" hidden="1">#REF!</definedName>
    <definedName name="_1__123Graph_ACHART_4" hidden="1">#REF!</definedName>
    <definedName name="_1__123Graph_ACHART_4A" hidden="1">#REF!</definedName>
    <definedName name="_1__123Graph_AMARKET_SEGMENT" hidden="1">#REF!</definedName>
    <definedName name="_1__123Graph_BCHART_4" hidden="1">#REF!</definedName>
    <definedName name="_1__123Graph_CCHART_2" hidden="1">#REF!</definedName>
    <definedName name="_1__FDSAUDITLINK__" hidden="1">{"fdsup://directions/FAT Viewer?action=UPDATE&amp;creator=factset&amp;DYN_ARGS=TRUE&amp;DOC_NAME=FAT:FQL_AUDITING_CLIENT_TEMPLATE.FAT&amp;display_string=Audit&amp;VAR:KEY=JIVIHKDEZQ&amp;VAR:QUERY=UkdGX0VOVFJQUl9WQUwoQU5OLDQxMDQ0LCwsLFVTRCwsTk9BVURJVCk=&amp;WINDOW=FIRST_POPUP&amp;HEIGHT=45","0&amp;WIDTH=450&amp;START_MAXIMIZED=FALSE&amp;VAR:CALENDAR=US&amp;VAR:SYMBOL=707624&amp;VAR:INDEX=0"}</definedName>
    <definedName name="_1_0_0__123Grap" hidden="1">#REF!</definedName>
    <definedName name="_1_0_0_S" hidden="1">#REF!</definedName>
    <definedName name="_1_0_S" hidden="1">#REF!</definedName>
    <definedName name="_10__123Graph_A_FABP_L.WK1_FAB" hidden="1">#REF!</definedName>
    <definedName name="_10__123Graph_ADEPREC" hidden="1">#REF!</definedName>
    <definedName name="_10__123Graph_BCHART_16" hidden="1">#REF!</definedName>
    <definedName name="_10__123Graph_BCHART_2" hidden="1">#REF!</definedName>
    <definedName name="_10__123Graph_BCHART_5" hidden="1">#REF!</definedName>
    <definedName name="_10__123Graph_CCHART_1" hidden="1">#REF!</definedName>
    <definedName name="_10__123Graph_CCHART_3" hidden="1">#REF!</definedName>
    <definedName name="_10__123Graph_FCHART_1" hidden="1">#REF!</definedName>
    <definedName name="_10__123Graph_XCHART_1" hidden="1">#REF!</definedName>
    <definedName name="_10__123Graph_XCHART_1A" hidden="1">#REF!</definedName>
    <definedName name="_10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100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101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102__123Graph_XCHART_19" hidden="1">#REF!</definedName>
    <definedName name="_102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102_0_Table2_" hidden="1">#REF!</definedName>
    <definedName name="_105__123Graph_XCHART_22" hidden="1">#REF!</definedName>
    <definedName name="_107__123Graph_LBL_ACHART_3" hidden="1">#REF!</definedName>
    <definedName name="_108__123Graph_BCHART_22" hidden="1">#REF!</definedName>
    <definedName name="_108__123Graph_XSEG_PIE" hidden="1">#REF!</definedName>
    <definedName name="_11__123Graph_ACHART_1" hidden="1">#REF!</definedName>
    <definedName name="_11__123Graph_ACHART_3" hidden="1">#REF!</definedName>
    <definedName name="_11__123Graph_B_FABP_L.WK1_FAB" hidden="1">#REF!</definedName>
    <definedName name="_11__123Graph_BCHART_17" hidden="1">#REF!</definedName>
    <definedName name="_11__123Graph_BCHART_3" hidden="1">#REF!</definedName>
    <definedName name="_11__123Graph_BCHART_6" hidden="1">#REF!</definedName>
    <definedName name="_11__123Graph_CCHART_2" hidden="1">#REF!</definedName>
    <definedName name="_11__123Graph_DCHART_1" hidden="1">#REF!</definedName>
    <definedName name="_11__123Graph_XCHART_2" hidden="1">#REF!</definedName>
    <definedName name="_11__123Graph_XGROWTH_9" hidden="1">#REF!</definedName>
    <definedName name="_11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110__123Graph_BCHART_3" hidden="1">#REF!</definedName>
    <definedName name="_115__123Graph_LBL_ACHART_4" hidden="1">#REF!</definedName>
    <definedName name="_117__123Graph_CCHART_15" hidden="1">#REF!</definedName>
    <definedName name="_12__123Graph_ACHART_17" hidden="1">#REF!</definedName>
    <definedName name="_12__123Graph_ACHART_2" hidden="1">#REF!</definedName>
    <definedName name="_12__123Graph_ACHART_2A" hidden="1">#REF!</definedName>
    <definedName name="_12__123Graph_ACHART_4" hidden="1">#REF!</definedName>
    <definedName name="_12__123Graph_BCHART_1" hidden="1">#REF!</definedName>
    <definedName name="_12__123Graph_BCHART_22" hidden="1">#REF!</definedName>
    <definedName name="_12__123Graph_BCHART_2A" hidden="1">#REF!</definedName>
    <definedName name="_12__123Graph_BCHART_4" hidden="1">#REF!</definedName>
    <definedName name="_12__123Graph_BCHART_7" hidden="1">#REF!</definedName>
    <definedName name="_12__123Graph_ECHART_1" hidden="1">#REF!</definedName>
    <definedName name="_12__123Graph_XCHART_2A" hidden="1">#REF!</definedName>
    <definedName name="_12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121__123Graph_BCHART_4" hidden="1">#REF!</definedName>
    <definedName name="_123" hidden="1">#REF!</definedName>
    <definedName name="_123__123Graph_LBL_BCHART_1" hidden="1">#REF!</definedName>
    <definedName name="_12312" hidden="1">#REF!</definedName>
    <definedName name="_123Graph" hidden="1">#REF!</definedName>
    <definedName name="_123Graph_A2" hidden="1">#N/A</definedName>
    <definedName name="_123Graph_ACHART" hidden="1">#REF!</definedName>
    <definedName name="_126__123Graph_CCHART_16" hidden="1">#REF!</definedName>
    <definedName name="_13__123Graph_ACHART_3" hidden="1">#REF!</definedName>
    <definedName name="_13__123Graph_BCHART_1" hidden="1">#REF!</definedName>
    <definedName name="_13__123Graph_BCHART_2" hidden="1">#REF!</definedName>
    <definedName name="_13__123Graph_BCHART_5" hidden="1">#REF!</definedName>
    <definedName name="_13__123Graph_CCHART_15" hidden="1">#REF!</definedName>
    <definedName name="_13__123Graph_CCHART_3" hidden="1">#REF!</definedName>
    <definedName name="_13__123Graph_CCHART_4" hidden="1">#REF!</definedName>
    <definedName name="_13__123Graph_FCHART_1" hidden="1">#REF!</definedName>
    <definedName name="_13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131__123Graph_LBL_BCHART_2" hidden="1">#REF!</definedName>
    <definedName name="_132__123Graph_BCHART_5" hidden="1">#REF!</definedName>
    <definedName name="_135__123Graph_CCHART_17" hidden="1">#REF!</definedName>
    <definedName name="_139__123Graph_LBL_BCHART_3" hidden="1">#REF!</definedName>
    <definedName name="_14__123Graph_ACHART_4" hidden="1">#REF!</definedName>
    <definedName name="_14__123Graph_BCHART_2" hidden="1">#REF!</definedName>
    <definedName name="_14__123Graph_BCHART_3" hidden="1">#REF!</definedName>
    <definedName name="_14__123Graph_BCHART_6" hidden="1">#REF!</definedName>
    <definedName name="_14__123Graph_CCHART_16" hidden="1">#REF!</definedName>
    <definedName name="_14__123Graph_DCHART_1" hidden="1">#REF!</definedName>
    <definedName name="_14__123Graph_LBL_ACHART_2" hidden="1">#REF!</definedName>
    <definedName name="_14__123Graph_XCHART_5" hidden="1">#REF!</definedName>
    <definedName name="_14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143__123Graph_BCHART_6" hidden="1">#REF!</definedName>
    <definedName name="_144__123Graph_CCHART_22" hidden="1">#REF!</definedName>
    <definedName name="_147__123Graph_XCHART_1" hidden="1">#REF!</definedName>
    <definedName name="_15__123Graph_ACHART_18" hidden="1">#REF!</definedName>
    <definedName name="_15__123Graph_ACHART_5" hidden="1">#REF!</definedName>
    <definedName name="_15__123Graph_BCHART_4" hidden="1">#REF!</definedName>
    <definedName name="_15__123Graph_BCHART_7" hidden="1">#REF!</definedName>
    <definedName name="_15__123Graph_CCHART_17" hidden="1">#REF!</definedName>
    <definedName name="_15__123Graph_ECHART_1" hidden="1">#REF!</definedName>
    <definedName name="_15__123Graph_LBL_ACHART_3" hidden="1">#REF!</definedName>
    <definedName name="_15__123Graph_XCHART_1A" hidden="1">#REF!</definedName>
    <definedName name="_15__123Graph_XCHART_6" hidden="1">#REF!</definedName>
    <definedName name="_15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153__123Graph_CSEG_PIE" hidden="1">#REF!</definedName>
    <definedName name="_154__123Graph_BCHART_7" hidden="1">#REF!</definedName>
    <definedName name="_155__123Graph_XCHART_2" hidden="1">#REF!</definedName>
    <definedName name="_159_0_Table1_" hidden="1">#REF!</definedName>
    <definedName name="_16__123Graph_ACHART_3" hidden="1">#REF!</definedName>
    <definedName name="_16__123Graph_ACHART_6" hidden="1">#REF!</definedName>
    <definedName name="_16__123Graph_BCHART_5" hidden="1">#REF!</definedName>
    <definedName name="_16__123Graph_CCHART_22" hidden="1">#REF!</definedName>
    <definedName name="_16__123Graph_DCHART_1" hidden="1">#REF!</definedName>
    <definedName name="_16__123Graph_FCHART_1" hidden="1">#REF!</definedName>
    <definedName name="_16__123Graph_LBL_ACHART_4" hidden="1">#REF!</definedName>
    <definedName name="_16__123Graph_XCHART_7" hidden="1">#REF!</definedName>
    <definedName name="_16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162__123Graph_DCHART_15" hidden="1">#REF!</definedName>
    <definedName name="_163__123Graph_XCHART_3" hidden="1">#REF!</definedName>
    <definedName name="_163_0_Table2_" hidden="1">#REF!</definedName>
    <definedName name="_169_0_Table1_" hidden="1">#REF!</definedName>
    <definedName name="_17__123Graph_ACHART_4" hidden="1">#REF!</definedName>
    <definedName name="_17__123Graph_ACHART_7" hidden="1">#REF!</definedName>
    <definedName name="_17__123Graph_BCHART_6" hidden="1">#REF!</definedName>
    <definedName name="_17__123Graph_CSEG_PIE" hidden="1">#REF!</definedName>
    <definedName name="_17__123Graph_LBL_ACHART_1" hidden="1">#REF!</definedName>
    <definedName name="_17__123Graph_LBL_ACHART_2" hidden="1">#REF!</definedName>
    <definedName name="_17__123Graph_LBL_BCHART_2" hidden="1">#REF!</definedName>
    <definedName name="_17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171__123Graph_DCHART_16" hidden="1">#REF!</definedName>
    <definedName name="_171__123Graph_XCHART_4" hidden="1">#REF!</definedName>
    <definedName name="_175_0_Table2_" hidden="1">#REF!</definedName>
    <definedName name="_178_0_Table1_" hidden="1">#REF!</definedName>
    <definedName name="_18__123Graph_ACHART_15" hidden="1">#REF!</definedName>
    <definedName name="_18__123Graph_ACHART_19" hidden="1">#REF!</definedName>
    <definedName name="_18__123Graph_BCHART_1" hidden="1">#REF!</definedName>
    <definedName name="_18__123Graph_BCHART_1A" hidden="1">#REF!</definedName>
    <definedName name="_18__123Graph_BCHART_7" hidden="1">#REF!</definedName>
    <definedName name="_18__123Graph_DCHART_15" hidden="1">#REF!</definedName>
    <definedName name="_18__123Graph_LBL_ACHART_3" hidden="1">#REF!</definedName>
    <definedName name="_18__123Graph_LBL_BCHART_3" hidden="1">#REF!</definedName>
    <definedName name="_18__123Graph_XCHART_2A" hidden="1">#REF!</definedName>
    <definedName name="_18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180__123Graph_DCHART_17" hidden="1">#REF!</definedName>
    <definedName name="_185_0_Table2_" hidden="1">#REF!</definedName>
    <definedName name="_189__123Graph_DCHART_22" hidden="1">#REF!</definedName>
    <definedName name="_19__123Graph_BCHART_2" hidden="1">#REF!</definedName>
    <definedName name="_19__123Graph_C_FABP_L.WK1_FAB" hidden="1">#REF!</definedName>
    <definedName name="_19__123Graph_DCHART_16" hidden="1">#REF!</definedName>
    <definedName name="_19__123Graph_LBL_ACHART_3" hidden="1">#REF!</definedName>
    <definedName name="_19__123Graph_LBL_CCHART_2" hidden="1">#REF!</definedName>
    <definedName name="_19__123Graph_LBL_DCHART_1" hidden="1">#REF!</definedName>
    <definedName name="_19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198__123Graph_ECHART_15" hidden="1">#REF!</definedName>
    <definedName name="_1ƒ0ACwvu.Sommai" hidden="1">#REF!,#REF!,#REF!,#REF!,#REF!,#REF!</definedName>
    <definedName name="_1x1" hidden="1">#REF!</definedName>
    <definedName name="_2__123Graph_A_FABP_L.WK1_FAB" hidden="1">#REF!</definedName>
    <definedName name="_2__123Graph_ACHART_1" hidden="1">#REF!</definedName>
    <definedName name="_2__123Graph_ACHART_15" hidden="1">#REF!</definedName>
    <definedName name="_2__123Graph_ACHART_1A" hidden="1">#REF!</definedName>
    <definedName name="_2__123Graph_ACHART_2" hidden="1">#REF!</definedName>
    <definedName name="_2__123Graph_ACHART_4" hidden="1">#REF!</definedName>
    <definedName name="_2__123Graph_ACHART_4A" hidden="1">#REF!</definedName>
    <definedName name="_2__123Graph_BCHART_1" hidden="1">#REF!</definedName>
    <definedName name="_2__123Graph_BCHART_2" hidden="1">#REF!</definedName>
    <definedName name="_2__123Graph_BCHART_28" hidden="1">#REF!</definedName>
    <definedName name="_2__123Graph_BCHART_4" hidden="1">#REF!</definedName>
    <definedName name="_2__123Graph_LBL_ACHART_5" hidden="1">#REF!</definedName>
    <definedName name="_2__123Graph_XCHART_2" hidden="1">#REF!</definedName>
    <definedName name="_2__123Graph_XCHART_3A" hidden="1">#REF!</definedName>
    <definedName name="_2__123Graph_XCHART_4A" hidden="1">#REF!</definedName>
    <definedName name="_2__123Graph_XMARKET_SEGMENT" hidden="1">#REF!</definedName>
    <definedName name="_2__FDSAUDITLINK__" hidden="1">{"fdsup://directions/FAT Viewer?action=UPDATE&amp;creator=factset&amp;DYN_ARGS=TRUE&amp;DOC_NAME=FAT:FQL_AUDITING_CLIENT_TEMPLATE.FAT&amp;display_string=Audit&amp;VAR:KEY=SVWDARGLYV&amp;VAR:QUERY=UkdGX0VOVFJQUl9WQUwoQU5OLDQxMDQ0LCwsLCwsTk9BVURJVCk=&amp;WINDOW=FIRST_POPUP&amp;HEIGHT=450&amp;WI","DTH=450&amp;START_MAXIMIZED=FALSE&amp;VAR:CALENDAR=US&amp;VAR:SYMBOL=707624&amp;VAR:INDEX=0"}</definedName>
    <definedName name="_2_0__123Grap" hidden="1">#REF!</definedName>
    <definedName name="_2_0_S" hidden="1">#REF!</definedName>
    <definedName name="_20__123Graph_ACHART_5" hidden="1">#REF!</definedName>
    <definedName name="_20__123Graph_DCHART_1" hidden="1">#REF!</definedName>
    <definedName name="_20__123Graph_DCHART_17" hidden="1">#REF!</definedName>
    <definedName name="_20__123Graph_LBL_ACHART_4" hidden="1">#REF!</definedName>
    <definedName name="_20__123Graph_LBL_CCHART_3" hidden="1">#REF!</definedName>
    <definedName name="_20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0">#REF!</definedName>
    <definedName name="_2011">#REF!</definedName>
    <definedName name="_2012">#REF!</definedName>
    <definedName name="_2013">#REF!</definedName>
    <definedName name="_2013_">#REF!</definedName>
    <definedName name="_2014">#REF!</definedName>
    <definedName name="_2015">#REF!</definedName>
    <definedName name="_2016">#REF!</definedName>
    <definedName name="_2017">#REF!</definedName>
    <definedName name="_2018">#REF!</definedName>
    <definedName name="_2020">#REF!</definedName>
    <definedName name="_207__123Graph_ECHART_16" hidden="1">#REF!</definedName>
    <definedName name="_20IQ_POLICĎĎ__ĘĘ__TS" hidden="1">"c1036"</definedName>
    <definedName name="_21__123Graph_ACHART_21" hidden="1">#REF!</definedName>
    <definedName name="_21__123Graph_ACHART_4" hidden="1">#REF!</definedName>
    <definedName name="_21__123Graph_DCHART_22" hidden="1">#REF!</definedName>
    <definedName name="_21__123Graph_LBL_ACHART_1" hidden="1">#REF!</definedName>
    <definedName name="_21__123Graph_LBL_BCHART_2" hidden="1">#REF!</definedName>
    <definedName name="_21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21_0_S" hidden="1">#REF!</definedName>
    <definedName name="_216__123Graph_ECHART_17" hidden="1">#REF!</definedName>
    <definedName name="_22__123Graph_ACHART_2" hidden="1">#REF!</definedName>
    <definedName name="_22__123Graph_ACHART_5" hidden="1">#REF!</definedName>
    <definedName name="_22__123Graph_BCHART_2" hidden="1">#REF!</definedName>
    <definedName name="_22__123Graph_ECHART_15" hidden="1">#REF!</definedName>
    <definedName name="_22__123Graph_LBL_ACHART_3" hidden="1">#REF!</definedName>
    <definedName name="_22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22_0_S" hidden="1">#REF!</definedName>
    <definedName name="_225__123Graph_ECHART_22" hidden="1">#REF!</definedName>
    <definedName name="_23__123Graph_ACHART_6" hidden="1">#REF!</definedName>
    <definedName name="_23__123Graph_BCHART_3" hidden="1">#REF!</definedName>
    <definedName name="_23__123Graph_ECHART_16" hidden="1">#REF!</definedName>
    <definedName name="_23__123Graph_LBL_BCHART_3" hidden="1">#REF!</definedName>
    <definedName name="_23__123Graph_LBL_DCHART_1" hidden="1">#REF!</definedName>
    <definedName name="_23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234__123Graph_FCHART_15" hidden="1">#REF!</definedName>
    <definedName name="_24__123Graph_ACHART_7" hidden="1">#REF!</definedName>
    <definedName name="_24__123Graph_ASEG_PIE" hidden="1">#REF!</definedName>
    <definedName name="_24__123Graph_BCHART_2A" hidden="1">#REF!</definedName>
    <definedName name="_24__123Graph_CCHART_1" hidden="1">#REF!</definedName>
    <definedName name="_24__123Graph_ECHART_17" hidden="1">#REF!</definedName>
    <definedName name="_24__123Graph_LBL_CCHART_2" hidden="1">#REF!</definedName>
    <definedName name="_24__123Graph_X_FABP_L.WK1_FAB" hidden="1">#REF!</definedName>
    <definedName name="_24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24_0_Table1_" hidden="1">#REF!</definedName>
    <definedName name="_243__123Graph_FCHART_16" hidden="1">#REF!</definedName>
    <definedName name="_25__123Graph_BCHART_4" hidden="1">#REF!</definedName>
    <definedName name="_25__123Graph_CCHART_2" hidden="1">#REF!</definedName>
    <definedName name="_25__123Graph_ECHART_22" hidden="1">#REF!</definedName>
    <definedName name="_25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25_0_Table2_" hidden="1">#REF!</definedName>
    <definedName name="_252__123Graph_FCHART_17" hidden="1">#REF!</definedName>
    <definedName name="_26__123Graph_BCHART_3" hidden="1">#REF!</definedName>
    <definedName name="_26__123Graph_BCHART_5" hidden="1">#REF!</definedName>
    <definedName name="_26__123Graph_FCHART_15" hidden="1">#REF!</definedName>
    <definedName name="_26__123Graph_LBL_CCHART_3" hidden="1">#REF!</definedName>
    <definedName name="_26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261__123Graph_FCHART_22" hidden="1">#REF!</definedName>
    <definedName name="_27__123Graph_ACHART_16" hidden="1">#REF!</definedName>
    <definedName name="_27__123Graph_ADEPREC" hidden="1">#REF!</definedName>
    <definedName name="_27__123Graph_BCHART_15" hidden="1">#REF!</definedName>
    <definedName name="_27__123Graph_BCHART_4" hidden="1">#REF!</definedName>
    <definedName name="_27__123Graph_BCHART_6" hidden="1">#REF!</definedName>
    <definedName name="_27__123Graph_CCHART_1" hidden="1">#REF!</definedName>
    <definedName name="_27__123Graph_FCHART_16" hidden="1">#REF!</definedName>
    <definedName name="_27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27_0_Table1_" hidden="1">#REF!</definedName>
    <definedName name="_270__123Graph_XCHART_15" hidden="1">#REF!</definedName>
    <definedName name="_279__123Graph_XCHART_16" hidden="1">#REF!</definedName>
    <definedName name="_28__123Graph_BCHART_5" hidden="1">#REF!</definedName>
    <definedName name="_28__123Graph_BCHART_7" hidden="1">#REF!</definedName>
    <definedName name="_28__123Graph_CCHART_2" hidden="1">#REF!</definedName>
    <definedName name="_28__123Graph_FCHART_17" hidden="1">#REF!</definedName>
    <definedName name="_28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28_0_S" hidden="1">#REF!</definedName>
    <definedName name="_28_0_Table2_" hidden="1">#REF!</definedName>
    <definedName name="_288__123Graph_XCHART_17" hidden="1">#REF!</definedName>
    <definedName name="_29__123Graph_BCHART_6" hidden="1">#REF!</definedName>
    <definedName name="_29__123Graph_CCHART_4" hidden="1">#REF!</definedName>
    <definedName name="_29__123Graph_FCHART_22" hidden="1">#REF!</definedName>
    <definedName name="_29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297__123Graph_XCHART_18" hidden="1">#REF!</definedName>
    <definedName name="_2ƒ0ACwvu.Sommai" hidden="1">#REF!,#REF!,#REF!,#REF!,#REF!,#REF!</definedName>
    <definedName name="_2ƒ0Swvu.Sommai" hidden="1">#REF!,#REF!,#REF!,#REF!,#REF!,#REF!</definedName>
    <definedName name="_3__123Graph_ACHART_1" hidden="1">#REF!</definedName>
    <definedName name="_3__123Graph_ACHART_12" hidden="1">#REF!</definedName>
    <definedName name="_3__123Graph_ACHART_16" hidden="1">#REF!</definedName>
    <definedName name="_3__123Graph_ACHART_1A" hidden="1">#REF!</definedName>
    <definedName name="_3__123Graph_ACHART_2" hidden="1">#REF!</definedName>
    <definedName name="_3__123Graph_ACHART_3" hidden="1">#REF!</definedName>
    <definedName name="_3__123Graph_BCHART_1" hidden="1">#REF!</definedName>
    <definedName name="_3__123Graph_BCHART_4" hidden="1">#REF!</definedName>
    <definedName name="_3__123Graph_CCHART_1" hidden="1">#REF!</definedName>
    <definedName name="_3__123Graph_CCHART_2" hidden="1">#REF!</definedName>
    <definedName name="_3__123Graph_CCHART_28" hidden="1">#REF!</definedName>
    <definedName name="_3__123Graph_CCHART_4" hidden="1">#REF!</definedName>
    <definedName name="_3__123Graph_LBL_BCHART_4" hidden="1">#REF!</definedName>
    <definedName name="_3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3_0__123Grap" hidden="1">#REF!</definedName>
    <definedName name="_3_0_0_F" hidden="1">#REF!</definedName>
    <definedName name="_3_0_0_S" hidden="1">#REF!</definedName>
    <definedName name="_30__123Graph_BCHART_16" hidden="1">#REF!</definedName>
    <definedName name="_30__123Graph_BCHART_6" hidden="1">#REF!</definedName>
    <definedName name="_30__123Graph_BCHART_7" hidden="1">#REF!</definedName>
    <definedName name="_30__123Graph_XCHART_15" hidden="1">#REF!</definedName>
    <definedName name="_30__123Graph_XCHART_1A" hidden="1">#REF!</definedName>
    <definedName name="_30__123Graph_XCHART_5" hidden="1">#REF!</definedName>
    <definedName name="_30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3000">#REF!</definedName>
    <definedName name="_3010">#REF!</definedName>
    <definedName name="_3019">#REF!</definedName>
    <definedName name="_306__123Graph_XCHART_19" hidden="1">#REF!</definedName>
    <definedName name="_31__123Graph_XCHART_16" hidden="1">#REF!</definedName>
    <definedName name="_31__123Graph_XCHART_6" hidden="1">#REF!</definedName>
    <definedName name="_31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315__123Graph_XCHART_22" hidden="1">#REF!</definedName>
    <definedName name="_32__123Graph_XCHART_17" hidden="1">#REF!</definedName>
    <definedName name="_32__123Graph_XCHART_7" hidden="1">#REF!</definedName>
    <definedName name="_32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324__123Graph_XSEG_PIE" hidden="1">#REF!</definedName>
    <definedName name="_33__123Graph_ACHART_3" hidden="1">#REF!</definedName>
    <definedName name="_33__123Graph_BCHART_17" hidden="1">#REF!</definedName>
    <definedName name="_33__123Graph_XCHART_18" hidden="1">#REF!</definedName>
    <definedName name="_33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3310">#REF!</definedName>
    <definedName name="_34__123Graph_CCHART_3" hidden="1">#REF!</definedName>
    <definedName name="_34__123Graph_XCHART_19" hidden="1">#REF!</definedName>
    <definedName name="_34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35__123Graph_ACHART_1" hidden="1">#REF!</definedName>
    <definedName name="_35__123Graph_CCHART_3" hidden="1">#REF!</definedName>
    <definedName name="_35__123Graph_DCHART_1" hidden="1">#REF!</definedName>
    <definedName name="_35__123Graph_XCHART_22" hidden="1">#REF!</definedName>
    <definedName name="_35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36__123Graph_ACHART_17" hidden="1">#REF!</definedName>
    <definedName name="_36__123Graph_BCHART_22" hidden="1">#REF!</definedName>
    <definedName name="_36__123Graph_DCHART_1" hidden="1">#REF!</definedName>
    <definedName name="_36__123Graph_ECHART_1" hidden="1">#REF!</definedName>
    <definedName name="_36__123Graph_XCHART_2A" hidden="1">#REF!</definedName>
    <definedName name="_36__123Graph_XSEG_PIE" hidden="1">#REF!</definedName>
    <definedName name="_36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37__123Graph_B_FABP_L.WK1_FAB" hidden="1">#REF!</definedName>
    <definedName name="_37__123Graph_ECHART_1" hidden="1">#REF!</definedName>
    <definedName name="_37__123Graph_FCHART_1" hidden="1">#REF!</definedName>
    <definedName name="_37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38__123Graph_BCHART_1" hidden="1">#REF!</definedName>
    <definedName name="_38__123Graph_FCHART_1" hidden="1">#REF!</definedName>
    <definedName name="_38__123Graph_LBL_ACHART_2" hidden="1">#REF!</definedName>
    <definedName name="_38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39__123Graph_BCHART_2" hidden="1">#REF!</definedName>
    <definedName name="_39__123Graph_CCHART_15" hidden="1">#REF!</definedName>
    <definedName name="_39__123Graph_LBL_ACHART_2" hidden="1">#REF!</definedName>
    <definedName name="_39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3ƒ0Swvu.Sommai" hidden="1">#REF!,#REF!,#REF!,#REF!,#REF!,#REF!</definedName>
    <definedName name="_3p0Rwvu.Sommai" hidden="1">#REF!,#REF!,#REF!,#REF!,#REF!</definedName>
    <definedName name="_4__123Graph_ACHART_17" hidden="1">#REF!</definedName>
    <definedName name="_4__123Graph_ACHART_2" hidden="1">#REF!</definedName>
    <definedName name="_4__123Graph_ACHART_2A" hidden="1">#REF!</definedName>
    <definedName name="_4__123Graph_ACHART_3" hidden="1">#REF!</definedName>
    <definedName name="_4__123Graph_ACHART_3I" hidden="1">#REF!</definedName>
    <definedName name="_4__123Graph_ACHART_4" hidden="1">#REF!</definedName>
    <definedName name="_4__123Graph_CCHART_4" hidden="1">#REF!</definedName>
    <definedName name="_4__123Graph_DCHART_1" hidden="1">#REF!</definedName>
    <definedName name="_4__123Graph_DCHART_28" hidden="1">#REF!</definedName>
    <definedName name="_4__123Graph_XCHART_1" hidden="1">#REF!</definedName>
    <definedName name="_4__123Graph_XCHART_2" hidden="1">#REF!</definedName>
    <definedName name="_4__123Graph_XCHART_4A" hidden="1">#REF!</definedName>
    <definedName name="_4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4_0_0__123Grap" hidden="1">#REF!</definedName>
    <definedName name="_4_0_0_F" hidden="1">#REF!</definedName>
    <definedName name="_40__123Graph_BCHART_3" hidden="1">#REF!</definedName>
    <definedName name="_40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41__123Graph_BCHART_4" hidden="1">#REF!</definedName>
    <definedName name="_41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42__123Graph_BCHART_5" hidden="1">#REF!</definedName>
    <definedName name="_42__123Graph_CCHART_16" hidden="1">#REF!</definedName>
    <definedName name="_42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43__123Graph_ACHART_2" hidden="1">#REF!</definedName>
    <definedName name="_43__123Graph_BCHART_6" hidden="1">#REF!</definedName>
    <definedName name="_43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4320">#REF!</definedName>
    <definedName name="_4355">#REF!</definedName>
    <definedName name="_44__123Graph_ACHART_4" hidden="1">#REF!</definedName>
    <definedName name="_44__123Graph_BCHART_7" hidden="1">#REF!</definedName>
    <definedName name="_44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4405">#REF!</definedName>
    <definedName name="_4410">#REF!</definedName>
    <definedName name="_4445">#REF!</definedName>
    <definedName name="_4450">#REF!</definedName>
    <definedName name="_4452">#REF!</definedName>
    <definedName name="_4453">#REF!</definedName>
    <definedName name="_4480">#REF!</definedName>
    <definedName name="_4485">#REF!</definedName>
    <definedName name="_4496">#REF!</definedName>
    <definedName name="_45__123Graph_ACHART_18" hidden="1">#REF!</definedName>
    <definedName name="_45__123Graph_CCHART_17" hidden="1">#REF!</definedName>
    <definedName name="_45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4505">#REF!</definedName>
    <definedName name="_4555">#REF!</definedName>
    <definedName name="_4560">#REF!</definedName>
    <definedName name="_46__123Graph_LBL_ACHART_3" hidden="1">#REF!</definedName>
    <definedName name="_46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47__123Graph_LBL_ACHART_3" hidden="1">#REF!</definedName>
    <definedName name="_47__123Graph_LBL_ACHART_4" hidden="1">#REF!</definedName>
    <definedName name="_47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4710">#REF!</definedName>
    <definedName name="_4715">#REF!</definedName>
    <definedName name="_48__123Graph_CCHART_22" hidden="1">#REF!</definedName>
    <definedName name="_48__123Graph_LBL_ACHART_4" hidden="1">#REF!</definedName>
    <definedName name="_48__123Graph_LBL_BCHART_2" hidden="1">#REF!</definedName>
    <definedName name="_48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4830">#REF!</definedName>
    <definedName name="_4848">#REF!</definedName>
    <definedName name="_49__123Graph_LBL_BCHART_2" hidden="1">#REF!</definedName>
    <definedName name="_49__FDSAUDITLINK__" hidden="1">{"fdsup://directions/FAT Viewer?action=UPDATE&amp;creator=factset&amp;DYN_ARGS=TRUE&amp;DOC_NAME=FAT:FQL_AUDITING_CLIENT_TEMPLATE.FAT&amp;display_string=Audit&amp;VAR:KEY=MFMZMXUPCP&amp;VAR:QUERY=RkZfRUJJVERBX0lCKCdDQUwnLDIwMDksLCwsJ1VTRCcp&amp;WINDOW=FIRST_POPUP&amp;HEIGHT=450&amp;WIDTH=450&amp;","START_MAXIMIZED=FALSE&amp;VAR:CALENDAR=US&amp;VAR:SYMBOL=332770&amp;VAR:INDEX=0"}</definedName>
    <definedName name="_4p0Rwvu.Sommai" hidden="1">#REF!,#REF!,#REF!,#REF!,#REF!</definedName>
    <definedName name="_5__123Graph_ACHART_18" hidden="1">#REF!</definedName>
    <definedName name="_5__123Graph_ACHART_3" hidden="1">#REF!</definedName>
    <definedName name="_5__123Graph_ACHART_4" hidden="1">#REF!</definedName>
    <definedName name="_5__123Graph_BCHART_1" hidden="1">#REF!</definedName>
    <definedName name="_5__123Graph_CCHART_1" hidden="1">#REF!</definedName>
    <definedName name="_5__123Graph_ECHART_28" hidden="1">#REF!</definedName>
    <definedName name="_5__123Graph_XCHART_1" hidden="1">#REF!</definedName>
    <definedName name="_5__123Graph_XCHART_2" hidden="1">#REF!</definedName>
    <definedName name="_5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0__FDSAUDITLINK__" hidden="1">{"fdsup://directions/FAT Viewer?action=UPDATE&amp;creator=factset&amp;DYN_ARGS=TRUE&amp;DOC_NAME=FAT:FQL_AUDITING_CLIENT_TEMPLATE.FAT&amp;display_string=Audit&amp;VAR:KEY=CXEHCRWFAB&amp;VAR:QUERY=RkZfRU5UUlBSX1ZBTF9EQUlMWSg0MDI0MiwsLCwnVVNEJywnRElMJyk=&amp;WINDOW=FIRST_POPUP&amp;HEIGHT=45","0&amp;WIDTH=450&amp;START_MAXIMIZED=FALSE&amp;VAR:CALENDAR=US&amp;VAR:SYMBOL=332770&amp;VAR:INDEX=0"}</definedName>
    <definedName name="_51__123Graph_ACHART_3" hidden="1">#REF!</definedName>
    <definedName name="_51__123Graph_CSEG_PIE" hidden="1">#REF!</definedName>
    <definedName name="_51__FDSAUDITLINK__" hidden="1">{"fdsup://directions/FAT Viewer?action=UPDATE&amp;creator=factset&amp;DYN_ARGS=TRUE&amp;DOC_NAME=FAT:FQL_AUDITING_CLIENT_TEMPLATE.FAT&amp;display_string=Audit&amp;VAR:KEY=SVGBOBYLCP&amp;VAR:QUERY=RkZfRUJJVERBX0lCKCdDQUwnLDIwMDksLCwsJ1VTRCcp&amp;WINDOW=FIRST_POPUP&amp;HEIGHT=450&amp;WIDTH=450&amp;","START_MAXIMIZED=FALSE&amp;VAR:CALENDAR=US&amp;VAR:SYMBOL=70454910&amp;VAR:INDEX=0"}</definedName>
    <definedName name="_52__FDSAUDITLINK__" hidden="1">{"fdsup://directions/FAT Viewer?action=UPDATE&amp;creator=factset&amp;DYN_ARGS=TRUE&amp;DOC_NAME=FAT:FQL_AUDITING_CLIENT_TEMPLATE.FAT&amp;display_string=Audit&amp;VAR:KEY=ETCDEBGVWV&amp;VAR:QUERY=RkZfRU5UUlBSX1ZBTF9EQUlMWSg0MDI0MiwsLCwnVVNEJywnRElMJyk=&amp;WINDOW=FIRST_POPUP&amp;HEIGHT=45","0&amp;WIDTH=450&amp;START_MAXIMIZED=FALSE&amp;VAR:CALENDAR=US&amp;VAR:SYMBOL=B0ZSH5&amp;VAR:INDEX=0"}</definedName>
    <definedName name="_53__FDSAUDITLINK__" hidden="1">{"fdsup://directions/FAT Viewer?action=UPDATE&amp;creator=factset&amp;DYN_ARGS=TRUE&amp;DOC_NAME=FAT:FQL_AUDITING_CLIENT_TEMPLATE.FAT&amp;display_string=Audit&amp;VAR:KEY=CTADCFEBYL&amp;VAR:QUERY=RkZfRUJJVERBX0lCKCdDQUwnLDIwMDksLCwsJ1VTRCcp&amp;WINDOW=FIRST_POPUP&amp;HEIGHT=450&amp;WIDTH=450&amp;","START_MAXIMIZED=FALSE&amp;VAR:CALENDAR=US&amp;VAR:SYMBOL=678305&amp;VAR:INDEX=0"}</definedName>
    <definedName name="_54__123Graph_ACHART_19" hidden="1">#REF!</definedName>
    <definedName name="_54__123Graph_C_FABP_L.WK1_FAB" hidden="1">#REF!</definedName>
    <definedName name="_54__123Graph_DCHART_15" hidden="1">#REF!</definedName>
    <definedName name="_54__FDSAUDITLINK__" hidden="1">{"fdsup://directions/FAT Viewer?action=UPDATE&amp;creator=factset&amp;DYN_ARGS=TRUE&amp;DOC_NAME=FAT:FQL_AUDITING_CLIENT_TEMPLATE.FAT&amp;display_string=Audit&amp;VAR:KEY=YFOVQTWLIJ&amp;VAR:QUERY=RkZfRU5UUlBSX1ZBTF9EQUlMWSg0MDI0MiwsLCwnVVNEJywnRElMJyk=&amp;WINDOW=FIRST_POPUP&amp;HEIGHT=45","0&amp;WIDTH=450&amp;START_MAXIMIZED=FALSE&amp;VAR:CALENDAR=US&amp;VAR:SYMBOL=678305&amp;VAR:INDEX=0"}</definedName>
    <definedName name="_55__123Graph_ACHART_5" hidden="1">#REF!</definedName>
    <definedName name="_55__123Graph_LBL_BCHART_3" hidden="1">#REF!</definedName>
    <definedName name="_55__FDSAUDITLINK__" hidden="1">{"fdsup://directions/FAT Viewer?action=UPDATE&amp;creator=factset&amp;DYN_ARGS=TRUE&amp;DOC_NAME=FAT:FQL_AUDITING_CLIENT_TEMPLATE.FAT&amp;display_string=Audit&amp;VAR:KEY=YDSHWDYLUB&amp;VAR:QUERY=RkZfRUJJVERBX0lCKCdDQUwnLDIwMDksLCwsJ1VTRCcp&amp;WINDOW=FIRST_POPUP&amp;HEIGHT=450&amp;WIDTH=450&amp;","START_MAXIMIZED=FALSE&amp;VAR:CALENDAR=US&amp;VAR:SYMBOL=650432&amp;VAR:INDEX=0"}</definedName>
    <definedName name="_56__123Graph_LBL_CCHART_2" hidden="1">#REF!</definedName>
    <definedName name="_56__FDSAUDITLINK__" hidden="1">{"fdsup://directions/FAT Viewer?action=UPDATE&amp;creator=factset&amp;DYN_ARGS=TRUE&amp;DOC_NAME=FAT:FQL_AUDITING_CLIENT_TEMPLATE.FAT&amp;display_string=Audit&amp;VAR:KEY=WVMRQVONSP&amp;VAR:QUERY=RkZfRU5UUlBSX1ZBTF9EQUlMWSg0MDI0MiwsLCwnVVNEJywnRElMJyk=&amp;WINDOW=FIRST_POPUP&amp;HEIGHT=45","0&amp;WIDTH=450&amp;START_MAXIMIZED=FALSE&amp;VAR:CALENDAR=US&amp;VAR:SYMBOL=650432&amp;VAR:INDEX=0"}</definedName>
    <definedName name="_56_0_Table1_" hidden="1">#REF!</definedName>
    <definedName name="_57__123Graph_DCHART_16" hidden="1">#REF!</definedName>
    <definedName name="_57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58__123Graph_LBL_BCHART_3" hidden="1">#REF!</definedName>
    <definedName name="_58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58_0_Table2_" hidden="1">#REF!</definedName>
    <definedName name="_59__123Graph_ACHART_4" hidden="1">#REF!</definedName>
    <definedName name="_59__123Graph_LBL_CCHART_2" hidden="1">#REF!</definedName>
    <definedName name="_59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6__123Graph_ACHART_15" hidden="1">#REF!</definedName>
    <definedName name="_6__123Graph_ACHART_19" hidden="1">#REF!</definedName>
    <definedName name="_6__123Graph_ACHART_1A" hidden="1">#REF!</definedName>
    <definedName name="_6__123Graph_ACHART_2" hidden="1">#REF!</definedName>
    <definedName name="_6__123Graph_ACHART_2A" hidden="1">#REF!</definedName>
    <definedName name="_6__123Graph_ACHART_4" hidden="1">#REF!</definedName>
    <definedName name="_6__123Graph_ACHART_5" hidden="1">#REF!</definedName>
    <definedName name="_6__123Graph_AGROWTH_9" hidden="1">#REF!</definedName>
    <definedName name="_6__123Graph_BCHART_1" hidden="1">#REF!</definedName>
    <definedName name="_6__123Graph_BCHART_1A" hidden="1">#REF!</definedName>
    <definedName name="_6__123Graph_BCHART_2" hidden="1">#REF!</definedName>
    <definedName name="_6__123Graph_CCHART_2" hidden="1">#REF!</definedName>
    <definedName name="_6__123Graph_FCHART_28" hidden="1">#REF!</definedName>
    <definedName name="_6__123Graph_LBL_ACHART_1" hidden="1">#REF!</definedName>
    <definedName name="_6__FDSAUDITLINK__" hidden="1">{"fdsup://directions/FAT Viewer?action=UPDATE&amp;creator=factset&amp;DYN_ARGS=TRUE&amp;DOC_NAME=FAT:FQL_AUDITING_CLIENT_TEMPLATE.FAT&amp;display_string=Audit&amp;VAR:KEY=IDMNGFAXQB&amp;VAR:QUERY=RkZfRUJJVERBX0lCKCdDQUwnLDIwMDksLCwsJ1VTRCcp&amp;WINDOW=FIRST_POPUP&amp;HEIGHT=450&amp;WIDTH=450&amp;","START_MAXIMIZED=FALSE&amp;VAR:CALENDAR=US&amp;VAR:SYMBOL=610579&amp;VAR:INDEX=0"}</definedName>
    <definedName name="_6_0_0_S" hidden="1">#REF!</definedName>
    <definedName name="_60__123Graph_DCHART_17" hidden="1">#REF!</definedName>
    <definedName name="_60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61__FDSAUDITLINK__" hidden="1">{"fdsup://directions/FAT Viewer?action=UPDATE&amp;creator=factset&amp;DYN_ARGS=TRUE&amp;DOC_NAME=FAT:FQL_AUDITING_CLIENT_TEMPLATE.FAT&amp;display_string=Audit&amp;VAR:KEY=QVOTMVOFAN&amp;VAR:QUERY=RkZfRU5UUlBSX1ZBTF9EQUlMWSg0MDI0MiwsLCwnVVNEJywnRElMJyk=&amp;WINDOW=FIRST_POPUP&amp;HEIGHT=45","0&amp;WIDTH=450&amp;START_MAXIMIZED=FALSE&amp;VAR:CALENDAR=US&amp;VAR:SYMBOL=B1H508&amp;VAR:INDEX=0"}</definedName>
    <definedName name="_62__FDSAUDITLINK__" hidden="1">{"fdsup://directions/FAT Viewer?action=UPDATE&amp;creator=factset&amp;DYN_ARGS=TRUE&amp;DOC_NAME=FAT:FQL_AUDITING_CLIENT_TEMPLATE.FAT&amp;display_string=Audit&amp;VAR:KEY=OXKBUPEVWZ&amp;VAR:QUERY=RkZfRUJJVERBX0lCKCdDQUwnLDIwMDksLCwsJ1VTRCcp&amp;WINDOW=FIRST_POPUP&amp;HEIGHT=450&amp;WIDTH=450&amp;","START_MAXIMIZED=FALSE&amp;VAR:CALENDAR=US&amp;VAR:SYMBOL=B0ZSH5&amp;VAR:INDEX=0"}</definedName>
    <definedName name="_63__123Graph_ACHART_21" hidden="1">#REF!</definedName>
    <definedName name="_63__123Graph_DCHART_22" hidden="1">#REF!</definedName>
    <definedName name="_63__123Graph_LBL_CCHART_3" hidden="1">#REF!</definedName>
    <definedName name="_63__FDSAUDITLINK__" hidden="1">{"fdsup://directions/FAT Viewer?action=UPDATE&amp;creator=factset&amp;DYN_ARGS=TRUE&amp;DOC_NAME=FAT:FQL_AUDITING_CLIENT_TEMPLATE.FAT&amp;display_string=Audit&amp;VAR:KEY=EHMBMXQHMZ&amp;VAR:QUERY=RkZfRUJJVERBX0lCKCdDQUwnLDIwMDksLCwsJ1VTRCcp&amp;WINDOW=FIRST_POPUP&amp;HEIGHT=450&amp;WIDTH=450&amp;","START_MAXIMIZED=FALSE&amp;VAR:CALENDAR=US&amp;VAR:SYMBOL=B1H508&amp;VAR:INDEX=0"}</definedName>
    <definedName name="_64__123Graph_DCHART_1" hidden="1">#REF!</definedName>
    <definedName name="_64__FDSAUDITLINK__" hidden="1">{"fdsup://directions/FAT Viewer?action=UPDATE&amp;creator=factset&amp;DYN_ARGS=TRUE&amp;DOC_NAME=FAT:FQL_AUDITING_CLIENT_TEMPLATE.FAT&amp;display_string=Audit&amp;VAR:KEY=ONSFQDEZIB&amp;VAR:QUERY=RkZfRUJJVERBX0lCKCdDQUwnLDIwMDksLCwsJ1VTRCcp&amp;WINDOW=FIRST_POPUP&amp;HEIGHT=450&amp;WIDTH=450&amp;","START_MAXIMIZED=FALSE&amp;VAR:CALENDAR=US&amp;VAR:SYMBOL=B1VRCG&amp;VAR:INDEX=0"}</definedName>
    <definedName name="_65__FDSAUDITLINK__" hidden="1">{"fdsup://directions/FAT Viewer?action=UPDATE&amp;creator=factset&amp;DYN_ARGS=TRUE&amp;DOC_NAME=FAT:FQL_AUDITING_CLIENT_TEMPLATE.FAT&amp;display_string=Audit&amp;VAR:KEY=KVODGPMXKV&amp;VAR:QUERY=RkZfRU5UUlBSX1ZBTF9EQUlMWSg0MDI0MiwsLCwnVVNEJywnRElMJyk=&amp;WINDOW=FIRST_POPUP&amp;HEIGHT=45","0&amp;WIDTH=450&amp;START_MAXIMIZED=FALSE&amp;VAR:CALENDAR=US&amp;VAR:SYMBOL=B1VRCG&amp;VAR:INDEX=0"}</definedName>
    <definedName name="_66__123Graph_ACHART_6" hidden="1">#REF!</definedName>
    <definedName name="_66__123Graph_ECHART_15" hidden="1">#REF!</definedName>
    <definedName name="_66__FDSAUDITLINK__" hidden="1">{"fdsup://directions/FAT Viewer?action=UPDATE&amp;creator=factset&amp;DYN_ARGS=TRUE&amp;DOC_NAME=FAT:FQL_AUDITING_CLIENT_TEMPLATE.FAT&amp;display_string=Audit&amp;VAR:KEY=QJARQRUDEH&amp;VAR:QUERY=RkZfRUJJVERBX0lCKCdDQUwnLDIwMDksLCwsJ1VTRCcp&amp;WINDOW=FIRST_POPUP&amp;HEIGHT=450&amp;WIDTH=450&amp;","START_MAXIMIZED=FALSE&amp;VAR:CALENDAR=US&amp;VAR:SYMBOL=600030&amp;VAR:INDEX=0"}</definedName>
    <definedName name="_67__123Graph_BCHART_1" hidden="1">#REF!</definedName>
    <definedName name="_67__FDSAUDITLINK__" hidden="1">{"fdsup://directions/FAT Viewer?action=UPDATE&amp;creator=factset&amp;DYN_ARGS=TRUE&amp;DOC_NAME=FAT:FQL_AUDITING_CLIENT_TEMPLATE.FAT&amp;display_string=Audit&amp;VAR:KEY=SHKZGPYRAD&amp;VAR:QUERY=RkZfRU5UUlBSX1ZBTF9EQUlMWSg0MDI0MiwsLCwnVVNEJywnRElMJyk=&amp;WINDOW=FIRST_POPUP&amp;HEIGHT=45","0&amp;WIDTH=450&amp;START_MAXIMIZED=FALSE&amp;VAR:CALENDAR=US&amp;VAR:SYMBOL=600030&amp;VAR:INDEX=0"}</definedName>
    <definedName name="_68__123Graph_LBL_CCHART_3" hidden="1">#REF!</definedName>
    <definedName name="_68__FDSAUDITLINK__" hidden="1">{"fdsup://directions/FAT Viewer?action=UPDATE&amp;creator=factset&amp;DYN_ARGS=TRUE&amp;DOC_NAME=FAT:FQL_AUDITING_CLIENT_TEMPLATE.FAT&amp;display_string=Audit&amp;VAR:KEY=WDEJKFYBMT&amp;VAR:QUERY=RkZfRUJJVERBX0lCKCdDQUwnLDIwMDksLCwsJ1VTRCcp&amp;WINDOW=FIRST_POPUP&amp;HEIGHT=450&amp;WIDTH=450&amp;","START_MAXIMIZED=FALSE&amp;VAR:CALENDAR=US&amp;VAR:SYMBOL=610989&amp;VAR:INDEX=0"}</definedName>
    <definedName name="_69__123Graph_ECHART_16" hidden="1">#REF!</definedName>
    <definedName name="_69__FDSAUDITLINK__" hidden="1">{"fdsup://directions/FAT Viewer?action=UPDATE&amp;creator=factset&amp;DYN_ARGS=TRUE&amp;DOC_NAME=FAT:FQL_AUDITING_CLIENT_TEMPLATE.FAT&amp;display_string=Audit&amp;VAR:KEY=SJEHMVUTUJ&amp;VAR:QUERY=RkZfRU5UUlBSX1ZBTF9EQUlMWSg0MDI0MiwsLCwnVVNEJywnRElMJyk=&amp;WINDOW=FIRST_POPUP&amp;HEIGHT=45","0&amp;WIDTH=450&amp;START_MAXIMIZED=FALSE&amp;VAR:CALENDAR=US&amp;VAR:SYMBOL=610989&amp;VAR:INDEX=0"}</definedName>
    <definedName name="_7__123Graph_ACHART_21" hidden="1">#REF!</definedName>
    <definedName name="_7__123Graph_ACHART_5" hidden="1">#REF!</definedName>
    <definedName name="_7__123Graph_ACHART_6" hidden="1">#REF!</definedName>
    <definedName name="_7__123Graph_BCHART_2" hidden="1">#REF!</definedName>
    <definedName name="_7__123Graph_BCHART_3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CXATOXCJOV&amp;VAR:QUERY=RkZfRU5UUlBSX1ZBTF9EQUlMWSg0MDI0MiwsLCwnVVNEJywnRElMJyk=&amp;WINDOW=FIRST_POPUP&amp;HEIGHT=45","0&amp;WIDTH=450&amp;START_MAXIMIZED=FALSE&amp;VAR:CALENDAR=US&amp;VAR:SYMBOL=610579&amp;VAR:INDEX=0"}</definedName>
    <definedName name="_70__FDSAUDITLINK__" hidden="1">{"fdsup://directions/FAT Viewer?action=UPDATE&amp;creator=factset&amp;DYN_ARGS=TRUE&amp;DOC_NAME=FAT:FQL_AUDITING_CLIENT_TEMPLATE.FAT&amp;display_string=Audit&amp;VAR:KEY=UJSFKRAFAX&amp;VAR:QUERY=RkZfRUJJVERBX0lCKCdDQUwnLDIwMDksLCwsJ1VTRCcp&amp;WINDOW=FIRST_POPUP&amp;HEIGHT=450&amp;WIDTH=450&amp;","START_MAXIMIZED=FALSE&amp;VAR:CALENDAR=US&amp;VAR:SYMBOL=672529&amp;VAR:INDEX=0"}</definedName>
    <definedName name="_70_0_S" hidden="1">#REF!</definedName>
    <definedName name="_71__FDSAUDITLINK__" hidden="1">{"fdsup://directions/FAT Viewer?action=UPDATE&amp;creator=factset&amp;DYN_ARGS=TRUE&amp;DOC_NAME=FAT:FQL_AUDITING_CLIENT_TEMPLATE.FAT&amp;display_string=Audit&amp;VAR:KEY=UZSZCXIVQZ&amp;VAR:QUERY=RkZfRU5UUlBSX1ZBTF9EQUlMWSg0MDI0MiwsLCwnVVNEJywnRElMJyk=&amp;WINDOW=FIRST_POPUP&amp;HEIGHT=45","0&amp;WIDTH=450&amp;START_MAXIMIZED=FALSE&amp;VAR:CALENDAR=US&amp;VAR:SYMBOL=672529&amp;VAR:INDEX=0"}</definedName>
    <definedName name="_72__123Graph_ASEG_PIE" hidden="1">#REF!</definedName>
    <definedName name="_72__123Graph_ECHART_17" hidden="1">#REF!</definedName>
    <definedName name="_72__FDSAUDITLINK__" hidden="1">{"fdsup://directions/FAT Viewer?action=UPDATE&amp;creator=factset&amp;DYN_ARGS=TRUE&amp;DOC_NAME=FAT:FQL_AUDITING_CLIENT_TEMPLATE.FAT&amp;display_string=Audit&amp;VAR:KEY=MXYZWTSLEL&amp;VAR:QUERY=RkZfRUJJVERBX0lCKCdDQUwnLDIwMDksLCwsJ1VTRCcp&amp;WINDOW=FIRST_POPUP&amp;HEIGHT=450&amp;WIDTH=450&amp;","START_MAXIMIZED=FALSE&amp;VAR:CALENDAR=US&amp;VAR:SYMBOL=642539&amp;VAR:INDEX=0"}</definedName>
    <definedName name="_73__FDSAUDITLINK__" hidden="1">{"fdsup://directions/FAT Viewer?action=UPDATE&amp;creator=factset&amp;DYN_ARGS=TRUE&amp;DOC_NAME=FAT:FQL_AUDITING_CLIENT_TEMPLATE.FAT&amp;display_string=Audit&amp;VAR:KEY=MXSHIJCBUD&amp;VAR:QUERY=RkZfRU5UUlBSX1ZBTF9EQUlMWSg0MDI0MiwsLCwnVVNEJywnRElMJyk=&amp;WINDOW=FIRST_POPUP&amp;HEIGHT=45","0&amp;WIDTH=450&amp;START_MAXIMIZED=FALSE&amp;VAR:CALENDAR=US&amp;VAR:SYMBOL=642539&amp;VAR:INDEX=0"}</definedName>
    <definedName name="_74__123Graph_LBL_ACHART_1" hidden="1">#REF!</definedName>
    <definedName name="_74__FDSAUDITLINK__" hidden="1">{"fdsup://directions/FAT Viewer?action=UPDATE&amp;creator=factset&amp;DYN_ARGS=TRUE&amp;DOC_NAME=FAT:FQL_AUDITING_CLIENT_TEMPLATE.FAT&amp;display_string=Audit&amp;VAR:KEY=CXYHEJMREF&amp;VAR:QUERY=RkZfRUJJVERBX0lCKCdDQUwnLDIwMDksLCwsJ1VTRCcp&amp;WINDOW=FIRST_POPUP&amp;HEIGHT=450&amp;WIDTH=450&amp;","START_MAXIMIZED=FALSE&amp;VAR:CALENDAR=US&amp;VAR:SYMBOL=B1JNK8&amp;VAR:INDEX=0"}</definedName>
    <definedName name="_75__123Graph_BCHART_2" hidden="1">#REF!</definedName>
    <definedName name="_75__123Graph_ECHART_22" hidden="1">#REF!</definedName>
    <definedName name="_75__123Graph_LBL_ACHART_3" hidden="1">#REF!</definedName>
    <definedName name="_75__FDSAUDITLINK__" hidden="1">{"fdsup://directions/FAT Viewer?action=UPDATE&amp;creator=factset&amp;DYN_ARGS=TRUE&amp;DOC_NAME=FAT:FQL_AUDITING_CLIENT_TEMPLATE.FAT&amp;display_string=Audit&amp;VAR:KEY=EHIVMZAFGB&amp;VAR:QUERY=RkZfRU5UUlBSX1ZBTF9EQUlMWSg0MDI0MiwsLCwnVVNEJywnRElMJyk=&amp;WINDOW=FIRST_POPUP&amp;HEIGHT=45","0&amp;WIDTH=450&amp;START_MAXIMIZED=FALSE&amp;VAR:CALENDAR=US&amp;VAR:SYMBOL=B1JNK8&amp;VAR:INDEX=0"}</definedName>
    <definedName name="_76__FDSAUDITLINK__" hidden="1">{"fdsup://directions/FAT Viewer?action=UPDATE&amp;creator=factset&amp;DYN_ARGS=TRUE&amp;DOC_NAME=FAT:FQL_AUDITING_CLIENT_TEMPLATE.FAT&amp;display_string=Audit&amp;VAR:KEY=OVIVMZOVCP&amp;VAR:QUERY=RkZfRUJJVERBX0lCKCdDQUwnLDIwMDksLCwsJ1VTRCcp&amp;WINDOW=FIRST_POPUP&amp;HEIGHT=450&amp;WIDTH=450&amp;","START_MAXIMIZED=FALSE&amp;VAR:CALENDAR=US&amp;VAR:SYMBOL=B09N7M&amp;VAR:INDEX=0"}</definedName>
    <definedName name="_77__123Graph_ACHART_7" hidden="1">#REF!</definedName>
    <definedName name="_77__FDSAUDITLINK__" hidden="1">{"fdsup://directions/FAT Viewer?action=UPDATE&amp;creator=factset&amp;DYN_ARGS=TRUE&amp;DOC_NAME=FAT:FQL_AUDITING_CLIENT_TEMPLATE.FAT&amp;display_string=Audit&amp;VAR:KEY=MLSVYZWRCH&amp;VAR:QUERY=RkZfRU5UUlBSX1ZBTF9EQUlMWSg0MDI0MiwsLCwnVVNEJywnRElMJyk=&amp;WINDOW=FIRST_POPUP&amp;HEIGHT=45","0&amp;WIDTH=450&amp;START_MAXIMIZED=FALSE&amp;VAR:CALENDAR=US&amp;VAR:SYMBOL=B09N7M&amp;VAR:INDEX=0"}</definedName>
    <definedName name="_77_0_S" hidden="1">#REF!</definedName>
    <definedName name="_78__123Graph_FCHART_15" hidden="1">#REF!</definedName>
    <definedName name="_78__FDSAUDITLINK__" hidden="1">{"fdsup://Directions/FactSet Auditing Viewer?action=AUDIT_VALUE&amp;DB=129&amp;ID1=604348&amp;VALUEID=03426&amp;SDATE=2008&amp;PERIODTYPE=ANN_STD&amp;window=popup_no_bar&amp;width=385&amp;height=120&amp;START_MAXIMIZED=FALSE&amp;creator=factset&amp;display_string=Audit"}</definedName>
    <definedName name="_79__FDSAUDITLINK__" hidden="1">{"fdsup://directions/FAT Viewer?action=UPDATE&amp;creator=factset&amp;DYN_ARGS=TRUE&amp;DOC_NAME=FAT:FQL_AUDITING_CLIENT_TEMPLATE.FAT&amp;display_string=Audit&amp;VAR:KEY=ALIZMZKVMP&amp;VAR:QUERY=RkZfRU5UUlBSX1ZBTF9EQUlMWSg0MDI0MiwsLCwnVVNEJywnRElMJyk=&amp;WINDOW=FIRST_POPUP&amp;HEIGHT=45","0&amp;WIDTH=450&amp;START_MAXIMIZED=FALSE&amp;VAR:CALENDAR=US&amp;VAR:SYMBOL=70454910&amp;VAR:INDEX=0"}</definedName>
    <definedName name="_8__123Graph_ACHART_1" hidden="1">#REF!</definedName>
    <definedName name="_8__123Graph_ACHART_6" hidden="1">#REF!</definedName>
    <definedName name="_8__123Graph_ACHART_7" hidden="1">#REF!</definedName>
    <definedName name="_8__123Graph_ASEG_PIE" hidden="1">#REF!</definedName>
    <definedName name="_8__123Graph_BCHART_2A" hidden="1">#REF!</definedName>
    <definedName name="_8__123Graph_CCHART_1" hidden="1">#REF!</definedName>
    <definedName name="_8__123Graph_DCHART_2" hidden="1">#REF!</definedName>
    <definedName name="_8__123Graph_LBL_ACHART_3I" hidden="1">#REF!</definedName>
    <definedName name="_8__FDSAUDITLINK__" hidden="1">{"fdsup://directions/FAT Viewer?action=UPDATE&amp;creator=factset&amp;DYN_ARGS=TRUE&amp;DOC_NAME=FAT:FQL_AUDITING_CLIENT_TEMPLATE.FAT&amp;display_string=Audit&amp;VAR:KEY=EZUHWRCBOF&amp;VAR:QUERY=RkZfRUJJVERBX0lCKCdDQUwnLDIwMDksLCwsJ1VTRCcp&amp;WINDOW=FIRST_POPUP&amp;HEIGHT=450&amp;WIDTH=450&amp;","START_MAXIMIZED=FALSE&amp;VAR:CALENDAR=US&amp;VAR:SYMBOL=620337&amp;VAR:INDEX=0"}</definedName>
    <definedName name="_8_0_0__123Grap" hidden="1">#REF!</definedName>
    <definedName name="_80__FDSAUDITLINK__" hidden="1">{"fdsup://directions/FAT Viewer?action=UPDATE&amp;creator=factset&amp;DYN_ARGS=TRUE&amp;DOC_NAME=FAT:FQL_AUDITING_CLIENT_TEMPLATE.FAT&amp;display_string=Audit&amp;VAR:KEY=KVIZONYBQL&amp;VAR:QUERY=RkZfRUJJVERBX0lCKCdDQUwnLDIwMDksLCwsJ1VTRCcp&amp;WINDOW=FIRST_POPUP&amp;HEIGHT=450&amp;WIDTH=450&amp;","START_MAXIMIZED=FALSE&amp;VAR:CALENDAR=US&amp;VAR:SYMBOL=01381710&amp;VAR:INDEX=0"}</definedName>
    <definedName name="_81__123Graph_BCHART_15" hidden="1">#REF!</definedName>
    <definedName name="_81__123Graph_FCHART_16" hidden="1">#REF!</definedName>
    <definedName name="_81__FDSAUDITLINK__" hidden="1">{"fdsup://directions/FAT Viewer?action=UPDATE&amp;creator=factset&amp;DYN_ARGS=TRUE&amp;DOC_NAME=FAT:FQL_AUDITING_CLIENT_TEMPLATE.FAT&amp;display_string=Audit&amp;VAR:KEY=WDIPMPONKN&amp;VAR:QUERY=RkZfRU5UUlBSX1ZBTF9EQUlMWSg0MDI0MiwsLCwnVVNEJywnRElMJyk=&amp;WINDOW=FIRST_POPUP&amp;HEIGHT=45","0&amp;WIDTH=450&amp;START_MAXIMIZED=FALSE&amp;VAR:CALENDAR=US&amp;VAR:SYMBOL=01381710&amp;VAR:INDEX=0"}</definedName>
    <definedName name="_82__FDSAUDITLINK__" hidden="1">{"fdsup://directions/FAT Viewer?action=UPDATE&amp;creator=factset&amp;DYN_ARGS=TRUE&amp;DOC_NAME=FAT:FQL_AUDITING_CLIENT_TEMPLATE.FAT&amp;display_string=Audit&amp;VAR:KEY=SFSDQLCZQV&amp;VAR:QUERY=RkZfRUJJVERBX0lCKCdDQUwnLDIwMDksLCwsJ1VTRCcp&amp;WINDOW=FIRST_POPUP&amp;HEIGHT=450&amp;WIDTH=450&amp;","START_MAXIMIZED=FALSE&amp;VAR:CALENDAR=US&amp;VAR:SYMBOL=B1G426&amp;VAR:INDEX=0"}</definedName>
    <definedName name="_83__123Graph_BCHART_3" hidden="1">#REF!</definedName>
    <definedName name="_83__FDSAUDITLINK__" hidden="1">{"fdsup://directions/FAT Viewer?action=UPDATE&amp;creator=factset&amp;DYN_ARGS=TRUE&amp;DOC_NAME=FAT:FQL_AUDITING_CLIENT_TEMPLATE.FAT&amp;display_string=Audit&amp;VAR:KEY=MZYVMTAFUT&amp;VAR:QUERY=RkZfRU5UUlBSX1ZBTF9EQUlMWSg0MDI0MiwsLCwnVVNEJywnRElMJyk=&amp;WINDOW=FIRST_POPUP&amp;HEIGHT=45","0&amp;WIDTH=450&amp;START_MAXIMIZED=FALSE&amp;VAR:CALENDAR=US&amp;VAR:SYMBOL=B1G426&amp;VAR:INDEX=0"}</definedName>
    <definedName name="_84__123Graph_FCHART_17" hidden="1">#REF!</definedName>
    <definedName name="_84__FDSAUDITLINK__" hidden="1">{"fdsup://directions/FAT Viewer?action=UPDATE&amp;creator=factset&amp;DYN_ARGS=TRUE&amp;DOC_NAME=FAT:FQL_AUDITING_CLIENT_TEMPLATE.FAT&amp;display_string=Audit&amp;VAR:KEY=CLMPGRAFIV&amp;VAR:QUERY=RkZfRUJJVERBX0lCKCdDQUwnLDIwMDksLCwsJ1VTRCcp&amp;WINDOW=FIRST_POPUP&amp;HEIGHT=450&amp;WIDTH=450&amp;","START_MAXIMIZED=FALSE&amp;VAR:CALENDAR=US&amp;VAR:SYMBOL=B29BCK&amp;VAR:INDEX=0"}</definedName>
    <definedName name="_85__123Graph_LBL_DCHART_1" hidden="1">#REF!</definedName>
    <definedName name="_85__FDSAUDITLINK__" hidden="1">{"fdsup://directions/FAT Viewer?action=UPDATE&amp;creator=factset&amp;DYN_ARGS=TRUE&amp;DOC_NAME=FAT:FQL_AUDITING_CLIENT_TEMPLATE.FAT&amp;display_string=Audit&amp;VAR:KEY=ONCXUBIDAL&amp;VAR:QUERY=RkZfRU5UUlBSX1ZBTF9EQUlMWSg0MDI0MiwsLCwnVVNEJywnRElMJyk=&amp;WINDOW=FIRST_POPUP&amp;HEIGHT=45","0&amp;WIDTH=450&amp;START_MAXIMIZED=FALSE&amp;VAR:CALENDAR=US&amp;VAR:SYMBOL=B29BCK&amp;VAR:INDEX=0"}</definedName>
    <definedName name="_86__FDSAUDITLINK__" hidden="1">{"fdsup://directions/FAT Viewer?action=UPDATE&amp;creator=factset&amp;DYN_ARGS=TRUE&amp;DOC_NAME=FAT:FQL_AUDITING_CLIENT_TEMPLATE.FAT&amp;display_string=Audit&amp;VAR:KEY=CPINQXQDOF&amp;VAR:QUERY=RkZfRUJJVERBX0lCKCdDQUwnLDIwMDksLCwsJ1VTRCcp&amp;WINDOW=FIRST_POPUP&amp;HEIGHT=450&amp;WIDTH=450&amp;","START_MAXIMIZED=FALSE&amp;VAR:CALENDAR=US&amp;VAR:SYMBOL=B019KX&amp;VAR:INDEX=0"}</definedName>
    <definedName name="_87__123Graph_FCHART_22" hidden="1">#REF!</definedName>
    <definedName name="_87__FDSAUDITLINK__" hidden="1">{"fdsup://directions/FAT Viewer?action=UPDATE&amp;creator=factset&amp;DYN_ARGS=TRUE&amp;DOC_NAME=FAT:FQL_AUDITING_CLIENT_TEMPLATE.FAT&amp;display_string=Audit&amp;VAR:KEY=GBWNGBUNCZ&amp;VAR:QUERY=RkZfRUJJVERBX0lCKCdDQUwnLDIwMDksLCwsJ1VTRCcp&amp;WINDOW=FIRST_POPUP&amp;HEIGHT=450&amp;WIDTH=450&amp;","START_MAXIMIZED=FALSE&amp;VAR:CALENDAR=US&amp;VAR:SYMBOL=84265V10&amp;VAR:INDEX=0"}</definedName>
    <definedName name="_88__123Graph_BCHART_1" hidden="1">#REF!</definedName>
    <definedName name="_88__FDSAUDITLINK__" hidden="1">{"fdsup://directions/FAT Viewer?action=UPDATE&amp;creator=factset&amp;DYN_ARGS=TRUE&amp;DOC_NAME=FAT:FQL_AUDITING_CLIENT_TEMPLATE.FAT&amp;display_string=Audit&amp;VAR:KEY=QTEFEBGPSL&amp;VAR:QUERY=RkZfRUJJVERBX0lCKCdDQUwnLDIwMDksLCwsJ1VTRCcp&amp;WINDOW=FIRST_POPUP&amp;HEIGHT=450&amp;WIDTH=450&amp;","START_MAXIMIZED=FALSE&amp;VAR:CALENDAR=US&amp;VAR:SYMBOL=35671D85&amp;VAR:INDEX=0"}</definedName>
    <definedName name="_89__FDSAUDITLINK__" hidden="1">{"fdsup://directions/FAT Viewer?action=UPDATE&amp;creator=factset&amp;DYN_ARGS=TRUE&amp;DOC_NAME=FAT:FQL_AUDITING_CLIENT_TEMPLATE.FAT&amp;display_string=Audit&amp;VAR:KEY=SDCXMZYZYB&amp;VAR:QUERY=RkZfRUJJVERBX0lCKCdDQUwnLDIwMDksLCwsJ1VTRCcp&amp;WINDOW=FIRST_POPUP&amp;HEIGHT=450&amp;WIDTH=450&amp;","START_MAXIMIZED=FALSE&amp;VAR:CALENDAR=US&amp;VAR:SYMBOL=604348&amp;VAR:INDEX=0"}</definedName>
    <definedName name="_9__123Graph_ACHART_12" hidden="1">#REF!</definedName>
    <definedName name="_9__123Graph_ACHART_16" hidden="1">#REF!</definedName>
    <definedName name="_9__123Graph_ACHART_2" hidden="1">#REF!</definedName>
    <definedName name="_9__123Graph_ACHART_7" hidden="1">#REF!</definedName>
    <definedName name="_9__123Graph_BCHART_1" hidden="1">#REF!</definedName>
    <definedName name="_9__123Graph_BCHART_15" hidden="1">#REF!</definedName>
    <definedName name="_9__123Graph_BCHART_1A" hidden="1">#REF!</definedName>
    <definedName name="_9__123Graph_BCHART_3" hidden="1">#REF!</definedName>
    <definedName name="_9__123Graph_BCHART_4" hidden="1">#REF!</definedName>
    <definedName name="_9__123Graph_BGROWTH_9" hidden="1">#REF!</definedName>
    <definedName name="_9__123Graph_CCHART_2" hidden="1">#REF!</definedName>
    <definedName name="_9__123Graph_ECHART_1" hidden="1">#REF!</definedName>
    <definedName name="_9__FDSAUDITLINK__" hidden="1">{"fdsup://directions/FAT Viewer?action=UPDATE&amp;creator=factset&amp;DYN_ARGS=TRUE&amp;DOC_NAME=FAT:FQL_AUDITING_CLIENT_TEMPLATE.FAT&amp;display_string=Audit&amp;VAR:KEY=EDQJQJKLIF&amp;VAR:QUERY=RkZfRU5UUlBSX1ZBTF9EQUlMWSg0MDI0MiwsLCwnVVNEJywnRElMJyk=&amp;WINDOW=FIRST_POPUP&amp;HEIGHT=45","0&amp;WIDTH=450&amp;START_MAXIMIZED=FALSE&amp;VAR:CALENDAR=US&amp;VAR:SYMBOL=620337&amp;VAR:INDEX=0"}</definedName>
    <definedName name="_90__123Graph_BCHART_16" hidden="1">#REF!</definedName>
    <definedName name="_90__123Graph_XCHART_15" hidden="1">#REF!</definedName>
    <definedName name="_90__FDSAUDITLINK__" hidden="1">{"fdsup://Directions/FactSet Auditing Viewer?action=AUDIT_VALUE&amp;DB=129&amp;ID1=604348&amp;VALUEID=02001&amp;SDATE=2008&amp;PERIODTYPE=ANN_STD&amp;window=popup_no_bar&amp;width=385&amp;height=120&amp;START_MAXIMIZED=FALSE&amp;creator=factset&amp;display_string=Audit"}</definedName>
    <definedName name="_91__123Graph_LBL_ACHART_1" hidden="1">#REF!</definedName>
    <definedName name="_91__FDSAUDITLINK__" hidden="1">{"fdsup://directions/FAT Viewer?action=UPDATE&amp;creator=factset&amp;DYN_ARGS=TRUE&amp;DOC_NAME=FAT:FQL_AUDITING_CLIENT_TEMPLATE.FAT&amp;display_string=Audit&amp;VAR:KEY=IBUXKJGJCN&amp;VAR:QUERY=RkZfRU5UUlBSX1ZBTF9EQUlMWSg0MDI0MiwsLCwnVVNEJywnRElMJyk=&amp;WINDOW=FIRST_POPUP&amp;HEIGHT=45","0&amp;WIDTH=450&amp;START_MAXIMIZED=FALSE&amp;VAR:CALENDAR=US&amp;VAR:SYMBOL=604348&amp;VAR:INDEX=0"}</definedName>
    <definedName name="_92__FDSAUDITLINK__" hidden="1">{"fdsup://directions/FAT Viewer?action=UPDATE&amp;creator=factset&amp;DYN_ARGS=TRUE&amp;DOC_NAME=FAT:FQL_AUDITING_CLIENT_TEMPLATE.FAT&amp;display_string=Audit&amp;VAR:KEY=ORCHORYFWP&amp;VAR:QUERY=RkZfRUJJVERBX0lCKCdDQUwnLDIwMDksLCwsJ1VTRCcp&amp;WINDOW=FIRST_POPUP&amp;HEIGHT=450&amp;WIDTH=450&amp;","START_MAXIMIZED=FALSE&amp;VAR:CALENDAR=US&amp;VAR:SYMBOL=613944&amp;VAR:INDEX=0"}</definedName>
    <definedName name="_92_0_Table1_" hidden="1">#REF!</definedName>
    <definedName name="_93__123Graph_XCHART_16" hidden="1">#REF!</definedName>
    <definedName name="_93__FDSAUDITLINK__" hidden="1">{"fdsup://directions/FAT Viewer?action=UPDATE&amp;creator=factset&amp;DYN_ARGS=TRUE&amp;DOC_NAME=FAT:FQL_AUDITING_CLIENT_TEMPLATE.FAT&amp;display_string=Audit&amp;VAR:KEY=MPCJKXEHKN&amp;VAR:QUERY=RkZfRU5UUlBSX1ZBTF9EQUlMWSg0MDI0MiwsLCwnVVNEJywnRElMJyk=&amp;WINDOW=FIRST_POPUP&amp;HEIGHT=45","0&amp;WIDTH=450&amp;START_MAXIMIZED=FALSE&amp;VAR:CALENDAR=US&amp;VAR:SYMBOL=613944&amp;VAR:INDEX=0"}</definedName>
    <definedName name="_94__FDSAUDITLINK__" hidden="1">{"fdsup://directions/FAT Viewer?action=UPDATE&amp;creator=factset&amp;DYN_ARGS=TRUE&amp;DOC_NAME=FAT:FQL_AUDITING_CLIENT_TEMPLATE.FAT&amp;display_string=Audit&amp;VAR:KEY=MZMPOVYPOT&amp;VAR:QUERY=RkZfRUJJVERBX0lCKCdDQUwnLDIwMDksLCwsJ1VTRCcp&amp;WINDOW=FIRST_POPUP&amp;HEIGHT=450&amp;WIDTH=450&amp;","START_MAXIMIZED=FALSE&amp;VAR:CALENDAR=US&amp;VAR:SYMBOL=B0GWF4&amp;VAR:INDEX=0"}</definedName>
    <definedName name="_94_0_Table2_" hidden="1">#REF!</definedName>
    <definedName name="_95__123Graph_X_FABP_L.WK1_FAB" hidden="1">#REF!</definedName>
    <definedName name="_95__FDSAUDITLINK__" hidden="1">{"fdsup://directions/FAT Viewer?action=UPDATE&amp;creator=factset&amp;DYN_ARGS=TRUE&amp;DOC_NAME=FAT:FQL_AUDITING_CLIENT_TEMPLATE.FAT&amp;display_string=Audit&amp;VAR:KEY=OTIPUXQVWX&amp;VAR:QUERY=RkZfRU5UUlBSX1ZBTF9EQUlMWSg0MDI0MiwsLCwnVVNEJywnRElMJyk=&amp;WINDOW=FIRST_POPUP&amp;HEIGHT=45","0&amp;WIDTH=450&amp;START_MAXIMIZED=FALSE&amp;VAR:CALENDAR=US&amp;VAR:SYMBOL=B0GWF4&amp;VAR:INDEX=0"}</definedName>
    <definedName name="_96__123Graph_XCHART_17" hidden="1">#REF!</definedName>
    <definedName name="_96__FDSAUDITLINK__" hidden="1">{"fdsup://directions/FAT Viewer?action=UPDATE&amp;creator=factset&amp;DYN_ARGS=TRUE&amp;DOC_NAME=FAT:FQL_AUDITING_CLIENT_TEMPLATE.FAT&amp;display_string=Audit&amp;VAR:KEY=OFSDYBCHEJ&amp;VAR:QUERY=RkZfRUJJVERBX0lCKCdDQUwnLDIwMDksLCwsJ1VTRCcp&amp;WINDOW=FIRST_POPUP&amp;HEIGHT=450&amp;WIDTH=450&amp;","START_MAXIMIZED=FALSE&amp;VAR:CALENDAR=US&amp;VAR:SYMBOL=B11HK3&amp;VAR:INDEX=0"}</definedName>
    <definedName name="_97__FDSAUDITLINK__" hidden="1">{"fdsup://directions/FAT Viewer?action=UPDATE&amp;creator=factset&amp;DYN_ARGS=TRUE&amp;DOC_NAME=FAT:FQL_AUDITING_CLIENT_TEMPLATE.FAT&amp;display_string=Audit&amp;VAR:KEY=MDELEFOVAR&amp;VAR:QUERY=RkZfRU5UUlBSX1ZBTF9EQUlMWSg0MDI0MiwsLCwnVVNEJywnRElMJyk=&amp;WINDOW=FIRST_POPUP&amp;HEIGHT=45","0&amp;WIDTH=450&amp;START_MAXIMIZED=FALSE&amp;VAR:CALENDAR=US&amp;VAR:SYMBOL=B11HK3&amp;VAR:INDEX=0"}</definedName>
    <definedName name="_98__FDSAUDITLINK__" hidden="1">{"fdsup://directions/FAT Viewer?action=UPDATE&amp;creator=factset&amp;DYN_ARGS=TRUE&amp;DOC_NAME=FAT:FQL_AUDITING_CLIENT_TEMPLATE.FAT&amp;display_string=Audit&amp;VAR:KEY=UXMFINCVAN&amp;VAR:QUERY=RkZfRUJJVERBX0lCKCdDQUwnLDIwMDksLCwsJ1VTRCcp&amp;WINDOW=FIRST_POPUP&amp;HEIGHT=450&amp;WIDTH=450&amp;","START_MAXIMIZED=FALSE&amp;VAR:CALENDAR=US&amp;VAR:SYMBOL=20854P10&amp;VAR:INDEX=0"}</definedName>
    <definedName name="_99__123Graph_BCHART_17" hidden="1">#REF!</definedName>
    <definedName name="_99__123Graph_BCHART_2" hidden="1">#REF!</definedName>
    <definedName name="_99__123Graph_LBL_ACHART_2" hidden="1">#REF!</definedName>
    <definedName name="_99__123Graph_XCHART_18" hidden="1">#REF!</definedName>
    <definedName name="_99__FDSAUDITLINK__" hidden="1">{"fdsup://directions/FAT Viewer?action=UPDATE&amp;creator=factset&amp;DYN_ARGS=TRUE&amp;DOC_NAME=FAT:FQL_AUDITING_CLIENT_TEMPLATE.FAT&amp;display_string=Audit&amp;VAR:KEY=YZUDINQFMN&amp;VAR:QUERY=RkZfRU5UUlBSX1ZBTF9EQUlMWSg0MDI0MiwsLCwnVVNEJywnRElMJyk=&amp;WINDOW=FIRST_POPUP&amp;HEIGHT=45","0&amp;WIDTH=450&amp;START_MAXIMIZED=FALSE&amp;VAR:CALENDAR=US&amp;VAR:SYMBOL=20854P10&amp;VAR:INDEX=0"}</definedName>
    <definedName name="_99_0_Table1_" hidden="1">#REF!</definedName>
    <definedName name="_a1" hidden="1">{"Assump",#N/A,TRUE,"Proforma";"first",#N/A,TRUE,"Proforma";"second",#N/A,TRUE,"Proforma";"lease1",#N/A,TRUE,"Proforma";"lease2",#N/A,TRUE,"Proforma"}</definedName>
    <definedName name="_a2" hidden="1">{"sheet a",#N/A,FALSE,"A";"2 9 casflow",#N/A,FALSE,"B"}</definedName>
    <definedName name="_ADM2000">#REF!</definedName>
    <definedName name="_ADM2001">#REF!</definedName>
    <definedName name="_al1" hidden="1">{"sheet a",#N/A,FALSE,"A";"sheet b 1",#N/A,FALSE,"B";"sheet b 2",#N/A,FALSE,"B"}</definedName>
    <definedName name="_as2" hidden="1">{"FCB_ALL",#N/A,FALSE,"FCB"}</definedName>
    <definedName name="_asdasfsedf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VB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_bdm.0000011391824A3BB065AA3290EB713A.edm" hidden="1">#REF!</definedName>
    <definedName name="_bdm.001ebbfb01f446788abe587396dca203.edm" hidden="1">#REF!</definedName>
    <definedName name="_bdm.009D8938786F46E0B5A069FBF295F125.edm" hidden="1">#REF!</definedName>
    <definedName name="_bdm.009FBCED271D4C33850C59B86BBEFA5E.edm" hidden="1">#REF!</definedName>
    <definedName name="_bdm.00A30EEC70914950886ACA1DA54ED705.edm" hidden="1">#REF!</definedName>
    <definedName name="_bdm.00DF460E05C946038BAC10FA4B695964.edm" hidden="1">#REF!</definedName>
    <definedName name="_bdm.01538417E31B4AF7857A980BA1A90657.edm" hidden="1">#REF!</definedName>
    <definedName name="_bdm.016a9a2f75ed43119a8de09f1c2c0f84.edm" hidden="1">#REF!</definedName>
    <definedName name="_bdm.019D86CC9B5F4A438ECE0F5A68BFB1B6.edm" hidden="1">#REF!</definedName>
    <definedName name="_bdm.026E05F70CA84C22868A1088F849EC78.edm" hidden="1">#REF!</definedName>
    <definedName name="_bdm.02C3F0020F8242858E50ED8F580EC2B9.edm" hidden="1">#REF!</definedName>
    <definedName name="_bdm.02DA0F14E77F410CB688206B95A3651E.edm" hidden="1">#REF!</definedName>
    <definedName name="_bdm.034DCEECAC4B4525936291C529A286E1.edm" hidden="1">#REF!</definedName>
    <definedName name="_bdm.0361AAB0C8DF4B4F829B8B9D9F6E7739.edm" hidden="1">#REF!</definedName>
    <definedName name="_bdm.03ee43d78be043ffa57f7b21ccccd8d4.edm" hidden="1">#REF!</definedName>
    <definedName name="_bdm.045A1838D86F47CC995485B6BD6EA147.edm" hidden="1">#REF!</definedName>
    <definedName name="_bdm.04C024BA2CA647408B384C4E8434AF11.edm" hidden="1">#REF!</definedName>
    <definedName name="_bdm.053467FC79AC4911B25AD65640B9F694.edm" hidden="1">#REF!</definedName>
    <definedName name="_bdm.054e672510964616b338d87f20da4110.edm" hidden="1">#REF!</definedName>
    <definedName name="_bdm.0586221F243A41EABDC140BDC10FFF81.edm" hidden="1">#REF!</definedName>
    <definedName name="_bdm.05BE98B744D44AE6ADA8DD409385F72D.edm" hidden="1">#REF!</definedName>
    <definedName name="_bdm.077DAB9856674B1BB0163E30E1B2BE30.edm" hidden="1">#REF!</definedName>
    <definedName name="_bdm.08248F6E4FAD4E70B33AD4D7B220B787.edm" hidden="1">#REF!</definedName>
    <definedName name="_bdm.08268dc8e60746f29bab8ccb424c3995.edm" hidden="1">#REF!</definedName>
    <definedName name="_bdm.084320B1F3854DF3A6E7EBED1747A3D8.edm" hidden="1">#REF!</definedName>
    <definedName name="_bdm.085e2160f4ad457aafc24e35dd80e65d.edm" hidden="1">#REF!</definedName>
    <definedName name="_bdm.08763FB2B0AD43229F5479F0721891AE.edm" hidden="1">#REF!</definedName>
    <definedName name="_bdm.08E94ECD949F45C692F32266AE8057B1.edm" hidden="1">#REF!</definedName>
    <definedName name="_bdm.0918806E79ED4806B4341C11D437AD7E.edm" hidden="1">#REF!</definedName>
    <definedName name="_bdm.0929A4DC5A004DDEB37590D37954F5ED.edm" hidden="1">#REF!</definedName>
    <definedName name="_bdm.09DCA47796BD4D369C372D771591429D.edm" hidden="1">#REF!</definedName>
    <definedName name="_bdm.0A059373B67B4F8CBAC43B054965B49A.edm" hidden="1">#REF!</definedName>
    <definedName name="_bdm.0b1e5c7326cd4e0e8cc65baea87ada32.edm" hidden="1">#REF!</definedName>
    <definedName name="_bdm.0b41d1b2049646d599bb1809c645d1bb.edm" hidden="1">#REF!</definedName>
    <definedName name="_bdm.0B582B8F13D74787BBFA522358CEE9F6.edm" hidden="1">#REF!</definedName>
    <definedName name="_bdm.0B6654A6EEE6494E8FF5D9DCF9DE348F.edm" hidden="1">#REF!</definedName>
    <definedName name="_bdm.0B6924026F204A9CB3FEB8AC70BC65C5.edm" hidden="1">#REF!</definedName>
    <definedName name="_bdm.0B84724C98A943CBB8B64E8FDC47F469.edm" hidden="1">#REF!</definedName>
    <definedName name="_bdm.0C45FA7333F14177BDD4497D806A8CC5.edm" hidden="1">#REF!</definedName>
    <definedName name="_bdm.0C7D2B832C15436A9AF40A933667BF4F.edm" hidden="1">#REF!</definedName>
    <definedName name="_bdm.0DA695115A7849878FF9EE3AC84F1576.edm" hidden="1">#REF!</definedName>
    <definedName name="_bdm.0DC956D7E796469F9D9BB85AABB3D589.edm" hidden="1">#REF!</definedName>
    <definedName name="_bdm.0DEFC6CA905A40CDAE1F4A8F8E01F5D0.edm" hidden="1">#N/A</definedName>
    <definedName name="_bdm.0E0927368FDA4F41A2E56A99ECDC4BF8.edm" hidden="1">#N/A</definedName>
    <definedName name="_bdm.0E35EF21EBD547599D485A7D76045A18.edm" hidden="1">#REF!</definedName>
    <definedName name="_bdm.0E3CBD3E264B41B28F3F526873678CBA.edm" hidden="1">#REF!</definedName>
    <definedName name="_bdm.0e579f5134d2428f907dd3263f3d3a96.edm" hidden="1">#REF!</definedName>
    <definedName name="_bdm.0EE6FC54691E434D9159A3C6D972147D.edm" hidden="1">#REF!</definedName>
    <definedName name="_bdm.0F29B0194978478E841F907C40A21F6F.edm" hidden="1">#REF!</definedName>
    <definedName name="_bdm.0F3A02584C6842C6B88C64266649CFDD.edm" hidden="1">#REF!</definedName>
    <definedName name="_bdm.0FF3515C4D8A46C39371756981218BC2.edm" hidden="1">#REF!</definedName>
    <definedName name="_bdm.1005001E7CA34FA08435D955664FB3AD.edm" hidden="1">#REF!</definedName>
    <definedName name="_bdm.104276f570c54be088a08e0fc64669f3.edm" hidden="1">#REF!</definedName>
    <definedName name="_bdm.106BF9AD7184485C82620E5C6501496A.edm" hidden="1">#REF!</definedName>
    <definedName name="_bdm.119a6f57d771459cadc3bda0322c10cf.edm" hidden="1">#REF!</definedName>
    <definedName name="_bdm.120CF732499E4BBC9366C054E3739509.edm" hidden="1">#REF!</definedName>
    <definedName name="_bdm.122E4A6B2C54429CBB80EBB70B7C528F.edm" hidden="1">#N/A</definedName>
    <definedName name="_bdm.12f67ba7893f42628745fba8faef98d0.edm" hidden="1">#REF!</definedName>
    <definedName name="_bdm.12f7a5d175bb4c279e0ddd827f28516e.edm" hidden="1">#REF!</definedName>
    <definedName name="_bdm.1320D9E2D6BF46A9AC09A792A6E32BD9.edm" hidden="1">#REF!</definedName>
    <definedName name="_bdm.13406362699440AEA5EF4B8ADEE522F0.edm" hidden="1">#REF!</definedName>
    <definedName name="_bdm.138CE5D51A304FFDB8D964A42B52773D.edm" hidden="1">#REF!</definedName>
    <definedName name="_bdm.159CCB3A74614A5D87BBBC6DD67AC7E6.edm" hidden="1">#REF!</definedName>
    <definedName name="_bdm.160f7016d2c24d57ac704f6349190c5f.edm" hidden="1">#REF!</definedName>
    <definedName name="_bdm.161A1B3F66FC4CA59023742E35E83BC0.edm" hidden="1">#REF!</definedName>
    <definedName name="_bdm.1636CB241427403B8D690FA04961A801.edm" hidden="1">#REF!</definedName>
    <definedName name="_bdm.166620AD85C24DB6964FE6183CB94521.edm" hidden="1">#REF!</definedName>
    <definedName name="_bdm.16950da0b2e44a1bbd6240f38e8be561.edm" hidden="1">#REF!</definedName>
    <definedName name="_bdm.16B3008A64E44D499C71DFDE9580B547.edm" hidden="1">#REF!</definedName>
    <definedName name="_bdm.1718F6ECF9B643BB9ECFC6EF36F303DB.edm" hidden="1">#REF!</definedName>
    <definedName name="_bdm.17686CFFBE4A450B95D750F6CAF63F79.edm" hidden="1">#REF!</definedName>
    <definedName name="_bdm.17B53146B77B45A0BEDDB75EFDC4A065.edm" hidden="1">#REF!</definedName>
    <definedName name="_bdm.17D6D0306F13452D8EC568F03D908316.edm" hidden="1">#REF!</definedName>
    <definedName name="_bdm.17FF8FC0CB67401A947CDE6B76B7A5C7.edm" hidden="1">#REF!</definedName>
    <definedName name="_bdm.1837948C9DFD4F478195D8D7C2B014C4.edm" hidden="1">#REF!</definedName>
    <definedName name="_bdm.1886814B452E429C804967D39484D1F2.edm" hidden="1">#REF!</definedName>
    <definedName name="_bdm.18ef7a19750b4d11a6a5adf249540ae4.edm" hidden="1">#REF!</definedName>
    <definedName name="_bdm.1942e8c738894f36956be557bf376f6c.edm" hidden="1">#REF!</definedName>
    <definedName name="_bdm.194963E896034ECA9031284ADD56F613.edm" hidden="1">#REF!</definedName>
    <definedName name="_bdm.1970F22910DF4397983C8FF5D28E0F8F.edm" hidden="1">#REF!</definedName>
    <definedName name="_bdm.19B6E50345314EAD93A54CD7A694D859.edm" hidden="1">#REF!</definedName>
    <definedName name="_bdm.19EFE4A357D8496D943FBCBCBFCF130C.edm" hidden="1">#REF!</definedName>
    <definedName name="_bdm.1A60CA308C234F83AAB2EE96AD403B4A.edm" hidden="1">#REF!</definedName>
    <definedName name="_bdm.1A6DD9EDF0014631BA5DAB54DD1AF109.edm" hidden="1">#REF!</definedName>
    <definedName name="_bdm.1a827dae8fda40578a88f08ee0c0b5e8.edm" hidden="1">#REF!</definedName>
    <definedName name="_bdm.1AD00C3B56054B49B0702F2AABFC9046.edm" hidden="1">#REF!</definedName>
    <definedName name="_bdm.1AE0E60C53774E6998E9075CB8641DEC.edm" hidden="1">#REF!</definedName>
    <definedName name="_bdm.1B16DD25DD6544E6971940B4F2C3A52A.edm" hidden="1">#REF!</definedName>
    <definedName name="_bdm.1B6C0A1A6B7F408497E757C686EBD63D.edm" hidden="1">#REF!</definedName>
    <definedName name="_bdm.1B6D0DE624354F56AB6DAC12553B8A3F.edm" hidden="1">#REF!</definedName>
    <definedName name="_bdm.1BAA57F96AFF465DBD4F11048C70D68A.edm" hidden="1">#REF!</definedName>
    <definedName name="_bdm.1c2f2f633ce64d049c4960bfea1c3bf9.edm" hidden="1">#REF!</definedName>
    <definedName name="_bdm.1C6BFD37D0EC46C8BADCDCDF85FC0E92.edm" hidden="1">#REF!</definedName>
    <definedName name="_bdm.1C9835AF9E9748CBB0BFFF4BCF0594F0.edm" hidden="1">#REF!</definedName>
    <definedName name="_bdm.1CAA96B36F22447EAD8C9BD8FCE27331.edm" hidden="1">#REF!</definedName>
    <definedName name="_bdm.1cdd619104e54e0ea3c5bcdc591a9fd7.edm" hidden="1">#REF!</definedName>
    <definedName name="_bdm.1CEDA0EF377A47BDBB5F928D501D1657.edm" hidden="1">#REF!</definedName>
    <definedName name="_bdm.1D0C2820985E4D8D9A53450F5BC66FA7.edm" hidden="1">#REF!</definedName>
    <definedName name="_bdm.1D3D252A3ED84811AD0FA4712245B264.edm" hidden="1">#REF!</definedName>
    <definedName name="_bdm.1D548960ED2C452B9E65B84C19B7A669.edm" hidden="1">#REF!</definedName>
    <definedName name="_bdm.1E11197879E148699BA81A66230AC518.edm" hidden="1">#REF!</definedName>
    <definedName name="_bdm.1E5CA6E3B5204C70A2F71F2ADC7DA213.edm" hidden="1">#REF!</definedName>
    <definedName name="_bdm.1E7ACAEADE8841F1ACA0B32FE24FE49D.edm" hidden="1">#REF!</definedName>
    <definedName name="_bdm.1E958923CB97465D873AE2981E7EF503.edm" hidden="1">#REF!</definedName>
    <definedName name="_bdm.1EE47C4AA0064280819CC19BB4690A1F.edm" hidden="1">#REF!</definedName>
    <definedName name="_bdm.1f04dc48cac7476f98640b8286b1c640.edm" hidden="1">#REF!</definedName>
    <definedName name="_bdm.1FA5713C12A349E887E6CE04DE7000C5.edm" hidden="1">#REF!</definedName>
    <definedName name="_bdm.205CE42F10B1402DAED71CCF9CE1735D.edm" hidden="1">#REF!</definedName>
    <definedName name="_bdm.208D7AAD418D45DC9CD0DB5248EA1C54.edm" hidden="1">#REF!</definedName>
    <definedName name="_bdm.20D92F93B3F14855A2001E3D36889F81.edm" hidden="1">#REF!</definedName>
    <definedName name="_bdm.21035019083648108165B1BA45E6A741.edm" hidden="1">#REF!</definedName>
    <definedName name="_bdm.226FED87962B41349D1EB0228679AA7C.edm" hidden="1">#REF!</definedName>
    <definedName name="_bdm.22AEF38705EE4679A7004923B5451B99.edm" hidden="1">#REF!</definedName>
    <definedName name="_bdm.22F1C0055A4644768DBAC180CC11D54E.edm" hidden="1">#REF!</definedName>
    <definedName name="_bdm.23670C5F8FB04EA2B3A96B1EA78D5F3E.edm" hidden="1">#REF!</definedName>
    <definedName name="_bdm.2375BEA4FD994733BF573265850818D8.edm" hidden="1">#N/A</definedName>
    <definedName name="_bdm.238B51964A82412792FE0CD24D4EDB24.edm" hidden="1">#REF!</definedName>
    <definedName name="_bdm.23D13E00A2CC4DA3AE2346EFF9C33B24.edm" hidden="1">#REF!</definedName>
    <definedName name="_bdm.2504604E69DD4DB38D16B580E9DD9E71.edm" hidden="1">#REF!</definedName>
    <definedName name="_bdm.25A249BEEF5C41918C4EF275AEC526FA.edm" hidden="1">#REF!</definedName>
    <definedName name="_bdm.27A3D57A7F1E4ED194098B7389CDD32A.edm" hidden="1">#REF!</definedName>
    <definedName name="_bdm.27fd09bad1d047c2bc4d85fa5a8c4ee6.edm" hidden="1">#REF!</definedName>
    <definedName name="_bdm.28059f013c8e4bffa50771401a6ed368.edm" hidden="1">#REF!</definedName>
    <definedName name="_bdm.2855D58411CD4FE4A735E3A6EE25C836.edm" hidden="1">#N/A</definedName>
    <definedName name="_bdm.2907C800E7354AF49EF9B30655538BFC.edm" hidden="1">#REF!</definedName>
    <definedName name="_bdm.2931B7BFDE154F5EAE1A5735CA3BD3DD.edm" hidden="1">#REF!</definedName>
    <definedName name="_bdm.294AA496D34A43399372281D01706956.edm" hidden="1">#REF!</definedName>
    <definedName name="_bdm.29978DFEBA4F42A7BBA04DF8EA909BA5.edm" hidden="1">#REF!</definedName>
    <definedName name="_bdm.29B4AAD3E0F94597AF1D7A79DCC2A860.edm" hidden="1">#REF!</definedName>
    <definedName name="_bdm.2A81A4CD1EBF489FA3A5E2762C1E232F.edm" hidden="1">#REF!</definedName>
    <definedName name="_bdm.2AACF379138C4ACF9B347ABF8FE65863.edm" hidden="1">#REF!</definedName>
    <definedName name="_bdm.2adff27edca44858ba2930c1f2e33dbb.edm" hidden="1">#REF!</definedName>
    <definedName name="_bdm.2AF1B31EE30F45778FD3F2A94A3EBB04.edm" hidden="1">#REF!</definedName>
    <definedName name="_bdm.2B266B094B714C22B66D493C1E5626C3.edm" hidden="1">#REF!</definedName>
    <definedName name="_bdm.2C5F54B5CDD3489698C833C833F36067.edm" hidden="1">#REF!</definedName>
    <definedName name="_bdm.2C7D239AA19E4778A90259BF7A2BF9FF.edm" hidden="1">#REF!</definedName>
    <definedName name="_bdm.2CB4BF74C4B048B5911F24941A31F5FE.edm" hidden="1">#REF!</definedName>
    <definedName name="_bdm.2CCD44ACE8EF422D88045C2A0F5B824C.edm" hidden="1">#REF!</definedName>
    <definedName name="_bdm.2cd6ecf3a5a64a9f9e84ab4b96703999.edm" hidden="1">#REF!</definedName>
    <definedName name="_bdm.2D2F7533CCE94D17BF3F603B29093C72.edm" hidden="1">#REF!</definedName>
    <definedName name="_bdm.2D8A9BA2029349879D845F587E86F8A7.edm" hidden="1">#REF!</definedName>
    <definedName name="_bdm.2DAB2B1D99A44F69B10CB9D00243940D.edm" hidden="1">#REF!</definedName>
    <definedName name="_bdm.2DFF2ADFD0A34F15BB51AE98AF0CD141.edm" hidden="1">#REF!</definedName>
    <definedName name="_bdm.2e0fa6c752b04c57a70638aedd638a3e.edm" hidden="1">#REF!</definedName>
    <definedName name="_bdm.2e2a872bfdb545909c3f879544d9c26f.edm" hidden="1">#REF!</definedName>
    <definedName name="_bdm.2E992C0B17A84955BA91F52DDFA70110.edm" hidden="1">#REF!</definedName>
    <definedName name="_bdm.2E9C8A4F9CEA48D19CF24C07D401990F.edm" hidden="1">#REF!</definedName>
    <definedName name="_bdm.2EDEA7D2AA2D4136A8CCA76F09CB212B.edm" hidden="1">#REF!</definedName>
    <definedName name="_bdm.2F2B2B5E0A7F41A5A5153533F14B2F3B.edm" hidden="1">#REF!</definedName>
    <definedName name="_bdm.2F44724262DE43D3BDE5786DB353A8FA.edm" hidden="1">#REF!</definedName>
    <definedName name="_bdm.2F550A4241F342F69B6ABF5933AB756A.edm" hidden="1">#REF!</definedName>
    <definedName name="_bdm.2FC03635BF3E4836AD64569892D8AD00.edm" hidden="1">#REF!</definedName>
    <definedName name="_bdm.2FE3202B86524D4DBB4E253AD9373036.edm" hidden="1">#REF!</definedName>
    <definedName name="_bdm.3059FC0807AD4C3BB6649AE47F6BAE83.edm" hidden="1">#REF!</definedName>
    <definedName name="_bdm.30B871B032664FC18B843AAE03C7A6BF.edm" hidden="1">#REF!</definedName>
    <definedName name="_bdm.31180886AA1C44999657AADF8B07A65B.edm" hidden="1">#REF!</definedName>
    <definedName name="_bdm.315B51B8441A481E80D76335B1387721.edm" hidden="1">#REF!</definedName>
    <definedName name="_bdm.318F7FA3B6564C7382F87C2807B768F2.edm" hidden="1">#N/A</definedName>
    <definedName name="_bdm.31DE635AD9CE4D6B902F064FDBBBF467.edm" hidden="1">#REF!</definedName>
    <definedName name="_bdm.320b6c8c568547888fc300a04242fc92.edm" hidden="1">#REF!</definedName>
    <definedName name="_bdm.3288F7267AD84412A6BBE42C27EAAEDF.edm" hidden="1">#REF!</definedName>
    <definedName name="_bdm.3298F537C98A4E8391727CC612F1CF49.edm" hidden="1">#REF!</definedName>
    <definedName name="_bdm.32BE2BB4707549EAAAF874A36DAA2A41.edm" hidden="1">#REF!</definedName>
    <definedName name="_bdm.32e0359972d04f60adbe9289093d3aea.edm" hidden="1">#REF!</definedName>
    <definedName name="_bdm.33576D400FD044DD8354B35E1AA4591F.edm" hidden="1">#REF!</definedName>
    <definedName name="_bdm.3381B92ED69C44B1AAD1265465682DA0.edm" hidden="1">#REF!</definedName>
    <definedName name="_bdm.33FEAC027B3F459B8BE06F74992AC4BB.edm" hidden="1">#REF!</definedName>
    <definedName name="_bdm.34145880510C416C85644C58A8D12353.edm" hidden="1">#REF!</definedName>
    <definedName name="_bdm.34182B27D68C4E9D8EA685646B09A0E8.edm" hidden="1">#REF!</definedName>
    <definedName name="_bdm.3472369B624C4554BFA2B3CD85986586.edm" hidden="1">#REF!</definedName>
    <definedName name="_bdm.349ebe3540164a9db574498e805ead94.edm" hidden="1">#REF!</definedName>
    <definedName name="_bdm.34FEC3ED52824CBEB006DB5A8CED478B.edm" hidden="1">#N/A</definedName>
    <definedName name="_bdm.356860FDB939423396FFB1B7D4E7E389.edm" hidden="1">#REF!</definedName>
    <definedName name="_bdm.35AE18F075EB4D8C8B3A482A51E3D08A.edm" hidden="1">#REF!</definedName>
    <definedName name="_bdm.35CC9F67A8D1443F88DB03C615293600.edm" hidden="1">#REF!</definedName>
    <definedName name="_bdm.3627893EB5D44F85A9898DB7E2735846.edm" hidden="1">#REF!</definedName>
    <definedName name="_bdm.36D2766ECD1049448968A9C485824191.edm" hidden="1">#REF!</definedName>
    <definedName name="_bdm.36D2A2580E7E40149A40FBE530628719.edm" hidden="1">#REF!</definedName>
    <definedName name="_bdm.372EFD856B9C4969908033BBACFCF06C.edm" hidden="1">#REF!</definedName>
    <definedName name="_bdm.384EE96C742345499A1C166A07BD588D.edm" hidden="1">#REF!</definedName>
    <definedName name="_bdm.388e292c02c64784a281685ca22616b7.edm" hidden="1">#REF!</definedName>
    <definedName name="_bdm.38A607F2D76C4DECA5D18AC9DFE68A84.edm" hidden="1">#REF!</definedName>
    <definedName name="_bdm.392DA044F4E94D799308C267E4E7FEFE.edm" hidden="1">#REF!</definedName>
    <definedName name="_bdm.396C5DC4488C41F2A55A6A9A4FA39CB5.edm" hidden="1">#REF!</definedName>
    <definedName name="_bdm.396E33553A8446A8AA4873AE62900D27.edm" hidden="1">#REF!</definedName>
    <definedName name="_bdm.398E817975214956A02E26DF8F2711A8.edm" hidden="1">#REF!</definedName>
    <definedName name="_bdm.39A13F57309140C480CD3C11FECDDE0B.edm" hidden="1">#REF!</definedName>
    <definedName name="_bdm.39D175483D364E2588F3E440F98C7725.edm" hidden="1">#REF!</definedName>
    <definedName name="_bdm.39dade56de1b42d983ce8d894356bd19.edm" hidden="1">#REF!</definedName>
    <definedName name="_bdm.3A75987E2C7B41CDA0FEED8522EB73DE.edm" hidden="1">#REF!</definedName>
    <definedName name="_bdm.3aa1232e383b4539965c90ad3a6f3cb9.edm" hidden="1">#REF!</definedName>
    <definedName name="_bdm.3BC385B203304DC2A2F1B29290FCAD72.edm" hidden="1">#REF!</definedName>
    <definedName name="_bdm.3BFF97D4B70541A1AB18440AF48B4030.edm" hidden="1">#REF!</definedName>
    <definedName name="_bdm.3CAB7057C2DD42888BBF9D13A64861D2.edm" hidden="1">#REF!</definedName>
    <definedName name="_bdm.3CBC5B09A08F4336ACC8C679008533BF.edm" hidden="1">#REF!</definedName>
    <definedName name="_bdm.3CD927BF1D6447359EE3667290A6670B.edm" hidden="1">#REF!</definedName>
    <definedName name="_bdm.3CEA6569C8E343FA99AA03396582BDAA.edm" hidden="1">#REF!</definedName>
    <definedName name="_bdm.3D1E10B26203441B858D280FE05B7DCC.edm" hidden="1">#REF!</definedName>
    <definedName name="_bdm.3D2DF660175F47099FB11EC32617A5C1.edm" hidden="1">#REF!</definedName>
    <definedName name="_bdm.3E4E04BAFACA428DA01DD123B72C7D30.edm" hidden="1">#REF!</definedName>
    <definedName name="_bdm.3E656774FFD24CAAA312EEDD608EB489.edm" hidden="1">#REF!</definedName>
    <definedName name="_bdm.3E7A1EC9BD754784A7FEAF7D5A8BC9C2.edm" hidden="1">#REF!</definedName>
    <definedName name="_bdm.3EAE1F3AD27F42FD84E51F0CDC1C5CDC.edm" hidden="1">#REF!</definedName>
    <definedName name="_bdm.3F587436603A435DA121EDF6452BD138.edm" hidden="1">#REF!</definedName>
    <definedName name="_bdm.3FF9BF0CD07843B6B0C473B9EA33B256.edm" hidden="1">#REF!</definedName>
    <definedName name="_bdm.407CD10E83E84C1F9A80AFB27CE5D53A.edm" hidden="1">#REF!</definedName>
    <definedName name="_bdm.41b8177043dc465e9979559f93cd058c.edm" hidden="1">#REF!</definedName>
    <definedName name="_bdm.41BB7010280A4F17A60A7A2EC65762F2.edm" hidden="1">#REF!</definedName>
    <definedName name="_bdm.41DFE0648815401C8625480744470C15.edm" hidden="1">#REF!</definedName>
    <definedName name="_bdm.4206AD06615B4CCBB41C66A4F2CD48B8.edm" hidden="1">#REF!</definedName>
    <definedName name="_bdm.425343A9E0134837A6ECC38214DF76D7.edm" hidden="1">#REF!</definedName>
    <definedName name="_bdm.434B100D22B049B8B753816FBC05C5F0.edm" hidden="1">#REF!</definedName>
    <definedName name="_bdm.43579CAC20BC4F7780D333FAE524597E.edm" hidden="1">#REF!</definedName>
    <definedName name="_bdm.4379E51FFE244487883A18E1A12B5AF3.edm" hidden="1">#REF!</definedName>
    <definedName name="_bdm.43CE62AD62924B2DBFE57089B20D3DE3.edm" hidden="1">#REF!</definedName>
    <definedName name="_bdm.43e40a228fac4c01833c7f6688f854f9.edm" hidden="1">#REF!</definedName>
    <definedName name="_bdm.43FB78AC4C294F46B2DC4D3676C1471F.edm" hidden="1">#REF!</definedName>
    <definedName name="_bdm.43FC0D71033D4EA79BA8B50F2137F9A0.edm" hidden="1">#REF!</definedName>
    <definedName name="_bdm.43FDCAA237CB40BE8F5A0CC46E2452CE.edm" hidden="1">#REF!</definedName>
    <definedName name="_bdm.4418E901CD374AF39ED5735CC763C2EF.edm" hidden="1">#REF!</definedName>
    <definedName name="_bdm.44C8A3A18C954DC28DF11D65F8CD9D16.edm" hidden="1">#REF!</definedName>
    <definedName name="_bdm.45b5410ed38f4cd6a0c98d918a454cc9.edm" hidden="1">#REF!</definedName>
    <definedName name="_bdm.45D289B8878A441E9D37295804097740.edm" hidden="1">#REF!</definedName>
    <definedName name="_bdm.462774E013DA4C2490AA31CFFD99523F.edm" hidden="1">#REF!</definedName>
    <definedName name="_bdm.46B50CECF8B1448D9BA71B58077B92DD.edm" hidden="1">#REF!</definedName>
    <definedName name="_bdm.47415ABAF28B42B380ACD6186BBB7FFF.edm" hidden="1">#REF!</definedName>
    <definedName name="_bdm.481881804AB842A4995410D65293E331.edm" hidden="1">#N/A</definedName>
    <definedName name="_bdm.482E0259FBC74402B98A806BA3A623EB.edm" hidden="1">#REF!</definedName>
    <definedName name="_bdm.485707491EC34E5AB7C4661D8C46033E.edm" hidden="1">#REF!</definedName>
    <definedName name="_bdm.486603D52B0A41308EAA522F0F700B7B.edm" hidden="1">#REF!</definedName>
    <definedName name="_bdm.49C69B5591F8437A940272489930B9EA.edm" hidden="1">#REF!</definedName>
    <definedName name="_bdm.4A424AFC423A4B92B9931B2A6702D220.edm" hidden="1">#REF!</definedName>
    <definedName name="_bdm.4A5C97D8A8B4461BB06808C9781CCA97.edm" hidden="1">#REF!</definedName>
    <definedName name="_bdm.4AC540F0263646A4B23B749E5A7CFD7E.edm" hidden="1">#REF!</definedName>
    <definedName name="_bdm.4AE6C975F8294006B0BFA06571B7FAC5.edm" hidden="1">#REF!</definedName>
    <definedName name="_bdm.4B2BFA8079DB4EF791830BB94EFFE90F.edm" hidden="1">#REF!</definedName>
    <definedName name="_bdm.4B2D5BD28B3140D4B4705065833BCDC7.edm" hidden="1">#REF!</definedName>
    <definedName name="_bdm.4BAAD788663C4927AC9B2D3273A30784.edm" hidden="1">#REF!</definedName>
    <definedName name="_bdm.4BF4D5F9A8A54BEF9E6C0813B17074E3.edm" hidden="1">#REF!</definedName>
    <definedName name="_bdm.4C0820FE73D94BA1B2B4A6A724A199CC.edm" hidden="1">#REF!</definedName>
    <definedName name="_bdm.4C44C078990642D78A02330A9225EF64.edm" hidden="1">#REF!</definedName>
    <definedName name="_bdm.4CC45777DB794402B638D2F5A2762696.edm" hidden="1">#REF!</definedName>
    <definedName name="_bdm.4d7e8b98502e4317989705faa089faf2.edm" hidden="1">#REF!</definedName>
    <definedName name="_bdm.4DA249A0C5784F35917D09DE46C4BBA0.edm" hidden="1">#REF!</definedName>
    <definedName name="_bdm.4DB2644D35F448CD9B0013A0F3915E09.edm" hidden="1">#REF!</definedName>
    <definedName name="_bdm.4E13E13C5F2F42DF87E20EBAE016B9AB.edm" hidden="1">#N/A</definedName>
    <definedName name="_bdm.4F023A98DD254131BE2E677DB226C2C4.edm" hidden="1">#REF!</definedName>
    <definedName name="_bdm.4F657E653B14431C80FBCC9DCADBB169.edm" hidden="1">#REF!</definedName>
    <definedName name="_bdm.4F73B73271114C6CB1F0D6CA023A909E.edm" hidden="1">#REF!</definedName>
    <definedName name="_bdm.4f770b3a5e064bae860d3597e730559d.edm" hidden="1">#REF!</definedName>
    <definedName name="_bdm.4FB5ED0DC1F54E89A8ABD6C62E9A1A73.edm" hidden="1">#REF!</definedName>
    <definedName name="_bdm.5011d7008c1b4c14a0608aed032c5881.edm" hidden="1">#REF!</definedName>
    <definedName name="_bdm.505BC32561004A2E8FAC6257652A957B.edm" hidden="1">#REF!</definedName>
    <definedName name="_bdm.506BB95D5FF74692ACB6C4DCCF0C02A1.edm" hidden="1">#REF!</definedName>
    <definedName name="_bdm.50D3A1D7B5584F559E494D98546BC058.edm" hidden="1">#REF!</definedName>
    <definedName name="_bdm.50FB6FE9A7204DEC8B4A147929DD201C.edm" hidden="1">#REF!</definedName>
    <definedName name="_bdm.5131554936EB402C9C0ADC73C0942BDF.edm" hidden="1">#REF!</definedName>
    <definedName name="_bdm.513edb90263148bb83d38ec28cc89d90.edm" hidden="1">#REF!</definedName>
    <definedName name="_bdm.51F2C2ABCE3D47D3AFEF2C48D35EF1AE.edm" hidden="1">#REF!</definedName>
    <definedName name="_bdm.52205806B7494501B935897EDAE40C47.edm" hidden="1">#REF!</definedName>
    <definedName name="_bdm.5222E973893B4D419699D266C985636B.edm" hidden="1">#REF!</definedName>
    <definedName name="_bdm.5317156ED3834B09918F6E9C916C8030.edm" hidden="1">#REF!</definedName>
    <definedName name="_bdm.532855C8713A4ED2BE65859A52DE38A6.edm" hidden="1">#REF!</definedName>
    <definedName name="_bdm.5381E876F578457791B38D1DC0F111ED.edm" hidden="1">#REF!</definedName>
    <definedName name="_bdm.5407610E4A3949798C32D51045BF3275.edm" hidden="1">#REF!</definedName>
    <definedName name="_bdm.5556D73EAF13440A88C2A923F0104106.edm" hidden="1">#REF!</definedName>
    <definedName name="_bdm.5556dc0476f14d68b13ce2ba9783223a.edm" hidden="1">#REF!</definedName>
    <definedName name="_bdm.55EA4041DC1946C39D44477DE8810544.edm" hidden="1">#REF!</definedName>
    <definedName name="_bdm.55EBCDF38506436ABCF2B64FA3767621.edm" hidden="1">#REF!</definedName>
    <definedName name="_bdm.5644e99cc6974b78bf5e19c76821139a.edm" hidden="1">#REF!</definedName>
    <definedName name="_bdm.56612c627c0e4f2896a2a80c3630c42a.edm" hidden="1">#REF!</definedName>
    <definedName name="_bdm.566fe5a92e164799966a61da3c913e94.edm" hidden="1">#REF!</definedName>
    <definedName name="_bdm.569343150CEE4E949874014E31384266.edm" hidden="1">#REF!</definedName>
    <definedName name="_bdm.56D5D11E1C9A41AF9F370F08D6EB511C.edm" hidden="1">#REF!</definedName>
    <definedName name="_bdm.56F72C0613F04AEC97700FF20C5F9B86.edm" hidden="1">#REF!</definedName>
    <definedName name="_bdm.5774105F019240CD8319D8CD8D95D706.edm" hidden="1">#REF!</definedName>
    <definedName name="_bdm.5787AD1ACC334FDB8E2263B1F024685F.edm" hidden="1">#REF!</definedName>
    <definedName name="_bdm.57FA3EE63C6F43B6BC1A78D17833CF38.edm" hidden="1">#N/A</definedName>
    <definedName name="_bdm.5822C7B2DBBD4570AED0FA491B178A20.edm" hidden="1">#REF!</definedName>
    <definedName name="_bdm.59097C90020849E584C54BBE15C02D79.edm" hidden="1">#REF!</definedName>
    <definedName name="_bdm.591c5f18c4334980a886e189b73faf77.edm" hidden="1">#REF!</definedName>
    <definedName name="_bdm.591EB47C21C740079DFA03DBF9B896A6.edm" hidden="1">#REF!</definedName>
    <definedName name="_bdm.5A06B77531BB40EAB24074C943DCD22A.edm" hidden="1">#REF!</definedName>
    <definedName name="_bdm.5AB0290907E74A59AD61C108619557BF.edm" hidden="1">#REF!</definedName>
    <definedName name="_bdm.5AD944435AAB4E59BE5754CEE8639177.edm" hidden="1">#REF!</definedName>
    <definedName name="_bdm.5B01567551CF4D0F9516DB9616A4CC65.edm" hidden="1">#REF!</definedName>
    <definedName name="_bdm.5B39FF2E51684801BF2B19C6CA4C5623.edm" hidden="1">#REF!</definedName>
    <definedName name="_bdm.5B7727DF487A4ED1A970FE868DCAB737.edm" hidden="1">#REF!</definedName>
    <definedName name="_bdm.5BED8E322A0E4D21AD81A57E4077B268.edm" hidden="1">#REF!</definedName>
    <definedName name="_bdm.5CF81FEE6E9A4189820ECA41DD31C6C1.edm" hidden="1">#REF!</definedName>
    <definedName name="_bdm.5D31E83EAF3C44D1AB191842C1200959.edm" hidden="1">#REF!</definedName>
    <definedName name="_bdm.5D83D4FAA6344614A40E21DB9160887C.edm" hidden="1">#REF!</definedName>
    <definedName name="_bdm.5E033E8614194FCBADEF7EB7A716B0A7.edm" hidden="1">#REF!</definedName>
    <definedName name="_bdm.5e11f69969314c439fbe3664f30fee7d.edm" hidden="1">#REF!</definedName>
    <definedName name="_bdm.5E3A688369224664B12548FD15A516DD.edm" hidden="1">#REF!</definedName>
    <definedName name="_bdm.600594aab2824bd78b75a7b1f116546c.edm" hidden="1">#REF!</definedName>
    <definedName name="_bdm.603487ff383d493d913c0c12efc254ab.edm" hidden="1">#REF!</definedName>
    <definedName name="_bdm.604BF667BDBF4BF191BB2AFF3973B8FA.edm" hidden="1">#REF!</definedName>
    <definedName name="_bdm.606439BA82B9464F87851B49F611E17B.edm" hidden="1">#REF!</definedName>
    <definedName name="_bdm.60C1A0D19FAF481989BB82933BC0DB92.edm" hidden="1">#REF!</definedName>
    <definedName name="_bdm.60D1E9AD46C44C31BD4921876B6B8E89.edm" hidden="1">#REF!</definedName>
    <definedName name="_bdm.60D496C198B94FE88AAC240F81DA2AE4.edm" hidden="1">#REF!</definedName>
    <definedName name="_bdm.60D9BAA530494B848C89FD091AD27B44.edm" hidden="1">#REF!</definedName>
    <definedName name="_bdm.60e7dcf42a0343e48bf25ae7367eeaa3.edm" hidden="1">#REF!</definedName>
    <definedName name="_bdm.61330CBA08904ACAB64AC6F5479848F8.edm" hidden="1">#REF!</definedName>
    <definedName name="_bdm.61C0268107124E37A9B886DBD4485DAA.edm" hidden="1">#REF!</definedName>
    <definedName name="_bdm.61c3ce8cc6ec41fb88dd4e56e1b8c01b.edm" hidden="1">#REF!</definedName>
    <definedName name="_bdm.61ED02BFE0B348829184BE36B07771C8.edm" hidden="1">#REF!</definedName>
    <definedName name="_bdm.62014CE4344B47469900109D23F83536.edm" hidden="1">#REF!</definedName>
    <definedName name="_bdm.621903F4E3F24FD0B6FC2ED5D809768E.edm" hidden="1">#REF!</definedName>
    <definedName name="_bdm.6384E401ACF242E2947ECB9198E5E73A.edm" hidden="1">#REF!</definedName>
    <definedName name="_bdm.638ED91A93804F5D9E69120C0D3D71A8.edm" hidden="1">#REF!</definedName>
    <definedName name="_bdm.63941e6d1b244216828ac170564845fb.edm" hidden="1">#REF!</definedName>
    <definedName name="_bdm.639E0DA34E18487AB31CE96EC0A44870.edm" hidden="1">#REF!</definedName>
    <definedName name="_bdm.63CE9CF74A934A2CABE43E0C9A5325A7.edm" hidden="1">#REF!</definedName>
    <definedName name="_bdm.648AD1D8D6B744EFA7969766C1C9688A.edm" hidden="1">#REF!</definedName>
    <definedName name="_bdm.654C8EDA268E41A0BB9FEA30B24668CE.edm" hidden="1">#REF!</definedName>
    <definedName name="_bdm.658BD73E718B4E1C912C47566B23EE2B.edm" hidden="1">#REF!</definedName>
    <definedName name="_bdm.6631D025E3DA4129A5C05DEFF0A78E72.edm" hidden="1">#REF!</definedName>
    <definedName name="_bdm.664080757F3D4BC2A61C0A8E7F58284F.edm" hidden="1">#N/A</definedName>
    <definedName name="_bdm.6657855B840E42128A201BE863EC1AD9.edm" hidden="1">#REF!</definedName>
    <definedName name="_bdm.665FCB1D52C344F389D375804F17A17C.edm" hidden="1">#REF!</definedName>
    <definedName name="_bdm.66AF624733E24EBC8EE41466C72B1FF8.edm" hidden="1">#REF!</definedName>
    <definedName name="_bdm.66F6802BBD9B4638ACDB08834F16FCF6.edm" hidden="1">#REF!</definedName>
    <definedName name="_bdm.6854F5B3A1074E21A7E29A900CF9C0FD.edm" hidden="1">#REF!</definedName>
    <definedName name="_bdm.68AE8E8816004C59BF6F22A4E29BB438.edm" hidden="1">#REF!</definedName>
    <definedName name="_bdm.68C1455F3C744CD3B4FAFEA63902F454.edm" hidden="1">#REF!</definedName>
    <definedName name="_bdm.69B894C4E5A8465F8862773CAE413F97.edm" hidden="1">#REF!</definedName>
    <definedName name="_bdm.6ABD906E889542728B71832173617762.edm" hidden="1">#REF!</definedName>
    <definedName name="_bdm.6AFB8EC9794F4B969C3DC3748E73F7B9.edm" hidden="1">#REF!</definedName>
    <definedName name="_bdm.6B922E2C01B840F3846C2C49675DC960.edm" hidden="1">#REF!</definedName>
    <definedName name="_bdm.6BC95A4A6A5B49C3A2326DE710415184.edm" hidden="1">#REF!</definedName>
    <definedName name="_bdm.6bf6471b7c4d4d4f9297a17dbddfaf55.edm" hidden="1">#REF!</definedName>
    <definedName name="_bdm.6c1b6dd0d3574147a98bebf526aaaaa8.edm" hidden="1">#REF!</definedName>
    <definedName name="_bdm.6D53DE4225324FDCBF9AA92886584D79.edm" hidden="1">#REF!</definedName>
    <definedName name="_bdm.6D8BB308F1A7454584FC7D1C95409EBC.edm" hidden="1">#REF!</definedName>
    <definedName name="_bdm.6E4CA2400FD148C6ABD12E10316F5FB2.edm" hidden="1">#REF!</definedName>
    <definedName name="_bdm.6E6AC3AB029949FD882DE6CF28E96A18.edm" hidden="1">#REF!</definedName>
    <definedName name="_bdm.6E7E7A9B6C344B019A02AB74EB3A849C.edm" hidden="1">#REF!</definedName>
    <definedName name="_bdm.6EEC5A193E16440E948667A92332B274.edm" hidden="1">#REF!</definedName>
    <definedName name="_bdm.6EFF6BF9DA394A29AB4619CF14E80301.edm" hidden="1">#N/A</definedName>
    <definedName name="_bdm.6F69026AB7F74852B6E976FF69BD3B79.edm" hidden="1">#REF!</definedName>
    <definedName name="_bdm.6FE180B454FB43358B7047BB5BFCA0E6.edm" hidden="1">#REF!</definedName>
    <definedName name="_bdm.70058EEE7BCB482F8E1363DCED650E60.edm" hidden="1">#REF!</definedName>
    <definedName name="_bdm.7038DB908F4F4C80AC08D58013794A10.edm" hidden="1">#REF!</definedName>
    <definedName name="_bdm.705760A1B45140F9B71328111DEC6C1A.edm" hidden="1">#REF!</definedName>
    <definedName name="_bdm.710C7DA6F4DF4B42B668C074065CAC09.edm" hidden="1">#REF!</definedName>
    <definedName name="_bdm.71F0BB01B7E64656915E0781B5F4896E.edm" hidden="1">#REF!</definedName>
    <definedName name="_bdm.722FFBA31F474BFAB735063A64B90C1F.edm" hidden="1">#REF!</definedName>
    <definedName name="_bdm.7232396e7f144792a455af3a03febebe.edm" hidden="1">#REF!</definedName>
    <definedName name="_bdm.72E6923CAC814F5E850DB1877FE33636.edm" hidden="1">#N/A</definedName>
    <definedName name="_bdm.73017CA1697D4E179562DE45A692A8D1.edm" hidden="1">#REF!</definedName>
    <definedName name="_bdm.7356D19C508E45D5BCA036988C40826A.edm" hidden="1">#REF!</definedName>
    <definedName name="_bdm.74948890E52A4A12B6FEE1C8F759F4B3.edm" hidden="1">#REF!</definedName>
    <definedName name="_bdm.74A9476FAC55418499D93F7D398E7EF4.edm" hidden="1">#REF!</definedName>
    <definedName name="_bdm.74E7E27736D841FD861DBC138FF10505.edm" hidden="1">#REF!</definedName>
    <definedName name="_bdm.74EF0CA68A23406B8F83AC6C95DC30C5.edm" hidden="1">#REF!</definedName>
    <definedName name="_bdm.7500A888C25C4A7A9D607197D0216FE5.edm" hidden="1">#REF!</definedName>
    <definedName name="_bdm.75F1D394719348F4837FD5C38CD0E50D.edm" hidden="1">#REF!</definedName>
    <definedName name="_bdm.7600CB5C2BF74B4B9CC987CA00103588.edm" hidden="1">#REF!</definedName>
    <definedName name="_bdm.760CE0791FFA4C46885A609CCE539100.edm" hidden="1">#REF!</definedName>
    <definedName name="_bdm.763E9B061D824965ABE00FECE1C119CE.edm" hidden="1">#REF!</definedName>
    <definedName name="_bdm.763F178D80114F57820E4C6C0024777D.edm" hidden="1">#REF!</definedName>
    <definedName name="_bdm.766242ecedfb4a8da805fb918ee09d9b.edm" hidden="1">#REF!</definedName>
    <definedName name="_bdm.76A83B961E724F848C72CFBCC8C89D79.edm" hidden="1">#REF!</definedName>
    <definedName name="_bdm.7704643C2DB34A3F918143DECA3C4DE2.edm" hidden="1">#N/A</definedName>
    <definedName name="_bdm.775f1b92231345beac5b6a7ed0baab63.edm" hidden="1">#REF!</definedName>
    <definedName name="_bdm.7840EB5D15424756B94CF933E38E96E2.edm" hidden="1">#REF!</definedName>
    <definedName name="_bdm.7878728B0549452A831B7C33AA636A5B.edm" hidden="1">#REF!</definedName>
    <definedName name="_bdm.787EA5A165CF43FB8E0A5924FA31108D.edm" hidden="1">#REF!</definedName>
    <definedName name="_bdm.78c6c072f20b4c82ba824fdb6065a9b9.edm" hidden="1">#REF!</definedName>
    <definedName name="_bdm.79589ABDEFB54FB09CD421FD6832248F.edm" hidden="1">#REF!</definedName>
    <definedName name="_bdm.7A39769AA990408F98A40E93E2C328B7.edm" hidden="1">#REF!</definedName>
    <definedName name="_bdm.7A63497052294108BBB8C9F28C1714CA.edm" hidden="1">#REF!</definedName>
    <definedName name="_bdm.7ABE8D07F0BC4810B6A1CF0F06B0D822.edm" hidden="1">#REF!</definedName>
    <definedName name="_bdm.7AE6D4C9BFD44A24884B0E7783F34497.edm" hidden="1">#REF!</definedName>
    <definedName name="_bdm.7B83263CB2EA40A3A1C326F4B64FF272.edm" hidden="1">#REF!</definedName>
    <definedName name="_bdm.7BAB045F55674A75B88F57B71127A243.edm" hidden="1">#REF!</definedName>
    <definedName name="_bdm.7C1450A0D06448B0B7349F8EEA36977C.edm" hidden="1">#REF!</definedName>
    <definedName name="_bdm.7C70E420607249B397E3C4F49521F10D.edm" hidden="1">#REF!</definedName>
    <definedName name="_bdm.7C8F732387564934BFF94B2B3A2F1708.edm" hidden="1">#REF!</definedName>
    <definedName name="_bdm.7D3ECE4F25C94A6EBE538786CFBAF74B.edm" hidden="1">#REF!</definedName>
    <definedName name="_bdm.7D79CCEAE23C43E28C60B86A3AE5E0E2.edm" hidden="1">#REF!</definedName>
    <definedName name="_bdm.7D95730C247643EEA3B963D7969C456D.edm" hidden="1">#REF!</definedName>
    <definedName name="_bdm.7E889CBB27EA41159176861147F0AFC5.edm" hidden="1">#REF!</definedName>
    <definedName name="_bdm.7eacf50218da4246835f27f177d5fadb.edm" hidden="1">#REF!</definedName>
    <definedName name="_bdm.7EC65D909DF840588A6CA3F04BE3A31E.edm" hidden="1">#REF!</definedName>
    <definedName name="_bdm.7F13F3083E614A29B32E7B4151F4A016.edm" hidden="1">#REF!</definedName>
    <definedName name="_bdm.8014a81f189c43e0b9afcdbf2b56d201.edm" hidden="1">#REF!</definedName>
    <definedName name="_bdm.804F03656EE34D2DB392885B01F57F3D.edm" hidden="1">#REF!</definedName>
    <definedName name="_bdm.805FFD14F628439A8928B3AF3F0F25B8.edm" hidden="1">#REF!</definedName>
    <definedName name="_bdm.80A6D6EF19614E129E482B00B90292B5.edm" hidden="1">#REF!</definedName>
    <definedName name="_bdm.80B2266AE52841B79E2E9F23BF6E8149.edm" hidden="1">#REF!</definedName>
    <definedName name="_bdm.80E4624CFA544DF49D9E78665703B7DE.edm" hidden="1">#REF!</definedName>
    <definedName name="_bdm.80F6FA82A31A47C58A68A0EDE1223DD1.edm" hidden="1">#REF!</definedName>
    <definedName name="_bdm.81406bbfc2274232a76c23a59e79bfb1.edm" hidden="1">#REF!</definedName>
    <definedName name="_bdm.81A7DCB98AFA442597C5DECE5FAF135A.edm" hidden="1">#REF!</definedName>
    <definedName name="_bdm.8289850a63a64f30bd416943f73445c8.edm" hidden="1">#REF!</definedName>
    <definedName name="_bdm.84029fd2204a4f1c996d0c483f410cb3.edm" hidden="1">#REF!</definedName>
    <definedName name="_bdm.842888B6F15043AFBC913C1A8E0142B0.edm" hidden="1">#REF!</definedName>
    <definedName name="_bdm.8441f24cef574b5fb37560a8cdaebb2c.edm" hidden="1">#REF!</definedName>
    <definedName name="_bdm.84E01D2DBA1A4CCE9697F725B5F39C5C.edm" hidden="1">#REF!</definedName>
    <definedName name="_bdm.85D6C78B2B5D4D4793BCC71891259F85.edm" hidden="1">#REF!</definedName>
    <definedName name="_bdm.85E7D943FFDF4849BADDF66B787F0FE0.edm" hidden="1">#REF!</definedName>
    <definedName name="_bdm.8619819714C34785A60673868673C589.edm" hidden="1">#REF!</definedName>
    <definedName name="_bdm.8624F4AE44E14A7497E1D4088F797A76.edm" hidden="1">#REF!</definedName>
    <definedName name="_bdm.862a365d7ee245cb922b5685355cd389.edm" hidden="1">#REF!</definedName>
    <definedName name="_bdm.86539AE4DFAD4FEF8F7BC13CED1B65BD.edm" hidden="1">#REF!</definedName>
    <definedName name="_bdm.86B8F6E048DD42EDB1E538D2B5AB72A7.edm" hidden="1">#REF!</definedName>
    <definedName name="_bdm.86e418e1668348e480fcd41532825c9c.edm" hidden="1">#REF!</definedName>
    <definedName name="_bdm.86feeadfae7a481cb8b93c50284d2830.edm" hidden="1">#REF!</definedName>
    <definedName name="_bdm.8739F0B826D74C0F92B3EFB384E0D99A.edm" hidden="1">#REF!</definedName>
    <definedName name="_bdm.875710AB518640B6B7A4C6C360BD885A.edm" hidden="1">#REF!</definedName>
    <definedName name="_bdm.87EC8B54D0914194933649F313CF4230.edm" hidden="1">#REF!</definedName>
    <definedName name="_bdm.8821B96569564C7783F9355FD275A864.edm" hidden="1">#REF!</definedName>
    <definedName name="_bdm.882C59D4404640129C696AF15CB3755A.edm" hidden="1">#REF!</definedName>
    <definedName name="_bdm.8921AA538C6B4B109BBA62E9534A9C14.edm" hidden="1">#REF!</definedName>
    <definedName name="_bdm.89E6BDEE223B433E91AA988BACACCCA7.edm" hidden="1">#REF!</definedName>
    <definedName name="_bdm.8A08EA11AC38492FAE61DFC7796E493D.edm" hidden="1">#REF!</definedName>
    <definedName name="_bdm.8A0F2319A84943EABB2C42CE92AECFCE.edm" hidden="1">#REF!</definedName>
    <definedName name="_bdm.8A531667E06F41F589ECBE50EB131292.edm" hidden="1">#REF!</definedName>
    <definedName name="_bdm.8AA8BD0F69204775B0A74378BF5202C4.edm" hidden="1">#REF!</definedName>
    <definedName name="_bdm.8B35F89D16034126B13D53ADFD7752D5.edm" hidden="1">#REF!</definedName>
    <definedName name="_bdm.8D37ED638AD34A37AE5E53618DBE8226.edm" hidden="1">#REF!</definedName>
    <definedName name="_bdm.8d7830f59c774cbda20b2d4b21b36bca.edm" hidden="1">#REF!</definedName>
    <definedName name="_bdm.8DA6119DB8FF4E89A70AD5D4C3D3F063.edm" hidden="1">#N/A</definedName>
    <definedName name="_bdm.8DBC5E47CDA840288DE96589919BE62B.edm" hidden="1">#REF!</definedName>
    <definedName name="_bdm.8DCCCB4B2BC14C1AA84A9FF8A30B1264.edm" hidden="1">#REF!</definedName>
    <definedName name="_bdm.8F6996C8B88741B4AFC085E2E31F5F45.edm" hidden="1">#REF!</definedName>
    <definedName name="_bdm.8F7EA46C2AF44FD8B9853320F4C1D308.edm" hidden="1">#REF!</definedName>
    <definedName name="_bdm.8F9D84B1DA024119B21C33A792531846.edm" hidden="1">#REF!</definedName>
    <definedName name="_bdm.8FB8D0476D434CF0BB12679ACFD65F47.edm" hidden="1">#REF!</definedName>
    <definedName name="_bdm.8FC3C75C3F864B7BAD2586F1891B40CD.edm" hidden="1">#REF!</definedName>
    <definedName name="_bdm.900DA900218A492AAE89E907EDA27C79.edm" hidden="1">#REF!</definedName>
    <definedName name="_bdm.9021E5C64433461DA2545928D8C14D7C.edm" hidden="1">#REF!</definedName>
    <definedName name="_bdm.90827DD3B8DA47E6B20CF91F7AEB8DEF.edm" hidden="1">#REF!</definedName>
    <definedName name="_bdm.9153024C63394F95B439E2F1733EFCDE.edm" hidden="1">#REF!</definedName>
    <definedName name="_bdm.91A0B11909A947559083CFFAB8CC725C.edm" hidden="1">#REF!</definedName>
    <definedName name="_bdm.91B5014D282441F0AE56633B86379C51.edm" hidden="1">#REF!</definedName>
    <definedName name="_bdm.9295845727974FDA81DFBC25B6C85439.edm" hidden="1">#REF!</definedName>
    <definedName name="_bdm.92c6e2fd23fa4acf8b6e47a12fe7f94a.edm" hidden="1">#REF!</definedName>
    <definedName name="_bdm.92DE871363C0464F9E085F9868F72FF2.edm" hidden="1">#REF!</definedName>
    <definedName name="_bdm.93235CC542A84AE781376A3CAB8201B5.edm" hidden="1">#REF!</definedName>
    <definedName name="_bdm.932A88661F144B0EB0A1ABEBBFF74D41.edm" hidden="1">#REF!</definedName>
    <definedName name="_bdm.937E5C54C9C04661B537B3722FEFC15D.edm" hidden="1">#REF!</definedName>
    <definedName name="_bdm.93E88A72D9144BD9A88F5D8E349C4FC6.edm" hidden="1">#REF!</definedName>
    <definedName name="_bdm.94810449B91145CF8FE2D04E4EAC48FB.edm" hidden="1">#REF!</definedName>
    <definedName name="_bdm.948A18E54F854DF78AA6F2EA7F0F0676.edm" hidden="1">#REF!</definedName>
    <definedName name="_bdm.949B2547748F49B197C942B5AC4E9AFE.edm" hidden="1">#REF!</definedName>
    <definedName name="_bdm.94D63755E22F41798F4B40D8943C2F3C.edm" hidden="1">#REF!</definedName>
    <definedName name="_bdm.955BB573355F4380B529B457D6A9B8DB.edm" hidden="1">#REF!</definedName>
    <definedName name="_bdm.958a9696b4a349debe7d31303cf606e8.edm" hidden="1">#REF!</definedName>
    <definedName name="_bdm.95936FC30BE54F4F8BD88B9FADB3B06B.edm" hidden="1">#REF!</definedName>
    <definedName name="_bdm.9646B478C6A44110A39C09C611292BC6.edm" hidden="1">#REF!</definedName>
    <definedName name="_bdm.9653DE5D1DE340038545453292074708.edm" hidden="1">#REF!</definedName>
    <definedName name="_bdm.967b89721a8f44b8b7abff48b795d59c.edm" hidden="1">#REF!</definedName>
    <definedName name="_bdm.96A92CA2E0A5491A9F4EC2A597DD5C80.edm" hidden="1">#REF!</definedName>
    <definedName name="_bdm.96D833F6ECB84ED69D43C8F7783FCDA7.edm" hidden="1">#REF!</definedName>
    <definedName name="_bdm.9705da9c72f24415984a8fadef332d3a.edm" hidden="1">#REF!</definedName>
    <definedName name="_bdm.972A0188B6C74475B4B9ABABAF0CE384.edm" hidden="1">#REF!</definedName>
    <definedName name="_bdm.9824D1854B07496E92FBB3FBEBC06588.edm" hidden="1">#REF!</definedName>
    <definedName name="_bdm.9843AFC235C14AFC84C910A41F40EB0A.edm" hidden="1">#REF!</definedName>
    <definedName name="_bdm.986EF8DB917447AC8DC9400BF7AE52B3.edm" hidden="1">#REF!</definedName>
    <definedName name="_bdm.9877ACEE390C45A196CB01D5E3BB3F25.edm" hidden="1">#REF!</definedName>
    <definedName name="_bdm.9933D23F27BF46B8A50BF44F8F24C7E1.edm" hidden="1">#REF!</definedName>
    <definedName name="_bdm.99F55084A5364FE6884E1669DD980415.edm" hidden="1">#REF!</definedName>
    <definedName name="_bdm.9A040B5ACDCB4B0698A5B5E86E5A054C.edm" hidden="1">#REF!</definedName>
    <definedName name="_bdm.9A24B22176BD46AE80F61283EB784C24.edm" hidden="1">#REF!</definedName>
    <definedName name="_bdm.9A2B326206C24FF9BF9246D48686EF69.edm" hidden="1">#N/A</definedName>
    <definedName name="_bdm.9A33AC905BB444F196611646F4B45A33.edm" hidden="1">#REF!</definedName>
    <definedName name="_bdm.9a45c2d095a245d581393c0ae7fe4583.edm" hidden="1">#REF!</definedName>
    <definedName name="_bdm.9B405D01CC23443DB1C18C31CC760CA5.edm" hidden="1">#REF!</definedName>
    <definedName name="_bdm.9B4B4AED967146C2B5105E244C24BC28.edm" hidden="1">#REF!</definedName>
    <definedName name="_bdm.9C53B09F598E47D48CB6C24D9DCA09FC.edm" hidden="1">#N/A</definedName>
    <definedName name="_bdm.9C693B1F8DD14A379D9CA0C4D57FE6E2.edm" hidden="1">#REF!</definedName>
    <definedName name="_bdm.9CAF6C027A14488E8A0EEBFD8D5AC962.edm" hidden="1">#REF!</definedName>
    <definedName name="_bdm.9D56EB5F43204F978F37E4C059A868D1.edm" hidden="1">#REF!</definedName>
    <definedName name="_bdm.9D6AFCC90CAC4A59B167272DC3455CD4.edm" hidden="1">#REF!</definedName>
    <definedName name="_bdm.9D7AEA57863E4A2390DF02EEBA36AE3A.edm" hidden="1">#REF!</definedName>
    <definedName name="_bdm.9da63cfb85724b9a8bf84d7ac0a902cb.edm" hidden="1">#REF!</definedName>
    <definedName name="_bdm.9E6F0A82A5E5415CAAF64DE7061D11DB.edm" hidden="1">#REF!</definedName>
    <definedName name="_bdm.9F208D015B134B47B545B64FDAF07661.edm" hidden="1">#REF!</definedName>
    <definedName name="_bdm.9F46F9B0355144CD92786BC7A590E434.edm" hidden="1">#REF!</definedName>
    <definedName name="_bdm.A0CF02EA29F449759792FB9AA710768C.edm" hidden="1">#REF!</definedName>
    <definedName name="_bdm.A1817E7BA1FD45B7B1328270FF4FAF53.edm" hidden="1">#REF!</definedName>
    <definedName name="_bdm.A247B1D77986400F9A61095B26F4A68A.edm" hidden="1">#REF!</definedName>
    <definedName name="_bdm.A2D7D32E999A42C693AC64234B320B5F.edm" hidden="1">#REF!</definedName>
    <definedName name="_bdm.a39910f6b16348899ef93db85dc3b3fb.edm" hidden="1">#REF!</definedName>
    <definedName name="_bdm.A3A75D4C593949B9B996FE51C9585838.edm" hidden="1">#REF!</definedName>
    <definedName name="_bdm.A3FD5497DBE04494A34B6E84080D40A9.edm" hidden="1">#REF!</definedName>
    <definedName name="_bdm.A411065B5F324D8CBAB4FB61821C40F4.edm" hidden="1">#REF!</definedName>
    <definedName name="_bdm.A4DAC0D0633C4863AD94619826D2984F.edm" hidden="1">#REF!</definedName>
    <definedName name="_bdm.A508B333E25044FAB95CD28811999DA7.edm" hidden="1">#REF!</definedName>
    <definedName name="_bdm.A631F04C24C64FA1B3442671385A8C6F.edm" hidden="1">#REF!</definedName>
    <definedName name="_bdm.A66AE807B67643F8B8301B620184D260.edm" hidden="1">#REF!</definedName>
    <definedName name="_bdm.A6EBE14DE4BC44C28DF5E55C98A19744.edm" hidden="1">#REF!</definedName>
    <definedName name="_bdm.A7BDD56845D9412F9C4B0BA7F995B457.edm" hidden="1">#REF!</definedName>
    <definedName name="_bdm.A8855C368B0441E792C540656C2568A1.edm" hidden="1">#REF!</definedName>
    <definedName name="_bdm.A89FC4F87AEB428881A8D060C0D25C93.edm" hidden="1">#REF!</definedName>
    <definedName name="_bdm.A93E44EA09E7485B995131FEAF4E6B0F.edm" hidden="1">#REF!</definedName>
    <definedName name="_bdm.A956A545376C41AFA0BB6E78FDB1E463.edm" hidden="1">#REF!</definedName>
    <definedName name="_bdm.a959b5b656774de0ad9704988d477132.edm" hidden="1">#REF!</definedName>
    <definedName name="_bdm.A99AFBA406D64FB89B6DD45DCD9B359B.edm" hidden="1">#REF!</definedName>
    <definedName name="_bdm.AA1DA22D2B6242A1B834E84EBA658562.edm" hidden="1">#REF!</definedName>
    <definedName name="_bdm.aa503b83e58841f894b56e35fcd4758d.edm" hidden="1">#REF!</definedName>
    <definedName name="_bdm.AA800F43136D43E48FE84EB8F11154AC.edm" hidden="1">#REF!</definedName>
    <definedName name="_bdm.AA83FF06981C438D9FFB6784B6C11E6B.edm" hidden="1">#REF!</definedName>
    <definedName name="_bdm.AB061C648D314BCBBEB8E5498C965AFF.edm" hidden="1">#REF!</definedName>
    <definedName name="_bdm.AB5EC28A3C6F4DBBB2909BDAFC1FA969.edm" hidden="1">#REF!</definedName>
    <definedName name="_bdm.ABE8C9034EC54986B0EE063EDD66AB43.edm" hidden="1">#REF!</definedName>
    <definedName name="_bdm.AD41DDE7431F4602AB79648F8DFACF67.edm" hidden="1">#REF!</definedName>
    <definedName name="_bdm.AD5A6331246A4F19A261362F47B704A5.edm" hidden="1">#REF!</definedName>
    <definedName name="_bdm.ADD40332324C4D18A8C9D57083A36C27.edm" hidden="1">#REF!</definedName>
    <definedName name="_bdm.ae0c22fb8a9040fea0e5045247bc7e8c.edm" hidden="1">#REF!</definedName>
    <definedName name="_bdm.AE148FA4168546C58A598F1DF2EFA90E.edm" hidden="1">#REF!</definedName>
    <definedName name="_bdm.AE48393B14B34F5A9D1F8B314A6B61CE.edm" hidden="1">#REF!</definedName>
    <definedName name="_bdm.af0a8eeff89d47d6a3f11360025356d6.edm" hidden="1">#REF!</definedName>
    <definedName name="_bdm.AF96C98CFADB40A29FBC55BF472EC83D.edm" hidden="1">#REF!</definedName>
    <definedName name="_bdm.B0621781755A4650AB79B0F302E29759.edm" hidden="1">#REF!</definedName>
    <definedName name="_bdm.B1AB6DB0ACBD4AFEA14C0F9F6FA47775.edm" hidden="1">#REF!</definedName>
    <definedName name="_bdm.B1B8B01901474A3FAEDD99532F0512D9.edm" hidden="1">#REF!</definedName>
    <definedName name="_bdm.B21235BCF6604B82AA6C6B8F0FFF699E.edm" hidden="1">#REF!</definedName>
    <definedName name="_bdm.B2307084EF9F4C7D8716E7C83539FC82.edm" hidden="1">#REF!</definedName>
    <definedName name="_bdm.B238B0BF07174C20BE49BB50D2EFA2EF.edm" hidden="1">#REF!</definedName>
    <definedName name="_bdm.b27dbbfe5d4d487b95ebe2f0e5ca2436.edm" hidden="1">#REF!</definedName>
    <definedName name="_bdm.B283837471F34CCBA9E7AF9F10093756.edm" hidden="1">#REF!</definedName>
    <definedName name="_bdm.B284BBA334874EEFA4767558940763E1.edm" hidden="1">#REF!</definedName>
    <definedName name="_bdm.b2b9dceb386140fcabb91280b2196902.edm" hidden="1">#REF!</definedName>
    <definedName name="_bdm.B2C35A47FB1A4A3F88326AF1BEB8C12C.edm" hidden="1">#REF!</definedName>
    <definedName name="_bdm.B2F3F41B90384D609C598ACA4C045722.edm" hidden="1">#REF!</definedName>
    <definedName name="_bdm.B31F0C67559C40CFBA36A3D04EB3FD7C.edm" hidden="1">#REF!</definedName>
    <definedName name="_bdm.B34198F78CC043239767DA1C385649DB.edm" hidden="1">#REF!</definedName>
    <definedName name="_bdm.B3A4BD6B228F429D84F19E39334DE333.edm" hidden="1">#N/A</definedName>
    <definedName name="_bdm.B3A9F977F4314E89BFCED45B7CD43B23.edm" hidden="1">#REF!</definedName>
    <definedName name="_bdm.B3ACEA44F2294844BF284B61ED0026F2.edm" hidden="1">#REF!</definedName>
    <definedName name="_bdm.B3C3AA356CE24FDDB9FA3667EB226B90.edm" hidden="1">#REF!</definedName>
    <definedName name="_bdm.B3E1854C8CFA4833BC002D14F0D3D6C1.edm" hidden="1">#REF!</definedName>
    <definedName name="_bdm.B4437C5413BE404383BD19DD6769B91D.edm" hidden="1">#REF!</definedName>
    <definedName name="_bdm.B44B39F24B8F404A9B79CFADC1040818.edm" hidden="1">#REF!</definedName>
    <definedName name="_bdm.B4E0A942ACB6477BA9616C7683885D79.edm" hidden="1">#REF!</definedName>
    <definedName name="_bdm.B4E22011F915428FA5A0D0B0E6F899EB.edm" hidden="1">#REF!</definedName>
    <definedName name="_bdm.B5094461F488437A9A822C174EA8AA5E.edm" hidden="1">#REF!</definedName>
    <definedName name="_bdm.b549e0319b1d4d4f8b0d40f9817d3849.edm" hidden="1">#REF!</definedName>
    <definedName name="_bdm.B5E56900AEE7463EA843066AD9C1DBB0.edm" hidden="1">#REF!</definedName>
    <definedName name="_bdm.B62AFDF0C9064AF3869DADD40F90B273.edm" hidden="1">#REF!</definedName>
    <definedName name="_bdm.B6B12FFDEA024C84B9F9141054595299.edm" hidden="1">#N/A</definedName>
    <definedName name="_bdm.B6F88C8CEE704951B11DD738AD559123.edm" hidden="1">#REF!</definedName>
    <definedName name="_bdm.B725C9C38DBC4EF480B8AD3B484E3030.edm" hidden="1">#REF!</definedName>
    <definedName name="_bdm.B75DFC9B2CE8450AA8877DDBEDBDE60B.edm" hidden="1">#REF!</definedName>
    <definedName name="_bdm.B80F625885894CA6822B3B9EC2C4B103.edm" hidden="1">#REF!</definedName>
    <definedName name="_bdm.B84D1F02013F42A68B2196ED360ECEE1.edm" hidden="1">#REF!</definedName>
    <definedName name="_bdm.B94ED3E620B644C58A62EB65AAA1D7FF.edm" hidden="1">#REF!</definedName>
    <definedName name="_bdm.B97D9B136D0A4F9BB5287231BCBB617C.edm" hidden="1">#REF!</definedName>
    <definedName name="_bdm.B993F17BDCB944D7B0FDD7C6618720FA.edm" hidden="1">#REF!</definedName>
    <definedName name="_bdm.B9A8D500C744459C9F195AC41BDB245D.edm" hidden="1">#REF!</definedName>
    <definedName name="_bdm.B9DB597268FF4E6A9C506BE1E771F551.edm" hidden="1">#REF!</definedName>
    <definedName name="_bdm.B9DF74829F3B4CD6988F4DE0DB1BCF38.edm" hidden="1">#REF!</definedName>
    <definedName name="_bdm.B9FA0D73802D460D9753D070E00F2518.edm" hidden="1">#REF!</definedName>
    <definedName name="_bdm.BA35F86C913C454C9F7E55A2F807E4BE.edm" hidden="1">#REF!</definedName>
    <definedName name="_bdm.BA87B23BDD0045309F1DFE71D4C3B113.edm" hidden="1">#REF!</definedName>
    <definedName name="_bdm.BABF452210574A9CA93D617BC84B3A91.edm" hidden="1">#REF!</definedName>
    <definedName name="_bdm.BAD6743125F64CF5B46CFDEB8D68D329.edm" hidden="1">#REF!</definedName>
    <definedName name="_bdm.BAF090EDB36940DF8EAB5F8FDBC9917A.edm" hidden="1">#REF!</definedName>
    <definedName name="_bdm.BB998E3468A04264B722FFB382DAD4A6.edm" hidden="1">#REF!</definedName>
    <definedName name="_bdm.BC0211E181094707BD7C6FE5463B3D99.edm" hidden="1">#REF!</definedName>
    <definedName name="_bdm.BCC54364CD1942AC8C89A97A92113290.edm" hidden="1">#REF!</definedName>
    <definedName name="_bdm.BD495EBDC1914DBD9B6470BCA0B93927.edm" hidden="1">#REF!</definedName>
    <definedName name="_bdm.BDF86781587B4CE2802B5B5770960A62.edm" hidden="1">#REF!</definedName>
    <definedName name="_bdm.BF26B38A53B94A02B49ED20FDC7B90F7.edm" hidden="1">#REF!</definedName>
    <definedName name="_bdm.BF38EDEC9C0741078123029737F9BFD3.edm" hidden="1">#REF!</definedName>
    <definedName name="_bdm.bf48fd25b20d48ffaa1b4fdef5e2ae5e.edm" hidden="1">#REF!</definedName>
    <definedName name="_bdm.C0304B96ECE24D2992715D7FCE5D8B71.edm" hidden="1">#REF!</definedName>
    <definedName name="_bdm.C0543421CD694029A02AED39B7B4A4E4.edm" hidden="1">#REF!</definedName>
    <definedName name="_bdm.C05F64A50B1C49B18A42EF3653A60752.edm" hidden="1">#REF!</definedName>
    <definedName name="_bdm.C0AF0529C5EE4334BC78FCB26BC04820.edm" hidden="1">#REF!</definedName>
    <definedName name="_bdm.C0F450AE914E4376B0FFB9F969683C09.edm" hidden="1">#REF!</definedName>
    <definedName name="_bdm.C1E9DC370AFD493B96374786ACD5EFEA.edm" hidden="1">#REF!</definedName>
    <definedName name="_bdm.c2221da5cfa14ebc97a26c23bbe958b0.edm" hidden="1">#REF!</definedName>
    <definedName name="_bdm.C2B2D6ED6A2E46B79F04E519AC7AF970.edm" hidden="1">#REF!</definedName>
    <definedName name="_bdm.C3237E6B1FFC4DCBA75404594775A07E.edm" hidden="1">#REF!</definedName>
    <definedName name="_bdm.C339B5DB3E594D95A66F2D5E433755E4.edm" hidden="1">#REF!</definedName>
    <definedName name="_bdm.C36A13298BB54AD88301BD1203C4CD54.edm" hidden="1">#REF!</definedName>
    <definedName name="_bdm.C37CDF7D9160439B8EE8D5B3B3971FA5.edm" hidden="1">#REF!</definedName>
    <definedName name="_bdm.C40B67D061CB44D88266843C77C4A875.edm" hidden="1">#REF!</definedName>
    <definedName name="_bdm.C570CEC2E201448697EEA67AEEC48C92.edm" hidden="1">#REF!</definedName>
    <definedName name="_bdm.C5DC8FA93DE442CCB61B4A0C11C100E3.edm" hidden="1">#REF!</definedName>
    <definedName name="_bdm.C5EA0C259E63403D93B5EA89078017EC.edm" hidden="1">#REF!</definedName>
    <definedName name="_bdm.C6431F7D8E184B61B695E4CD7A6BA286.edm" hidden="1">#REF!</definedName>
    <definedName name="_bdm.C6B7218D518D4DEFBDE91D23E5344CC7.edm" hidden="1">#REF!</definedName>
    <definedName name="_bdm.C6CBB324C3DF4C78ADFFE620653991B6.edm" hidden="1">#REF!</definedName>
    <definedName name="_bdm.C752B30334FD4D6B911EEB3E8BFBCDB8.edm" hidden="1">#REF!</definedName>
    <definedName name="_bdm.C7DBB29E3D8D41B69A73DF63E338BC5B.edm" hidden="1">#REF!</definedName>
    <definedName name="_bdm.C7EC7C9397A74D5B838601EA86DF84CF.edm" hidden="1">#REF!</definedName>
    <definedName name="_bdm.C80DFA93FBFA43969ECC38920DD2C9C2.edm" hidden="1">#REF!</definedName>
    <definedName name="_bdm.C88AFA8E94C6438498AB0CFC62AF535D.edm" hidden="1">#N/A</definedName>
    <definedName name="_bdm.C92855286E524CC6AA6FE531BB1AC235.edm" hidden="1">#REF!</definedName>
    <definedName name="_bdm.c96bb1d40f9f4f838e6bf1319a50ca65.edm" hidden="1">#REF!</definedName>
    <definedName name="_bdm.CB1F284F6F3F44C7AA34271F2E4A7366.edm" hidden="1">#REF!</definedName>
    <definedName name="_bdm.CB22EAFD62BC44F2824F5B70DE2722FC.edm" hidden="1">#REF!</definedName>
    <definedName name="_bdm.CC8D4248568C4E39836F45FE408706B5.edm" hidden="1">#REF!</definedName>
    <definedName name="_bdm.CC971240B06D4B72974932A5991C4C48.edm" hidden="1">#REF!</definedName>
    <definedName name="_bdm.CCDBB06690E640C1A8B075607965F8FB.edm" hidden="1">#REF!</definedName>
    <definedName name="_bdm.CD26987DE32D4671AE827B5655D52F15.edm" hidden="1">#REF!</definedName>
    <definedName name="_bdm.ce427e876e6242df92a079a5b9e432a2.edm" hidden="1">#REF!</definedName>
    <definedName name="_bdm.CEB1A2C583D34065857A7E8E8DA7C6B7.edm" hidden="1">#REF!</definedName>
    <definedName name="_bdm.CF02168FB8E9419AAAE043008F3ED3FA.edm" hidden="1">#REF!</definedName>
    <definedName name="_bdm.D03F53F083AB47DDB0AA114CCD0F9CE2.edm" hidden="1">#REF!</definedName>
    <definedName name="_bdm.D0423E6A4FFC436AA4D38948B7D7A19E.edm" hidden="1">#REF!</definedName>
    <definedName name="_bdm.D04DF9632C8847EF98BCCAE0B786BF73.edm" hidden="1">#REF!</definedName>
    <definedName name="_bdm.D09924EFCD5F4945A75C01BA27084DAA.edm" hidden="1">#REF!</definedName>
    <definedName name="_bdm.D09B80795EF541A287486283862F6944.edm" hidden="1">#REF!</definedName>
    <definedName name="_bdm.D1AD1FD987FC48DDB27340619D17BD4B.edm" hidden="1">#REF!</definedName>
    <definedName name="_bdm.D2B1740531EB42EFA55C061A4965B641.edm" hidden="1">#REF!</definedName>
    <definedName name="_bdm.D2CCADD4FC5B49ACA9EC2095F713590B.edm" hidden="1">#REF!</definedName>
    <definedName name="_bdm.d2e05b7bbe394a179c59d0b9c826a5bc.edm" hidden="1">#REF!</definedName>
    <definedName name="_bdm.D35661170E5544B0AB8B1C85FFF3A75F.edm" hidden="1">#REF!</definedName>
    <definedName name="_bdm.D3EDFD64385E40D69A79C80D81B305D2.edm" hidden="1">#REF!</definedName>
    <definedName name="_bdm.D4590E31785042E9BDCEF3B2354E20DD.edm" hidden="1">#REF!</definedName>
    <definedName name="_bdm.D4850A8A27AA4685999755CDE2C5945C.edm" hidden="1">#REF!</definedName>
    <definedName name="_bdm.D4CF1C6FAE0C4663851E52BF8B871FAD.edm" hidden="1">#REF!</definedName>
    <definedName name="_bdm.D59C811B3D494A0EA74B1169FA91A502.edm" hidden="1">#REF!</definedName>
    <definedName name="_bdm.D619F92786E0454786C79CB7B1156B09.edm" hidden="1">#REF!</definedName>
    <definedName name="_bdm.D677CBE865C447399A20D13A16482277.edm" hidden="1">#REF!</definedName>
    <definedName name="_bdm.d6ce46683f2249aaaad631f3506c19ec.edm" hidden="1">#REF!</definedName>
    <definedName name="_bdm.D7A7E3C542724D59AB9152AE3CE78586.edm" hidden="1">#REF!</definedName>
    <definedName name="_bdm.D7CD4C512BCA4CD2B45591CE8BDEAD0B.edm" hidden="1">#REF!</definedName>
    <definedName name="_bdm.D7E0ACE8AD814A1BB89B25C84084CF13.edm" hidden="1">#REF!</definedName>
    <definedName name="_bdm.d7f15742803841e9b2a1815cb1c98f3e.edm" hidden="1">#REF!</definedName>
    <definedName name="_bdm.d832970f46844d3ea85c5b99dd7f192f.edm" hidden="1">#REF!</definedName>
    <definedName name="_bdm.d8fe9cbb1f124415bb83dfd796babb6c.edm" hidden="1">#REF!</definedName>
    <definedName name="_bdm.D935410C6D51491AA424CF14990C5EBC.edm" hidden="1">#REF!</definedName>
    <definedName name="_bdm.D9D944A6D3E34B7B8EFE3724375E0152.edm" hidden="1">#REF!</definedName>
    <definedName name="_bdm.D9ECDB47EB944209A49F9DEB77C8F931.edm" hidden="1">#REF!</definedName>
    <definedName name="_bdm.DA519DD06AD04286B81FAF2A763BFB6F.edm" hidden="1">#REF!</definedName>
    <definedName name="_bdm.db82f91749484738b76f5e0d272f3f6b.edm" hidden="1">#REF!</definedName>
    <definedName name="_bdm.DBB5ACDA5BD746A98542AFB153BDFEF7.edm" hidden="1">#REF!</definedName>
    <definedName name="_bdm.DBB7B9E409C34D8294D0997646FCBE69.edm" hidden="1">#REF!</definedName>
    <definedName name="_bdm.DBD99F5645254F80BB9955CF92A1A9AF.edm" hidden="1">#REF!</definedName>
    <definedName name="_bdm.DC32E0CB559443F4A9E92D02A6B84DE5.edm" hidden="1">#REF!</definedName>
    <definedName name="_bdm.DC4D9CF90E7D4ACD9DB0549A683B8465.edm" hidden="1">#REF!</definedName>
    <definedName name="_bdm.DC875A1E5D7247BFAB834A855BD35C6E.edm" hidden="1">#REF!</definedName>
    <definedName name="_bdm.DC9CA7F15CCA471EBCEE56A3A16E2C4E.edm" hidden="1">#REF!</definedName>
    <definedName name="_bdm.DCD4238C512B4EA5AC02BAA7BE4DDB96.edm" hidden="1">#REF!</definedName>
    <definedName name="_bdm.DD095069D3AF48E6A145C9F0FC3C1FAA.edm" hidden="1">#REF!</definedName>
    <definedName name="_bdm.DD72E3E4240445EEBF6632FBF3BDB2F2.edm" hidden="1">#REF!</definedName>
    <definedName name="_bdm.dd9b5201f9ef41e0877d911c9e9c8e7f.edm" hidden="1">#REF!</definedName>
    <definedName name="_bdm.DDF07D276443410880AED92640235617.edm" hidden="1">#REF!</definedName>
    <definedName name="_bdm.DE146303A2C64E8B9F6B0CC32AF7454D.edm" hidden="1">#REF!</definedName>
    <definedName name="_bdm.de23e503b950465ba0ef790cbea66611.edm" hidden="1">#REF!</definedName>
    <definedName name="_bdm.DE7A6EF29FA14EB892B9AE01C1A7F4A2.edm" hidden="1">#REF!</definedName>
    <definedName name="_bdm.DE98270AB5A941F2B59BAC96AB2837C2.edm" hidden="1">#REF!</definedName>
    <definedName name="_bdm.defeee2c227a4d4e805f47e1a7e9594b.edm" hidden="1">#REF!</definedName>
    <definedName name="_bdm.DF106DD122D9423AA9E739AB8C8AFB7C.edm" hidden="1">#REF!</definedName>
    <definedName name="_bdm.dfe93628459c42c0a1b230efe5da0e6f.edm" hidden="1">#REF!</definedName>
    <definedName name="_bdm.E0202CCEAE9B45DF800CD86E6F67C09C.edm" hidden="1">#REF!</definedName>
    <definedName name="_bdm.e0d2225138bd4b84bf9cf781dd3ddd10.edm" hidden="1">#REF!</definedName>
    <definedName name="_bdm.e14ebc830005426db01d539ed11ffbbb.edm" hidden="1">#REF!</definedName>
    <definedName name="_bdm.E20A39970C934A56827944A7083536AD.edm" hidden="1">#REF!</definedName>
    <definedName name="_bdm.E2146D56B51D42BFA7A36787BB2091E1.edm" hidden="1">#REF!</definedName>
    <definedName name="_bdm.E28F4DC58D17427F81D60C9AF9C615BF.edm" hidden="1">#REF!</definedName>
    <definedName name="_bdm.E2BF0CF6213A4E58ADC7C744CEAF5C83.edm" hidden="1">#REF!</definedName>
    <definedName name="_bdm.e2ebcd33312e4abbbf453f2c26ea7ac9.edm" hidden="1">#REF!</definedName>
    <definedName name="_bdm.E3061F9D23BA494BB145113ACB2F7327.edm" hidden="1">#REF!</definedName>
    <definedName name="_bdm.E36DA5890E2046EFB7DA33B348CA388C.edm" hidden="1">#REF!</definedName>
    <definedName name="_bdm.E39EBCDC1C124205BED5C8547A5B72D1.edm" hidden="1">#REF!</definedName>
    <definedName name="_bdm.E3F39A4C774D40E2967721210C2879F3.edm" hidden="1">#REF!</definedName>
    <definedName name="_bdm.E43160091D894E4682594BC359201658.edm" hidden="1">#REF!</definedName>
    <definedName name="_bdm.E44F4A6711374D6B91AADB9FA3F6C5C5.edm" hidden="1">#REF!</definedName>
    <definedName name="_bdm.E489436D3DF346DE907A0360E5EAEC8D.edm" hidden="1">#REF!</definedName>
    <definedName name="_bdm.E48B019D23A34E2FB36833D571C08B02.edm" hidden="1">#REF!</definedName>
    <definedName name="_bdm.e50c148df0d94afe9036d798361eb9c5.edm" hidden="1">#REF!</definedName>
    <definedName name="_bdm.E5743739224A4283ADB83CE2636E223E.edm" hidden="1">#REF!</definedName>
    <definedName name="_bdm.e5c26aa359834bbc9635fd245036c75d.edm" hidden="1">#REF!</definedName>
    <definedName name="_bdm.E5FC0CF48FB5437C8A20BA5DCB395152.edm" hidden="1">#REF!</definedName>
    <definedName name="_bdm.E66671197BB84D9CB784EBA8A298DD70.edm" hidden="1">#REF!</definedName>
    <definedName name="_bdm.E69E4802DC434ADBA8081243844C6988.edm" hidden="1">#REF!</definedName>
    <definedName name="_bdm.E6EAF6EA2CB94A3988683635710F111D.edm" hidden="1">#REF!</definedName>
    <definedName name="_bdm.E6EE4D346442467587874AB112A91B00.edm" hidden="1">#REF!</definedName>
    <definedName name="_bdm.E7423D687DCC44E08A636FF1C03B7327.edm" hidden="1">#REF!</definedName>
    <definedName name="_bdm.E747304E50CC42809E31B35572E376F6.edm" hidden="1">#REF!</definedName>
    <definedName name="_bdm.E760B70AB6D44349B0F46823EFBDA54D.edm" hidden="1">#REF!</definedName>
    <definedName name="_bdm.E7879069D6544094ACC574392F02FCDC.edm" hidden="1">#REF!</definedName>
    <definedName name="_bdm.E7CB8804B9E445D18E03D62F4AE5EA14.edm" hidden="1">#REF!</definedName>
    <definedName name="_bdm.E7F147181F6749909E86AE0B94642443.edm" hidden="1">#REF!</definedName>
    <definedName name="_bdm.E7FE84A084364391BB41DB428BD74FDA.edm" hidden="1">#REF!</definedName>
    <definedName name="_bdm.E82B9A19CF4343EC9674771C65B0EBE1.edm" hidden="1">#REF!</definedName>
    <definedName name="_bdm.E83131132811402EAD49BD1EA8CD48EB.edm" hidden="1">#REF!</definedName>
    <definedName name="_bdm.E9905BC403254510A5C8BB975C19D221.edm" hidden="1">#REF!</definedName>
    <definedName name="_bdm.E9939EA0C06A4D33BD55829357CAEA83.edm" hidden="1">#REF!</definedName>
    <definedName name="_bdm.E9CF464F22A84AA6975FEE9F15F4A7FC.edm" hidden="1">#REF!</definedName>
    <definedName name="_bdm.E9E307659C3C4FBF897790A0D326B4A8.edm" hidden="1">#REF!</definedName>
    <definedName name="_bdm.E9EE559E6F4248D18E2D4C03DF8C296A.edm" hidden="1">#REF!</definedName>
    <definedName name="_bdm.EA4DEB90385B4240B559AB053F5D7384.edm" hidden="1">#REF!</definedName>
    <definedName name="_bdm.EA90692A9A854C42A909A8D0E0E78763.edm" hidden="1">#REF!</definedName>
    <definedName name="_bdm.EB193AD7D56647E8B33736278248FB8E.edm" hidden="1">#REF!</definedName>
    <definedName name="_bdm.eb92ceea4b85440680e1e58b55cb0c99.edm" hidden="1">#REF!</definedName>
    <definedName name="_bdm.ECD7CD27800F4C01A85872A2A17ACFFB.edm" hidden="1">#REF!</definedName>
    <definedName name="_bdm.ED0C18D1621B4EAEA5215BE441249EBB.edm" hidden="1">#REF!</definedName>
    <definedName name="_bdm.EDAAEECA2DBC4B0584397B03489516CA.edm" hidden="1">#REF!</definedName>
    <definedName name="_bdm.EDE90AADB97F4FB4872ACDD83889FF30.edm" hidden="1">#REF!</definedName>
    <definedName name="_bdm.EDF9E1546C2140E3A88416C4BE2667E3.edm" hidden="1">#REF!</definedName>
    <definedName name="_bdm.EE641F58DFEF4258A8597F4F5C2007D8.edm" hidden="1">#REF!</definedName>
    <definedName name="_bdm.EE7FB79BA0C245EBA45A8052DB95D782.edm" hidden="1">#REF!</definedName>
    <definedName name="_bdm.ef45477c88e64c078f4fac629171ab82.edm" hidden="1">#REF!</definedName>
    <definedName name="_bdm.EF75AAC0F11345B5B6FEEC3D8F94705E.edm" hidden="1">#REF!</definedName>
    <definedName name="_bdm.EF7A9AF8685C46ED8F865C3EE8870754.edm" hidden="1">#REF!</definedName>
    <definedName name="_bdm.F04F4E7E061A46B1B6791076165C1BA7.edm" hidden="1">#REF!</definedName>
    <definedName name="_bdm.f09fd8df88ab441ca610218ed879b200.edm" hidden="1">#REF!</definedName>
    <definedName name="_bdm.f1218a9252db464dbb86ea52660ac728.edm" hidden="1">#REF!</definedName>
    <definedName name="_bdm.F1E0FC2F3EB04B88AAA80D60A91C07BC.edm" hidden="1">#REF!</definedName>
    <definedName name="_bdm.f23d8990ef2e412fb60cb39e6fa47ef8.edm" hidden="1">#REF!</definedName>
    <definedName name="_bdm.F2D7291CDB3D4FC3B160BBE6876EBBC4.edm" hidden="1">#REF!</definedName>
    <definedName name="_bdm.F2F8A725C0EF443AAB58E6D35B1B9F1D.edm" hidden="1">#REF!</definedName>
    <definedName name="_bdm.f32a2a5f347b47b39d71cf6cdb24778d.edm" hidden="1">#REF!</definedName>
    <definedName name="_bdm.F37276AFD694462CBFE4BB1A4661BFD7.edm" hidden="1">#REF!</definedName>
    <definedName name="_bdm.f39f1b2c270044c1884a0050ac2ca9e6.edm" hidden="1">#REF!</definedName>
    <definedName name="_bdm.F3EFE946BB1645DCAAFE2F786B617A19.edm" hidden="1">#REF!</definedName>
    <definedName name="_bdm.F4D182427A0D4B5481C7F3065D86822D.edm" hidden="1">#REF!</definedName>
    <definedName name="_bdm.F4F73DBE5B974BA68D1877DDE99E313F.edm" hidden="1">#REF!</definedName>
    <definedName name="_bdm.f533adff5cc6498186d2b5652bdedfe4.edm" hidden="1">#REF!</definedName>
    <definedName name="_bdm.F668575024A54B62B5FE159042CE6D74.edm" hidden="1">#REF!</definedName>
    <definedName name="_bdm.F6922AD455B24AC2A1C1B443764C1205.edm" hidden="1">#REF!</definedName>
    <definedName name="_bdm.F6A828CF2B724605A28FA4D36DE5E0EE.edm" hidden="1">#REF!</definedName>
    <definedName name="_bdm.F7132AC7BB4A4C0DA0D7053C053C4CC6.edm" hidden="1">#REF!</definedName>
    <definedName name="_bdm.F74F088D4E344235A54774DAFAC46D4A.edm" hidden="1">#REF!</definedName>
    <definedName name="_bdm.F83612F9F2B74E8580278D9F885F56E7.edm" hidden="1">#REF!</definedName>
    <definedName name="_bdm.F88F076BB6694DC186B3666D010501EC.edm" hidden="1">#REF!</definedName>
    <definedName name="_bdm.F8FC83D03C874DEA8992887C0CAAAF32.edm" hidden="1">#REF!</definedName>
    <definedName name="_bdm.F93EDABDA4534BCF8AFE6848E08D07C8.edm" hidden="1">#REF!</definedName>
    <definedName name="_bdm.fa291217c36549b6b9c1bb4c4656d8d7.edm" hidden="1">#REF!</definedName>
    <definedName name="_bdm.FA76B221A40448DA9B7AF85FF9A6E014.edm" hidden="1">#REF!</definedName>
    <definedName name="_bdm.FA84F58C8C0347EABAB83C6CA9263675.edm" hidden="1">#REF!</definedName>
    <definedName name="_bdm.FAA4AA31B4A048D29FC5CAB93BE9A429.edm" hidden="1">#REF!</definedName>
    <definedName name="_bdm.FACDE5C901294AA6A5A8D69CCFC7EE9F.edm" hidden="1">#REF!</definedName>
    <definedName name="_bdm.FastTrackBookmark.1_30_2020_11_38_46_PM.edm" hidden="1">#REF!</definedName>
    <definedName name="_bdm.FastTrackBookmark.12_10_2005_4_35_12_PM.edm" hidden="1">#REF!</definedName>
    <definedName name="_bdm.FastTrackBookmark.12_10_2005_4_35_13_PM.edm" hidden="1">#REF!</definedName>
    <definedName name="_bdm.FastTrackBookmark.12_14_2005_3_58_56_PM.edm" hidden="1">#REF!</definedName>
    <definedName name="_bdm.FastTrackBookmark.6_30_2009_4_34_16_PM.edm" hidden="1">#REF!</definedName>
    <definedName name="_bdm.FastTrackBookmark.8_23_2004_10_50_33_AM.edm" hidden="1">#REF!</definedName>
    <definedName name="_bdm.FastTrackBookmark.8_23_2004_10_50_37_AM.edm" hidden="1">#REF!</definedName>
    <definedName name="_bdm.FastTrackBookmark.8_23_2004_10_54_30_AM.edm" hidden="1">#REF!</definedName>
    <definedName name="_bdm.FastTrackBookmark.8_23_2004_10_54_40_AM.edm" hidden="1">#REF!</definedName>
    <definedName name="_bdm.FastTrackBookmark.8_23_2004_3_57_07_PM.edm" hidden="1">#REF!</definedName>
    <definedName name="_bdm.FastTrackBookmark.8_23_2004_3_57_16_PM.edm" hidden="1">#REF!</definedName>
    <definedName name="_bdm.FastTrackBookmark.8_23_2004_4_05_53_PM.edm" hidden="1">#REF!</definedName>
    <definedName name="_bdm.FastTrackBookmark.8_23_2004_4_06_00_PM.edm" hidden="1">#REF!</definedName>
    <definedName name="_bdm.FB1E9E00540E472A9C8CFF6D783FC853.edm" hidden="1">#N/A</definedName>
    <definedName name="_bdm.FB72741E774A49088D16A9B2C010ED3A.edm" hidden="1">#REF!</definedName>
    <definedName name="_bdm.FB7F1A7645214169AE2AB6573203C693.edm" hidden="1">#REF!</definedName>
    <definedName name="_bdm.FC33060EBDC242D8A9AC035BB7340F1D.edm" hidden="1">#REF!</definedName>
    <definedName name="_bdm.fd08819146664e47b20649034fa7ce0d.edm" hidden="1">#REF!</definedName>
    <definedName name="_bdm.FD419D728EEE4E35899F2FE5B3B58234.edm" hidden="1">#REF!</definedName>
    <definedName name="_bdm.FD84FAF3D478437DBCC15ECFAC6E8AB9.edm" hidden="1">#REF!</definedName>
    <definedName name="_bdm.FD98FC87081B4B0A8A929F6045D7BEBB.edm" hidden="1">#REF!</definedName>
    <definedName name="_bdm.FE1CF0F9DA8D484BA18FFCE8B6DA2D22.edm" hidden="1">#REF!</definedName>
    <definedName name="_bdm.FE2ACCB92A9846EFA811FA1F5B762938.edm" hidden="1">#REF!</definedName>
    <definedName name="_bdm.FECC922A73CE4ED5AEF0561D82336DED.edm" hidden="1">#REF!</definedName>
    <definedName name="_bdm.FF0A03FB97DA4D188B322E3A6EF53865.edm" hidden="1">#REF!</definedName>
    <definedName name="_bdm.FFD97655F89D4868B19F5A48292E1019.edm" hidden="1">#REF!</definedName>
    <definedName name="_bdm.FFFC152FC94848048D9888D8E2116D1E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ud02">#REF!</definedName>
    <definedName name="_Bud03">#REF!</definedName>
    <definedName name="_CAM96">#REF!</definedName>
    <definedName name="_CAM97">#REF!</definedName>
    <definedName name="_CAM98">#REF!</definedName>
    <definedName name="_dan1" hidden="1">#REF!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hidden="1">#REF!</definedName>
    <definedName name="_Dist_Values" hidden="1">#REF!</definedName>
    <definedName name="_DPU95">#REF!</definedName>
    <definedName name="_e4" hidden="1">{"new",#N/A,FALSE,"D";"PROFORMA",#N/A,FALSE,"A";"partial 1",#N/A,FALSE,"B";"partial 2",#N/A,FALSE,"B";"partial 3",#N/A,FALSE,"B";"SMALL CF 1",#N/A,FALSE,"C"}</definedName>
    <definedName name="_e4567" hidden="1">{"Status",#N/A,FALSE,"Consol";"StatusDetail",#N/A,FALSE,"Consol"}</definedName>
    <definedName name="_end1">IF([0]!Loan_Amount*[0]!Interest_Rate*[0]!Loan_Years*[0]!Loan_Start&gt;0,1,0)</definedName>
    <definedName name="_EPU01">#REF!</definedName>
    <definedName name="_EPU02">#REF!</definedName>
    <definedName name="_EPU03">#REF!</definedName>
    <definedName name="_EPU04">#REF!</definedName>
    <definedName name="_EPU96">#REF!</definedName>
    <definedName name="_EPU97">#REF!</definedName>
    <definedName name="_EPU98">#REF!</definedName>
    <definedName name="_EPU99">#REF!</definedName>
    <definedName name="_EXP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3" hidden="1">{#N/A,#N/A,FALSE,"Class A";#N/A,#N/A,FALSE,"Class B";#N/A,#N/A,FALSE,"Class C"}</definedName>
    <definedName name="_FG1" hidden="1">{"schedule1",#N/A,FALSE,"Sheet1";"schedule2",#N/A,FALSE,"Sheet1";"schedule3",#N/A,FALSE,"Sheet1";"schedule4",#N/A,FALSE,"Sheet1";"schedule5",#N/A,FALSE,"Sheet1";"schedule6",#N/A,FALSE,"Sheet1"}</definedName>
    <definedName name="_Fil1" hidden="1">#REF!</definedName>
    <definedName name="_Fill" hidden="1">#REF!</definedName>
    <definedName name="_Fill1" hidden="1">#REF!</definedName>
    <definedName name="_Fill2" hidden="1">#REF!</definedName>
    <definedName name="_Fillb" hidden="1">#REF!</definedName>
    <definedName name="_Fillc" hidden="1">#REF!</definedName>
    <definedName name="_Filll" hidden="1">#REF!</definedName>
    <definedName name="_FL" hidden="1">#REF!</definedName>
    <definedName name="_fx2" hidden="1">#REF!</definedName>
    <definedName name="_FX2006" hidden="1">{#N/A,#N/A,FALSE,"Aging Summary";#N/A,#N/A,FALSE,"Ratio Analysis";#N/A,#N/A,FALSE,"Test 120 Day Accts";#N/A,#N/A,FALSE,"Tickmarks"}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fd2" hidden="1">{#N/A,#N/A,FALSE,"Cashflow Analysis";#N/A,#N/A,FALSE,"Sensitivity Analysis";#N/A,#N/A,FALSE,"PV";#N/A,#N/A,FALSE,"Pro Forma"}</definedName>
    <definedName name="_INC01">#REF!</definedName>
    <definedName name="_INC02">#REF!</definedName>
    <definedName name="_INC03">#REF!</definedName>
    <definedName name="_INC04">#REF!</definedName>
    <definedName name="_INC05">#REF!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jc1" hidden="1">{"'Cash Requirements 5F '!$A$1:$AC$48"}</definedName>
    <definedName name="_jc2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_jc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_jc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_k" hidden="1">{#N/A,#N/A,FALSE,"Project Properties";#N/A,#N/A,FALSE,"Eng %";#N/A,#N/A,FALSE,"ENGFORM";#N/A,#N/A,FALSE,"staffing";#N/A,#N/A,FALSE,"spending"}</definedName>
    <definedName name="_KAW999929" hidden="1">#REF!</definedName>
    <definedName name="_KAW999934" hidden="1">#REF!</definedName>
    <definedName name="_Key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keyl2" hidden="1">#REF!</definedName>
    <definedName name="_ky1" hidden="1">#REF!</definedName>
    <definedName name="_LTC2">#REF!</definedName>
    <definedName name="_Market">#REF!</definedName>
    <definedName name="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MGF197">#REF!</definedName>
    <definedName name="_MGF198">#REF!</definedName>
    <definedName name="_MGF199">#REF!</definedName>
    <definedName name="_MGF297">#REF!</definedName>
    <definedName name="_MGF298">#REF!</definedName>
    <definedName name="_MGF299">#REF!</definedName>
    <definedName name="_MI101">#REF!</definedName>
    <definedName name="_MI102">#REF!</definedName>
    <definedName name="_MI103">#REF!</definedName>
    <definedName name="_MI104">#REF!</definedName>
    <definedName name="_MI105">#REF!</definedName>
    <definedName name="_MI106">#REF!</definedName>
    <definedName name="_MI107">#REF!</definedName>
    <definedName name="_MI108">#REF!</definedName>
    <definedName name="_MI109">#REF!</definedName>
    <definedName name="_MI110">#REF!</definedName>
    <definedName name="_MI111">#REF!</definedName>
    <definedName name="_MI112">#REF!</definedName>
    <definedName name="_MI201">#REF!</definedName>
    <definedName name="_MI202">#REF!</definedName>
    <definedName name="_MI203">#REF!</definedName>
    <definedName name="_MI204">#REF!</definedName>
    <definedName name="_MI205">#REF!</definedName>
    <definedName name="_MI206">#REF!</definedName>
    <definedName name="_MI207">#REF!</definedName>
    <definedName name="_MI208">#REF!</definedName>
    <definedName name="_MI209">#REF!</definedName>
    <definedName name="_MI210">#REF!</definedName>
    <definedName name="_MI211">#REF!</definedName>
    <definedName name="_MI212">#REF!</definedName>
    <definedName name="_MI301">#REF!</definedName>
    <definedName name="_MI302">#REF!</definedName>
    <definedName name="_MI303">#REF!</definedName>
    <definedName name="_MI304">#REF!</definedName>
    <definedName name="_MI305">#REF!</definedName>
    <definedName name="_MI306">#REF!</definedName>
    <definedName name="_MI307">#REF!</definedName>
    <definedName name="_MI308">#REF!</definedName>
    <definedName name="_MI309">#REF!</definedName>
    <definedName name="_MI310">#REF!</definedName>
    <definedName name="_MI311">#REF!</definedName>
    <definedName name="_MI312">#REF!</definedName>
    <definedName name="_MI401">#REF!</definedName>
    <definedName name="_Mkt101">#REF!</definedName>
    <definedName name="_Mkt102">#REF!</definedName>
    <definedName name="_Mkt103">#REF!</definedName>
    <definedName name="_Mkt104">#REF!</definedName>
    <definedName name="_Mkt105">#REF!</definedName>
    <definedName name="_Mkt106">#REF!</definedName>
    <definedName name="_Mkt107">#REF!</definedName>
    <definedName name="_Mkt108">#REF!</definedName>
    <definedName name="_MKt109">#REF!</definedName>
    <definedName name="_Mkt110">#REF!</definedName>
    <definedName name="_MKt111">#REF!</definedName>
    <definedName name="_Mkt112">#REF!</definedName>
    <definedName name="_Mkt201">#REF!</definedName>
    <definedName name="_Mkt202">#REF!</definedName>
    <definedName name="_Mkt203">#REF!</definedName>
    <definedName name="_Mkt204">#REF!</definedName>
    <definedName name="_Mkt205">#REF!</definedName>
    <definedName name="_Mkt206">#REF!</definedName>
    <definedName name="_Mkt207">#REF!</definedName>
    <definedName name="_Mkt208">#REF!</definedName>
    <definedName name="_Mkt209">#REF!</definedName>
    <definedName name="_Mkt210">#REF!</definedName>
    <definedName name="_Mkt211">#REF!</definedName>
    <definedName name="_Mkt212">#REF!</definedName>
    <definedName name="_Mkt301">#REF!</definedName>
    <definedName name="_Mkt302">#REF!</definedName>
    <definedName name="_Mkt303">#REF!</definedName>
    <definedName name="_Mkt304">#REF!</definedName>
    <definedName name="_Mkt305">#REF!</definedName>
    <definedName name="_Mkt306">#REF!</definedName>
    <definedName name="_Mkt307">#REF!</definedName>
    <definedName name="_Mkt308">#REF!</definedName>
    <definedName name="_MKt309">#REF!</definedName>
    <definedName name="_Mkt310">#REF!</definedName>
    <definedName name="_MKt311">#REF!</definedName>
    <definedName name="_MKt312">#REF!</definedName>
    <definedName name="_MO101">#REF!</definedName>
    <definedName name="_MO102">#REF!</definedName>
    <definedName name="_MO103">#REF!</definedName>
    <definedName name="_MO104">#REF!</definedName>
    <definedName name="_MO105">#REF!</definedName>
    <definedName name="_MO106">#REF!</definedName>
    <definedName name="_MO107">#REF!</definedName>
    <definedName name="_MO108">#REF!</definedName>
    <definedName name="_MO109">#REF!</definedName>
    <definedName name="_MO110">#REF!</definedName>
    <definedName name="_MO111">#REF!</definedName>
    <definedName name="_MO112">#REF!</definedName>
    <definedName name="_MO201">#REF!</definedName>
    <definedName name="_MO202">#REF!</definedName>
    <definedName name="_MO203">#REF!</definedName>
    <definedName name="_MO204">#REF!</definedName>
    <definedName name="_MO205">#REF!</definedName>
    <definedName name="_MO206">#REF!</definedName>
    <definedName name="_MO207">#REF!</definedName>
    <definedName name="_MO208">#REF!</definedName>
    <definedName name="_MO209">#REF!</definedName>
    <definedName name="_MO210">#REF!</definedName>
    <definedName name="_MO211">#REF!</definedName>
    <definedName name="_MO212">#REF!</definedName>
    <definedName name="_MO301">#REF!</definedName>
    <definedName name="_MO302">#REF!</definedName>
    <definedName name="_MO303">#REF!</definedName>
    <definedName name="_MO304">#REF!</definedName>
    <definedName name="_MO305">#REF!</definedName>
    <definedName name="_MO306">#REF!</definedName>
    <definedName name="_MO307">#REF!</definedName>
    <definedName name="_MO308">#REF!</definedName>
    <definedName name="_MO309">#REF!</definedName>
    <definedName name="_MO310">#REF!</definedName>
    <definedName name="_MO311">#REF!</definedName>
    <definedName name="_MO312">#REF!</definedName>
    <definedName name="_MR2000">#REF!</definedName>
    <definedName name="_MR2001">#REF!</definedName>
    <definedName name="_MRG2" hidden="1">{"INCOME",#N/A,FALSE,"ProNet";"VALUE",#N/A,FALSE,"ProNet"}</definedName>
    <definedName name="_MTM">#REF!</definedName>
    <definedName name="_new" hidden="1">#REF!</definedName>
    <definedName name="_new1">#REF!</definedName>
    <definedName name="_new2" hidden="1">{"'B-2 QSER Jun 98 4-27-98 cor'!$A$1:$F$57"}</definedName>
    <definedName name="_new5" hidden="1">{"'B-2 QSER Jun 98 4-27-98 cor'!$A$1:$F$57"}</definedName>
    <definedName name="_NTA01">#REF!</definedName>
    <definedName name="_NTA02">#REF!</definedName>
    <definedName name="_NTA03">#REF!</definedName>
    <definedName name="_NTA04">#REF!</definedName>
    <definedName name="_NTA05">#REF!</definedName>
    <definedName name="_NTA95">#REF!</definedName>
    <definedName name="_NTA98">#REF!</definedName>
    <definedName name="_NTA99">#REF!</definedName>
    <definedName name="_OC201">#REF!</definedName>
    <definedName name="_OC202">#REF!</definedName>
    <definedName name="_OC203">#REF!</definedName>
    <definedName name="_OC204">#REF!</definedName>
    <definedName name="_OC205">#REF!</definedName>
    <definedName name="_OC206">#REF!</definedName>
    <definedName name="_OC207">#REF!</definedName>
    <definedName name="_OC208">#REF!</definedName>
    <definedName name="_OC209">#REF!</definedName>
    <definedName name="_OC210">#REF!</definedName>
    <definedName name="_OC211">#REF!</definedName>
    <definedName name="_OC212">#REF!</definedName>
    <definedName name="_OC301">#REF!</definedName>
    <definedName name="_OC302">#REF!</definedName>
    <definedName name="_OC303">#REF!</definedName>
    <definedName name="_OC304">#REF!</definedName>
    <definedName name="_OC305">#REF!</definedName>
    <definedName name="_OC306">#REF!</definedName>
    <definedName name="_OC307">#REF!</definedName>
    <definedName name="_OC308">#REF!</definedName>
    <definedName name="_OC309">#REF!</definedName>
    <definedName name="_OC310">#REF!</definedName>
    <definedName name="_OC311">#REF!</definedName>
    <definedName name="_OC312">#REF!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{#N/A,#N/A,FALSE,"Chart 2 by Prop Type"}</definedName>
    <definedName name="_Order1" hidden="1">255</definedName>
    <definedName name="_Order1_1" hidden="1">255</definedName>
    <definedName name="_Order2" hidden="1">255</definedName>
    <definedName name="_OrderA" hidden="1">0</definedName>
    <definedName name="_OtherInc">#REF!</definedName>
    <definedName name="_Parse_In" hidden="1">#REF!</definedName>
    <definedName name="_Parse_Out" hidden="1">#REF!</definedName>
    <definedName name="_Ppm2" hidden="1">{"data",#N/A,FALSE,"INPUT"}</definedName>
    <definedName name="_Q2NAME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M2000">#REF!</definedName>
    <definedName name="_RM2001">#REF!</definedName>
    <definedName name="_RN101">#REF!</definedName>
    <definedName name="_RN102">#REF!</definedName>
    <definedName name="_RN103">#REF!</definedName>
    <definedName name="_RN104">#REF!</definedName>
    <definedName name="_RN105">#REF!</definedName>
    <definedName name="_RN106">#REF!</definedName>
    <definedName name="_RN107">#REF!</definedName>
    <definedName name="_RN108">#REF!</definedName>
    <definedName name="_RN109">#REF!</definedName>
    <definedName name="_RN110">#REF!</definedName>
    <definedName name="_RN111">#REF!</definedName>
    <definedName name="_RN112">#REF!</definedName>
    <definedName name="_RN201">#REF!</definedName>
    <definedName name="_RN202">#REF!</definedName>
    <definedName name="_RN203">#REF!</definedName>
    <definedName name="_RN204">#REF!</definedName>
    <definedName name="_RN205">#REF!</definedName>
    <definedName name="_RN206">#REF!</definedName>
    <definedName name="_RN207">#REF!</definedName>
    <definedName name="_RN208">#REF!</definedName>
    <definedName name="_RN209">#REF!</definedName>
    <definedName name="_RN210">#REF!</definedName>
    <definedName name="_RN211">#REF!</definedName>
    <definedName name="_RN212">#REF!</definedName>
    <definedName name="_RN301">#REF!</definedName>
    <definedName name="_RN302">#REF!</definedName>
    <definedName name="_RN303">#REF!</definedName>
    <definedName name="_RN304">#REF!</definedName>
    <definedName name="_RN305">#REF!</definedName>
    <definedName name="_RN306">#REF!</definedName>
    <definedName name="_RN307">#REF!</definedName>
    <definedName name="_RN308">#REF!</definedName>
    <definedName name="_RN309">#REF!</definedName>
    <definedName name="_RN310">#REF!</definedName>
    <definedName name="_RN311">#REF!</definedName>
    <definedName name="_RN312">#REF!</definedName>
    <definedName name="_s2" hidden="1">{"'Expirations'!$A$1:$L$65"}</definedName>
    <definedName name="_sad2" hidden="1">{"MonthlyRentRoll",#N/A,FALSE,"RentRoll"}</definedName>
    <definedName name="_scenchg_count" hidden="1">7</definedName>
    <definedName name="_scenchg1" hidden="1">#REF!</definedName>
    <definedName name="_scenchg2" hidden="1">#REF!</definedName>
    <definedName name="_scenchg3" hidden="1">#REF!</definedName>
    <definedName name="_scenchg4" hidden="1">#REF!</definedName>
    <definedName name="_scenchg5" hidden="1">#REF!</definedName>
    <definedName name="_scenchg6" hidden="1">#REF!</definedName>
    <definedName name="_scenchg7" hidden="1">#REF!</definedName>
    <definedName name="_Sort" hidden="1">#REF!</definedName>
    <definedName name="_sort2" hidden="1">#REF!</definedName>
    <definedName name="_sum1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_T" hidden="1">#REF!</definedName>
    <definedName name="_Tab2_In2" hidden="1">#REF!</definedName>
    <definedName name="_Table1_In1" hidden="1">#REF!</definedName>
    <definedName name="_Table1_In2" hidden="1">#REF!</definedName>
    <definedName name="_Table1_Out" hidden="1">#REF!</definedName>
    <definedName name="_Table2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In3" hidden="1">#REF!</definedName>
    <definedName name="_TL" hidden="1">#REF!</definedName>
    <definedName name="_TMAutoChart1Names" hidden="1">{"YTD","Chart 1","YTD Chart 1"}</definedName>
    <definedName name="_TMAutoChart1Refs" hidden="1">{"","","'YTD'!$AB$20","","","","","","","","","","","","","","","","",""}</definedName>
    <definedName name="_TMAutoChart2Names" hidden="1">{"Mth","Chart 1","Mth Chart 1"}</definedName>
    <definedName name="_TMAutoChart2Refs" hidden="1">{"","","'Mth'!$AB$20","","","","","","","","","","","","","","","","",""}</definedName>
    <definedName name="_TMAutoChart3Names" hidden="1">{"YTD","Chart 2","Mth Chart 2"}</definedName>
    <definedName name="_TMAutoChart3Refs" hidden="1">{"","","'YTD'!$AB$20","","","","","","","","","","","","","","","","",""}</definedName>
    <definedName name="_TMAutoChart4Names" hidden="1">{"Mth","Chart 1","Mth Chart 1"}</definedName>
    <definedName name="_TMAutoChart4Refs" hidden="1">{"","","'Mth'!$AB$20","","","","","","","","","","","","","","","","",""}</definedName>
    <definedName name="_TMAutoChart5Names" hidden="1">{"Mth","Chart 1","Mth Chart 1"}</definedName>
    <definedName name="_TMAutoChart5Refs" hidden="1">{"","","'Mth'!$AB$20","","","","","","","","","","","","","","","","",""}</definedName>
    <definedName name="_TMAutoChart6Names" hidden="1">{"YTD","Chart 2","YTD Chart 2"}</definedName>
    <definedName name="_TMAutoChart6Refs" hidden="1">{"","","'YTD'!$AB$20","","","","","","","","","","","","","","","","",""}</definedName>
    <definedName name="_TMAutoChartCount" hidden="1">6</definedName>
    <definedName name="_v" hidden="1">#REF!</definedName>
    <definedName name="_v2" hidden="1">{"Budget by Month",#N/A,FALSE,"VA Departments Roll-up";"Budget by Month",#N/A,FALSE,"220";"Budget by Month",#N/A,FALSE,"300";"Budget by Month",#N/A,FALSE,"302";"Budget by Month",#N/A,FALSE,"305";"Budget by Month",#N/A,FALSE,"310"}</definedName>
    <definedName name="_Vacant">#REF!</definedName>
    <definedName name="_w" hidden="1">{#N/A,#N/A,FALSE,"Project Properties";#N/A,#N/A,FALSE,"Eng %";#N/A,#N/A,FALSE,"ENGFORM";#N/A,#N/A,FALSE,"staffing";#N/A,#N/A,FALSE,"spending"}</definedName>
    <definedName name="_Whatever" hidden="1">#REF!</definedName>
    <definedName name="_wmp1" hidden="1">{#N/A,#N/A,FALSE,"ENVIRONMENTAL"}</definedName>
    <definedName name="_wpm1" hidden="1">{#N/A,#N/A,FALSE,"LOAN ANALYSIS"}</definedName>
    <definedName name="_wrn.Aging._.and._.Trend._.Analysis" hidden="1">{#N/A,#N/A,FALSE,"Aging Summary";#N/A,#N/A,FALSE,"Ratio Analysis";#N/A,#N/A,FALSE,"Test 120 Day Accts";#N/A,#N/A,FALSE,"Tickmarks"}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1_1" hidden="1">{"schedule1",#N/A,FALSE,"Sheet1";"schedule2",#N/A,FALSE,"Sheet1";"schedule3",#N/A,FALSE,"Sheet1";"schedule4",#N/A,FALSE,"Sheet1";"schedule5",#N/A,FALSE,"Sheet1";"schedule6",#N/A,FALSE,"Sheet1"}</definedName>
    <definedName name="_wrn1_2" hidden="1">{"schedule1",#N/A,FALSE,"Sheet1";"schedule2",#N/A,FALSE,"Sheet1";"schedule3",#N/A,FALSE,"Sheet1";"schedule4",#N/A,FALSE,"Sheet1";"schedule5",#N/A,FALSE,"Sheet1";"schedule6",#N/A,FALSE,"Sheet1"}</definedName>
    <definedName name="_wrn1_3" hidden="1">{"schedule1",#N/A,FALSE,"Sheet1";"schedule2",#N/A,FALSE,"Sheet1";"schedule3",#N/A,FALSE,"Sheet1";"schedule4",#N/A,FALSE,"Sheet1";"schedule5",#N/A,FALSE,"Sheet1";"schedule6",#N/A,FALSE,"Sheet1"}</definedName>
    <definedName name="_wrn1_4" hidden="1">{"schedule1",#N/A,FALSE,"Sheet1";"schedule2",#N/A,FALSE,"Sheet1";"schedule3",#N/A,FALSE,"Sheet1";"schedule4",#N/A,FALSE,"Sheet1";"schedule5",#N/A,FALSE,"Sheet1";"schedule6",#N/A,FALSE,"Sheet1"}</definedName>
    <definedName name="_wrn2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{#N/A,#N/A,FALSE,"Aging Summary";#N/A,#N/A,FALSE,"Ratio Analysis";#N/A,#N/A,FALSE,"Test 120 Day Accts";#N/A,#N/A,FALSE,"Tickmarks"}</definedName>
    <definedName name="_wrn4" hidden="1">{"data",#N/A,FALSE,"INPUT"}</definedName>
    <definedName name="_x1" hidden="1">{#N/A,#N/A,FALSE,"WATCHDSC";#N/A,#N/A,FALSE,"2LOSSMOD";#N/A,#N/A,FALSE,"2LOSS";#N/A,#N/A,FALSE,"DSC";#N/A,#N/A,FALSE,"OPERAT";#N/A,#N/A,FALSE,"ADJUST";#N/A,#N/A,FALSE,"LEASE EXPIRE"}</definedName>
    <definedName name="_x2" hidden="1">{#N/A,#N/A,FALSE,"WATCHDSC";#N/A,#N/A,FALSE,"2LOSSMOD";#N/A,#N/A,FALSE,"2LOSS";#N/A,#N/A,FALSE,"DSC";#N/A,#N/A,FALSE,"OPERAT";#N/A,#N/A,FALSE,"ADJUST";#N/A,#N/A,FALSE,"LEASE EXPIRE"}</definedName>
    <definedName name="_x3" hidden="1">{#N/A,#N/A,FALSE,"WATCHDSC";#N/A,#N/A,FALSE,"2LOSSMOD";#N/A,#N/A,FALSE,"2LOSS";#N/A,#N/A,FALSE,"DSC";#N/A,#N/A,FALSE,"OPERAT";#N/A,#N/A,FALSE,"ADJUST";#N/A,#N/A,FALSE,"LEASE EXPIRE"}</definedName>
    <definedName name="_y1" hidden="1">#REF!</definedName>
    <definedName name="_y2" hidden="1">#REF!</definedName>
    <definedName name="_y3" hidden="1">#REF!</definedName>
    <definedName name="_y4" hidden="1">#REF!</definedName>
    <definedName name="_y5" hidden="1">#REF!</definedName>
    <definedName name="_Yr02">#REF!</definedName>
    <definedName name="_Yr03">#REF!</definedName>
    <definedName name="_yr4" hidden="1">#REF!</definedName>
    <definedName name="_z1" hidden="1">{"Commish",#N/A,FALSE,"LAWTC"}</definedName>
    <definedName name="a" hidden="1">{"AnnualRentRoll",#N/A,FALSE,"RentRoll"}</definedName>
    <definedName name="a_Key1" hidden="1">#REF!</definedName>
    <definedName name="a_Key2" hidden="1">#REF!</definedName>
    <definedName name="a1a1" hidden="1">{"Assump",#N/A,TRUE,"Proforma";"first",#N/A,TRUE,"Proforma";"second",#N/A,TRUE,"Proforma";"lease1",#N/A,TRUE,"Proforma";"lease2",#N/A,TRUE,"Proforma"}</definedName>
    <definedName name="A6.0">#REF!</definedName>
    <definedName name="A6B">#REF!</definedName>
    <definedName name="A6B4">#REF!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3e43" hidden="1">#REF!</definedName>
    <definedName name="aaa" hidden="1">{"AnnualRentRoll",#N/A,FALSE,"RentRoll"}</definedName>
    <definedName name="AAA_DOCTOPS" hidden="1">"AAA_SET"</definedName>
    <definedName name="AAA_duser" hidden="1">"OFF"</definedName>
    <definedName name="aaaa" hidden="1">#REF!</definedName>
    <definedName name="aaaaa" hidden="1">#REF!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{"Outflow 1",#N/A,FALSE,"Outflows-Inflows";"Outflow 2",#N/A,FALSE,"Outflows-Inflows";"Inflow 1",#N/A,FALSE,"Outflows-Inflows";"Inflow 2",#N/A,FALSE,"Outflows-Inflows"}</definedName>
    <definedName name="aaaaaaa_3" hidden="1">{"Outflow 1",#N/A,FALSE,"Outflows-Inflows";"Outflow 2",#N/A,FALSE,"Outflows-Inflows";"Inflow 1",#N/A,FALSE,"Outflows-Inflows";"Inflow 2",#N/A,FALSE,"Outflows-Inflows"}</definedName>
    <definedName name="aaaaaaa_4" hidden="1">{"Outflow 1",#N/A,FALSE,"Outflows-Inflows";"Outflow 2",#N/A,FALSE,"Outflows-Inflows";"Inflow 1",#N/A,FALSE,"Outflows-Inflows";"Inflow 2",#N/A,FALSE,"Outflows-Inflows"}</definedName>
    <definedName name="aaaaaaa1" hidden="1">{"Outflow 1",#N/A,FALSE,"Outflows-Inflows";"Outflow 2",#N/A,FALSE,"Outflows-Inflows";"Inflow 1",#N/A,FALSE,"Outflows-Inflows";"Inflow 2",#N/A,FALSE,"Outflows-Inflows"}</definedName>
    <definedName name="aaaaaaa1_1" hidden="1">{"Outflow 1",#N/A,FALSE,"Outflows-Inflows";"Outflow 2",#N/A,FALSE,"Outflows-Inflows";"Inflow 1",#N/A,FALSE,"Outflows-Inflows";"Inflow 2",#N/A,FALSE,"Outflows-Inflows"}</definedName>
    <definedName name="aaaaaaa1_2" hidden="1">{"Outflow 1",#N/A,FALSE,"Outflows-Inflows";"Outflow 2",#N/A,FALSE,"Outflows-Inflows";"Inflow 1",#N/A,FALSE,"Outflows-Inflows";"Inflow 2",#N/A,FALSE,"Outflows-Inflows"}</definedName>
    <definedName name="aaaaaaa1_3" hidden="1">{"Outflow 1",#N/A,FALSE,"Outflows-Inflows";"Outflow 2",#N/A,FALSE,"Outflows-Inflows";"Inflow 1",#N/A,FALSE,"Outflows-Inflows";"Inflow 2",#N/A,FALSE,"Outflows-Inflows"}</definedName>
    <definedName name="aaaaaaa1_4" hidden="1">{"Outflow 1",#N/A,FALSE,"Outflows-Inflows";"Outflow 2",#N/A,FALSE,"Outflows-Inflows";"Inflow 1",#N/A,FALSE,"Outflows-Inflows";"Inflow 2",#N/A,FALSE,"Outflows-Inflows"}</definedName>
    <definedName name="aaaaaaaaaa" hidden="1">{"FCB_ALL",#N/A,FALSE,"FCB";"GREY_ALL",#N/A,FALSE,"GREY"}</definedName>
    <definedName name="aaaab" hidden="1">{#N/A,#N/A,FALSE,"Project Properties";#N/A,#N/A,FALSE,"Eng %";#N/A,#N/A,FALSE,"ENGFORM";#N/A,#N/A,FALSE,"staffing";#N/A,#N/A,FALSE,"spending"}</definedName>
    <definedName name="aaaattt" hidden="1">{#N/A,#N/A,TRUE,"Cover &amp; Contents";#N/A,#N/A,TRUE,"Net Assets &amp; Ops &amp; #Units";#N/A,#N/A,TRUE,"NAV per unit";#N/A,#N/A,TRUE,"Cashflow &amp; RE";#N/A,#N/A,TRUE,"Notes 1-2";#N/A,#N/A,TRUE,"Notes 3-8";#N/A,#N/A,TRUE,"Notes 9-10";#N/A,#N/A,TRUE,"Notes 11-17";#N/A,#N/A,TRUE,"Notes 18-19";#N/A,#N/A,TRUE,"Notes 20-";#N/A,#N/A,TRUE,"Cos 1";#N/A,#N/A,TRUE,"Cos 2";#N/A,#N/A,TRUE,"App I";#N/A,#N/A,TRUE,"App II"}</definedName>
    <definedName name="aab" hidden="1">{#N/A,#N/A,TRUE,"A-site";#N/A,#N/A,TRUE,"B-Buildings";#N/A,#N/A,TRUE,"c-out-of-fence";#N/A,#N/A,TRUE,"d-proj.infr.";#N/A,#N/A,TRUE,"e- land"}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teasfdbdsf" hidden="1">#REF!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_2" hidden="1">{"rtn",#N/A,FALSE,"RTN";"tables",#N/A,FALSE,"RTN";"cf",#N/A,FALSE,"CF";"stats",#N/A,FALSE,"Stats";"prop",#N/A,FALSE,"Prop"}</definedName>
    <definedName name="aasdfa_3" hidden="1">{"rtn",#N/A,FALSE,"RTN";"tables",#N/A,FALSE,"RTN";"cf",#N/A,FALSE,"CF";"stats",#N/A,FALSE,"Stats";"prop",#N/A,FALSE,"Prop"}</definedName>
    <definedName name="aasdfa_4" hidden="1">{"rtn",#N/A,FALSE,"RTN";"tables",#N/A,FALSE,"RTN";"cf",#N/A,FALSE,"CF";"stats",#N/A,FALSE,"Stats";"prop",#N/A,FALSE,"Prop"}</definedName>
    <definedName name="ab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{#N/A,#N/A,FALSE,"Broker Sheet";#N/A,#N/A,FALSE,"Exec.Summary";#N/A,#N/A,FALSE,"Argus Cash Flow";#N/A,#N/A,FALSE,"SPF";#N/A,#N/A,FALSE,"RentRoll"}</definedName>
    <definedName name="ABC_old" hidden="1">{"CHART",#N/A,FALSE,"Arch Communications"}</definedName>
    <definedName name="abcd" hidden="1">{"Zone1",#N/A,FALSE,"Parameters";"Zone2",#N/A,FALSE,"Parameters"}</definedName>
    <definedName name="abm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AccDate">#REF!</definedName>
    <definedName name="Access_Button">"Loan_Front_End_Input_List"</definedName>
    <definedName name="AccessCode" hidden="1">""""</definedName>
    <definedName name="AccessDatabase">"C:\My Documents\DAVE\MODELS\Cash at Risk\Loan Front End.mdb"</definedName>
    <definedName name="AccruedExpenses">#REF!</definedName>
    <definedName name="accts">#REF!</definedName>
    <definedName name="Acq_Date">#REF!</definedName>
    <definedName name="acqdate">#REF!</definedName>
    <definedName name="acqp1">#REF!</definedName>
    <definedName name="acqp2">#REF!</definedName>
    <definedName name="acqp3">#REF!</definedName>
    <definedName name="acqp4">#REF!</definedName>
    <definedName name="acqp5">#REF!</definedName>
    <definedName name="ACQSUM">#REF!</definedName>
    <definedName name="Acquisition_Date">#REF!</definedName>
    <definedName name="Active_Case">#REF!</definedName>
    <definedName name="actthru">#REF!</definedName>
    <definedName name="actual">#REF!</definedName>
    <definedName name="actualdatethru">#REF!</definedName>
    <definedName name="actualexp">#REF!</definedName>
    <definedName name="actuals">#REF!</definedName>
    <definedName name="ACwvu.ALL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FRP_BACKLOG1." hidden="1">#REF!</definedName>
    <definedName name="ACwvu.FRP_backlog2." hidden="1">#REF!</definedName>
    <definedName name="ACwvu.inputs._.raw._.data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Overhead._.detail." hidden="1">#REF!</definedName>
    <definedName name="ACwvu.PERCENTAGE._.RENT." hidden="1">#REF!</definedName>
    <definedName name="ACwvu.Profit._.report._.detailed." hidden="1">#REF!</definedName>
    <definedName name="ACwvu.Sommaire." hidden="1">#REF!,#REF!,#REF!,#REF!,#REF!,#REF!</definedName>
    <definedName name="ACwvu.summary1." hidden="1">#REF!</definedName>
    <definedName name="ACwvu.summary2." hidden="1">#REF!</definedName>
    <definedName name="ACwvu.summary3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WAT.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_old" hidden="1">{"CHART",#N/A,FALSE,"Arch Communications"}</definedName>
    <definedName name="addgf" hidden="1">{#N/A,#N/A,FALSE,"Chart 2 by Prop Type"}</definedName>
    <definedName name="adf" hidden="1">{"INCOME",#N/A,FALSE,"ProNet";"VALUE",#N/A,FALSE,"ProNet"}</definedName>
    <definedName name="adfa" hidden="1">{"cap_structure",#N/A,FALSE,"Graph-Mkt Cap";"price",#N/A,FALSE,"Graph-Price";"ebit",#N/A,FALSE,"Graph-EBITDA";"ebitda",#N/A,FALSE,"Graph-EBITDA"}</definedName>
    <definedName name="adfgh" hidden="1">{0,#N/A,FALSE,0;0,#N/A,FALSE,0}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justedLoanAmnt">#REF!</definedName>
    <definedName name="ADJUSTEDoccupancy">#REF!</definedName>
    <definedName name="adla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drtr" hidden="1">{0,0,0,0}</definedName>
    <definedName name="ads" hidden="1">{"inputs raw data",#N/A,TRUE,"INPUT"}</definedName>
    <definedName name="adsew" hidden="1">{"FCB_ALL",#N/A,FALSE,"FCB"}</definedName>
    <definedName name="adsf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adsf1" hidden="1">{"Annual",#N/A,FALSE,"Sales &amp; Market";"Quarterly",#N/A,FALSE,"Sales &amp; Market"}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{#N/A,#N/A,TRUE,"10 Yr Hold";#N/A,#N/A,TRUE,"7 Yr Hold";#N/A,#N/A,TRUE,"5 Yr Hold";#N/A,#N/A,TRUE,"3 Yr Hold"}</definedName>
    <definedName name="AEWEW" hidden="1">{"inputs raw data",#N/A,TRUE,"INPUT"}</definedName>
    <definedName name="aewfwe" hidden="1">{#N/A,#N/A,FALSE,"Brad_DCFM";#N/A,#N/A,FALSE,"Nick_DCFM";#N/A,#N/A,FALSE,"Mobile_DCFM"}</definedName>
    <definedName name="afdsdsaf" hidden="1">#REF!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i" hidden="1">#REF!</definedName>
    <definedName name="Affordable">#REF!</definedName>
    <definedName name="afge" hidden="1">{"FCB_ALL",#N/A,FALSE,"FCB";"GREY_ALL",#N/A,FALSE,"GREY"}</definedName>
    <definedName name="afhasd" hidden="1">{#VALUE!,#N/A,FALSE,0}</definedName>
    <definedName name="afirot" hidden="1">{#N/A,#N/A,TRUE,"TITLE";#N/A,#N/A,TRUE,"SCH 1";#N/A,#N/A,TRUE,"SCH 2";#N/A,#N/A,TRUE,"SCH 3";#N/A,#N/A,TRUE,"SCH3(A)"}</definedName>
    <definedName name="afirpt" hidden="1">{#N/A,#N/A,TRUE,"TITLE";#N/A,#N/A,TRUE,"SCH 1";#N/A,#N/A,TRUE,"SCH 2";#N/A,#N/A,TRUE,"SCH 3";#N/A,#N/A,TRUE,"SCH3(A)"}</definedName>
    <definedName name="afsdasio" hidden="1">#REF!</definedName>
    <definedName name="aftreport" hidden="1">{#N/A,#N/A,TRUE,"TITLE";#N/A,#N/A,TRUE,"SCH 1";#N/A,#N/A,TRUE,"SCH 2";#N/A,#N/A,TRUE,"SCH 3";#N/A,#N/A,TRUE,"SCH3(A)"}</definedName>
    <definedName name="agf" hidden="1">{#N/A,#N/A,FALSE,"ExecSum";#N/A,#N/A,FALSE,"total summary";#N/A,#N/A,FALSE,"Budget";#N/A,#N/A,FALSE,"CashFlow"}</definedName>
    <definedName name="agne" hidden="1">{"FCB_ALL",#N/A,FALSE,"FCB";"GREY_ALL",#N/A,FALSE,"GREY"}</definedName>
    <definedName name="ah" hidden="1">#REF!</definedName>
    <definedName name="ahafd" hidden="1">{#VALUE!,#N/A,FALSE,0}</definedName>
    <definedName name="ahge" hidden="1">{"FCB_ALL",#N/A,FALSE,"FCB";"GREY_ALL",#N/A,FALSE,"GREY"}</definedName>
    <definedName name="AIG">#REF!</definedName>
    <definedName name="aioeaiovio" hidden="1">#REF!</definedName>
    <definedName name="akdlk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l" hidden="1">{"sheet a",#N/A,FALSE,"A";"2 9 casflow",#N/A,FALSE,"B"}</definedName>
    <definedName name="ALL">#REF!</definedName>
    <definedName name="alsow" hidden="1">{#N/A,#N/A,FALSE,"Consolidated";#N/A,#N/A,FALSE,"Available Credit";#N/A,#N/A,FALSE,"100% Owned";#N/A,#N/A,FALSE,"Bentall U.S. LLC";#N/A,#N/A,FALSE,"Bentall Properties (U.S.) Ltd.";#N/A,#N/A,FALSE,"Schedule I"}</definedName>
    <definedName name="alternate_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amo">#REF!</definedName>
    <definedName name="Amo_Print">#REF!</definedName>
    <definedName name="Amort">#REF!</definedName>
    <definedName name="Amortize">#REF!</definedName>
    <definedName name="Amortizing?">#REF!</definedName>
    <definedName name="AMP_SUMMARY">#REF!</definedName>
    <definedName name="an" hidden="1">#REF!</definedName>
    <definedName name="Analysis_Begin">#REF!</definedName>
    <definedName name="Analysis_Date">#REF!</definedName>
    <definedName name="Analysis_Year">#REF!</definedName>
    <definedName name="andrew" hidden="1">{"eca",#N/A,TRUE,"E-C1 (R)";"ecb",#N/A,TRUE,"E-C1 (R)"}</definedName>
    <definedName name="Annual_Amort_Table">#REF!</definedName>
    <definedName name="Annual_interest_rate">#REF!</definedName>
    <definedName name="annual_quarterly1" hidden="1">{"Annual",#N/A,FALSE,"Sales &amp; Market";"Quarterly",#N/A,FALSE,"Sales &amp; Market"}</definedName>
    <definedName name="annualize">#REF!</definedName>
    <definedName name="Annuitäten">#REF!</definedName>
    <definedName name="anoigrowth">#REF!</definedName>
    <definedName name="anscount" hidden="1">1</definedName>
    <definedName name="a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p">#REF!</definedName>
    <definedName name="apartments">#REF!</definedName>
    <definedName name="apartmentTypes">#REF!</definedName>
    <definedName name="Apr.">#REF!</definedName>
    <definedName name="April03" hidden="1">{#N/A,#N/A,FALSE,"Class A";#N/A,#N/A,FALSE,"Class B";#N/A,#N/A,FALSE,"Class C"}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Scenario" hidden="1">#REF!</definedName>
    <definedName name="ArgusSF">#REF!</definedName>
    <definedName name="as" hidden="1">{"Outflow 1",#N/A,FALSE,"Outflows-Inflows";"Outflow 2",#N/A,FALSE,"Outflows-Inflows";"Inflow 1",#N/A,FALSE,"Outflows-Inflows";"Inflow 2",#N/A,FALSE,"Outflows-Inflows"}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{"Outflow 1",#N/A,FALSE,"Outflows-Inflows";"Outflow 2",#N/A,FALSE,"Outflows-Inflows";"Inflow 1",#N/A,FALSE,"Outflows-Inflows";"Inflow 2",#N/A,FALSE,"Outflows-Inflows"}</definedName>
    <definedName name="as_3" hidden="1">{"Outflow 1",#N/A,FALSE,"Outflows-Inflows";"Outflow 2",#N/A,FALSE,"Outflows-Inflows";"Inflow 1",#N/A,FALSE,"Outflows-Inflows";"Inflow 2",#N/A,FALSE,"Outflows-Inflows"}</definedName>
    <definedName name="as_4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{"Outflow 1",#N/A,FALSE,"Outflows-Inflows";"Outflow 2",#N/A,FALSE,"Outflows-Inflows";"Inflow 1",#N/A,FALSE,"Outflows-Inflows";"Inflow 2",#N/A,FALSE,"Outflows-Inflows"}</definedName>
    <definedName name="asa_1" hidden="1">{"Outflow 1",#N/A,FALSE,"Outflows-Inflows";"Outflow 2",#N/A,FALSE,"Outflows-Inflows";"Inflow 1",#N/A,FALSE,"Outflows-Inflows";"Inflow 2",#N/A,FALSE,"Outflows-Inflows"}</definedName>
    <definedName name="asa_2" hidden="1">{"Outflow 1",#N/A,FALSE,"Outflows-Inflows";"Outflow 2",#N/A,FALSE,"Outflows-Inflows";"Inflow 1",#N/A,FALSE,"Outflows-Inflows";"Inflow 2",#N/A,FALSE,"Outflows-Inflows"}</definedName>
    <definedName name="asa_3" hidden="1">{"Outflow 1",#N/A,FALSE,"Outflows-Inflows";"Outflow 2",#N/A,FALSE,"Outflows-Inflows";"Inflow 1",#N/A,FALSE,"Outflows-Inflows";"Inflow 2",#N/A,FALSE,"Outflows-Inflows"}</definedName>
    <definedName name="asa_4" hidden="1">{"Outflow 1",#N/A,FALSE,"Outflows-Inflows";"Outflow 2",#N/A,FALSE,"Outflows-Inflows";"Inflow 1",#N/A,FALSE,"Outflows-Inflows";"Inflow 2",#N/A,FALSE,"Outflows-Inflows"}</definedName>
    <definedName name="asadgasgasg" hidden="1">#REF!</definedName>
    <definedName name="asd" hidden="1">{#N/A,#N/A,FALSE,"Chart 2 by Prop Type"}</definedName>
    <definedName name="asda" hidden="1">{"AnnualRentRoll",#N/A,FALSE,"RentRoll"}</definedName>
    <definedName name="asdasd" hidden="1">{#N/A,#N/A,FALSE,"Loan Summary";#N/A,#N/A,FALSE,"NOI";"RR and Expir",#N/A,FALSE,"Rental";"Sales History",#N/A,FALSE,"Rental";#N/A,#N/A,FALSE,"Reserves"}</definedName>
    <definedName name="asdaw" hidden="1">{"FCB_ALL",#N/A,FALSE,"FCB"}</definedName>
    <definedName name="asdf" hidden="1">{"Plant Parameters",#N/A,FALSE,"Total Project Economics";"summary1",#N/A,FALSE,"Total Project Economics";"Tariffs_Unit Prices_Costs",#N/A,FALSE,"Total Project Economics";"Financials",#N/A,FALSE,"Total Project Economics"}</definedName>
    <definedName name="asdf_1" hidden="1">{"Plant Parameters",#N/A,FALSE,"Total Project Economics";"summary1",#N/A,FALSE,"Total Project Economics";"Tariffs_Unit Prices_Costs",#N/A,FALSE,"Total Project Economics";"Financials",#N/A,FALSE,"Total Project Economics"}</definedName>
    <definedName name="asdf2" hidden="1">{#N/A,#N/A,FALSE,"OperatingAssumptions"}</definedName>
    <definedName name="asdf2_1" hidden="1">{#N/A,#N/A,FALSE,"OperatingAssumptions"}</definedName>
    <definedName name="asdf2_2" hidden="1">{#N/A,#N/A,FALSE,"OperatingAssumptions"}</definedName>
    <definedName name="asdf2_3" hidden="1">{#N/A,#N/A,FALSE,"OperatingAssumptions"}</definedName>
    <definedName name="asdf2_4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_1" hidden="1">{#N/A,#N/A,FALSE,"LoanAssumptions"}</definedName>
    <definedName name="asdf3_2" hidden="1">{#N/A,#N/A,FALSE,"LoanAssumptions"}</definedName>
    <definedName name="asdf3_3" hidden="1">{#N/A,#N/A,FALSE,"LoanAssumptions"}</definedName>
    <definedName name="asdf3_4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_1" hidden="1">{"MonthlyRentRoll",#N/A,FALSE,"RentRoll"}</definedName>
    <definedName name="asdf5_2" hidden="1">{"MonthlyRentRoll",#N/A,FALSE,"RentRoll"}</definedName>
    <definedName name="asdf5_3" hidden="1">{"MonthlyRentRoll",#N/A,FALSE,"RentRoll"}</definedName>
    <definedName name="asdf5_4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_1" hidden="1">{#N/A,#N/A,TRUE,"Summary";"AnnualRentRoll",#N/A,TRUE,"RentRoll";#N/A,#N/A,TRUE,"ExitStratigy";#N/A,#N/A,TRUE,"OperatingAssumptions"}</definedName>
    <definedName name="asdf7_2" hidden="1">{#N/A,#N/A,TRUE,"Summary";"AnnualRentRoll",#N/A,TRUE,"RentRoll";#N/A,#N/A,TRUE,"ExitStratigy";#N/A,#N/A,TRUE,"OperatingAssumptions"}</definedName>
    <definedName name="asdf7_3" hidden="1">{#N/A,#N/A,TRUE,"Summary";"AnnualRentRoll",#N/A,TRUE,"RentRoll";#N/A,#N/A,TRUE,"ExitStratigy";#N/A,#N/A,TRUE,"OperatingAssumptions"}</definedName>
    <definedName name="asdf7_4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" hidden="1">#N/A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_2" hidden="1">{"print 1.6",#N/A,FALSE,"Sheet1";"print 2.6",#N/A,FALSE,"Sheet1";"print 3.6",#N/A,FALSE,"Sheet1";"print 4.6",#N/A,FALSE,"Sheet1";"print 5.6",#N/A,FALSE,"Sheet1";"print 6.6",#N/A,FALSE,"Sheet1"}</definedName>
    <definedName name="asdfas_3" hidden="1">{"print 1.6",#N/A,FALSE,"Sheet1";"print 2.6",#N/A,FALSE,"Sheet1";"print 3.6",#N/A,FALSE,"Sheet1";"print 4.6",#N/A,FALSE,"Sheet1";"print 5.6",#N/A,FALSE,"Sheet1";"print 6.6",#N/A,FALSE,"Sheet1"}</definedName>
    <definedName name="asdfas_4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aa_2" hidden="1">{"print 1.6",#N/A,FALSE,"Sheet1";"print 2.6",#N/A,FALSE,"Sheet1";"print 3.6",#N/A,FALSE,"Sheet1";"print 4.6",#N/A,FALSE,"Sheet1";"print 5.6",#N/A,FALSE,"Sheet1";"print 6.6",#N/A,FALSE,"Sheet1"}</definedName>
    <definedName name="asdfasaa_3" hidden="1">{"print 1.6",#N/A,FALSE,"Sheet1";"print 2.6",#N/A,FALSE,"Sheet1";"print 3.6",#N/A,FALSE,"Sheet1";"print 4.6",#N/A,FALSE,"Sheet1";"print 5.6",#N/A,FALSE,"Sheet1";"print 6.6",#N/A,FALSE,"Sheet1"}</definedName>
    <definedName name="asdfasaa_4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_1" hidden="1">{"rtn",#N/A,FALSE,"RTN";"tables",#N/A,FALSE,"RTN";"cf",#N/A,FALSE,"CF";"stats",#N/A,FALSE,"Stats";"prop",#N/A,FALSE,"Prop"}</definedName>
    <definedName name="asdfasdf_2" hidden="1">{"rtn",#N/A,FALSE,"RTN";"tables",#N/A,FALSE,"RTN";"cf",#N/A,FALSE,"CF";"stats",#N/A,FALSE,"Stats";"prop",#N/A,FALSE,"Prop"}</definedName>
    <definedName name="asdfasdf_3" hidden="1">{"rtn",#N/A,FALSE,"RTN";"tables",#N/A,FALSE,"RTN";"cf",#N/A,FALSE,"CF";"stats",#N/A,FALSE,"Stats";"prop",#N/A,FALSE,"Prop"}</definedName>
    <definedName name="asdfasdf_4" hidden="1">{"rtn",#N/A,FALSE,"RTN";"tables",#N/A,FALSE,"RTN";"cf",#N/A,FALSE,"CF";"stats",#N/A,FALSE,"Stats";"prop",#N/A,FALSE,"Prop"}</definedName>
    <definedName name="asdfasdf1" hidden="1">{"Annual",#N/A,FALSE,"Sales &amp; Market";"Quarterly",#N/A,FALSE,"Sales &amp; Market"}</definedName>
    <definedName name="asdfasdfasdfa" hidden="1">binary</definedName>
    <definedName name="asdfasdfdddd" hidden="1">{"DCF","UPSIDE CASE",FALSE,"Sheet1";"DCF","BASE CASE",FALSE,"Sheet1";"DCF","DOWNSIDE CASE",FALSE,"Sheet1"}</definedName>
    <definedName name="asdfasdfs" hidden="1">{#N/A,#N/A,FALSE,"Matrix";#N/A,#N/A,FALSE,"Cash Flow";#N/A,#N/A,FALSE,"10 Year Cost Analysis"}</definedName>
    <definedName name="asdfasfsa" hidden="1">binary</definedName>
    <definedName name="asdfe" hidden="1">{"FCB_ALL",#N/A,FALSE,"FCB"}</definedName>
    <definedName name="asdfg" hidden="1">{"rtn",#N/A,FALSE,"RTN";"tables",#N/A,FALSE,"RTN";"cf",#N/A,FALSE,"CF";"stats",#N/A,FALSE,"Stats";"prop",#N/A,FALSE,"Prop"}</definedName>
    <definedName name="asdfn" hidden="1">{"FCB_ALL",#N/A,FALSE,"FCB";"GREY_ALL",#N/A,FALSE,"GREY"}</definedName>
    <definedName name="asdfsd" hidden="1">binary</definedName>
    <definedName name="asdfsdf" hidden="1">{"Annual",#N/A,FALSE,"Sales &amp; Market";"Quarterly",#N/A,FALSE,"Sales &amp; Market"}</definedName>
    <definedName name="asdfsdf1" hidden="1">{"Annual",#N/A,FALSE,"Sales &amp; Market";"Quarterly",#N/A,FALSE,"Sales &amp; Market"}</definedName>
    <definedName name="asdgaew" hidden="1">{"FCB_ALL",#N/A,FALSE,"FCB"}</definedName>
    <definedName name="asdr5" hidden="1">{"FCB_ALL",#N/A,FALSE,"FCB";"GREY_ALL",#N/A,FALSE,"GREY"}</definedName>
    <definedName name="asdvaw" hidden="1">#REF!</definedName>
    <definedName name="asf" hidden="1">{"sheet a",#N/A,FALSE,"A";"sheet b 1",#N/A,FALSE,"B";"sheet b 2",#N/A,FALSE,"B"}</definedName>
    <definedName name="asfd" hidden="1">{"FCB_ALL",#N/A,FALSE,"FCB"}</definedName>
    <definedName name="asfget" hidden="1">{"Page1",#N/A,FALSE,"7979";"Page2",#N/A,FALSE,"7979";"Page3",#N/A,FALSE,"7979"}</definedName>
    <definedName name="asfsaf" hidden="1">binary</definedName>
    <definedName name="asgdr" hidden="1">{"fdb2_print",#N/A,FALSE,"Report"}</definedName>
    <definedName name="asgearg" hidden="1">#REF!</definedName>
    <definedName name="ashish" hidden="1">{"'Assump'!$F$6:$J$6"}</definedName>
    <definedName name="ASIS">#REF!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_2" hidden="1">{"print 1.6",#N/A,FALSE,"Sheet1";"print 2.6",#N/A,FALSE,"Sheet1";"print 3.6",#N/A,FALSE,"Sheet1";"print 4.6",#N/A,FALSE,"Sheet1";"print 5.6",#N/A,FALSE,"Sheet1";"print 6.6",#N/A,FALSE,"Sheet1"}</definedName>
    <definedName name="ass_3" hidden="1">{"print 1.6",#N/A,FALSE,"Sheet1";"print 2.6",#N/A,FALSE,"Sheet1";"print 3.6",#N/A,FALSE,"Sheet1";"print 4.6",#N/A,FALSE,"Sheet1";"print 5.6",#N/A,FALSE,"Sheet1";"print 6.6",#N/A,FALSE,"Sheet1"}</definedName>
    <definedName name="ass_4" hidden="1">{"print 1.6",#N/A,FALSE,"Sheet1";"print 2.6",#N/A,FALSE,"Sheet1";"print 3.6",#N/A,FALSE,"Sheet1";"print 4.6",#N/A,FALSE,"Sheet1";"print 5.6",#N/A,FALSE,"Sheet1";"print 6.6",#N/A,FALSE,"Sheet1"}</definedName>
    <definedName name="ASSESS_">#REF!</definedName>
    <definedName name="asset" hidden="1">{"print 1.6",#N/A,FALSE,"Sheet1";"print 2.6",#N/A,FALSE,"Sheet1";"print 3.6",#N/A,FALSE,"Sheet1";"print 4.6",#N/A,FALSE,"Sheet1";"print 5.6",#N/A,FALSE,"Sheet1";"print 6.6",#N/A,FALSE,"Sheet1"}</definedName>
    <definedName name="AssetMgmntFee">#REF!</definedName>
    <definedName name="AssetMngmtFee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_2" hidden="1">{"rtn",#N/A,FALSE,"RTN";"tables",#N/A,FALSE,"RTN";"cf",#N/A,FALSE,"CF";"stats",#N/A,FALSE,"Stats";"prop",#N/A,FALSE,"Prop"}</definedName>
    <definedName name="asss_3" hidden="1">{"rtn",#N/A,FALSE,"RTN";"tables",#N/A,FALSE,"RTN";"cf",#N/A,FALSE,"CF";"stats",#N/A,FALSE,"Stats";"prop",#N/A,FALSE,"Prop"}</definedName>
    <definedName name="asss_4" hidden="1">{"rtn",#N/A,FALSE,"RTN";"tables",#N/A,FALSE,"RTN";"cf",#N/A,FALSE,"CF";"stats",#N/A,FALSE,"Stats";"prop",#N/A,FALSE,"Prop"}</definedName>
    <definedName name="assssss" hidden="1">{"FCB_ALL",#N/A,FALSE,"FCB"}</definedName>
    <definedName name="assum" hidden="1">{"Financials",#N/A,FALSE,"Financials";"AVP",#N/A,FALSE,"AVP";"DCF",#N/A,FALSE,"DCF";"CSC",#N/A,FALSE,"CSC";"Deal_Comp",#N/A,FALSE,"DealComp"}</definedName>
    <definedName name="ASSUME">#REF!</definedName>
    <definedName name="ASSUMP">#REF!</definedName>
    <definedName name="assumpt">#REF!</definedName>
    <definedName name="assumptions" hidden="1">{#N/A,#N/A,FALSE,"Notes";#N/A,#N/A,FALSE,"CashFlowSummary";#N/A,#N/A,FALSE,"InvestorSummary";#N/A,#N/A,FALSE,"RevenueAssumptions";#N/A,#N/A,FALSE,"MasterCostAssmp";#N/A,#N/A,FALSE,"InTractCstAssmp";#N/A,#N/A,FALSE,"LotTakedowns"}</definedName>
    <definedName name="Assumptions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1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AssumptionsA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ssumSEComb" hidden="1">{"clp_bs_doc",#N/A,FALSE,"CLP";"clp_is_doc",#N/A,FALSE,"CLP";"clp_cf_doc",#N/A,FALSE,"CLP";"clp_fr_doc",#N/A,FALSE,"CLP"}</definedName>
    <definedName name="aswd" hidden="1">{#N/A,#N/A,FALSE,"Loan Summary";#N/A,#N/A,FALSE,"NOI";"RR and Expir",#N/A,FALSE,"Rental";"Sales History",#N/A,FALSE,"Rental";#N/A,#N/A,FALSE,"Reserves"}</definedName>
    <definedName name="Atlanta" hidden="1">{#N/A,#N/A,FALSE,"Chart 2 by Prop Type"}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Aug.">#REF!</definedName>
    <definedName name="avegmultiple" hidden="1">#REF!</definedName>
    <definedName name="aveparkcopy" hidden="1">{"View1",#N/A,FALSE,"Sheet1";"View2",#N/A,FALSE,"Sheet1"}</definedName>
    <definedName name="AvgCOC_10yr">#REF!</definedName>
    <definedName name="AvgCOC_5yr">#REF!</definedName>
    <definedName name="avl" hidden="1">{"Analysis of Assets_Liabilities",#N/A,FALSE,"ccy_anal";"Analysis of Investments",#N/A,FALSE,"ccy_anal"}</definedName>
    <definedName name="awe" hidden="1">{"FCB_ALL",#N/A,FALSE,"FCB"}</definedName>
    <definedName name="awea" hidden="1">{"FCB_ALL",#N/A,FALSE,"FCB";"GREY_ALL",#N/A,FALSE,"GREY"}</definedName>
    <definedName name="awuil">#REF!</definedName>
    <definedName name="ayesha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az" hidden="1">{#N/A,#N/A,FALSE,"Chart 2 by Prop Type"}</definedName>
    <definedName name="b" hidden="1">{#N/A,#N/A,FALSE,"ExitStratigy"}</definedName>
    <definedName name="b_Key1" hidden="1">#REF!</definedName>
    <definedName name="b_Key2" hidden="1">#REF!</definedName>
    <definedName name="ba" hidden="1">{"FCB_ALL",#N/A,FALSE,"FCB";"GREY_ALL",#N/A,FALSE,"GREY"}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dLink" hidden="1">#REF!</definedName>
    <definedName name="BAL_SHT">#REF!</definedName>
    <definedName name="balance">#REF!</definedName>
    <definedName name="BalType">#REF!</definedName>
    <definedName name="Bank_funding">#REF!</definedName>
    <definedName name="BASE">#REF!</definedName>
    <definedName name="Base.Row">ROW(#REF!)</definedName>
    <definedName name="Base_Rental_Revenue">#REF!</definedName>
    <definedName name="BASERATE">#REF!</definedName>
    <definedName name="BaseRnt">#REF!</definedName>
    <definedName name="Battery">#N/A</definedName>
    <definedName name="battery1">{"Annually";"Semi-Annually";"Quarterly";"Bi-Monthly";"Monthly"}</definedName>
    <definedName name="battery2">#REF!</definedName>
    <definedName name="battery3">#N/A</definedName>
    <definedName name="battery4">#REF!</definedName>
    <definedName name="battery5">#REF!</definedName>
    <definedName name="bb" hidden="1">{#N/A,#N/A,FALSE,"ExitStratigy"}</definedName>
    <definedName name="bbb" hidden="1">{#N/A,#N/A,FALSE,"ExitStratigy"}</definedName>
    <definedName name="bbbb" hidden="1">{#N/A,#N/A,FALSE,"Aging Summary";#N/A,#N/A,FALSE,"Ratio Analysis";#N/A,#N/A,FALSE,"Test 120 Day Accts";#N/A,#N/A,FALSE,"Tickmarks"}</definedName>
    <definedName name="bbbbbb" hidden="1">{"Outflow 1",#N/A,FALSE,"Outflows-Inflows";"Outflow 2",#N/A,FALSE,"Outflows-Inflows";"Inflow 1",#N/A,FALSE,"Outflows-Inflows";"Inflow 2",#N/A,FALSE,"Outflows-Inflows"}</definedName>
    <definedName name="bd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bdinvestor" hidden="1">{"View1",#N/A,FALSE,"Sheet1";"View2",#N/A,FALSE,"Sheet1"}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llGlobeMedia">Word</definedName>
    <definedName name="ben" hidden="1">{"Analysis of Assets_Liabilities",#N/A,FALSE,"ccy_anal";"Analysis of Investments",#N/A,FALSE,"ccy_anal"}</definedName>
    <definedName name="BETA">#REF!</definedName>
    <definedName name="Bewässerung">#REF!</definedName>
    <definedName name="Bewässerung_______28.">#REF!</definedName>
    <definedName name="BG_Del" hidden="1">15</definedName>
    <definedName name="BG_Ins" hidden="1">4</definedName>
    <definedName name="BG_Mod" hidden="1">6</definedName>
    <definedName name="bijou">#REF!</definedName>
    <definedName name="Billboard_Cell_Tower_Income">#REF!</definedName>
    <definedName name="birch">#REF!</definedName>
    <definedName name="Bison_Spot">#REF!</definedName>
    <definedName name="blah" hidden="1">{"Input Assumptions",#N/A,FALSE,"Summary";"Project CF",#N/A,FALSE,"Summary";"Debt &amp; Sq. Ft.",#N/A,FALSE,"Summary";"Revenues",#N/A,FALSE,"Revenue"}</definedName>
    <definedName name="blah1" hidden="1">{"schedule1",#N/A,FALSE,"Sheet1";"schedule2",#N/A,FALSE,"Sheet1";"schedule3",#N/A,FALSE,"Sheet1";"schedule4",#N/A,FALSE,"Sheet1";"schedule5",#N/A,FALSE,"Sheet1";"schedule6",#N/A,FALSE,"Sheet1"}</definedName>
    <definedName name="blah2" hidden="1">{"'Directory'!$A$72:$E$91"}</definedName>
    <definedName name="blah3" hidden="1">{"'Directory'!$A$72:$E$91"}</definedName>
    <definedName name="blc">#REF!</definedName>
    <definedName name="BLPH1" hidden="1">#REF!</definedName>
    <definedName name="BLPH10" hidden="1">#REF!</definedName>
    <definedName name="BLPH1001" hidden="1">#REF!</definedName>
    <definedName name="BLPH1002" hidden="1">#REF!</definedName>
    <definedName name="BLPH1003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5" hidden="1">#REF!</definedName>
    <definedName name="BLPH536" hidden="1">#REF!</definedName>
    <definedName name="BLPH6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9" hidden="1">#REF!</definedName>
    <definedName name="BLPH99" hidden="1">#REF!</definedName>
    <definedName name="BNE_MESSAGES_HIDDEN" hidden="1">#REF!</definedName>
    <definedName name="bnmb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boc">#REF!</definedName>
    <definedName name="Bond">Facility</definedName>
    <definedName name="BONDRATE">#REF!</definedName>
    <definedName name="bps">#REF!</definedName>
    <definedName name="BR_MO">#REF!</definedName>
    <definedName name="BR_YR">#REF!</definedName>
    <definedName name="Bridgerock" hidden="1">{"Financials",#N/A,FALSE,"Financials";"AVP",#N/A,FALSE,"AVP";"DCF",#N/A,FALSE,"DCF";"CSC",#N/A,FALSE,"CSC";"Deal_Comp",#N/A,FALSE,"DealComp"}</definedName>
    <definedName name="BROWS">#REF!</definedName>
    <definedName name="BSIWhichPageSetup" hidden="1">1</definedName>
    <definedName name="BSIWhichPageSetup_0" hidden="1">"0þ"</definedName>
    <definedName name="BU_Fin_high_pg1">#REF!</definedName>
    <definedName name="BUCH2">#REF!</definedName>
    <definedName name="BUDGET">#REF!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dgetyear">#REF!</definedName>
    <definedName name="BUDGETYTD">#REF!</definedName>
    <definedName name="budtype">#REF!</definedName>
    <definedName name="building">#REF!</definedName>
    <definedName name="building_address">#REF!</definedName>
    <definedName name="building_entity">#REF!</definedName>
    <definedName name="BULK_ValidationRange_0b7bdea024214a8282272c9afb1564a3" hidden="1">#REF!</definedName>
    <definedName name="BULK_ValidationRange_12556ffef6aa483299aa0877d17cbfa0">#REF!</definedName>
    <definedName name="BULK_ValidationRange_12821d32298743069c881a2c45e792ee" hidden="1">#REF!</definedName>
    <definedName name="BULK_ValidationRange_149183ca4b8747228aeaf6223dc7d01e">#REF!</definedName>
    <definedName name="BULK_ValidationRange_14c2cd2d31c34555a7ba024d9466d88c">#REF!</definedName>
    <definedName name="BULK_ValidationRange_15618c1c73dd49549d24af154e37eb19" hidden="1">#REF!</definedName>
    <definedName name="BULK_ValidationRange_1706a2e64baa4140bee3f0e5769f46cc" hidden="1">#REF!</definedName>
    <definedName name="BULK_ValidationRange_18f4061f3dc84248b46421aae7e5d57b" hidden="1">#REF!</definedName>
    <definedName name="BULK_ValidationRange_18f739bcbf7f47ff9c32ca9cd8a19359">#REF!</definedName>
    <definedName name="BULK_ValidationRange_21ee9137b6cd4289a204b31a11de98c2" hidden="1">#REF!</definedName>
    <definedName name="BULK_ValidationRange_2940cb12f7ff4854beee83124817c702">#REF!</definedName>
    <definedName name="BULK_ValidationRange_2972fb02a2e14ea4aa1ae669088dd14c" hidden="1">#REF!</definedName>
    <definedName name="BULK_ValidationRange_2d09407f771247878d1e4141bffee311">#REF!</definedName>
    <definedName name="BULK_ValidationRange_3233a3f6af92408e969b5ac6d6377fce">#REF!</definedName>
    <definedName name="BULK_ValidationRange_386d5683f9234a1ba3b0e63c8d3a5a62" hidden="1">#REF!</definedName>
    <definedName name="BULK_ValidationRange_3ca9f147e93d4d76b160293bf8d59c1c" hidden="1">#REF!</definedName>
    <definedName name="BULK_ValidationRange_3d913c7796e3451ea94b7e4c0931f5a8" hidden="1">#REF!</definedName>
    <definedName name="BULK_ValidationRange_41efc4496cda42f8a14c1047d8be0977" hidden="1">#REF!</definedName>
    <definedName name="BULK_ValidationRange_44a676f09489472ba03fc7b2209e6ab5">#REF!</definedName>
    <definedName name="BULK_ValidationRange_4722c5575b0743658c6f7b3951ec5c93">#REF!</definedName>
    <definedName name="BULK_ValidationRange_4995a0e33daa40b895c330d90d6dba02" hidden="1">#REF!</definedName>
    <definedName name="BULK_ValidationRange_4cf8d0a98cb147bb83428777ab1f32cc" hidden="1">#REF!</definedName>
    <definedName name="BULK_ValidationRange_5932e04fba674694bae03d04fe5d7dd7">#REF!</definedName>
    <definedName name="BULK_ValidationRange_6000b17ef1314361ad48dbf04c448ab9" hidden="1">#REF!</definedName>
    <definedName name="BULK_ValidationRange_60e57394662e470bbada4829788053d2">#REF!</definedName>
    <definedName name="BULK_ValidationRange_6468c789af0a4b04b91f6020307977a9">#REF!</definedName>
    <definedName name="BULK_ValidationRange_68ab878b7aa14256a61fc3b76911bb0a" hidden="1">#REF!</definedName>
    <definedName name="BULK_ValidationRange_7798328a78a74b3098b5323b7d48b550" hidden="1">#REF!</definedName>
    <definedName name="BULK_ValidationRange_85550909b16f4f609069bc490859c66f" hidden="1">#REF!</definedName>
    <definedName name="BULK_ValidationRange_914aa9c7722043cc91672f3db0beb881" hidden="1">#REF!</definedName>
    <definedName name="BULK_ValidationRange_9450bd842be24c45b479df67b6787428" hidden="1">#REF!</definedName>
    <definedName name="BULK_ValidationRange_9646321a0b424dd6a31d7086868f19ab">#REF!</definedName>
    <definedName name="BULK_ValidationRange_99a490aea6104cf58f799f4ef0297918" hidden="1">#REF!</definedName>
    <definedName name="BULK_ValidationRange_9dbe50a5a8b94d96821c467b29631bba" hidden="1">#REF!</definedName>
    <definedName name="BULK_ValidationRange_a48cf423aa214ca7adad0c840ef491c4" hidden="1">#REF!</definedName>
    <definedName name="BULK_ValidationRange_ade4932bc2d8417db1e14b3c860121cd">#REF!</definedName>
    <definedName name="BULK_ValidationRange_b178c8473ace4def8108a29d34f79aa6">#REF!</definedName>
    <definedName name="BULK_ValidationRange_b7378246069f466ba97cd713ef1b6004">#REF!</definedName>
    <definedName name="BULK_ValidationRange_bc9f24b80a0d42fabad20f4a9fef5e6c" hidden="1">#REF!</definedName>
    <definedName name="BULK_ValidationRange_c4611a26fca64b55a919aa5b891394e8" hidden="1">#REF!</definedName>
    <definedName name="BULK_ValidationRange_c859fbfe6fbb4f1f91f99af3a094e3ea">#REF!</definedName>
    <definedName name="BULK_ValidationRange_cddeba81f4a246599a71522bd3f586fb" hidden="1">#REF!</definedName>
    <definedName name="BULK_ValidationRange_d6419b0234f74cada30b280a6a23355d">#REF!</definedName>
    <definedName name="BULK_ValidationRange_d79ee53613d44cd882449757feee2d82" hidden="1">#REF!</definedName>
    <definedName name="BULK_ValidationRange_d9ce7a4f291b4420b12ccc7d75250576" hidden="1">#REF!</definedName>
    <definedName name="BULK_ValidationRange_de4e10c000d645888413fadda7cbb707" hidden="1">#REF!</definedName>
    <definedName name="BULK_ValidationRange_e22d8460b4fe415ea3348d2cdf9042b1" hidden="1">#REF!</definedName>
    <definedName name="BULK_ValidationRange_e2fd83aeed1d493e816b0ecb68ab475a" hidden="1">#REF!</definedName>
    <definedName name="BULK_ValidationRange_f431fde2da6c4727808a228795ddcb8b" hidden="1">#REF!</definedName>
    <definedName name="BULK_ValidationRange_f48b2752c95f4db8af00438b31b7fb59" hidden="1">#REF!</definedName>
    <definedName name="BULK_ValidationRange_f4dfc3b94e614dd5bb63a1211641bfac" hidden="1">#REF!</definedName>
    <definedName name="BULK_ValidationRange_f58ae05a06d94224bee7a8cbe6bcfdf9" hidden="1">#REF!</definedName>
    <definedName name="BULK_ValidationRange_fd2741e684f14cbeb279cc4d89b4f8d2" hidden="1">#REF!</definedName>
    <definedName name="BULK_ValidationRange_feab3b3f620f4ffe8822de3f4141ef65" hidden="1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hit" hidden="1">{"Assumptions",#N/A,TRUE,"Returns";"Tables",#N/A,TRUE,"Returns"}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Unit">#REF!</definedName>
    <definedName name="but" hidden="1">{"2000",#N/A,FALSE,"2000"}</definedName>
    <definedName name="bv" hidden="1">"c2205"</definedName>
    <definedName name="c.LTMYear" hidden="1">#REF!</definedName>
    <definedName name="C_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l" hidden="1">{#N/A,#N/A,FALSE,"Project Properties";#N/A,#N/A,FALSE,"Eng %";#N/A,#N/A,FALSE,"ENGFORM";#N/A,#N/A,FALSE,"staffing";#N/A,#N/A,FALSE,"spending"}</definedName>
    <definedName name="CALCCHOICE">#REF!</definedName>
    <definedName name="calvin" hidden="1">{#N/A,#N/A,FALSE,"Project Properties";#N/A,#N/A,FALSE,"Eng %";#N/A,#N/A,FALSE,"ENGFORM";#N/A,#N/A,FALSE,"staffing";#N/A,#N/A,FALSE,"spending"}</definedName>
    <definedName name="CAM">#REF!</definedName>
    <definedName name="Cap">#REF!</definedName>
    <definedName name="CAP_IMP">#REF!</definedName>
    <definedName name="Cap_Inplace">#REF!</definedName>
    <definedName name="Cap_MTM">#REF!</definedName>
    <definedName name="Cap_Rate">#REF!</definedName>
    <definedName name="Cap_Yr1">#REF!</definedName>
    <definedName name="Cap_Yr3">#REF!</definedName>
    <definedName name="Cap_Yr5">#REF!</definedName>
    <definedName name="CAPIMPRV">#REF!</definedName>
    <definedName name="capint">#REF!</definedName>
    <definedName name="Capita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CapRate">#REF!</definedName>
    <definedName name="Carrie" hidden="1">#REF!</definedName>
    <definedName name="case_name">#REF!</definedName>
    <definedName name="cash" hidden="1">{#N/A,#N/A,FALSE,"Assumptions";#N/A,#N/A,FALSE,"Consol CF";#N/A,#N/A,FALSE,"Hacienda CF";#N/A,#N/A,FALSE,"Chabot CF";#N/A,#N/A,FALSE,"Diablo CF"}</definedName>
    <definedName name="CASH_FLOW">#REF!</definedName>
    <definedName name="CASH198">#REF!</definedName>
    <definedName name="cash23" hidden="1">{"fdb1_Rapport_Report",#N/A,FALSE,"Report"}</definedName>
    <definedName name="CASH297">#REF!</definedName>
    <definedName name="cashflow">#REF!</definedName>
    <definedName name="CASHFLOW2">#REF!</definedName>
    <definedName name="CASHFLOW3">#REF!</definedName>
    <definedName name="CashflowRO_Codes" hidden="1">#REF!</definedName>
    <definedName name="CashflowRO_Details" hidden="1">#REF!</definedName>
    <definedName name="cashoncash">#REF!</definedName>
    <definedName name="cat">#REF!</definedName>
    <definedName name="cavde" hidden="1">{"FCB_ALL",#N/A,FALSE,"FCB"}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BWorkbookPriority" hidden="1">-1131501022</definedName>
    <definedName name="cc" hidden="1">{#N/A,#N/A,FALSE,"LoanAssumptions"}</definedName>
    <definedName name="cc." hidden="1">{"CD1",#N/A,TRUE,"C-D (R)";"CD2",#N/A,TRUE,"C-D (R)"}</definedName>
    <definedName name="cCaprecycling">#REF!</definedName>
    <definedName name="ccc" hidden="1">{#N/A,#N/A,FALSE,"LoanAssumptions"}</definedName>
    <definedName name="cccc" hidden="1">{#N/A,#N/A,TRUE,"10 Yr Hold";#N/A,#N/A,TRUE,"7 Yr Hold";#N/A,#N/A,TRUE,"5 Yr Hold";#N/A,#N/A,TRUE,"3 Yr Hold"}</definedName>
    <definedName name="ccccc" hidden="1">{#N/A,#N/A,FALSE,"Class A";#N/A,#N/A,FALSE,"Class B";#N/A,#N/A,FALSE,"Class C"}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EC_DATA" hidden="1">#REF!</definedName>
    <definedName name="CCM">#REF!</definedName>
    <definedName name="ccs" hidden="1">{#N/A,#N/A,FALSE,"Chart 2 by Prop Type"}</definedName>
    <definedName name="cd" hidden="1">{"annual",#N/A,FALSE,"Pro Forma";#N/A,#N/A,FALSE,"Golf Operations"}</definedName>
    <definedName name="cDebt">#REF!</definedName>
    <definedName name="cDebtassum">#REF!</definedName>
    <definedName name="cdfd" hidden="1">{"fdb1_Rapport_Report",#N/A,FALSE,"Report"}</definedName>
    <definedName name="cDispositions">#REF!</definedName>
    <definedName name="cDMrev">#REF!</definedName>
    <definedName name="census">#REF!</definedName>
    <definedName name="cert" hidden="1">{"fis.dbo.r1_datasum"}</definedName>
    <definedName name="cert1" hidden="1">{"fis.dbo.r1_datasum"}</definedName>
    <definedName name="CF">#REF!</definedName>
    <definedName name="CFafterDS">#REF!</definedName>
    <definedName name="cfgcfg" hidden="1">{#N/A,#N/A,FALSE,"CCC Variance";#N/A,#N/A,FALSE,"CCC Notes"}</definedName>
    <definedName name="cfgjcfgh" hidden="1">{#N/A,#N/A,FALSE,"Common Area Accrual";#N/A,#N/A,FALSE,"Unit One LaSalle";#N/A,#N/A,FALSE,"Unit One CW";#N/A,#N/A,FALSE,"Unit One LaSalle + C &amp; W";#N/A,#N/A,FALSE,"Consolidated Accrual"}</definedName>
    <definedName name="cfin100">#REF!</definedName>
    <definedName name="cfin101">#REF!</definedName>
    <definedName name="cfin102">#REF!</definedName>
    <definedName name="cfin103">#REF!</definedName>
    <definedName name="cfin104">#REF!</definedName>
    <definedName name="cfin105">#REF!</definedName>
    <definedName name="cfin106">#REF!</definedName>
    <definedName name="cfin107">#REF!</definedName>
    <definedName name="CFIN196">#REF!</definedName>
    <definedName name="cfin197">#REF!</definedName>
    <definedName name="cfin198">#REF!</definedName>
    <definedName name="cfin199">#REF!</definedName>
    <definedName name="cfin200">#REF!</definedName>
    <definedName name="cfin201">#REF!</definedName>
    <definedName name="cfin202">#REF!</definedName>
    <definedName name="cfin203">#REF!</definedName>
    <definedName name="cfin204">#REF!</definedName>
    <definedName name="cfin205">#REF!</definedName>
    <definedName name="cfin206">#REF!</definedName>
    <definedName name="cfin207">#REF!</definedName>
    <definedName name="CFIN295">#REF!</definedName>
    <definedName name="CFIN296">#REF!</definedName>
    <definedName name="cfin297">#REF!</definedName>
    <definedName name="cfin298">#REF!</definedName>
    <definedName name="cfin299">#REF!</definedName>
    <definedName name="cfl">#REF!</definedName>
    <definedName name="cflookup">#REF!</definedName>
    <definedName name="cFMV">#REF!</definedName>
    <definedName name="CFS">#REF!</definedName>
    <definedName name="cGAexpenses">#REF!</definedName>
    <definedName name="cgaf" hidden="1">{"FCB_ALL",#N/A,FALSE,"FCB"}</definedName>
    <definedName name="cgafde" hidden="1">{"FCB_ALL",#N/A,FALSE,"FCB"}</definedName>
    <definedName name="cghj" hidden="1">{"ReportTop",#N/A,FALSE,"report top"}</definedName>
    <definedName name="ChangeRange" hidden="1">#N/A</definedName>
    <definedName name="Chart" hidden="1">#REF!</definedName>
    <definedName name="Chart12345" hidden="1">#REF!</definedName>
    <definedName name="chase">#REF!</definedName>
    <definedName name="check2" hidden="1">{#N/A,#N/A,FALSE,"Cashflow Analysis";#N/A,#N/A,FALSE,"Sensitivity Analysis";#N/A,#N/A,FALSE,"PV";#N/A,#N/A,FALSE,"Pro Forma"}</definedName>
    <definedName name="Cherokee">#REF!</definedName>
    <definedName name="chgeas" hidden="1">{"FCB_ALL",#N/A,FALSE,"FCB"}</definedName>
    <definedName name="Choices_Wrapper">#REF!</definedName>
    <definedName name="CIQWBGuid" hidden="1">"322255f0-d5f7-4ed0-9297-4b0b9fdb7c94"</definedName>
    <definedName name="Circ_Break">#REF!</definedName>
    <definedName name="CIRCULAR">#REF!</definedName>
    <definedName name="cLandacq">#REF!</definedName>
    <definedName name="cLandsale">#REF!</definedName>
    <definedName name="ClientFees">#REF!</definedName>
    <definedName name="CLOSING">#REF!</definedName>
    <definedName name="cocncf">#REF!</definedName>
    <definedName name="cocnoi">#REF!</definedName>
    <definedName name="Code" hidden="1">#REF!</definedName>
    <definedName name="COL" hidden="1">#REF!</definedName>
    <definedName name="com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COMM_BLEND">#REF!</definedName>
    <definedName name="COMM_NEW">#REF!</definedName>
    <definedName name="COMM_RENEWAL">#REF!</definedName>
    <definedName name="COMMENTS">#REF!</definedName>
    <definedName name="CommercialCF">#REF!</definedName>
    <definedName name="commonstart" hidden="1">#REF!</definedName>
    <definedName name="Community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SUMMARY">#REF!</definedName>
    <definedName name="CompanyOH" hidden="1">#REF!</definedName>
    <definedName name="compnam" hidden="1">#REF!</definedName>
    <definedName name="comps" hidden="1">#REF!</definedName>
    <definedName name="conflict" hidden="1">#REF!</definedName>
    <definedName name="Consolidated">#REF!</definedName>
    <definedName name="ConstLoan">#REF!</definedName>
    <definedName name="ConstLoan2">#REF!</definedName>
    <definedName name="ConstLoan3">#REF!</definedName>
    <definedName name="ConstPeriod">#REF!</definedName>
    <definedName name="Construct" hidden="1">{"Assumptions",#N/A,FALSE,"Assumptions"}</definedName>
    <definedName name="construction" hidden="1">{"Construction Costs",#N/A,FALSE,"Total Costs"}</definedName>
    <definedName name="Construction1" hidden="1">{"Construction Costs",#N/A,FALSE,"Total Costs"}</definedName>
    <definedName name="ConstStart">#REF!</definedName>
    <definedName name="CONT200">#REF!</definedName>
    <definedName name="CONT2000">#REF!</definedName>
    <definedName name="ContentsHelp" hidden="1">#N/A</definedName>
    <definedName name="control">#REF!</definedName>
    <definedName name="Control_Number">#REF!</definedName>
    <definedName name="COO" hidden="1">{#N/A,#N/A,FALSE,"Matrix";#N/A,#N/A,FALSE,"Cash Flow";#N/A,#N/A,FALSE,"10 Year Cost Analysis"}</definedName>
    <definedName name="cOpprop">#REF!</definedName>
    <definedName name="cOppropnew">#REF!</definedName>
    <definedName name="Copy" hidden="1">{"AnnualRentRoll",#N/A,FALSE,"RentRoll"}</definedName>
    <definedName name="copy2" hidden="1">{"new",#N/A,FALSE,"D";"PROFORMA",#N/A,FALSE,"A";"partial 1",#N/A,FALSE,"B";"partial 2",#N/A,FALSE,"B";"partial 3",#N/A,FALSE,"B";"SMALL CF 1",#N/A,FALSE,"C"}</definedName>
    <definedName name="copyal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copymondayjv" hidden="1">{"View1",#N/A,FALSE,"Sheet1";"View2",#N/A,FALSE,"Sheet1"}</definedName>
    <definedName name="corp" hidden="1">{#N/A,#N/A,FALSE,"ZellLurieFinSummary";#N/A,#N/A,FALSE,"FirstCapFinSummary";#N/A,#N/A,FALSE,"ZM I-III Consol FinSummary"}</definedName>
    <definedName name="coss">#REF!</definedName>
    <definedName name="Costs" hidden="1">{"eca",#N/A,TRUE,"E-C1 (R)";"ecb",#N/A,TRUE,"E-C1 (R)"}</definedName>
    <definedName name="Cottage" hidden="1">{"cot1",#N/A,FALSE,"Cottages";"cot2",#N/A,FALSE,"Cottages";"cot3",#N/A,FALSE,"Cottages"}</definedName>
    <definedName name="cottage2" hidden="1">{"cot1",#N/A,FALSE,"Cottages";"cot2",#N/A,FALSE,"Cottages";"cot3",#N/A,FALSE,"Cottages"}</definedName>
    <definedName name="COUNT">#N/A</definedName>
    <definedName name="CPIMAyo1" hidden="1">{"Zone1",#N/A,FALSE,"Parameters";"Zone2",#N/A,FALSE,"Parameters"}</definedName>
    <definedName name="CreateTable" hidden="1">#N/A</definedName>
    <definedName name="Credit_loss">#REF!</definedName>
    <definedName name="CreditStats" hidden="1">#REF!</definedName>
    <definedName name="_xlnm.Criteria">#REF!</definedName>
    <definedName name="CSDCDS" hidden="1">#REF!</definedName>
    <definedName name="CSG" hidden="1">{"cap_structure",#N/A,FALSE,"Graph-Mkt Cap";"price",#N/A,FALSE,"Graph-Price";"ebit",#N/A,FALSE,"Graph-EBITDA";"ebitda",#N/A,FALSE,"Graph-EBITDA"}</definedName>
    <definedName name="csh" hidden="1">{"fdb2_print",#N/A,FALSE,"Report"}</definedName>
    <definedName name="cStabilisations">#REF!</definedName>
    <definedName name="cStarts">#REF!</definedName>
    <definedName name="Currency">#REF!</definedName>
    <definedName name="CURRENT">#REF!</definedName>
    <definedName name="Current_month">#REF!</definedName>
    <definedName name="CURRENTYTD">#REF!</definedName>
    <definedName name="CurrS">#REF!</definedName>
    <definedName name="curse" hidden="1">#REF!</definedName>
    <definedName name="cursource" hidden="1">"SQLServer"</definedName>
    <definedName name="curve">IF(#REF!="Actual",SUMIF(#REF!,CONCATENATE(#REF!,MONTH(#REF!),YEAR(#REF!)),#REF!)/1000,IF(#REF!=0,0,IF(#REF!&lt;#REF!,#REF!,(#REF!/#REF!)*#REF!)))</definedName>
    <definedName name="curveinc">IF(#REF!="Actual",SUMIF(#REF!,CONCATENATE(#REF!,MONTH(#REF!),YEAR(#REF!)),#REF!)/1000,IF(#REF!=0,0,IF(#REF!&lt;#REF!,#REF!,(#REF!/#REF!)*-#REF!)))</definedName>
    <definedName name="cvade" hidden="1">{"FCB_ALL",#N/A,FALSE,"FCB"}</definedName>
    <definedName name="cVLN">#REF!</definedName>
    <definedName name="CVS" hidden="1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GREY_ALL." hidden="1">#REF!</definedName>
    <definedName name="Cwvu.Overhead._.Detail." hidden="1">#REF!,#REF!,#REF!,#REF!,#REF!,#REF!,#REF!,#REF!,#REF!,#REF!</definedName>
    <definedName name="Cwvu.Profit._.report._.detailed." hidden="1">#REF!,#REF!,#REF!,#REF!,#REF!,#REF!,#REF!,#REF!,#REF!</definedName>
    <definedName name="Cwvu.WAT." hidden="1">#REF!</definedName>
    <definedName name="Cwvy.GREY_ALL._dcf" hidden="1">#REF!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cxvbvcxb" hidden="1">#REF!</definedName>
    <definedName name="CY">#REF!</definedName>
    <definedName name="d" hidden="1">{#N/A,#N/A,FALSE,"LoanAssumptions"}</definedName>
    <definedName name="d_1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g" hidden="1">{"Total",#N/A,FALSE,"Six Fields";"PDP",#N/A,FALSE,"Six Fields";"PNP",#N/A,FALSE,"Six Fields";"PUD",#N/A,FALSE,"Six Fields";"Prob",#N/A,FALSE,"Six Fields"}</definedName>
    <definedName name="danbe" hidden="1">#N/A</definedName>
    <definedName name="danny" hidden="1">#REF!</definedName>
    <definedName name="das" hidden="1">#REF!</definedName>
    <definedName name="dasdasdsasad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dasf" hidden="1">#REF!</definedName>
    <definedName name="dasgfdag" hidden="1">{"FCB_ALL",#N/A,FALSE,"FCB"}</definedName>
    <definedName name="dasklej" hidden="1">{"FCB_ALL",#N/A,FALSE,"FCB"}</definedName>
    <definedName name="dat" hidden="1">{"data",#N/A,FALSE,"INPUT"}</definedName>
    <definedName name="DATA">#REF!</definedName>
    <definedName name="DATA_0" hidden="1">#REF!</definedName>
    <definedName name="DATA_01" hidden="1">#REF!</definedName>
    <definedName name="DATA_01_a" hidden="1">#REF!</definedName>
    <definedName name="DATA_01A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a1" hidden="1">#REF!</definedName>
    <definedName name="Data116" hidden="1">{#N/A,#N/A,FALSE,"Sales"}</definedName>
    <definedName name="data14" hidden="1">{"data",#N/A,FALSE,"INPUT"}</definedName>
    <definedName name="Data16" hidden="1">{#N/A,#N/A,FALSE,"Sales"}</definedName>
    <definedName name="data2" hidden="1">#REF!</definedName>
    <definedName name="data3" hidden="1">#REF!</definedName>
    <definedName name="_xlnm.Database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error" hidden="1">{"data",#N/A,FALSE,"INPUT"}</definedName>
    <definedName name="DATATABLE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_CurrMo">#REF!</definedName>
    <definedName name="date_PriorMo">#REF!</definedName>
    <definedName name="Dates">#REF!</definedName>
    <definedName name="DAYAN" hidden="1">{"LIBOR",#N/A,TRUE,"Model";"Caps",#N/A,TRUE,"Model";"Assets",#N/A,TRUE,"Model";"Liabilities",#N/A,TRUE,"Model";"Tests",#N/A,TRUE,"Model";"Results",#N/A,TRUE,"Model"}</definedName>
    <definedName name="db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dbase_char_set" hidden="1">1</definedName>
    <definedName name="dbase_compatibility" hidden="1">1</definedName>
    <definedName name="dbase_dflt" hidden="1">TRUE</definedName>
    <definedName name="dc" hidden="1">{#N/A,#N/A,FALSE,"Chart 2 by Prop Type"}</definedName>
    <definedName name="dd" hidden="1">{"MonthlyRentRoll",#N/A,FALSE,"RentRoll"}</definedName>
    <definedName name="ddd" hidden="1">{"MonthlyRentRoll",#N/A,FALSE,"RentRoll"}</definedName>
    <definedName name="dddd" hidden="1">#REF!</definedName>
    <definedName name="dddddd" hidden="1">#REF!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dddddddddd" hidden="1">{#N/A,#N/A,TRUE,"Krycí list"}</definedName>
    <definedName name="dddddddddddddddddd" hidden="1">{"Full Gross to Net",#N/A,TRUE,"GtoN";"R_I Accepted from Group Coys",#N/A,TRUE,"GtoN";"R_I Ceded to Group Coys",#N/A,TRUE,"GtoN";"Closing Loss Reserves and Gross Claims Incurred",#N/A,TRUE,"GtoN"}</definedName>
    <definedName name="dddddddddddddddddddddddddddd" hidden="1">{#N/A,#N/A,FALSE,"A";#N/A,#N/A,FALSE,"C"}</definedName>
    <definedName name="ddeded" hidden="1">{"TAB 1",#N/A,FALSE,"1";"tab 2",#N/A,FALSE,"2";"TAB 3",#N/A,FALSE,"3";"tab 4",#N/A,FALSE,"4";"tab 5",#N/A,FALSE,"5";"tab 6",#N/A,FALSE,"6";"tab 7",#N/A,FALSE,"7";"TAB 8",#N/A,FALSE,"8"}</definedName>
    <definedName name="ddgfds" hidden="1">{#N/A,#N/A,FALSE,"Consolidated";#N/A,#N/A,FALSE,"Available Credit";#N/A,#N/A,FALSE,"100% Owned";#N/A,#N/A,FALSE,"Bentall U.S. LLC";#N/A,#N/A,FALSE,"Bentall Properties (U.S.) Ltd.";#N/A,#N/A,FALSE,"Schedule I"}</definedName>
    <definedName name="DDLEntityType">#REF!</definedName>
    <definedName name="DDLResidentialAffordableType">#REF!</definedName>
    <definedName name="DDLResidentialUnitType">#REF!</definedName>
    <definedName name="ddm" hidden="1">{"May",#N/A,FALSE,"Manager Report"}</definedName>
    <definedName name="ddrd" hidden="1">#REF!</definedName>
    <definedName name="deal.closer">#REF!</definedName>
    <definedName name="deal.dealName">#REF!</definedName>
    <definedName name="deal.initialFunding">#REF!</definedName>
    <definedName name="debt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atedBBB" hidden="1">{#N/A,#N/A,FALSE,"Aging Summary";#N/A,#N/A,FALSE,"Ratio Analysis";#N/A,#N/A,FALSE,"Test 120 Day Accts";#N/A,#N/A,FALSE,"Tickmarks"}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1" hidden="1">{"Annual",#N/A,FALSE,"Sales &amp; Market";"Quarterly",#N/A,FALSE,"Sales &amp; Market"}</definedName>
    <definedName name="Debt2" hidden="1">{"'Expirations'!$A$1:$L$65"}</definedName>
    <definedName name="DebtAdjustable">#REF!</definedName>
    <definedName name="debtpage">#REF!</definedName>
    <definedName name="DebtPiece1">#REF!</definedName>
    <definedName name="DebtPiece2">#REF!</definedName>
    <definedName name="DebtPiece3">#REF!</definedName>
    <definedName name="debtpref" hidden="1">#REF!</definedName>
    <definedName name="DebtSummary">#REF!</definedName>
    <definedName name="DEF" hidden="1">#REF!</definedName>
    <definedName name="DefExpNewBusDetails" hidden="1">#REF!</definedName>
    <definedName name="DefExpTendDetails" hidden="1">#REF!</definedName>
    <definedName name="defg" hidden="1">{"Financials",#N/A,FALSE,"Financials";"AVP",#N/A,FALSE,"AVP";"DCF",#N/A,FALSE,"DCF";"CSC",#N/A,FALSE,"CSC";"Deal_Comp",#N/A,FALSE,"DealComp"}</definedName>
    <definedName name="del" hidden="1">{"Page1",#N/A,FALSE,"7979";"Page2",#N/A,FALSE,"7979";"Page3",#N/A,FALSE,"7979"}</definedName>
    <definedName name="delete2" hidden="1">#REF!</definedName>
    <definedName name="DeleteRange" hidden="1">#N/A</definedName>
    <definedName name="DeleteTable" hidden="1">#N/A</definedName>
    <definedName name="DELME" hidden="1">{#N/A,#N/A,FALSE,"A";#N/A,#N/A,FALSE,"C"}</definedName>
    <definedName name="DELME_condo" hidden="1">{#N/A,#N/A,FALSE,"A";#N/A,#N/A,FALSE,"C"}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hidden="1">{#N/A,#N/A,FALSE,"399 Park Var";#N/A,#N/A,FALSE,"PK NOTES"}</definedName>
    <definedName name="DELME4_Condo" hidden="1">{#N/A,#N/A,FALSE,"399 Park Var";#N/A,#N/A,FALSE,"PK NOTES"}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hidden="1">{"ACCOUNTING COPY",#N/A,FALSE,"SCHEDULE A";"FINANCE COPY",#N/A,FALSE,"SCHEDULE A";"P.L. COPY",#N/A,FALSE,"SCHEDULE A"}</definedName>
    <definedName name="dep.amt.non.commitFee">#REF!</definedName>
    <definedName name="dep.amt.ref.commitFee">#REF!</definedName>
    <definedName name="depr">#REF!</definedName>
    <definedName name="DeprBuilding">#REF!</definedName>
    <definedName name="DepreLeasing">#REF!</definedName>
    <definedName name="DeprTI">#REF!</definedName>
    <definedName name="DetailLabelCurrent">#REF!</definedName>
    <definedName name="DetailLabelPrior">#REF!</definedName>
    <definedName name="DEV_FEE">#REF!</definedName>
    <definedName name="Dez.">#REF!</definedName>
    <definedName name="df" hidden="1">{"CASHFLOW",#N/A,FALSE,"Northpointe"}</definedName>
    <definedName name="df_1" hidden="1">{"CASHFLOW",#N/A,FALSE,"Northpointe"}</definedName>
    <definedName name="dfasfdsa" hidden="1">{#N/A,#N/A,TRUE,"10 Yr Hold";#N/A,#N/A,TRUE,"7 Yr Hold";#N/A,#N/A,TRUE,"5 Yr Hold";#N/A,#N/A,TRUE,"3 Yr Hold"}</definedName>
    <definedName name="dfd" hidden="1">{"CSheet",#N/A,FALSE,"C";"SmCap",#N/A,FALSE,"VAL1";"GulfCoast",#N/A,FALSE,"VAL1";"nav",#N/A,FALSE,"NAV";"Summary",#N/A,FALSE,"NAV"}</definedName>
    <definedName name="dfdas" hidden="1">{"FCB_ALL",#N/A,FALSE,"FCB";"GREY_ALL",#N/A,FALSE,"GREY"}</definedName>
    <definedName name="dfdas1" hidden="1">{"FCB_ALL",#N/A,FALSE,"FCB";"GREY_ALL",#N/A,FALSE,"GREY"}</definedName>
    <definedName name="dfdf" hidden="1">{#N/A,#N/A,FALSE,"Class A";#N/A,#N/A,FALSE,"Class B";#N/A,#N/A,FALSE,"Class C"}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ere" hidden="1">{"ReportTop",#N/A,FALSE,"report top"}</definedName>
    <definedName name="dff" hidden="1">{"sheet a",#N/A,FALSE,"A";"2 9 casflow",#N/A,FALSE,"B"}</definedName>
    <definedName name="DFFDG" hidden="1">#REF!</definedName>
    <definedName name="dfg">#REF!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g" hidden="1">{"sheet a",#N/A,FALSE,"A";"sheet b 1",#N/A,FALSE,"B";"sheet b 2",#N/A,FALSE,"B"}</definedName>
    <definedName name="dfgsdf" hidden="1">{"FCB_ALL",#N/A,FALSE,"FCB"}</definedName>
    <definedName name="dfhdfh" hidden="1">{"Construction Costs",#N/A,FALSE,"Total Costs"}</definedName>
    <definedName name="dfhdh" hidden="1">{#N/A,#N/A,FALSE,"COVER SHEET";#N/A,#N/A,FALSE,"SECT 1 - SUMM";#N/A,#N/A,FALSE,"SECT 1 - LND PLAN";#N/A,#N/A,FALSE,"SECT 2 - COMBINED QTRLY PROJ CF";#N/A,#N/A,FALSE,"SECT 2 - KUKIO CF";#N/A,#N/A,FALSE,"SECT 2 - MANINI CF";#N/A,#N/A,FALSE,"SECT 5a - CLUB ASSUMPTIONS";#N/A,#N/A,FALSE,"SECT 5 - QTRLY CLUB OPS"}</definedName>
    <definedName name="dfhfh" hidden="1">#REF!</definedName>
    <definedName name="dfhsdf" hidden="1">{0,0,0,0}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ndhgn" hidden="1">#REF!</definedName>
    <definedName name="dgtdf" hidden="1">{"FCB_ALL",#N/A,FALSE,"FCB"}</definedName>
    <definedName name="dh" hidden="1">{#N/A,#N/A,TRUE,"Krycí list"}</definedName>
    <definedName name="dhdjy" hidden="1">#REF!</definedName>
    <definedName name="DHG" hidden="1">{"cap_structure",#N/A,FALSE,"Graph-Mkt Cap";"price",#N/A,FALSE,"Graph-Price";"ebit",#N/A,FALSE,"Graph-EBITDA";"ebitda",#N/A,FALSE,"Graph-EBITDA"}</definedName>
    <definedName name="dhgndn" hidden="1">#REF!</definedName>
    <definedName name="dhh" hidden="1">{#N/A,#N/A,TRUE,"Krycí list"}</definedName>
    <definedName name="dhhh" hidden="1">{#N/A,#N/A,TRUE,"Krycí list"}</definedName>
    <definedName name="DINK">#REF!</definedName>
    <definedName name="Dir_Cap_Value_Stab">#REF!</definedName>
    <definedName name="directory2">#REF!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isc">#REF!</definedName>
    <definedName name="Discount" hidden="1">#REF!</definedName>
    <definedName name="Discount_Rate">#REF!</definedName>
    <definedName name="DiscRate_24seven">#REF!</definedName>
    <definedName name="DiscRate_A">#REF!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isplay_area_2" hidden="1">#REF!</definedName>
    <definedName name="DisplaySelectedSheetsMacroButton">#REF!</definedName>
    <definedName name="dispo">#REF!</definedName>
    <definedName name="DispositionFees">#REF!</definedName>
    <definedName name="DispositionPrice" hidden="1">#REF!</definedName>
    <definedName name="dist00">#REF!</definedName>
    <definedName name="dist01">#REF!</definedName>
    <definedName name="dist02">#REF!</definedName>
    <definedName name="dist03">#REF!</definedName>
    <definedName name="dist04">#REF!</definedName>
    <definedName name="dist05">#REF!</definedName>
    <definedName name="dist06">#REF!</definedName>
    <definedName name="dist07">#REF!</definedName>
    <definedName name="dist97">#REF!</definedName>
    <definedName name="dist98">#REF!</definedName>
    <definedName name="dist99">#REF!</definedName>
    <definedName name="distrib" hidden="1">{#N/A,#N/A,FALSE,"Sheet10"}</definedName>
    <definedName name="Divestitures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dkfjal" hidden="1">#REF!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N_Markets">#REF!</definedName>
    <definedName name="DocType">Word</definedName>
    <definedName name="DocType2">Word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ug" hidden="1">{#N/A,#N/A,FALSE,"Consolidated";#N/A,#N/A,FALSE,"Available Credit";#N/A,#N/A,FALSE,"100% Owned";#N/A,#N/A,FALSE,"Bentall U.S. LLC";#N/A,#N/A,FALSE,"Bentall Properties (U.S.) Ltd.";#N/A,#N/A,FALSE,"Schedule I"}</definedName>
    <definedName name="doug2" hidden="1">{#N/A,#N/A,FALSE,"Consolidated";#N/A,#N/A,FALSE,"Available Credit";#N/A,#N/A,FALSE,"100% Owned";#N/A,#N/A,FALSE,"Bentall U.S. LLC";#N/A,#N/A,FALSE,"Bentall Properties (U.S.) Ltd.";#N/A,#N/A,FALSE,"Schedule I"}</definedName>
    <definedName name="dougie" hidden="1">{#N/A,#N/A,FALSE,"Consolidated";#N/A,#N/A,FALSE,"Available Credit";#N/A,#N/A,FALSE,"100% Owned";#N/A,#N/A,FALSE,"Bentall U.S. LLC";#N/A,#N/A,FALSE,"Bentall Properties (U.S.) Ltd.";#N/A,#N/A,FALSE,"Schedule I"}</definedName>
    <definedName name="Down_Time">#REF!</definedName>
    <definedName name="dpa">#REF!</definedName>
    <definedName name="DRE_P_Flor" hidden="1">#REF!</definedName>
    <definedName name="DRE_P_Trad" hidden="1">#REF!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" hidden="1">{#N/A,#N/A,FALSE,"Chart 2 by Prop Type"}</definedName>
    <definedName name="dsaf" hidden="1">{#N/A,#N/A,FALSE,"ExecSum";#N/A,#N/A,FALSE,"total summary";#N/A,#N/A,FALSE,"Budget";#N/A,#N/A,FALSE,"CashFlow"}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" hidden="1">{#N/A,#N/A,FALSE,"Chart 2 by Prop Type"}</definedName>
    <definedName name="dsfdsfds" hidden="1">{#N/A,#N/A,FALSE,"Consolidated";#N/A,#N/A,FALSE,"Available Credit";#N/A,#N/A,FALSE,"100% Owned";#N/A,#N/A,FALSE,"Bentall U.S. LLC";#N/A,#N/A,FALSE,"Bentall Properties (U.S.) Ltd.";#N/A,#N/A,FALSE,"Schedule I"}</definedName>
    <definedName name="dsfgdsfg" hidden="1">#REF!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gh" hidden="1">{#N/A,#N/A,TRUE,"Krycí list"}</definedName>
    <definedName name="dsghh" hidden="1">{#N/A,#N/A,TRUE,"Krycí list"}</definedName>
    <definedName name="dsgvnlkdsfn" hidden="1">{#N/A,#N/A,FALSE,"Chart 2 by Prop Type"}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1A" hidden="1">#REF!</definedName>
    <definedName name="DSIndHistHiddenYear2" hidden="1">#REF!</definedName>
    <definedName name="DSIndHistHiddenYear2A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S" hidden="1">{"print STAY opening assumptions",#N/A,FALSE,"STAY Openings";"print STAY openings",#N/A,FALSE,"STAY Openings"}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TABLE02">#REF!</definedName>
    <definedName name="DTABLE03">#REF!</definedName>
    <definedName name="DTABLE04">#REF!</definedName>
    <definedName name="DTABLE06">#REF!</definedName>
    <definedName name="DTABLE07">#REF!</definedName>
    <definedName name="DTABLE08">#REF!</definedName>
    <definedName name="DTABLE09">#REF!</definedName>
    <definedName name="DTABLE10">#REF!</definedName>
    <definedName name="DTCALC">#REF!</definedName>
    <definedName name="dtytyhj" hidden="1">#REF!</definedName>
    <definedName name="DVLPBDG">#REF!</definedName>
    <definedName name="dw" hidden="1">#REF!</definedName>
    <definedName name="DY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{"MonthlyRentRoll",#N/A,FALSE,"RentRoll"}</definedName>
    <definedName name="E15xe81">#REF!</definedName>
    <definedName name="EagleLogo" hidden="1">"Picture 1"</definedName>
    <definedName name="earn1" hidden="1">#REF!</definedName>
    <definedName name="EBIT_Margin_Adjusted_Data" hidden="1">OFFSET(#REF!,0,0,COUNTA(#REF!),1)</definedName>
    <definedName name="EBIT_Margin_Data" hidden="1">OFFSET(#REF!,0,0,COUNTA(#REF!)-1,1)</definedName>
    <definedName name="EBIT_Margin_Dummy_Data" hidden="1">OFFSET(#REF!,0,0,COUNTA(#REF!)-1,1)</definedName>
    <definedName name="EBIT_Margin_X_Values" hidden="1">OFFSET(#REF!,0,0,COUNTA(#REF!)-1,1)</definedName>
    <definedName name="ebitdamargin">#REF!</definedName>
    <definedName name="ed" hidden="1">{#N/A,#N/A,FALSE,"Chart 2 by Prop Type"}</definedName>
    <definedName name="edd" hidden="1">{"rtn",#N/A,FALSE,"RTN";"tables",#N/A,FALSE,"RTN";"cf",#N/A,FALSE,"CF";"stats",#N/A,FALSE,"Stats";"prop",#N/A,FALSE,"Prop"}</definedName>
    <definedName name="Eden" hidden="1">{"AnnualRentRoll",#N/A,FALSE,"RentRoll"}</definedName>
    <definedName name="edf" hidden="1">{#N/A,#N/A,FALSE,"Chart 2 by Prop Type"}</definedName>
    <definedName name="edr" hidden="1">{#N/A,#N/A,FALSE,"Chart 2 by Prop Type"}</definedName>
    <definedName name="ee" hidden="1">{#N/A,#N/A,FALSE,"OperatingAssumptions"}</definedName>
    <definedName name="eee" hidden="1">{#N/A,#N/A,FALSE,"OperatingAssumptions"}</definedName>
    <definedName name="eeee" hidden="1">#REF!</definedName>
    <definedName name="eeeee" hidden="1">{#N/A,#N/A,FALSE,"CAPREIT"}</definedName>
    <definedName name="eeeeee" hidden="1">#REF!</definedName>
    <definedName name="eeeeeeee" hidden="1">#REF!</definedName>
    <definedName name="eer" hidden="1">{"Construction_Short",#N/A,FALSE,"Construction"}</definedName>
    <definedName name="effd" hidden="1">{#N/A,#N/A,FALSE,"Class A";#N/A,#N/A,FALSE,"Class B";#N/A,#N/A,FALSE,"Class C"}</definedName>
    <definedName name="efQFQA" hidden="1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iyr1">#REF!</definedName>
    <definedName name="egiyr10">#REF!</definedName>
    <definedName name="egiyr11">#REF!</definedName>
    <definedName name="egiyr2">#REF!</definedName>
    <definedName name="egiyr3">#REF!</definedName>
    <definedName name="egiyr4">#REF!</definedName>
    <definedName name="egiyr5">#REF!</definedName>
    <definedName name="egiyr6">#REF!</definedName>
    <definedName name="egiyr7">#REF!</definedName>
    <definedName name="egiyr8">#REF!</definedName>
    <definedName name="egiyr9">#REF!</definedName>
    <definedName name="ehretje" hidden="1">#REF!</definedName>
    <definedName name="eisen">#REF!</definedName>
    <definedName name="ELIGIBLE_ASSETS">#REF!</definedName>
    <definedName name="ellen" hidden="1">{#N/A,#N/A,FALSE,"WATCHDSC";#N/A,#N/A,FALSE,"2LOSSMOD";#N/A,#N/A,FALSE,"2LOSS";#N/A,#N/A,FALSE,"DSC";#N/A,#N/A,FALSE,"OPERAT";#N/A,#N/A,FALSE,"ADJUST";#N/A,#N/A,FALSE,"LEASE EXPIRE"}</definedName>
    <definedName name="encum">#REF!</definedName>
    <definedName name="end">IF([0]!Loan_Amount*[0]!Interest_Rate*[0]!Loan_Years*[0]!Loan_Start&gt;0,1,0)</definedName>
    <definedName name="End_Bal">#REF!</definedName>
    <definedName name="EndCol">#REF!</definedName>
    <definedName name="EndRow">#REF!</definedName>
    <definedName name="ENGEL" hidden="1">#REF!</definedName>
    <definedName name="entities">#REF!</definedName>
    <definedName name="ENTRIES" hidden="1">#REF!</definedName>
    <definedName name="Entries2" hidden="1">#REF!</definedName>
    <definedName name="entry" hidden="1">{#N/A,#N/A,FALSE,"Sales"}</definedName>
    <definedName name="entry1" hidden="1">{#N/A,#N/A,FALSE,"Sales"}</definedName>
    <definedName name="Entwässerung">#REF!</definedName>
    <definedName name="EOP_MSA_sort_Buildings">#REF!</definedName>
    <definedName name="EOP_MSA_Sort_MSA">#REF!</definedName>
    <definedName name="EOP_MSA_sort_NOI">#REF!</definedName>
    <definedName name="EOP_MSA_sort_SQFT">#REF!</definedName>
    <definedName name="ep" hidden="1">#REF!</definedName>
    <definedName name="EPRINT1">#REF!</definedName>
    <definedName name="epsltm" hidden="1">#REF!</definedName>
    <definedName name="EPU00">#REF!</definedName>
    <definedName name="Equity">#REF!</definedName>
    <definedName name="EQUITY_COST">#REF!</definedName>
    <definedName name="Equity_Invested">#REF!</definedName>
    <definedName name="equity2row" hidden="1">#REF!</definedName>
    <definedName name="equityrow" hidden="1">#REF!</definedName>
    <definedName name="er" hidden="1">{#N/A,#N/A,FALSE,"Chart 2 by Prop Type"}</definedName>
    <definedName name="ER_MO">#REF!</definedName>
    <definedName name="ER_YR">#REF!</definedName>
    <definedName name="erasdf" hidden="1">{"Assump",#N/A,TRUE,"Proforma";"first",#N/A,TRUE,"Proforma";"second",#N/A,TRUE,"Proforma";"lease1",#N/A,TRUE,"Proforma";"lease2",#N/A,TRUE,"Proforma"}</definedName>
    <definedName name="er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r" hidden="1">{"Total",#N/A,FALSE,"Six Fields";"PDP",#N/A,FALSE,"Six Fields";"PNP",#N/A,FALSE,"Six Fields";"PUD",#N/A,FALSE,"Six Fields";"Prob",#N/A,FALSE,"Six Fields"}</definedName>
    <definedName name="ererg" hidden="1">{"Investor",#N/A,FALSE,"Model";"Property",#N/A,FALSE,"Model";"Incentive Taxes",#N/A,FALSE,"Model"}</definedName>
    <definedName name="eret" hidden="1">{"sheet a",#N/A,FALSE,"A";"2 9 casflow",#N/A,FALSE,"B"}</definedName>
    <definedName name="erg" hidden="1">{0,0,"",0;0,0,0,0;0,0,0,0;0,0,0,0;0,0,0,0}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OWS">#REF!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rt5t6" hidden="1">{"Detail Project Cash Flow",#N/A,TRUE,"Cash Flow Grid";"Financing Calculation",#N/A,TRUE,"Cash Flow Grid"}</definedName>
    <definedName name="erterg" hidden="1">#REF!</definedName>
    <definedName name="ERTY" hidden="1">#REF!</definedName>
    <definedName name="erw" hidden="1">{"Detail Project Cash Flow",#N/A,TRUE,"Cash Flow Grid";"Financing Calculation",#N/A,TRUE,"Cash Flow Grid"}</definedName>
    <definedName name="erwsr" hidden="1">{#N/A,#N/A,FALSE,"Fund-II"}</definedName>
    <definedName name="erwtwert" hidden="1">#REF!</definedName>
    <definedName name="eryuietj" hidden="1">#REF!</definedName>
    <definedName name="eryumds" hidden="1">{"qtrl1",#N/A,TRUE,"Annual Summary";"qtrl2",#N/A,TRUE,"Annual Summary";"qtrl3",#N/A,TRUE,"Annual Summary";"qtrl4",#N/A,TRUE,"QTLY Summary";"qtrl5",#N/A,TRUE,"QTLY Summary";"qtrl6",#N/A,TRUE,"QTLY Summary"}</definedName>
    <definedName name="es" hidden="1">{"FCB_ALL",#N/A,FALSE,"FCB"}</definedName>
    <definedName name="ESC_PSF">#REF!</definedName>
    <definedName name="ESC_VAR">#REF!</definedName>
    <definedName name="ESCAL">#REF!</definedName>
    <definedName name="esr" hidden="1">{"FCB_ALL",#N/A,FALSE,"FCB"}</definedName>
    <definedName name="esrs" hidden="1">{"FCB_ALL",#N/A,FALSE,"FCB"}</definedName>
    <definedName name="est_mvic" hidden="1">#REF!</definedName>
    <definedName name="estimate">#REF!</definedName>
    <definedName name="estimateexp">#REF!</definedName>
    <definedName name="etert" hidden="1">{"sheet a",#N/A,FALSE,"A";"sheet b 1",#N/A,FALSE,"B";"sheet b 2",#N/A,FALSE,"B"}</definedName>
    <definedName name="etyjydt" hidden="1">#REF!</definedName>
    <definedName name="Euro_FXRate">#REF!</definedName>
    <definedName name="euyhj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ev.Calculation" hidden="1">-4135</definedName>
    <definedName name="ev.Initialized" hidden="1">FALSE</definedName>
    <definedName name="EV__CVPARAMS__" hidden="1">"S1!$A$4:$B$21;"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39367.6355439815</definedName>
    <definedName name="EV__LOCKEDCVW__DRP" hidden="1">"R_REVROI,BU4081,CURRENT,INPUT,D1139,LC,2009.TOTAL,PERIODIC,"</definedName>
    <definedName name="EV__LOCKEDCVW__FINANCE" hidden="1">"GOI,BU4081,CURRENT,TOTALADJ,D_HOTEL,All_InterCo,LC,2010.TOTAL,PERIODIC,"</definedName>
    <definedName name="EV__LOCKEDCVW__FINANCEDETAIL" hidden="1">"706520,BU4081,CURRENT,INPUT,D0185,Non_InterCo,L_ALL,LC,2009.TOTAL,PERIODIC,"</definedName>
    <definedName name="EV__LOCKEDCVW__HCM" hidden="1">"PC_MNTHLY,BU4081,CURRENT,INPUT,D_HOTEL,E0,LC,2009.TOTAL,PERIODIC,"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INFO" hidden="1">"FINANCE"</definedName>
    <definedName name="EV__USERCHANGEOPTIONS__" hidden="1">1</definedName>
    <definedName name="EV__WBEVMODE__" hidden="1">0</definedName>
    <definedName name="EV__WBREFOPTIONS__" hidden="1">4</definedName>
    <definedName name="EV__WBVERSION__" hidden="1">0</definedName>
    <definedName name="ew" hidden="1">#REF!</definedName>
    <definedName name="ewrqwer" hidden="1">#REF!</definedName>
    <definedName name="Ex.Rate">1.55576</definedName>
    <definedName name="ExactAddinConnection" hidden="1">"015"</definedName>
    <definedName name="ExactAddinConnection.015" hidden="1">"SQL;022;pcardinale;1"</definedName>
    <definedName name="ExactAddinConnection.018" hidden="1">"SQL;018;ablanchard;1"</definedName>
    <definedName name="ExactAddinReports" hidden="1">1</definedName>
    <definedName name="ExbMult_Total" hidden="1">#REF!</definedName>
    <definedName name="exbnumlist" hidden="1">#REF!</definedName>
    <definedName name="exc" hidden="1">{"'Assump'!$F$6:$J$6"}</definedName>
    <definedName name="excel" hidden="1">{#N/A,#N/A,FALSE}</definedName>
    <definedName name="Exch_FX_Euro">#REF!</definedName>
    <definedName name="exchange">900</definedName>
    <definedName name="Exchange_Rates" hidden="1">#REF!</definedName>
    <definedName name="exhibits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xistingDebtSchedule">#REF!</definedName>
    <definedName name="Exit">#REF!</definedName>
    <definedName name="Exit_Cap">#REF!</definedName>
    <definedName name="Exit_Cap_Rate">#REF!</definedName>
    <definedName name="Exit_Date">#REF!</definedName>
    <definedName name="EXITcap">#REF!</definedName>
    <definedName name="ExitPSF_Yr10">#REF!</definedName>
    <definedName name="ExitPSF_Yr3">#REF!</definedName>
    <definedName name="ExitPSF_Yr5">#REF!</definedName>
    <definedName name="exp" hidden="1">#REF!</definedName>
    <definedName name="exp.amt.reimb.3rdPartyUW">#REF!</definedName>
    <definedName name="exp.amt.reimb.aerialsPhotos">#REF!</definedName>
    <definedName name="exp.amt.reimb.appraisal">#REF!</definedName>
    <definedName name="exp.amt.reimb.audit">#REF!</definedName>
    <definedName name="exp.amt.reimb.confCalls">#REF!</definedName>
    <definedName name="exp.amt.reimb.copies">#REF!</definedName>
    <definedName name="exp.amt.reimb.courier">#REF!</definedName>
    <definedName name="exp.amt.reimb.creditReports">#REF!</definedName>
    <definedName name="exp.amt.reimb.engineer">#REF!</definedName>
    <definedName name="exp.amt.reimb.envPhase1">#REF!</definedName>
    <definedName name="exp.amt.reimb.envPhase2">#REF!</definedName>
    <definedName name="exp.amt.reimb.equifax">#REF!</definedName>
    <definedName name="exp.amt.reimb.fedEx">#REF!</definedName>
    <definedName name="exp.amt.reimb.FF_E">#REF!</definedName>
    <definedName name="exp.amt.reimb.leaseReview">#REF!</definedName>
    <definedName name="exp.amt.reimb.legal">#REF!</definedName>
    <definedName name="exp.amt.reimb.loanStaffServices">#REF!</definedName>
    <definedName name="exp.amt.reimb.marketReports">#REF!</definedName>
    <definedName name="exp.amt.reimb.miscExpenses">#REF!</definedName>
    <definedName name="exp.amt.reimb.otherReport">#REF!</definedName>
    <definedName name="exp.amt.reimb.peerreview">#REF!</definedName>
    <definedName name="exp.amt.reimb.seismic">#REF!</definedName>
    <definedName name="exp.amt.reimb.t_l">#REF!</definedName>
    <definedName name="exp.amt.reimb.t_lSpecCharge">#REF!</definedName>
    <definedName name="exp.amt.reimb.valuationServices">#REF!</definedName>
    <definedName name="exp.amt.reimb.zoning">#REF!</definedName>
    <definedName name="exp.vend.reimb.3rdPartyUW">#REF!</definedName>
    <definedName name="exp.vend.reimb.aerialsPhotos">#REF!</definedName>
    <definedName name="exp.vend.reimb.confCalls">#REF!</definedName>
    <definedName name="exp.vend.reimb.copies">#REF!</definedName>
    <definedName name="exp.vend.reimb.courier">#REF!</definedName>
    <definedName name="exp.vend.reimb.creditReports">#REF!</definedName>
    <definedName name="exp.vend.reimb.equifax">#REF!</definedName>
    <definedName name="exp.vend.reimb.fedEx">#REF!</definedName>
    <definedName name="exp.vend.reimb.leaseReview">#REF!</definedName>
    <definedName name="exp.vend.reimb.legal">#REF!</definedName>
    <definedName name="exp.vend.reimb.loanStaffServices">#REF!</definedName>
    <definedName name="exp.vend.reimb.marketReports">#REF!</definedName>
    <definedName name="exp.vend.reimb.miscExpenses">#REF!</definedName>
    <definedName name="exp.vend.reimb.t_l">#REF!</definedName>
    <definedName name="exp.vend.reimb.t_lSpecCharge">#REF!</definedName>
    <definedName name="exp.vend.reimb.valuationServices">#REF!</definedName>
    <definedName name="Exp_Mo">#REF!</definedName>
    <definedName name="Exp_Yr">#REF!</definedName>
    <definedName name="Exp_yr1">#REF!</definedName>
    <definedName name="Exp_yr10">#REF!</definedName>
    <definedName name="Exp_yr11">#REF!</definedName>
    <definedName name="Exp_yr12">#REF!</definedName>
    <definedName name="Exp_yr13">#REF!</definedName>
    <definedName name="Exp_yr14">#REF!</definedName>
    <definedName name="Exp_yr15">#REF!</definedName>
    <definedName name="Exp_yr16">#REF!</definedName>
    <definedName name="Exp_yr2">#REF!</definedName>
    <definedName name="Exp_yr3">#REF!</definedName>
    <definedName name="Exp_yr4">#REF!</definedName>
    <definedName name="Exp_yr5">#REF!</definedName>
    <definedName name="Exp_yr6">#REF!</definedName>
    <definedName name="Exp_yr7">#REF!</definedName>
    <definedName name="Exp_yr8">#REF!</definedName>
    <definedName name="Exp_yr9">#REF!</definedName>
    <definedName name="EXPBGT">#REF!</definedName>
    <definedName name="EXPBGTCALC">#REF!</definedName>
    <definedName name="EXPBGTSUM">#REF!</definedName>
    <definedName name="expcomp">"Option Button 21"</definedName>
    <definedName name="Expense_Category_1">#REF!</definedName>
    <definedName name="Expense_Category_10">#REF!</definedName>
    <definedName name="Expense_Category_11">#REF!</definedName>
    <definedName name="Expense_Category_12">#REF!</definedName>
    <definedName name="Expense_Category_13">#REF!</definedName>
    <definedName name="Expense_Category_14">#REF!</definedName>
    <definedName name="Expense_Category_15">#REF!</definedName>
    <definedName name="Expense_Category_16">#REF!</definedName>
    <definedName name="Expense_Category_17">#REF!</definedName>
    <definedName name="Expense_Category_18">#REF!</definedName>
    <definedName name="Expense_Category_19">#REF!</definedName>
    <definedName name="Expense_Category_2">#REF!</definedName>
    <definedName name="Expense_Category_20">#REF!</definedName>
    <definedName name="Expense_Category_3">#REF!</definedName>
    <definedName name="Expense_Category_4">#REF!</definedName>
    <definedName name="Expense_Category_5">#REF!</definedName>
    <definedName name="Expense_Category_6">#REF!</definedName>
    <definedName name="Expense_Category_7">#REF!</definedName>
    <definedName name="Expense_Category_8">#REF!</definedName>
    <definedName name="Expense_Category_9">#REF!</definedName>
    <definedName name="Expense_Inflation">#REF!</definedName>
    <definedName name="expinet">"Option Button 20"</definedName>
    <definedName name="EXPIRATION">#REF!</definedName>
    <definedName name="EXPSAL1">#REF!</definedName>
    <definedName name="EXPSAL10">#REF!</definedName>
    <definedName name="EXPSAL2">#REF!</definedName>
    <definedName name="EXPSAL3">#REF!</definedName>
    <definedName name="EXPSAL4">#REF!</definedName>
    <definedName name="EXPSAL5">#REF!</definedName>
    <definedName name="EXPSAL6">#REF!</definedName>
    <definedName name="EXPSAL7">#REF!</definedName>
    <definedName name="EXPSAL8">#REF!</definedName>
    <definedName name="EXPSAL9">#REF!</definedName>
    <definedName name="EXPSALDET">#REF!</definedName>
    <definedName name="EXPSUMM">#REF!</definedName>
    <definedName name="exptenant">"exptenant"</definedName>
    <definedName name="exrate.cad">1.01595</definedName>
    <definedName name="exrate.euro">0.7852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" hidden="1">{#N/A,#N/A,TRUE,"10 Yr Hold";#N/A,#N/A,TRUE,"7 Yr Hold";#N/A,#N/A,TRUE,"5 Yr Hold";#N/A,#N/A,TRUE,"3 Yr Hold"}</definedName>
    <definedName name="Extra_Pay">#REF!</definedName>
    <definedName name="eysdy" hidden="1">#REF!</definedName>
    <definedName name="ezrtezr" hidden="1">#REF!</definedName>
    <definedName name="ezrtrezt" hidden="1">#REF!</definedName>
    <definedName name="eztezrt" hidden="1">#REF!</definedName>
    <definedName name="f">#REF!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asadfasdfasdfasdafsdf" hidden="1">#REF!</definedName>
    <definedName name="fafdasfda" hidden="1">{#N/A,#N/A,TRUE,"10 Yr Hold";#N/A,#N/A,TRUE,"7 Yr Hold";#N/A,#N/A,TRUE,"5 Yr Hold";#N/A,#N/A,TRUE,"3 Yr Hold"}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as" hidden="1">{#N/A,#N/A,TRUE,"10 Yr Hold";#N/A,#N/A,TRUE,"7 Yr Hold";#N/A,#N/A,TRUE,"5 Yr Hold";#N/A,#N/A,TRUE,"3 Yr Hold"}</definedName>
    <definedName name="fasffSFffASFasfASFasf" hidden="1">{#N/A,#N/A,FALSE,"LP Exp";#N/A,#N/A,FALSE,"Salary";#N/A,#N/A,FALSE,"Admin Exp";#N/A,#N/A,FALSE,"QTS Bud";#N/A,#N/A,FALSE,"Marketing"}</definedName>
    <definedName name="fcaprecycling">#REF!</definedName>
    <definedName name="fcDate" hidden="1">#REF!</definedName>
    <definedName name="FCode" hidden="1">#REF!</definedName>
    <definedName name="fd" hidden="1">{#N/A,#N/A,FALSE,"Chart 2 by Prop Type"}</definedName>
    <definedName name="fdasfasd" hidden="1">{"bs",#N/A,FALSE,"SCF"}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hidden="1">{#N/A,#N/A,FALSE,"Chart 2 by Prop Type"}</definedName>
    <definedName name="fdebt">#REF!</definedName>
    <definedName name="fDebtassum">#REF!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fd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hidden="1">{"inputs raw data",#N/A,TRUE,"INPUT"}</definedName>
    <definedName name="fdgfdg" hidden="1">{"FCB_ALL",#N/A,FALSE,"FCB";"GREY_ALL",#N/A,FALSE,"GREY"}</definedName>
    <definedName name="fdgfdgfdg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dgfdsfdre" hidden="1">#REF!</definedName>
    <definedName name="fDispositions">#REF!</definedName>
    <definedName name="fDMRev">#REF!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afdfsa" hidden="1">{#N/A,#N/A,TRUE,"10 Yr Hold";#N/A,#N/A,TRUE,"7 Yr Hold";#N/A,#N/A,TRUE,"5 Yr Hold";#N/A,#N/A,TRUE,"3 Yr Hold"}</definedName>
    <definedName name="fdsafdsagsadgsa" hidden="1">{#N/A,#N/A,TRUE,"10 Yr Hold";#N/A,#N/A,TRUE,"7 Yr Hold";#N/A,#N/A,TRUE,"5 Yr Hold";#N/A,#N/A,TRUE,"3 Yr Hold"}</definedName>
    <definedName name="fdsafsad" hidden="1">{#N/A,#N/A,TRUE,"10 Yr Hold";#N/A,#N/A,TRUE,"7 Yr Hold";#N/A,#N/A,TRUE,"5 Yr Hold";#N/A,#N/A,TRUE,"3 Yr Hold"}</definedName>
    <definedName name="fdsag" hidden="1">{"FCB_ALL",#N/A,FALSE,"FCB"}</definedName>
    <definedName name="fdsakfjds" hidden="1">{"FCB_ALL",#N/A,FALSE,"FCB";"GREY_ALL",#N/A,FALSE,"GREY"}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f" hidden="1">"3AZ7TPCT6F7CLWHBG4RBGUQ78"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sfdhfdh" hidden="1">#REF!</definedName>
    <definedName name="Febr.">#REF!</definedName>
    <definedName name="FEET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hidden="1">{#N/A,#N/A,TRUE,"Summary";"AnnualRentRoll",#N/A,TRUE,"RentRoll";#N/A,#N/A,TRUE,"ExitStratigy";#N/A,#N/A,TRUE,"OperatingAssumptions"}</definedName>
    <definedName name="ffe">#REF!</definedName>
    <definedName name="fferw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fff" hidden="1">{#N/A,#N/A,TRUE,"Summary";"AnnualRentRoll",#N/A,TRUE,"RentRoll";#N/A,#N/A,TRUE,"ExitStratigy";#N/A,#N/A,TRUE,"OperatingAssumptions"}</definedName>
    <definedName name="ffff" hidden="1">#REF!</definedName>
    <definedName name="ffffff" hidden="1">#REF!</definedName>
    <definedName name="ffffff.2" hidden="1">{#N/A,#N/A,FALSE,"Cashflow Analysis";#N/A,#N/A,FALSE,"Sensitivity Analysis";#N/A,#N/A,FALSE,"PV";#N/A,#N/A,FALSE,"Pro Forma"}</definedName>
    <definedName name="fffffff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l" hidden="1">#REF!</definedName>
    <definedName name="fFMV">#REF!</definedName>
    <definedName name="ffoaccretionanalysis100debt">#REF!</definedName>
    <definedName name="ffoaccretionanalysisdebtandequity">#REF!</definedName>
    <definedName name="ffoaccretionanalysisdevelopandsell">#REF!</definedName>
    <definedName name="ffvdfd" hidden="1">{#N/A,#N/A,FALSE,"Class A";#N/A,#N/A,FALSE,"Class B";#N/A,#N/A,FALSE,"Class C"}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Aexp">#REF!</definedName>
    <definedName name="fgbdzf" hidden="1">{#N/A,#N/A,FALSE,"Cashflow Analysis";#N/A,#N/A,FALSE,"Sensitivity Analysis";#N/A,#N/A,FALSE,"PV";#N/A,#N/A,FALSE,"Pro Forma"}</definedName>
    <definedName name="fgdfs" hidden="1">{"FORMULAS",#N/A,FALSE,"ESTIMATE"}</definedName>
    <definedName name="fgfdg" hidden="1">{"FCB_ALL",#N/A,FALSE,"FCB";"GREY_ALL",#N/A,FALSE,"GREY"}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" hidden="1">#REF!</definedName>
    <definedName name="FileChart" hidden="1">#REF!</definedName>
    <definedName name="Fill" hidden="1">#REF!</definedName>
    <definedName name="FILL2" hidden="1">#REF!</definedName>
    <definedName name="filler" hidden="1">{"Annual Cash Flows",#N/A,FALSE,"Annual Summary"}</definedName>
    <definedName name="filler2" hidden="1">{"Assumptions",#N/A,FALSE,"Assumptions"}</definedName>
    <definedName name="filler3" hidden="1">{"Construction Costs",#N/A,FALSE,"Total Costs"}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al3" hidden="1">{"Construction_Short",#N/A,FALSE,"Construction"}</definedName>
    <definedName name="fine" hidden="1">{"CHART",#N/A,FALSE,"Arch Communications"}</definedName>
    <definedName name="finres" hidden="1">#REF!</definedName>
    <definedName name="FIRR">#REF!</definedName>
    <definedName name="First_payment_due">#REF!</definedName>
    <definedName name="FIRSTLIEN">#REF!</definedName>
    <definedName name="FirstLoanSchedule">#REF!</definedName>
    <definedName name="fixed_assets" hidden="1">{"Detailed",#N/A,FALSE,"Schedule4"}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hidden="1">{#N/A,#N/A,FALSE,"SCHEDULE A";"MINIMUM RENT",#N/A,FALSE,"SCHEDULES B &amp; C";"PERCENTAGE RENT",#N/A,FALSE,"SCHEDULES B &amp; C"}</definedName>
    <definedName name="fl" hidden="1">#REF!</definedName>
    <definedName name="flandacq">#REF!</definedName>
    <definedName name="flandsale">#REF!</definedName>
    <definedName name="fldfjlsd" hidden="1">#REF!</definedName>
    <definedName name="fll" hidden="1">#REF!</definedName>
    <definedName name="flll" hidden="1">#REF!</definedName>
    <definedName name="Flx_Flor" hidden="1">#REF!</definedName>
    <definedName name="Flx_Trad" hidden="1">#REF!</definedName>
    <definedName name="fm" hidden="1">{"summary1",#N/A,TRUE,"Comps";"summary2",#N/A,TRUE,"Comps";"summary3",#N/A,TRUE,"Comps"}</definedName>
    <definedName name="fnex" hidden="1">#REF!</definedName>
    <definedName name="fopporpnew">#REF!</definedName>
    <definedName name="fOpprop">#REF!</definedName>
    <definedName name="FORECAST">#REF!</definedName>
    <definedName name="FP">FIND("|", [0]!cc)</definedName>
    <definedName name="fr" hidden="1">{"print STAY opening assumptions",#N/A,FALSE,"STAY Openings";"print STAY openings",#N/A,FALSE,"STAY Openings"}</definedName>
    <definedName name="FranFeeFandB">#REF!</definedName>
    <definedName name="FranFeeRoomRev">#REF!</definedName>
    <definedName name="FRED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FreeRent">#REF!</definedName>
    <definedName name="Frnt_Amort1">#REF!</definedName>
    <definedName name="Frnt_Amort2">#REF!</definedName>
    <definedName name="frtyu" hidden="1">{#N/A,#N/A,FALSE,"Chart 2 by Prop Type"}</definedName>
    <definedName name="fsddsfds" hidden="1">{#N/A,#N/A,FALSE,"Class A";#N/A,#N/A,FALSE,"Class B";#N/A,#N/A,FALSE,"Class C"}</definedName>
    <definedName name="fsdfd">#REF!</definedName>
    <definedName name="FSDFSDF" hidden="1">#REF!</definedName>
    <definedName name="fsdsfafd" hidden="1">{"CSheet",#N/A,FALSE,"C";"SmCap",#N/A,FALSE,"VAL1";"GulfCoast",#N/A,FALSE,"VAL1";"nav",#N/A,FALSE,"NAV";"Summary",#N/A,FALSE,"NAV"}</definedName>
    <definedName name="fsgdr" hidden="1">{"FCB_ALL",#N/A,FALSE,"FCB"}</definedName>
    <definedName name="fsr" hidden="1">{"FCB_ALL",#N/A,FALSE,"FCB"}</definedName>
    <definedName name="fstabilisations">#REF!</definedName>
    <definedName name="fstarts">#REF!</definedName>
    <definedName name="fsv" hidden="1">{"FCB_ALL",#N/A,FALSE,"FCB";"GREY_ALL",#N/A,FALSE,"GREY"}</definedName>
    <definedName name="ftgygy" hidden="1">{#N/A,#N/A,FALSE,"LP Exp";#N/A,#N/A,FALSE,"Salary";#N/A,#N/A,FALSE,"Admin Exp";#N/A,#N/A,FALSE,"QTS Bud";#N/A,#N/A,FALSE,"Marketing"}</definedName>
    <definedName name="ftyf" hidden="1">{"FCB_ALL",#N/A,FALSE,"FCB";"GREY_ALL",#N/A,FALSE,"GREY"}</definedName>
    <definedName name="fu" hidden="1">{0,0,0,0}</definedName>
    <definedName name="fuck" hidden="1">{"Financials",#N/A,FALSE,"Financials";"AVP",#N/A,FALSE,"AVP";"DCF",#N/A,FALSE,"DCF";"CSC",#N/A,FALSE,"CSC";"Deal_Comp",#N/A,FALSE,"DealComp"}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uk" hidden="1">{"1999",#N/A,FALSE,"1999"}</definedName>
    <definedName name="Full_Print">#REF!</definedName>
    <definedName name="Future_Funding">#REF!</definedName>
    <definedName name="FVLN">#REF!</definedName>
    <definedName name="FX_China">#REF!</definedName>
    <definedName name="FX_Euro">#REF!</definedName>
    <definedName name="FX_India">#REF!</definedName>
    <definedName name="FX_Mex">#REF!</definedName>
    <definedName name="FX_Mexico">#REF!</definedName>
    <definedName name="FX_MXN">#REF!</definedName>
    <definedName name="FX_Poland">#REF!</definedName>
    <definedName name="FX_Pound">#REF!</definedName>
    <definedName name="FX_USD">#REF!</definedName>
    <definedName name="FXChina">#REF!</definedName>
    <definedName name="fzgsdrygh" hidden="1">#REF!</definedName>
    <definedName name="g" hidden="1">{#N/A,#N/A,FALSE,"Chart 2 by Prop Type"}</definedName>
    <definedName name="g_1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2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3" hidden="1">{"Cover",#N/A,TRUE,"Sheet1";"Value",#N/A,TRUE,"Sheet1";"Sensitivity",#N/A,TRUE,"Sheet1";"Asset CF",#N/A,TRUE,"Sheet1";"Pship NCF",#N/A,TRUE,"Sheet1";"Pship Equity Value",#N/A,TRUE,"Sheet1";"Pship Distributions",#N/A,TRUE,"Sheet1";"JV Splits 1",#N/A,TRUE,"Sheet1";"JV Splits 2",#N/A,TRUE,"Sheet1";"MIR Split 1",#N/A,TRUE,"Sheet1";"Assumptions",#N/A,TRUE,"Sheet1"}</definedName>
    <definedName name="G_e_s_a_m_t">#REF!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laxy">#REF!</definedName>
    <definedName name="garage" hidden="1">{#N/A,#N/A,FALSE,"Garage Assumpt 1";#N/A,#N/A,FALSE,"Garage Op Proj";#N/A,#N/A,FALSE,"Hist I&amp;E";#N/A,#N/A,FALSE,"Garage Lease"}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co">#REF!</definedName>
    <definedName name="gawea" hidden="1">{"FCB_ALL",#N/A,FALSE,"FCB"}</definedName>
    <definedName name="gawen" hidden="1">{"FCB_ALL",#N/A,FALSE,"FCB"}</definedName>
    <definedName name="GC">#REF!</definedName>
    <definedName name="gcgc" hidden="1">{"Annual",#N/A,FALSE,"Sales &amp; Market";"Quarterly",#N/A,FALSE,"Sales &amp; Market"}</definedName>
    <definedName name="gcgc1" hidden="1">{"Annual",#N/A,FALSE,"Sales &amp; Market";"Quarterly",#N/A,FALSE,"Sales &amp; Market"}</definedName>
    <definedName name="gcjki" hidden="1">{#N/A,#N/A,TRUE,"Krycí list"}</definedName>
    <definedName name="gcjkii" hidden="1">{#N/A,#N/A,TRUE,"Krycí list"}</definedName>
    <definedName name="GCPS">#REF!</definedName>
    <definedName name="GCT">#REF!</definedName>
    <definedName name="gdfga" hidden="1">#REF!</definedName>
    <definedName name="gdxgxdz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eograph_Pie_X_Labels" hidden="1">OFFSET(#REF!,0,0,COUNTA(#REF!)-1,1)</definedName>
    <definedName name="Geography_Pie_Data" hidden="1">OFFSET(#REF!,0,0,COUNTA(#REF!)-1,1)</definedName>
    <definedName name="gf" hidden="1">{#N/A,#N/A,FALSE,"ACQ";#N/A,#N/A,FALSE,"ASSUMP";#N/A,#N/A,FALSE,"CASH FLOW";#N/A,#N/A,FALSE,"SALE";#N/A,#N/A,FALSE,"TIS";#N/A,#N/A,FALSE,"RENT ROLL"}</definedName>
    <definedName name="gfasd" hidden="1">{"FCB_ALL",#N/A,FALSE,"FCB"}</definedName>
    <definedName name="gfd" hidden="1">{#N/A,#N/A,FALSE,"Cashflow Analysis";#N/A,#N/A,FALSE,"Sensitivity Analysis";#N/A,#N/A,FALSE,"PV";#N/A,#N/A,FALSE,"Pro Forma"}</definedName>
    <definedName name="gfgh" hidden="1">{"Assumptions",#N/A,FALSE,"Assumptions"}</definedName>
    <definedName name="gfh" hidden="1">{"CSheet",#N/A,FALSE,"C";"SmCap",#N/A,FALSE,"VAL1";"GulfCoast",#N/A,FALSE,"VAL1";"nav",#N/A,FALSE,"NAV";"Summary",#N/A,FALSE,"NAV"}</definedName>
    <definedName name="gfhs" hidden="1">{"summary1",#N/A,TRUE,"Comps";"summary2",#N/A,TRUE,"Comps";"summary3",#N/A,TRUE,"Comps"}</definedName>
    <definedName name="gfjfju" hidden="1">{"Downside",#N/A,FALSE,"Downside"}</definedName>
    <definedName name="gfsdn" hidden="1">{"FCB_ALL",#N/A,FALSE,"FCB";"GREY_ALL",#N/A,FALSE,"GREY"}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hidden="1">{#N/A,#N/A,FALSE,"PropertyInfo"}</definedName>
    <definedName name="gggg" hidden="1">{"ODB",#N/A,FALSE,"Hold Scenario"}</definedName>
    <definedName name="gggggggg" hidden="1">{#N/A,#N/A,FALSE,"Fund-II"}</definedName>
    <definedName name="gggggggggg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ggh" hidden="1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ghjr" hidden="1">{"Bid",#N/A,FALSE,"Estimate";"Breakdowm",#N/A,FALSE,"Estimate"}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accts">#REF!</definedName>
    <definedName name="GLCode">#REF!</definedName>
    <definedName name="GLDesc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_CPI">#REF!</definedName>
    <definedName name="Global_Inflation">#REF!</definedName>
    <definedName name="gmail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gmcol" hidden="1">#REF!</definedName>
    <definedName name="GMHEQUITY">#REF!</definedName>
    <definedName name="GMHEQUITYA">#REF!</definedName>
    <definedName name="GoIn_Cap">#REF!</definedName>
    <definedName name="gr" hidden="1">{"three",#N/A,FALSE,"Capital";"four",#N/A,FALSE,"Capital"}</definedName>
    <definedName name="graph" hidden="1">#REF!</definedName>
    <definedName name="graph." hidden="1">{#N/A,#N/A,FALSE,"Yield Graph"}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aph2." hidden="1">{#N/A,#N/A,FALSE,"Yield Graph";#N/A,#N/A,FALSE,"Rent Roll";#N/A,#N/A,FALSE,"OE Yr1";#N/A,#N/A,FALSE,"Repl.Cst.+Ins."}</definedName>
    <definedName name="graph3." hidden="1">{#N/A,#N/A,FALSE,"Yield Graph"}</definedName>
    <definedName name="GROSS">#REF!</definedName>
    <definedName name="grossnetdebt" hidden="1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euer">#REF!</definedName>
    <definedName name="Grundsteuer_____25.">#REF!</definedName>
    <definedName name="Grundsteuer____25.">#REF!</definedName>
    <definedName name="gvk" hidden="1">{"Assumptions",#N/A,FALSE,"Assumptions"}</definedName>
    <definedName name="gyhui" hidden="1">{"CSheet",#N/A,FALSE,"C";"SmCap",#N/A,FALSE,"VAL1";"GulfCoast",#N/A,FALSE,"VAL1";"nav",#N/A,FALSE,"NAV";"Summary",#N/A,FALSE,"NAV"}</definedName>
    <definedName name="gyjh" hidden="1">{#N/A,#N/A,FALSE,"Cashflow Analysis";#N/A,#N/A,FALSE,"Sensitivity Analysis";#N/A,#N/A,FALSE,"PV";#N/A,#N/A,FALSE,"Pro Forma"}</definedName>
    <definedName name="h" hidden="1">{#N/A,#N/A,FALSE,"PropertyInfo"}</definedName>
    <definedName name="hallo" hidden="1">{#N/A,#N/A,FALSE,"Occ and Rate";#N/A,#N/A,FALSE,"PF Input";#N/A,#N/A,FALSE,"Capital Input";#N/A,#N/A,FALSE,"Proforma Five Yr";#N/A,#N/A,FALSE,"Calculations";#N/A,#N/A,FALSE,"Transaction Summary-DTW"}</definedName>
    <definedName name="HardinDistriOper">#REF!</definedName>
    <definedName name="HardinDistriSale">#REF!</definedName>
    <definedName name="HardinDistrOper">#REF!</definedName>
    <definedName name="HardinEntity">#REF!</definedName>
    <definedName name="HardinEq">#REF!</definedName>
    <definedName name="HardinOwn">#REF!</definedName>
    <definedName name="HardinPrefer">#REF!</definedName>
    <definedName name="Hausbeleuchtung">#REF!</definedName>
    <definedName name="Hausbeleuchtung__20.">#REF!</definedName>
    <definedName name="Hausmeisterservice">#REF!</definedName>
    <definedName name="Hausreinigung">#REF!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ader_Row">ROW(#REF!)</definedName>
    <definedName name="heading_2">#REF!</definedName>
    <definedName name="HealthInsurance">#REF!</definedName>
    <definedName name="Heizung_____zum_10.">#REF!</definedName>
    <definedName name="Heizung_____zum_15.">#REF!</definedName>
    <definedName name="Heizung_____zum_25.">#REF!</definedName>
    <definedName name="Heizung_____zum_5.">#REF!</definedName>
    <definedName name="Heizung_____zum_5._10.">#REF!</definedName>
    <definedName name="Hello">#REF!</definedName>
    <definedName name="Hello1" hidden="1">#REF!</definedName>
    <definedName name="help" hidden="1">{#N/A,#N/A,FALSE,"ZLDebtMaturity";#N/A,#N/A,FALSE,"FCDebtMaturity";#N/A,#N/A,FALSE,"ZM3DebtMaturity";#N/A,#N/A,FALSE,"ZM2DebtMaturity";#N/A,#N/A,FALSE,"zm1DebtMaturity";#N/A,#N/A,FALSE,"ConsZM123DebtMaturity"}</definedName>
    <definedName name="help1" hidden="1">{#N/A,#N/A,FALSE,"ZLDebtMaturity";#N/A,#N/A,FALSE,"FCDebtMaturity";#N/A,#N/A,FALSE,"ZM3DebtMaturity";#N/A,#N/A,FALSE,"ZM2DebtMaturity";#N/A,#N/A,FALSE,"zm1DebtMaturity";#N/A,#N/A,FALSE,"ConsZM123DebtMaturity"}</definedName>
    <definedName name="Hey">#REF!</definedName>
    <definedName name="hfd" hidden="1">{"FCB_ALL",#N/A,FALSE,"FCB";"GREY_ALL",#N/A,FALSE,"GREY"}</definedName>
    <definedName name="hfgh" hidden="1">{"sheet a",#N/A,FALSE,"A";"sheet b 1",#N/A,FALSE,"B";"sheet b 2",#N/A,FALSE,"B"}</definedName>
    <definedName name="HFH" hidden="1">{"print annual inc. statement",#N/A,FALSE,"Summary";"print annual stats",#N/A,FALSE,"Summary";"print quarterly inc. statement",#N/A,FALSE,"Summary";"print quarterly stats",#N/A,FALSE,"Summary"}</definedName>
    <definedName name="hfydf" hidden="1">{"FCB_ALL",#N/A,FALSE,"FCB"}</definedName>
    <definedName name="hgfgh" hidden="1">{"Zone1",#N/A,FALSE,"Parameters";"Zone2",#N/A,FALSE,"Parameters"}</definedName>
    <definedName name="hgfhgf" hidden="1">#REF!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kdj" hidden="1">{"AnnualRentRoll",#N/A,FALSE,"RentRoll"}</definedName>
    <definedName name="hgsrt" hidden="1">{"FCB_ALL",#N/A,FALSE,"FCB";"GREY_ALL",#N/A,FALSE,"GREY"}</definedName>
    <definedName name="hh" hidden="1">{#N/A,#N/A,FALSE,"Summary"}</definedName>
    <definedName name="hhh" hidden="1">{#N/A,#N/A,FALSE,"Summary"}</definedName>
    <definedName name="hhhh" hidden="1">{"'Lennar U.S. Partners'!$A$1:$N$53"}</definedName>
    <definedName name="hhhhhhhhhhh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HI" hidden="1">#REF!</definedName>
    <definedName name="HiddenRows" hidden="1">#REF!</definedName>
    <definedName name="HideHLightInput">0</definedName>
    <definedName name="HistoricalCF">#REF!</definedName>
    <definedName name="hjdg" hidden="1">{#N/A,#N/A,FALSE,"PropertyInfo"}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hj" hidden="1">{"PROFORMA",#N/A,FALSE,"A";"BIGGER 1",#N/A,FALSE,"B";"BIGGER 2",#N/A,FALSE,"B";"BIGGER 3",#N/A,FALSE,"B";"SMALL CF 1",#N/A,FALSE,"C"}</definedName>
    <definedName name="hjkl" hidden="1">{"Zone1",#N/A,FALSE,"Parameters";"Zone2",#N/A,FALSE,"Parameters"}</definedName>
    <definedName name="hlhldh" hidden="1">{"Annual Cash Flows",#N/A,FALSE,"Annual Summary"}</definedName>
    <definedName name="HMLkUp" hidden="1">#REF!</definedName>
    <definedName name="HMSeek" hidden="1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d">#REF!</definedName>
    <definedName name="Hold_1">#REF!</definedName>
    <definedName name="Hold_1500">#REF!</definedName>
    <definedName name="Hold_2">#REF!</definedName>
    <definedName name="Hold_3">#REF!</definedName>
    <definedName name="Hold_Period">#REF!</definedName>
    <definedName name="Hold1_OR">#REF!</definedName>
    <definedName name="Hold2_OR">#REF!</definedName>
    <definedName name="Hold3_OR">#REF!</definedName>
    <definedName name="hon" hidden="1">{"Full Gross to Net",#N/A,TRUE,"GtoN";"R_I Accepted from Group Coys",#N/A,TRUE,"GtoN";"R_I Ceded to Group Coys",#N/A,TRUE,"GtoN";"Closing Loss Reserves and Gross Claims Incurred",#N/A,TRUE,"GtoN"}</definedName>
    <definedName name="hope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telEquity">#REF!</definedName>
    <definedName name="houy" hidden="1">{#N/A,#N/A,FALSE,"AD_Purchase";#N/A,#N/A,FALSE,"Credit";#N/A,#N/A,FALSE,"PF Acquisition";#N/A,#N/A,FALSE,"PF Offering"}</definedName>
    <definedName name="HRADJ2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hsfdhs" hidden="1">#REF!</definedName>
    <definedName name="html" hidden="1">{"'Assump'!$F$6:$J$6"}</definedName>
    <definedName name="HTML_CodePage" hidden="1">1252</definedName>
    <definedName name="HTML_Control" hidden="1">{"'Table of Contents'!$A$1"}</definedName>
    <definedName name="HTML_Control1" hidden="1">{"'B-2 QSER Jun 98 4-27-98 cor'!$A$1:$F$57"}</definedName>
    <definedName name="HTML_Control2" hidden="1">{"'Cash Requirements 5F '!$A$1:$AC$48"}</definedName>
    <definedName name="HTML_Control5" hidden="1">{"'B-2 QSER Jun 98 4-27-98 cor'!$A$1:$F$57"}</definedName>
    <definedName name="HTML_Ctrl" hidden="1">{"'Expirations'!$A$1:$L$65"}</definedName>
    <definedName name="HTML_Description" hidden="1">""</definedName>
    <definedName name="HTML_Email" hidden="1">""</definedName>
    <definedName name="HTML_Header" hidden="1">"Table of Contents"</definedName>
    <definedName name="HTML_LastUpdate" hidden="1">"6/5/01"</definedName>
    <definedName name="HTML_LineAfter" hidden="1">FALSE</definedName>
    <definedName name="HTML_LineBefore" hidden="1">FALSE</definedName>
    <definedName name="HTML_Name" hidden="1">"Samuel Lyustikman"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"E:\temp\MyHTML.htm"</definedName>
    <definedName name="HTML_PathTemplate" hidden="1">"C:\Quaterly Reports\MyHTML.htm"</definedName>
    <definedName name="HTML_Title" hidden="1">"MTK_template_2_1"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1</definedName>
    <definedName name="htmlnew" hidden="1">{"'Assump'!$F$6:$J$6"}</definedName>
    <definedName name="hu" hidden="1">{"Total",#N/A,FALSE,"Six Fields";"PDP",#N/A,FALSE,"Six Fields";"PNP",#N/A,FALSE,"Six Fields";"PUD",#N/A,FALSE,"Six Fields";"Prob",#N/A,FALSE,"Six Fields"}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i" hidden="1">{"Sum1",#N/A,FALSE,"Reserve Report";"Sum2",#N/A,FALSE,"Reserve Report";"Sum3",#N/A,FALSE,"Reserve Report";"Sum4",#N/A,FALSE,"Reserve Report"}</definedName>
    <definedName name="HUNTPRINT">#REF!</definedName>
    <definedName name="HUNTSPLIT">#REF!</definedName>
    <definedName name="HURDLE">#REF!</definedName>
    <definedName name="i" hidden="1">{#N/A,#N/A,FALSE,"Chart 2 by Prop Type"}</definedName>
    <definedName name="ien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IGLookUp">#REF!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iii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ik" hidden="1">{#N/A,#N/A,FALSE,"Chart 2 by Prop Type"}</definedName>
    <definedName name="ilghd" hidden="1">{"Investor",#N/A,FALSE,"Model";"Property",#N/A,FALSE,"Model";"Incentive Taxes",#N/A,FALSE,"Model"}</definedName>
    <definedName name="immediate" hidden="1">{"sheet a",#N/A,FALSE,"A";"2 9 casflow",#N/A,FALSE,"B"}</definedName>
    <definedName name="inc">#REF!</definedName>
    <definedName name="INC00">#REF!</definedName>
    <definedName name="IncentFee">#REF!</definedName>
    <definedName name="income">#REF!</definedName>
    <definedName name="index2" hidden="1">{#N/A,#N/A,FALSE,"Class A";#N/A,#N/A,FALSE,"Class B";#N/A,#N/A,FALSE,"Class C"}</definedName>
    <definedName name="Indianapolis" hidden="1">{"Primarily Competition",#N/A,FALSE,"Comp.&amp; Market Penet."}</definedName>
    <definedName name="inf">#REF!</definedName>
    <definedName name="Inf.G_Flor" hidden="1">#REF!</definedName>
    <definedName name="Inf.G_Trad" hidden="1">#REF!</definedName>
    <definedName name="Inflation">#REF!</definedName>
    <definedName name="inflationrate">#REF!</definedName>
    <definedName name="INFLRATE">#REF!</definedName>
    <definedName name="info">#REF!</definedName>
    <definedName name="Initial_CC_Escal_Mo">#REF!</definedName>
    <definedName name="Initial_CC_Escalation_Year">#REF!</definedName>
    <definedName name="Initial_Funding">#REF!</definedName>
    <definedName name="Initial_Reg_Escal_Mo">#REF!</definedName>
    <definedName name="Initial_Reg_Escalation_Yr">#REF!</definedName>
    <definedName name="Inplace_NOI">#REF!</definedName>
    <definedName name="InplaceNetRentPSF">#REF!</definedName>
    <definedName name="InplacePSF">#REF!</definedName>
    <definedName name="InplaceRentPSF">#REF!</definedName>
    <definedName name="INPUT">#REF!</definedName>
    <definedName name="Input_rentpsf">#REF!</definedName>
    <definedName name="inputpage">#REF!</definedName>
    <definedName name="Inst._klein_pausch">#REF!</definedName>
    <definedName name="Int">#REF!</definedName>
    <definedName name="int_ext_sel" hidden="1">2</definedName>
    <definedName name="INTEREST">#REF!</definedName>
    <definedName name="Interest_cost">#REF!</definedName>
    <definedName name="Interest_Rate">#REF!</definedName>
    <definedName name="INTEREST1">#REF!</definedName>
    <definedName name="INTEREST2">#REF!</definedName>
    <definedName name="INTEREST3">#REF!</definedName>
    <definedName name="INTMARGIN">#REF!</definedName>
    <definedName name="IntOnlyYrs">#REF!</definedName>
    <definedName name="IntRate">#REF!</definedName>
    <definedName name="IntRate2">#REF!</definedName>
    <definedName name="INTROP" hidden="1">#REF!</definedName>
    <definedName name="IntroPrintArea" hidden="1">#REF!</definedName>
    <definedName name="IntroPrintArea_b" hidden="1">#REF!</definedName>
    <definedName name="invcap" hidden="1">#REF!</definedName>
    <definedName name="invcap2" hidden="1">#REF!</definedName>
    <definedName name="Investor">#REF!</definedName>
    <definedName name="InvestorDistriOper">#REF!</definedName>
    <definedName name="InvestorDistriSale">#REF!</definedName>
    <definedName name="InvestorEq">#REF!</definedName>
    <definedName name="InvestorOwn">#REF!</definedName>
    <definedName name="InvestorPrefer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O_spot">#REF!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>"c12802"</definedName>
    <definedName name="IQ_ABS_FFIEC">"c12788"</definedName>
    <definedName name="IQ_ABS_HTM_AMORT_COST_FFIEC" hidden="1">"c20447"</definedName>
    <definedName name="IQ_ABS_HTM_FAIR_VAL_FFIEC" hidden="1">"c20482"</definedName>
    <definedName name="IQ_ABS_INVEST_SECURITIES_FFIEC">"c13461"</definedName>
    <definedName name="IQ_ABS_PERIOD">"c13823"</definedName>
    <definedName name="IQ_ABS_PERIOD_EST" hidden="1">"c16122"</definedName>
    <definedName name="IQ_ACCEPTANCES_OTHER_FOREIGN_BANKS_LL_REC_FFIEC">"c15293"</definedName>
    <definedName name="IQ_ACCEPTANCES_OTHER_US_BANKS_LL_REC_FFIEC">"c15292"</definedName>
    <definedName name="IQ_ACCOUNT_CHANGE" hidden="1">"c1449"</definedName>
    <definedName name="IQ_ACCOUNT_CODE_INTEREST_PENALTIES">"c15741"</definedName>
    <definedName name="IQ_Account_delta" hidden="1">"c413"</definedName>
    <definedName name="IQ_ACCOUNTING_FFIEC">"c13054"</definedName>
    <definedName name="IQ_ACCOUNTING_STANDARD" hidden="1">"c4539"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>"c16188"</definedName>
    <definedName name="IQ_AFFO_PER_SHARE_BASIC" hidden="1">"c8869"</definedName>
    <definedName name="IQ_AFFO_PER_SHARE_DILUTED" hidden="1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>"c12810"</definedName>
    <definedName name="IQ_ALLOWABLE_T2_CAPITAL_FFIEC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>"c12871"</definedName>
    <definedName name="IQ_ALLOWANCE_LL_LOSSES_T2_FFIEC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KPRICE" hidden="1">"c13927"</definedName>
    <definedName name="IQ_ASSET_BACKED_FDIC" hidden="1">"c6301"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 hidden="1">"c8921"</definedName>
    <definedName name="IQ_ASSETS_NAME_AP_ABS" hidden="1">"c8940"</definedName>
    <definedName name="IQ_ASSETS_NETTING_OTHER_ADJUSTMENTS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>"c15912"</definedName>
    <definedName name="IQ_ASSIGNED_RESERVES_TO_TOTAL_RESERVES_COAL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>"c15870"</definedName>
    <definedName name="IQ_ASSUMED_PC_EARNED" hidden="1">"c2746"</definedName>
    <definedName name="IQ_ASSUMED_PREMIUMS_EARNED_GROSS_PREMIUMS_EARNED">"c15886"</definedName>
    <definedName name="IQ_ASSUMED_PREMIUMS_WRITTEN_GROSS_PREMIUMS_WRITTEN">"c15884"</definedName>
    <definedName name="IQ_ASSUMED_WRITTEN" hidden="1">"c2725"</definedName>
    <definedName name="IQ_ATM_FEES_FFIEC">"c13042"</definedName>
    <definedName name="IQ_ATM_INTERCHANGE_EXPENSES_FFIEC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CIQ_COL" hidden="1">"c11631"</definedName>
    <definedName name="IQ_AVG_INDUSTRY_REC_NO" hidden="1">"c4454"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>"c15812"</definedName>
    <definedName name="IQ_AVG_INV_HOMES">"c15810"</definedName>
    <definedName name="IQ_AVG_INV_LAND_LOTS">"c15811"</definedName>
    <definedName name="IQ_AVG_MKTCAP" hidden="1">"c80"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>"c13159"</definedName>
    <definedName name="IQ_AVG_TOTAL_ASSETS_LEVERAGE_RATIO_FFIEC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 hidden="1">"c85"</definedName>
    <definedName name="IQ_BASIC_EPS_INCL" hidden="1">"c86"</definedName>
    <definedName name="IQ_BASIC_NAV_SHARES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DPRICE" hidden="1">"c13926"</definedName>
    <definedName name="IQ_BIG_INT_BEAR_CD" hidden="1">"c11749"</definedName>
    <definedName name="IQ_BOARD_MEMBER" hidden="1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 hidden="1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 hidden="1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_FILING_DATE">"c16223"</definedName>
    <definedName name="IQ_BR_FILING_TYPE">"c16224"</definedName>
    <definedName name="IQ_BR_PLAN_APPROVE_DATE">"c16226"</definedName>
    <definedName name="IQ_BR_PLAN_CONFIRM">"c16225"</definedName>
    <definedName name="IQ_BROK_COMISSION" hidden="1">"c98"</definedName>
    <definedName name="IQ_BROK_COMMISSION" hidden="1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>"c15589"</definedName>
    <definedName name="IQ_BUS_SEG_DESCRIPTION_ABS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>"c15588"</definedName>
    <definedName name="IQ_BUS_SEG_NAIC_ABS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>"c15584"</definedName>
    <definedName name="IQ_BUS_SEG_PRIMARY_GIC_ABS">"c15572"</definedName>
    <definedName name="IQ_BUS_SEG_PRIMARY_SIC">"c15586"</definedName>
    <definedName name="IQ_BUS_SEG_PRIMARY_SIC_ABS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>"c15585"</definedName>
    <definedName name="IQ_BUS_SEG_SECONDARY_GIC_ABS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 hidden="1">"c322"</definedName>
    <definedName name="IQ_BV_ACT_OR_EST_CIQ" hidden="1">"c5068"</definedName>
    <definedName name="IQ_BV_ACT_OR_EST_CIQ_COL" hidden="1">"c11715"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CIQ_COL" hidden="1">"c11719"</definedName>
    <definedName name="IQ_BV_SHARE_ACT_OR_EST_REUT" hidden="1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>"c15773"</definedName>
    <definedName name="IQ_CABLE_SUBS_DIG" hidden="1">"c2856"</definedName>
    <definedName name="IQ_CABLE_SUBS_LONG_DIST_PHONE">"c15775"</definedName>
    <definedName name="IQ_CABLE_SUBS_NON_VIDEO" hidden="1">"c2860"</definedName>
    <definedName name="IQ_CABLE_SUBS_PHONE" hidden="1">"c2859"</definedName>
    <definedName name="IQ_CABLE_SUBS_RES_PHONE">"c15772"</definedName>
    <definedName name="IQ_CABLE_SUBS_SATELITE">"c15771"</definedName>
    <definedName name="IQ_CABLE_SUBS_TOTAL" hidden="1">"c2862"</definedName>
    <definedName name="IQ_CABLE_SUBS_WHOLE_PHONE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CIQ_COL" hidden="1">"c11743"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CIQ_COL" hidden="1">"c11744"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CIQ_COL" hidden="1">"c11718"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ALLOCATION_ADJUSTMENT_FOREIGN_FFIEC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>"c15288"</definedName>
    <definedName name="IQ_CASH_DIVIDENDS_NET_INCOME_FDIC" hidden="1">"c6738"</definedName>
    <definedName name="IQ_CASH_DUE_BANKS" hidden="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ACT_OR_EST_CIQ_COL" hidden="1">"c11215"</definedName>
    <definedName name="IQ_CASH_FLOW_EST" hidden="1">"c4153"</definedName>
    <definedName name="IQ_CASH_FLOW_GUIDANCE" hidden="1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 hidden="1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 hidden="1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>"c15283"</definedName>
    <definedName name="IQ_CASH_OTHER_US_COMM_BANK_DEP_INSTIT_FFIEC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 hidden="1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 hidden="1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>"c15263"</definedName>
    <definedName name="IQ_CASH_STRUCTURED_PRODUCTS_FFIEC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>"c15881"</definedName>
    <definedName name="IQ_CATASTROPHIC_LOSSES" hidden="1">"c17694"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>"c15234"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NEXT_SERIES_ID">"c15231"</definedName>
    <definedName name="IQ_CDS_PREV_SERIES_ID">"c15232"</definedName>
    <definedName name="IQ_CDS_PRICE_TYPE">"c15233"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>"c15872"</definedName>
    <definedName name="IQ_CEDED_PC_EARNED" hidden="1">"c2748"</definedName>
    <definedName name="IQ_CEDED_PREMIUMS_EARNED_GROSS_PREMIUMS_EARNED">"c15887"</definedName>
    <definedName name="IQ_CEDED_PREMIUMS_WRITTEN_GROSS_PREMIUMS_WRITTEN">"c15885"</definedName>
    <definedName name="IQ_CEDED_WRITTEN" hidden="1">"c2727"</definedName>
    <definedName name="IQ_CEO_ID">"c15210"</definedName>
    <definedName name="IQ_CEO_NAME">"c15209"</definedName>
    <definedName name="IQ_CERTIFIED_OFFICIAL_CHECKS_TRANS_ACCTS_FFIEC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>"c15212"</definedName>
    <definedName name="IQ_CFO_NAME">"c15211"</definedName>
    <definedName name="IQ_CFPS_ACT_OR_EST" hidden="1">"c2217"</definedName>
    <definedName name="IQ_CFPS_ACT_OR_EST_CIQ_COL" hidden="1">"c11708"</definedName>
    <definedName name="IQ_CFPS_ACT_OR_EST_REUT" hidden="1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>"c15557"</definedName>
    <definedName name="IQ_CHANGE_DEPOSIT_ACCT" hidden="1">"c148"</definedName>
    <definedName name="IQ_CHANGE_FAIR_VALUE_FINANCIAL_LIAB_T1_FFIEC">"c13138"</definedName>
    <definedName name="IQ_CHANGE_FAIR_VALUE_OPTIONS_FFIEC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>"c15747"</definedName>
    <definedName name="IQ_CHANGE_UNRECOG_TAX_BENEFIT_1_YR_MIN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 hidden="1">"c174"</definedName>
    <definedName name="IQ_CLOSEPRICE_ADJ" hidden="1">"c2115"</definedName>
    <definedName name="IQ_CLOSEPRICE_RT">"CLOSE"</definedName>
    <definedName name="IQ_CMBS_ISSUED_AFS_AMORT_COST_FFIEC" hidden="1">"c20497"</definedName>
    <definedName name="IQ_CMBS_ISSUED_AFS_FAIR_VAL_FFIEC" hidden="1">"c20462"</definedName>
    <definedName name="IQ_CMBS_ISSUED_AVAIL_SALE_FFIEC">"c12800"</definedName>
    <definedName name="IQ_CMBS_ISSUED_FFIEC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 hidden="1">"c180"</definedName>
    <definedName name="IQ_COMMISSION_DEF" hidden="1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ITUENTS_NAME" hidden="1">"c19192"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 hidden="1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>"c18873"</definedName>
    <definedName name="IQ_CONTINGENT_RENTAL" hidden="1">"c17746"</definedName>
    <definedName name="IQ_CONTRACT_AMOUNT" hidden="1">"c13933"</definedName>
    <definedName name="IQ_CONTRACT_DETAILS" hidden="1">"c15555"</definedName>
    <definedName name="IQ_CONTRACT_MONTH" hidden="1">"c13934"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_UNIT" hidden="1">"c13932"</definedName>
    <definedName name="IQ_CONTRACT_YEAR" hidden="1">"c13935"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ID_NON_PER_DET_EST" hidden="1">"c13824"</definedName>
    <definedName name="IQ_CONTRIB_ID_NON_PER_DET_EST_THOM" hidden="1">"c13826"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ARITY">"c16197"</definedName>
    <definedName name="IQ_CONV_PREMIUM" hidden="1">"c2195"</definedName>
    <definedName name="IQ_CONV_PRICE" hidden="1">"c2193"</definedName>
    <definedName name="IQ_CONV_PRICE_ISSUE">"c16195"</definedName>
    <definedName name="IQ_CONV_PRICE_PREM_ISSUE">"c16196"</definedName>
    <definedName name="IQ_CONV_PRICE_PREMIUM">"c16198"</definedName>
    <definedName name="IQ_CONV_PT_PREMIUM">"c16199"</definedName>
    <definedName name="IQ_CONV_PT_PREMIUM_PCT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>"c13767"</definedName>
    <definedName name="IQ_COST_BORROWED_FUNDS_FFIEC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>"c15243"</definedName>
    <definedName name="IQ_COVERED_POPS" hidden="1">"c2124"</definedName>
    <definedName name="IQ_COVERED_WIRELESS_POPS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 hidden="1">"c10038"</definedName>
    <definedName name="IQ_CREDIT_EXPOSURE_FFIEC">"c13062"</definedName>
    <definedName name="IQ_CREDIT_LOSS_CF" hidden="1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>"c16220"</definedName>
    <definedName name="IQ_DEFAULT_TYPE">"c16219"</definedName>
    <definedName name="IQ_DEFERRED_CONTINGENT_RENT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 hidden="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 hidden="1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 hidden="1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CURRENT" hidden="1">"c17744"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ASSETS_LT" hidden="1">"c17745"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 hidden="1">"c1520"</definedName>
    <definedName name="IQ_DEVELOP_LAND" hidden="1">"c323"</definedName>
    <definedName name="IQ_DEVELOPMENT_EXPENSE">"c16040"</definedName>
    <definedName name="IQ_DEVELOPMENT_REVENUE">"c16024"</definedName>
    <definedName name="IQ_DIC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G_SUB_BASIC_SUB">"c16202"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 hidden="1">"c2740"</definedName>
    <definedName name="IQ_DIRECT_EARNED" hidden="1">"c2730"</definedName>
    <definedName name="IQ_DIRECT_INDIRECT_RE_VENTURES_FFIEC">"c15266"</definedName>
    <definedName name="IQ_DIRECT_INDIRECT_RE_VENTURES_UNCONSOL_FFIEC">"c15274"</definedName>
    <definedName name="IQ_DIRECT_LIFE_EARNED" hidden="1">"c2735"</definedName>
    <definedName name="IQ_DIRECT_LIFE_IN_FORCE" hidden="1">"c2765"</definedName>
    <definedName name="IQ_DIRECT_LOSSES">"c15869"</definedName>
    <definedName name="IQ_DIRECT_PC_EARNED" hidden="1">"c2745"</definedName>
    <definedName name="IQ_DIRECT_WRITTEN" hidden="1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ACT_OR_EST_CIQ_COL" hidden="1">"c11450"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ACT_OR_EST_CIQ_COL" hidden="1">"c11458"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ANDARDIZED" hidden="1">"c20435"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CIQ_COL" hidden="1">"c11709"</definedName>
    <definedName name="IQ_DPS_ACT_OR_EST_REUT" hidden="1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>"c15703"</definedName>
    <definedName name="IQ_EARNING_ASSET_YIELD" hidden="1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CIQ_COL" hidden="1">"c11710"</definedName>
    <definedName name="IQ_EBIT_ACT_OR_EST_REUT" hidden="1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ACT_OR_EST_CIQ_COL" hidden="1">"c11478"</definedName>
    <definedName name="IQ_EBIT_GW_EST" hidden="1">"c4305"</definedName>
    <definedName name="IQ_EBIT_GW_GUIDANCE" hidden="1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 hidden="1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 hidden="1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ACT_OR_EST_CIQ_COL" hidden="1">"c11488"</definedName>
    <definedName name="IQ_EBIT_SBC_EST" hidden="1">"c4315"</definedName>
    <definedName name="IQ_EBIT_SBC_GUIDANCE" hidden="1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 hidden="1">"c4845"</definedName>
    <definedName name="IQ_EBIT_SBC_GW_ACT_OR_EST_CIQ_COL" hidden="1">"c11492"</definedName>
    <definedName name="IQ_EBIT_SBC_GW_EST" hidden="1">"c4319"</definedName>
    <definedName name="IQ_EBIT_SBC_GW_GUIDANCE" hidden="1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 hidden="1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 hidden="1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 hidden="1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CIQ_COL" hidden="1">"c11707"</definedName>
    <definedName name="IQ_EBITDA_ACT_OR_EST_REUT" hidden="1">"c5462"</definedName>
    <definedName name="IQ_EBITDA_ACT_OR_EST_THOM" hidden="1">"c5300"</definedName>
    <definedName name="IQ_EBITDA_CAPEX">"c19143"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DOWN_2MONTH" hidden="1">"c16297"</definedName>
    <definedName name="IQ_EBITDA_EST_DOWN_2MONTH_CIQ" hidden="1">"c16621"</definedName>
    <definedName name="IQ_EBITDA_EST_DOWN_3MONTH" hidden="1">"c16301"</definedName>
    <definedName name="IQ_EBITDA_EST_DOWN_3MONTH_CIQ" hidden="1">"c16625"</definedName>
    <definedName name="IQ_EBITDA_EST_DOWN_MONTH" hidden="1">"c16293"</definedName>
    <definedName name="IQ_EBITDA_EST_DOWN_MONTH_CIQ" hidden="1">"c16617"</definedName>
    <definedName name="IQ_EBITDA_EST_NOTE" hidden="1">"c17503"</definedName>
    <definedName name="IQ_EBITDA_EST_NOTE_CIQ" hidden="1">"c17456"</definedName>
    <definedName name="IQ_EBITDA_EST_NUM_ANALYSTS_2MONTH" hidden="1">"c16295"</definedName>
    <definedName name="IQ_EBITDA_EST_NUM_ANALYSTS_2MONTH_CIQ" hidden="1">"c16619"</definedName>
    <definedName name="IQ_EBITDA_EST_NUM_ANALYSTS_3MONTH" hidden="1">"c16299"</definedName>
    <definedName name="IQ_EBITDA_EST_NUM_ANALYSTS_3MONTH_CIQ" hidden="1">"c16623"</definedName>
    <definedName name="IQ_EBITDA_EST_NUM_ANALYSTS_MONTH" hidden="1">"c16291"</definedName>
    <definedName name="IQ_EBITDA_EST_NUM_ANALYSTS_MONTH_CIQ" hidden="1">"c16615"</definedName>
    <definedName name="IQ_EBITDA_EST_REUT" hidden="1">"c3640"</definedName>
    <definedName name="IQ_EBITDA_EST_THOM" hidden="1">"c3658"</definedName>
    <definedName name="IQ_EBITDA_EST_TOTAL_REVISED_2MONTH" hidden="1">"c16298"</definedName>
    <definedName name="IQ_EBITDA_EST_TOTAL_REVISED_2MONTH_CIQ" hidden="1">"c16622"</definedName>
    <definedName name="IQ_EBITDA_EST_TOTAL_REVISED_3MONTH" hidden="1">"c16302"</definedName>
    <definedName name="IQ_EBITDA_EST_TOTAL_REVISED_3MONTH_CIQ" hidden="1">"c16626"</definedName>
    <definedName name="IQ_EBITDA_EST_TOTAL_REVISED_MONTH" hidden="1">"c16294"</definedName>
    <definedName name="IQ_EBITDA_EST_TOTAL_REVISED_MONTH_CIQ" hidden="1">"c16618"</definedName>
    <definedName name="IQ_EBITDA_EST_UP_2MONTH" hidden="1">"c16296"</definedName>
    <definedName name="IQ_EBITDA_EST_UP_2MONTH_CIQ" hidden="1">"c16620"</definedName>
    <definedName name="IQ_EBITDA_EST_UP_3MONTH" hidden="1">"c16300"</definedName>
    <definedName name="IQ_EBITDA_EST_UP_3MONTH_CIQ" hidden="1">"c16624"</definedName>
    <definedName name="IQ_EBITDA_EST_UP_MONTH" hidden="1">"c16292"</definedName>
    <definedName name="IQ_EBITDA_EST_UP_MONTH_CIQ" hidden="1">"c16616"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ACT_OR_EST_CIQ_COL" hidden="1">"c11509"</definedName>
    <definedName name="IQ_EBITDA_SBC_EST" hidden="1">"c4336"</definedName>
    <definedName name="IQ_EBITDA_SBC_GUIDANCE" hidden="1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 hidden="1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 hidden="1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>"c13029"</definedName>
    <definedName name="IQ_EBT_FIN" hidden="1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 hidden="1">"c387"</definedName>
    <definedName name="IQ_EBT_INS" hidden="1">"c388"</definedName>
    <definedName name="IQ_EBT_LOW_GUIDANCE" hidden="1">"c4213"</definedName>
    <definedName name="IQ_EBT_LOW_GUIDANCE_CIQ">"c4625"</definedName>
    <definedName name="IQ_EBT_LOW_GUIDANCE_CIQ_COL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ACT_OR_EST_CIQ_COL" hidden="1">"c11522"</definedName>
    <definedName name="IQ_EBT_SBC_EST" hidden="1">"c4349"</definedName>
    <definedName name="IQ_EBT_SBC_GUIDANCE" hidden="1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 hidden="1">"c4879"</definedName>
    <definedName name="IQ_EBT_SBC_GW_ACT_OR_EST_CIQ_COL" hidden="1">"c11526"</definedName>
    <definedName name="IQ_EBT_SBC_GW_EST" hidden="1">"c4353"</definedName>
    <definedName name="IQ_EBT_SBC_GW_GUIDANCE" hidden="1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 hidden="1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 hidden="1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 hidden="1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>"c15613"</definedName>
    <definedName name="IQ_ECS_AUTHORIZED_SHARES_OTHER_ABS">"c15630"</definedName>
    <definedName name="IQ_ECS_CONVERT_FACTOR" hidden="1">"c5581"</definedName>
    <definedName name="IQ_ECS_CONVERT_FACTOR_ABS" hidden="1">"c5595"</definedName>
    <definedName name="IQ_ECS_CONVERT_FACTOR_OTHER">"c15611"</definedName>
    <definedName name="IQ_ECS_CONVERT_FACTOR_OTHER_ABS">"c15628"</definedName>
    <definedName name="IQ_ECS_CONVERT_INTO" hidden="1">"c5580"</definedName>
    <definedName name="IQ_ECS_CONVERT_INTO_ABS" hidden="1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 hidden="1">"c5579"</definedName>
    <definedName name="IQ_ECS_CONVERT_TYPE_ABS" hidden="1">"c5593"</definedName>
    <definedName name="IQ_ECS_CONVERT_TYPE_OTHER">"c15609"</definedName>
    <definedName name="IQ_ECS_CONVERT_TYPE_OTHER_ABS">"c15626"</definedName>
    <definedName name="IQ_ECS_INACTIVE_DATE" hidden="1">"c5576"</definedName>
    <definedName name="IQ_ECS_INACTIVE_DATE_ABS" hidden="1">"c5590"</definedName>
    <definedName name="IQ_ECS_INACTIVE_DATE_OTHER">"c15606"</definedName>
    <definedName name="IQ_ECS_INACTIVE_DATE_OTHER_ABS">"c15623"</definedName>
    <definedName name="IQ_ECS_NAME" hidden="1">"c5571"</definedName>
    <definedName name="IQ_ECS_NAME_ABS" hidden="1">"c5585"</definedName>
    <definedName name="IQ_ECS_NAME_OTHER">"c15599"</definedName>
    <definedName name="IQ_ECS_NAME_OTHER_ABS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>"c15615"</definedName>
    <definedName name="IQ_ECS_NUM_SHAREHOLDERS_OTHER_ABS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 hidden="1">"c5572"</definedName>
    <definedName name="IQ_ECS_SHARES_OUT_BS_DATE_ABS" hidden="1">"c5586"</definedName>
    <definedName name="IQ_ECS_SHARES_OUT_BS_DATE_OTHER">"c15600"</definedName>
    <definedName name="IQ_ECS_SHARES_OUT_BS_DATE_OTHER_ABS">"c15617"</definedName>
    <definedName name="IQ_ECS_SHARES_OUT_FILING_DATE" hidden="1">"c5573"</definedName>
    <definedName name="IQ_ECS_SHARES_OUT_FILING_DATE_ABS" hidden="1">"c5587"</definedName>
    <definedName name="IQ_ECS_SHARES_OUT_FILING_DATE_OTHER">"c15601"</definedName>
    <definedName name="IQ_ECS_SHARES_OUT_FILING_DATE_OTHER_ABS">"c15618"</definedName>
    <definedName name="IQ_ECS_START_DATE" hidden="1">"c5575"</definedName>
    <definedName name="IQ_ECS_START_DATE_ABS" hidden="1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 hidden="1">"c5574"</definedName>
    <definedName name="IQ_ECS_TYPE_ABS" hidden="1">"c5588"</definedName>
    <definedName name="IQ_ECS_TYPE_OTHER">"c15604"</definedName>
    <definedName name="IQ_ECS_TYPE_OTHER_ABS">"c15621"</definedName>
    <definedName name="IQ_ECS_VOTING" hidden="1">"c5582"</definedName>
    <definedName name="IQ_ECS_VOTING_ABS" hidden="1">"c5596"</definedName>
    <definedName name="IQ_ECS_VOTING_OTHER">"c15612"</definedName>
    <definedName name="IQ_ECS_VOTING_OTHER_ABS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>"c13035"</definedName>
    <definedName name="IQ_EMPLOYEES_UNDER_UNION_CONTRACTS">"c16109"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CIQ_COL" hidden="1">"c11705"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1" hidden="1">"c189"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DOWN_2MONTH" hidden="1">"c16309"</definedName>
    <definedName name="IQ_EPS_EST_DOWN_2MONTH_CIQ" hidden="1">"c16633"</definedName>
    <definedName name="IQ_EPS_EST_DOWN_3MONTH" hidden="1">"c16313"</definedName>
    <definedName name="IQ_EPS_EST_DOWN_3MONTH_CIQ" hidden="1">"c16637"</definedName>
    <definedName name="IQ_EPS_EST_DOWN_MONTH" hidden="1">"c16305"</definedName>
    <definedName name="IQ_EPS_EST_DOWN_MONTH_CIQ" hidden="1">"c16629"</definedName>
    <definedName name="IQ_EPS_EST_NOTE" hidden="1">"c17504"</definedName>
    <definedName name="IQ_EPS_EST_NOTE_CIQ" hidden="1">"c17457"</definedName>
    <definedName name="IQ_EPS_EST_NUM_ANALYSTS_2MONTH" hidden="1">"c16307"</definedName>
    <definedName name="IQ_EPS_EST_NUM_ANALYSTS_2MONTH_CIQ" hidden="1">"c16631"</definedName>
    <definedName name="IQ_EPS_EST_NUM_ANALYSTS_3MONTH" hidden="1">"c16311"</definedName>
    <definedName name="IQ_EPS_EST_NUM_ANALYSTS_3MONTH_CIQ" hidden="1">"c16635"</definedName>
    <definedName name="IQ_EPS_EST_NUM_ANALYSTS_MONTH" hidden="1">"c16303"</definedName>
    <definedName name="IQ_EPS_EST_NUM_ANALYSTS_MONTH_CIQ" hidden="1">"c16627"</definedName>
    <definedName name="IQ_EPS_EST_REUT" hidden="1">"c5453"</definedName>
    <definedName name="IQ_EPS_EST_THOM" hidden="1">"c5290"</definedName>
    <definedName name="IQ_EPS_EST_TOTAL_REVISED_2MONTH" hidden="1">"c16310"</definedName>
    <definedName name="IQ_EPS_EST_TOTAL_REVISED_2MONTH_CIQ" hidden="1">"c16634"</definedName>
    <definedName name="IQ_EPS_EST_TOTAL_REVISED_3MONTH" hidden="1">"c16314"</definedName>
    <definedName name="IQ_EPS_EST_TOTAL_REVISED_3MONTH_CIQ" hidden="1">"c16638"</definedName>
    <definedName name="IQ_EPS_EST_TOTAL_REVISED_MONTH" hidden="1">"c16306"</definedName>
    <definedName name="IQ_EPS_EST_TOTAL_REVISED_MONTH_CIQ" hidden="1">"c16630"</definedName>
    <definedName name="IQ_EPS_EST_UP_2MONTH" hidden="1">"c16308"</definedName>
    <definedName name="IQ_EPS_EST_UP_2MONTH_CIQ" hidden="1">"c16632"</definedName>
    <definedName name="IQ_EPS_EST_UP_3MONTH" hidden="1">"c16312"</definedName>
    <definedName name="IQ_EPS_EST_UP_3MONTH_CIQ" hidden="1">"c16636"</definedName>
    <definedName name="IQ_EPS_EST_UP_MONTH" hidden="1">"c16304"</definedName>
    <definedName name="IQ_EPS_EST_UP_MONTH_CIQ" hidden="1">"c16628"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DOWN_2MONTH" hidden="1">"c16465"</definedName>
    <definedName name="IQ_EPS_GW_EST_DOWN_2MONTH_CIQ" hidden="1">"c16753"</definedName>
    <definedName name="IQ_EPS_GW_EST_DOWN_3MONTH" hidden="1">"c16469"</definedName>
    <definedName name="IQ_EPS_GW_EST_DOWN_3MONTH_CIQ" hidden="1">"c16757"</definedName>
    <definedName name="IQ_EPS_GW_EST_DOWN_MONTH" hidden="1">"c16461"</definedName>
    <definedName name="IQ_EPS_GW_EST_DOWN_MONTH_CIQ" hidden="1">"c16749"</definedName>
    <definedName name="IQ_EPS_GW_EST_NOTE" hidden="1">"c17524"</definedName>
    <definedName name="IQ_EPS_GW_EST_NOTE_CIQ" hidden="1">"c17477"</definedName>
    <definedName name="IQ_EPS_GW_EST_NUM_ANALYSTS_2MONTH" hidden="1">"c16463"</definedName>
    <definedName name="IQ_EPS_GW_EST_NUM_ANALYSTS_2MONTH_CIQ" hidden="1">"c16751"</definedName>
    <definedName name="IQ_EPS_GW_EST_NUM_ANALYSTS_3MONTH" hidden="1">"c16467"</definedName>
    <definedName name="IQ_EPS_GW_EST_NUM_ANALYSTS_3MONTH_CIQ" hidden="1">"c16755"</definedName>
    <definedName name="IQ_EPS_GW_EST_NUM_ANALYSTS_MONTH" hidden="1">"c16459"</definedName>
    <definedName name="IQ_EPS_GW_EST_NUM_ANALYSTS_MONTH_CIQ" hidden="1">"c16747"</definedName>
    <definedName name="IQ_EPS_GW_EST_REUT" hidden="1">"c5389"</definedName>
    <definedName name="IQ_EPS_GW_EST_THOM" hidden="1">"c5133"</definedName>
    <definedName name="IQ_EPS_GW_EST_TOTAL_REVISED_2MONTH" hidden="1">"c16466"</definedName>
    <definedName name="IQ_EPS_GW_EST_TOTAL_REVISED_2MONTH_CIQ" hidden="1">"c16754"</definedName>
    <definedName name="IQ_EPS_GW_EST_TOTAL_REVISED_3MONTH" hidden="1">"c16470"</definedName>
    <definedName name="IQ_EPS_GW_EST_TOTAL_REVISED_3MONTH_CIQ" hidden="1">"c16758"</definedName>
    <definedName name="IQ_EPS_GW_EST_TOTAL_REVISED_MONTH" hidden="1">"c16462"</definedName>
    <definedName name="IQ_EPS_GW_EST_TOTAL_REVISED_MONTH_CIQ" hidden="1">"c16750"</definedName>
    <definedName name="IQ_EPS_GW_EST_UP_2MONTH" hidden="1">"c16464"</definedName>
    <definedName name="IQ_EPS_GW_EST_UP_2MONTH_CIQ" hidden="1">"c16752"</definedName>
    <definedName name="IQ_EPS_GW_EST_UP_3MONTH" hidden="1">"c16468"</definedName>
    <definedName name="IQ_EPS_GW_EST_UP_3MONTH_CIQ" hidden="1">"c16756"</definedName>
    <definedName name="IQ_EPS_GW_EST_UP_MONTH" hidden="1">"c16460"</definedName>
    <definedName name="IQ_EPS_GW_EST_UP_MONTH_CIQ" hidden="1">"c16748"</definedName>
    <definedName name="IQ_EPS_GW_GUIDANCE" hidden="1">"c4372"</definedName>
    <definedName name="IQ_EPS_GW_GUIDANCE_CIQ">"c4897"</definedName>
    <definedName name="IQ_EPS_GW_GUIDANCE_CIQ_COL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DOWN_2MONTH" hidden="1">"c16597"</definedName>
    <definedName name="IQ_EPS_NORM_EST_DOWN_2MONTH_CIQ" hidden="1">"c16861"</definedName>
    <definedName name="IQ_EPS_NORM_EST_DOWN_3MONTH" hidden="1">"c16601"</definedName>
    <definedName name="IQ_EPS_NORM_EST_DOWN_3MONTH_CIQ" hidden="1">"c16865"</definedName>
    <definedName name="IQ_EPS_NORM_EST_DOWN_MONTH" hidden="1">"c16593"</definedName>
    <definedName name="IQ_EPS_NORM_EST_DOWN_MONTH_CIQ" hidden="1">"c16857"</definedName>
    <definedName name="IQ_EPS_NORM_EST_NOTE" hidden="1">"c17505"</definedName>
    <definedName name="IQ_EPS_NORM_EST_NOTE_CIQ" hidden="1">"c17458"</definedName>
    <definedName name="IQ_EPS_NORM_EST_NUM_ANALYSTS_2MONTH" hidden="1">"c16595"</definedName>
    <definedName name="IQ_EPS_NORM_EST_NUM_ANALYSTS_2MONTH_CIQ" hidden="1">"c16859"</definedName>
    <definedName name="IQ_EPS_NORM_EST_NUM_ANALYSTS_3MONTH" hidden="1">"c16599"</definedName>
    <definedName name="IQ_EPS_NORM_EST_NUM_ANALYSTS_3MONTH_CIQ" hidden="1">"c16863"</definedName>
    <definedName name="IQ_EPS_NORM_EST_NUM_ANALYSTS_MONTH" hidden="1">"c16591"</definedName>
    <definedName name="IQ_EPS_NORM_EST_NUM_ANALYSTS_MONTH_CIQ" hidden="1">"c16855"</definedName>
    <definedName name="IQ_EPS_NORM_EST_REUT" hidden="1">"c5326"</definedName>
    <definedName name="IQ_EPS_NORM_EST_TOTAL_REVISED_2MONTH" hidden="1">"c16598"</definedName>
    <definedName name="IQ_EPS_NORM_EST_TOTAL_REVISED_2MONTH_CIQ" hidden="1">"c16862"</definedName>
    <definedName name="IQ_EPS_NORM_EST_TOTAL_REVISED_3MONTH" hidden="1">"c16602"</definedName>
    <definedName name="IQ_EPS_NORM_EST_TOTAL_REVISED_3MONTH_CIQ" hidden="1">"c16866"</definedName>
    <definedName name="IQ_EPS_NORM_EST_TOTAL_REVISED_MONTH" hidden="1">"c16594"</definedName>
    <definedName name="IQ_EPS_NORM_EST_TOTAL_REVISED_MONTH_CIQ" hidden="1">"c16858"</definedName>
    <definedName name="IQ_EPS_NORM_EST_UP_2MONTH" hidden="1">"c16596"</definedName>
    <definedName name="IQ_EPS_NORM_EST_UP_2MONTH_CIQ" hidden="1">"c16860"</definedName>
    <definedName name="IQ_EPS_NORM_EST_UP_3MONTH" hidden="1">"c16600"</definedName>
    <definedName name="IQ_EPS_NORM_EST_UP_3MONTH_CIQ" hidden="1">"c16864"</definedName>
    <definedName name="IQ_EPS_NORM_EST_UP_MONTH" hidden="1">"c16592"</definedName>
    <definedName name="IQ_EPS_NORM_EST_UP_MONTH_CIQ" hidden="1">"c16856"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DOWN_2MONTH" hidden="1">"c16477"</definedName>
    <definedName name="IQ_EPS_REPORTED_EST_DOWN_2MONTH_CIQ" hidden="1">"c16765"</definedName>
    <definedName name="IQ_EPS_REPORTED_EST_DOWN_3MONTH" hidden="1">"c16481"</definedName>
    <definedName name="IQ_EPS_REPORTED_EST_DOWN_3MONTH_CIQ" hidden="1">"c16769"</definedName>
    <definedName name="IQ_EPS_REPORTED_EST_DOWN_MONTH" hidden="1">"c16473"</definedName>
    <definedName name="IQ_EPS_REPORTED_EST_DOWN_MONTH_CIQ" hidden="1">"c16761"</definedName>
    <definedName name="IQ_EPS_REPORTED_EST_NOTE" hidden="1">"c17517"</definedName>
    <definedName name="IQ_EPS_REPORTED_EST_NOTE_CIQ" hidden="1">"c17470"</definedName>
    <definedName name="IQ_EPS_REPORTED_EST_NUM_ANALYSTS_2MONTH" hidden="1">"c16475"</definedName>
    <definedName name="IQ_EPS_REPORTED_EST_NUM_ANALYSTS_2MONTH_CIQ" hidden="1">"c16763"</definedName>
    <definedName name="IQ_EPS_REPORTED_EST_NUM_ANALYSTS_3MONTH" hidden="1">"c16479"</definedName>
    <definedName name="IQ_EPS_REPORTED_EST_NUM_ANALYSTS_3MONTH_CIQ" hidden="1">"c16767"</definedName>
    <definedName name="IQ_EPS_REPORTED_EST_NUM_ANALYSTS_MONTH" hidden="1">"c16471"</definedName>
    <definedName name="IQ_EPS_REPORTED_EST_NUM_ANALYSTS_MONTH_CIQ" hidden="1">"c16759"</definedName>
    <definedName name="IQ_EPS_REPORTED_EST_REUT" hidden="1">"c5396"</definedName>
    <definedName name="IQ_EPS_REPORTED_EST_THOM" hidden="1">"c5140"</definedName>
    <definedName name="IQ_EPS_REPORTED_EST_TOTAL_REVISED_2MONTH" hidden="1">"c16478"</definedName>
    <definedName name="IQ_EPS_REPORTED_EST_TOTAL_REVISED_2MONTH_CIQ" hidden="1">"c16766"</definedName>
    <definedName name="IQ_EPS_REPORTED_EST_TOTAL_REVISED_3MONTH" hidden="1">"c16482"</definedName>
    <definedName name="IQ_EPS_REPORTED_EST_TOTAL_REVISED_3MONTH_CIQ" hidden="1">"c16770"</definedName>
    <definedName name="IQ_EPS_REPORTED_EST_TOTAL_REVISED_MONTH" hidden="1">"c16474"</definedName>
    <definedName name="IQ_EPS_REPORTED_EST_TOTAL_REVISED_MONTH_CIQ" hidden="1">"c16762"</definedName>
    <definedName name="IQ_EPS_REPORTED_EST_UP_2MONTH" hidden="1">"c16476"</definedName>
    <definedName name="IQ_EPS_REPORTED_EST_UP_2MONTH_CIQ" hidden="1">"c16764"</definedName>
    <definedName name="IQ_EPS_REPORTED_EST_UP_3MONTH" hidden="1">"c16480"</definedName>
    <definedName name="IQ_EPS_REPORTED_EST_UP_3MONTH_CIQ" hidden="1">"c16768"</definedName>
    <definedName name="IQ_EPS_REPORTED_EST_UP_MONTH" hidden="1">"c16472"</definedName>
    <definedName name="IQ_EPS_REPORTED_EST_UP_MONTH_CIQ" hidden="1">"c16760"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ACT_OR_EST_CIQ_COL" hidden="1">"c11548"</definedName>
    <definedName name="IQ_EPS_SBC_EST" hidden="1">"c4375"</definedName>
    <definedName name="IQ_EPS_SBC_GUIDANCE" hidden="1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 hidden="1">"c4905"</definedName>
    <definedName name="IQ_EPS_SBC_GW_ACT_OR_EST_CIQ_COL" hidden="1">"c11552"</definedName>
    <definedName name="IQ_EPS_SBC_GW_EST" hidden="1">"c4379"</definedName>
    <definedName name="IQ_EPS_SBC_GW_GUIDANCE" hidden="1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 hidden="1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 hidden="1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 hidden="1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>"c13436"</definedName>
    <definedName name="IQ_EQUITY_BEG_EXCL_FFIEC">"c12957"</definedName>
    <definedName name="IQ_EQUITY_BEG_FFIEC">"c12959"</definedName>
    <definedName name="IQ_EQUITY_BIDPRICE" hidden="1">"c17797"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CIQ_COL" hidden="1">"c11568"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CIQ_COL" hidden="1">"c11579"</definedName>
    <definedName name="IQ_EST_ACT_FFO_REUT" hidden="1">"c3843"</definedName>
    <definedName name="IQ_EST_ACT_FFO_SHARE" hidden="1">"c4407"</definedName>
    <definedName name="IQ_EST_ACT_FFO_SHARE_SHARE_REUT" hidden="1">"c3843"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DIFF_CIQ_COL" hidden="1">"c11213"</definedName>
    <definedName name="IQ_EST_CASH_FLOW_SURPRISE_PERCENT" hidden="1">"c4161"</definedName>
    <definedName name="IQ_EST_CASH_FLOW_SURPRISE_PERCENT_CIQ_COL" hidden="1">"c11222"</definedName>
    <definedName name="IQ_EST_CASH_OPER_DIFF" hidden="1">"c4162"</definedName>
    <definedName name="IQ_EST_CASH_OPER_DIFF_CIQ_COL" hidden="1">"c11223"</definedName>
    <definedName name="IQ_EST_CASH_OPER_SURPRISE_PERCENT" hidden="1">"c4248"</definedName>
    <definedName name="IQ_EST_CASH_OPER_SURPRISE_PERCENT_CIQ_COL" hidden="1">"c11421"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DIFF_CIQ_COL" hidden="1">"c11448"</definedName>
    <definedName name="IQ_EST_DISTRIBUTABLE_CASH_GROWTH_1YR" hidden="1">"c4413"</definedName>
    <definedName name="IQ_EST_DISTRIBUTABLE_CASH_GROWTH_1YR_CIQ_COL" hidden="1">"c11585"</definedName>
    <definedName name="IQ_EST_DISTRIBUTABLE_CASH_GROWTH_2YR" hidden="1">"c4414"</definedName>
    <definedName name="IQ_EST_DISTRIBUTABLE_CASH_GROWTH_2YR_CIQ_COL" hidden="1">"c11586"</definedName>
    <definedName name="IQ_EST_DISTRIBUTABLE_CASH_GROWTH_Q_1YR" hidden="1">"c4415"</definedName>
    <definedName name="IQ_EST_DISTRIBUTABLE_CASH_GROWTH_Q_1YR_CIQ_COL" hidden="1">"c11587"</definedName>
    <definedName name="IQ_EST_DISTRIBUTABLE_CASH_SEQ_GROWTH_Q" hidden="1">"c4416"</definedName>
    <definedName name="IQ_EST_DISTRIBUTABLE_CASH_SEQ_GROWTH_Q_CIQ_COL" hidden="1">"c11588"</definedName>
    <definedName name="IQ_EST_DISTRIBUTABLE_CASH_SHARE_DIFF" hidden="1">"c4284"</definedName>
    <definedName name="IQ_EST_DISTRIBUTABLE_CASH_SHARE_DIFF_CIQ_COL" hidden="1">"c11456"</definedName>
    <definedName name="IQ_EST_DISTRIBUTABLE_CASH_SHARE_GROWTH_1YR" hidden="1">"c4417"</definedName>
    <definedName name="IQ_EST_DISTRIBUTABLE_CASH_SHARE_GROWTH_1YR_CIQ_COL" hidden="1">"c11589"</definedName>
    <definedName name="IQ_EST_DISTRIBUTABLE_CASH_SHARE_GROWTH_2YR" hidden="1">"c4418"</definedName>
    <definedName name="IQ_EST_DISTRIBUTABLE_CASH_SHARE_GROWTH_2YR_CIQ_COL" hidden="1">"c11590"</definedName>
    <definedName name="IQ_EST_DISTRIBUTABLE_CASH_SHARE_GROWTH_Q_1YR" hidden="1">"c4419"</definedName>
    <definedName name="IQ_EST_DISTRIBUTABLE_CASH_SHARE_GROWTH_Q_1YR_CIQ_COL" hidden="1">"c11591"</definedName>
    <definedName name="IQ_EST_DISTRIBUTABLE_CASH_SHARE_SEQ_GROWTH_Q" hidden="1">"c4420"</definedName>
    <definedName name="IQ_EST_DISTRIBUTABLE_CASH_SHARE_SEQ_GROWTH_Q_CIQ_COL" hidden="1">"c11592"</definedName>
    <definedName name="IQ_EST_DISTRIBUTABLE_CASH_SHARE_SURPRISE_PERCENT" hidden="1">"c4293"</definedName>
    <definedName name="IQ_EST_DISTRIBUTABLE_CASH_SHARE_SURPRISE_PERCENT_CIQ_COL" hidden="1">"c11465"</definedName>
    <definedName name="IQ_EST_DISTRIBUTABLE_CASH_SURPRISE_PERCENT" hidden="1">"c4295"</definedName>
    <definedName name="IQ_EST_DISTRIBUTABLE_CASH_SURPRISE_PERCENT_CIQ_COL" hidden="1">"c11467"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DIFF_CIQ_COL" hidden="1">"c11476"</definedName>
    <definedName name="IQ_EST_EBIT_GW_SURPRISE_PERCENT" hidden="1">"c4313"</definedName>
    <definedName name="IQ_EST_EBIT_GW_SURPRISE_PERCENT_CIQ_COL" hidden="1">"c11485"</definedName>
    <definedName name="IQ_EST_EBIT_SBC_DIFF" hidden="1">"c4314"</definedName>
    <definedName name="IQ_EST_EBIT_SBC_DIFF_CIQ_COL" hidden="1">"c11486"</definedName>
    <definedName name="IQ_EST_EBIT_SBC_GW_DIFF" hidden="1">"c4318"</definedName>
    <definedName name="IQ_EST_EBIT_SBC_GW_DIFF_CIQ_COL" hidden="1">"c11490"</definedName>
    <definedName name="IQ_EST_EBIT_SBC_GW_SURPRISE_PERCENT" hidden="1">"c4327"</definedName>
    <definedName name="IQ_EST_EBIT_SBC_GW_SURPRISE_PERCENT_CIQ_COL" hidden="1">"c11499"</definedName>
    <definedName name="IQ_EST_EBIT_SBC_SURPRISE_PERCENT" hidden="1">"c4333"</definedName>
    <definedName name="IQ_EST_EBIT_SBC_SURPRISE_PERCENT_CIQ_COL" hidden="1">"c11505"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DIFF_CIQ_COL" hidden="1">"c11507"</definedName>
    <definedName name="IQ_EST_EBITDA_SBC_SURPRISE_PERCENT" hidden="1">"c4344"</definedName>
    <definedName name="IQ_EST_EBITDA_SBC_SURPRISE_PERCENT_CIQ_COL" hidden="1">"c11516"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DIFF_CIQ_COL" hidden="1">"c11520"</definedName>
    <definedName name="IQ_EST_EBT_SBC_GW_DIFF" hidden="1">"c4352"</definedName>
    <definedName name="IQ_EST_EBT_SBC_GW_DIFF_CIQ_COL" hidden="1">"c11524"</definedName>
    <definedName name="IQ_EST_EBT_SBC_GW_SURPRISE_PERCENT" hidden="1">"c4361"</definedName>
    <definedName name="IQ_EST_EBT_SBC_GW_SURPRISE_PERCENT_CIQ_COL" hidden="1">"c11533"</definedName>
    <definedName name="IQ_EST_EBT_SBC_SURPRISE_PERCENT" hidden="1">"c4367"</definedName>
    <definedName name="IQ_EST_EBT_SBC_SURPRISE_PERCENT_CIQ_COL" hidden="1">"c11539"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DIFF_CIQ_COL" hidden="1">"c11546"</definedName>
    <definedName name="IQ_EST_EPS_SBC_GW_DIFF" hidden="1">"c4378"</definedName>
    <definedName name="IQ_EST_EPS_SBC_GW_DIFF_CIQ_COL" hidden="1">"c11550"</definedName>
    <definedName name="IQ_EST_EPS_SBC_GW_SURPRISE_PERCENT" hidden="1">"c4387"</definedName>
    <definedName name="IQ_EST_EPS_SBC_GW_SURPRISE_PERCENT_CIQ_COL" hidden="1">"c11559"</definedName>
    <definedName name="IQ_EST_EPS_SBC_SURPRISE_PERCENT" hidden="1">"c4393"</definedName>
    <definedName name="IQ_EST_EPS_SBC_SURPRISE_PERCENT_CIQ_COL" hidden="1">"c11565"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DIFF_CIQ_COL" hidden="1">"c11605"</definedName>
    <definedName name="IQ_EST_FFO_ADJ_GROWTH_1YR" hidden="1">"c4421"</definedName>
    <definedName name="IQ_EST_FFO_ADJ_GROWTH_1YR_CIQ_COL" hidden="1">"c11593"</definedName>
    <definedName name="IQ_EST_FFO_ADJ_GROWTH_2YR" hidden="1">"c4422"</definedName>
    <definedName name="IQ_EST_FFO_ADJ_GROWTH_2YR_CIQ_COL" hidden="1">"c11594"</definedName>
    <definedName name="IQ_EST_FFO_ADJ_GROWTH_Q_1YR" hidden="1">"c4423"</definedName>
    <definedName name="IQ_EST_FFO_ADJ_GROWTH_Q_1YR_CIQ_COL" hidden="1">"c11595"</definedName>
    <definedName name="IQ_EST_FFO_ADJ_SEQ_GROWTH_Q" hidden="1">"c4424"</definedName>
    <definedName name="IQ_EST_FFO_ADJ_SEQ_GROWTH_Q_CIQ_COL" hidden="1">"c11596"</definedName>
    <definedName name="IQ_EST_FFO_ADJ_SURPRISE_PERCENT" hidden="1">"c4442"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CIQ_COL" hidden="1">"c11597"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CIQ_COL" hidden="1">"c11598"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CIQ_COL" hidden="1">"c11599"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CIQ_COL" hidden="1">"c11600"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CIQ_COL" hidden="1">"c11629"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DIFF_CIQ_COL" hidden="1">"c11632"</definedName>
    <definedName name="IQ_EST_MAINT_CAPEX_GROWTH_1YR" hidden="1">"c4429"</definedName>
    <definedName name="IQ_EST_MAINT_CAPEX_GROWTH_1YR_CIQ_COL" hidden="1">"c11601"</definedName>
    <definedName name="IQ_EST_MAINT_CAPEX_GROWTH_2YR" hidden="1">"c4430"</definedName>
    <definedName name="IQ_EST_MAINT_CAPEX_GROWTH_2YR_CIQ_COL" hidden="1">"c11602"</definedName>
    <definedName name="IQ_EST_MAINT_CAPEX_GROWTH_Q_1YR" hidden="1">"c4431"</definedName>
    <definedName name="IQ_EST_MAINT_CAPEX_GROWTH_Q_1YR_CIQ_COL" hidden="1">"c11603"</definedName>
    <definedName name="IQ_EST_MAINT_CAPEX_SEQ_GROWTH_Q" hidden="1">"c4432"</definedName>
    <definedName name="IQ_EST_MAINT_CAPEX_SEQ_GROWTH_Q_CIQ_COL" hidden="1">"c11604"</definedName>
    <definedName name="IQ_EST_MAINT_CAPEX_SURPRISE_PERCENT" hidden="1">"c4465"</definedName>
    <definedName name="IQ_EST_MAINT_CAPEX_SURPRISE_PERCENT_CIQ_COL" hidden="1">"c11650"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DIFF_CIQ_COL" hidden="1">"c11657"</definedName>
    <definedName name="IQ_EST_NI_SBC_GW_DIFF" hidden="1">"c4476"</definedName>
    <definedName name="IQ_EST_NI_SBC_GW_DIFF_CIQ_COL" hidden="1">"c11661"</definedName>
    <definedName name="IQ_EST_NI_SBC_GW_SURPRISE_PERCENT" hidden="1">"c4485"</definedName>
    <definedName name="IQ_EST_NI_SBC_GW_SURPRISE_PERCENT_CIQ_COL" hidden="1">"c11670"</definedName>
    <definedName name="IQ_EST_NI_SBC_SURPRISE_PERCENT" hidden="1">"c4491"</definedName>
    <definedName name="IQ_EST_NI_SBC_SURPRISE_PERCENT_CIQ_COL" hidden="1">"c11676"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IGHEST_REC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ERIOD_ID">"c13923"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DIFF_CIQ_COL" hidden="1">"c11690"</definedName>
    <definedName name="IQ_EST_RECURRING_PROFIT_SHARE_SURPRISE_PERCENT" hidden="1">"c4515"</definedName>
    <definedName name="IQ_EST_RECURRING_PROFIT_SHARE_SURPRISE_PERCENT_CIQ_COL" hidden="1">"c11700"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>"c16064"</definedName>
    <definedName name="IQ_EXP_RETURN_PENSION_DOMESTIC" hidden="1">"c407"</definedName>
    <definedName name="IQ_EXP_RETURN_PENSION_FOREIGN" hidden="1">"c408"</definedName>
    <definedName name="IQ_EXPENSE_REIMBURSEMENTS">"c16020"</definedName>
    <definedName name="IQ_EXPENSES_AP" hidden="1">"c8875"</definedName>
    <definedName name="IQ_EXPENSES_AP_ABS" hidden="1">"c8894"</definedName>
    <definedName name="IQ_EXPENSES_FIXED_ASSETS_FFIEC">"c13024"</definedName>
    <definedName name="IQ_EXPENSES_NAME_AP" hidden="1">"c8913"</definedName>
    <definedName name="IQ_EXPENSES_NAME_AP_ABS" hidden="1">"c8932"</definedName>
    <definedName name="IQ_EXPIRATION_DATE" hidden="1">"c13930"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>"c13369"</definedName>
    <definedName name="IQ_EXTRA_ITEMS" hidden="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 hidden="1">"c8757"</definedName>
    <definedName name="IQ_FAD_PAYOUT_RATIO" hidden="1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 hidden="1">"c417"</definedName>
    <definedName name="IQ_FDIC_CERT_NUMBER_FFIEC" hidden="1">"c20507"</definedName>
    <definedName name="IQ_FDIC_DEPOSIT_INSURANCE_FFIEC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 hidden="1">"c2256"</definedName>
    <definedName name="IQ_FEDFUNDS_SOLD_RELATED">"c19130"</definedName>
    <definedName name="IQ_FEES_COMMISSIONS_BROKERAGE_FFIEC">"c13005"</definedName>
    <definedName name="IQ_FEES_OTHER_INCOME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ACT_OR_EST_CIQ_COL" hidden="1">"c11607"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 hidden="1">"c418"</definedName>
    <definedName name="IQ_FFO_EST_CIQ" hidden="1">"c4970"</definedName>
    <definedName name="IQ_FFO_EST_CIQ_COL" hidden="1">"c11617"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 hidden="1">"c419"</definedName>
    <definedName name="IQ_FFO_HIGH_EST_CIQ" hidden="1">"c4977"</definedName>
    <definedName name="IQ_FFO_HIGH_EST_CIQ_COL" hidden="1">"c11624"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 hidden="1">"c420"</definedName>
    <definedName name="IQ_FFO_LOW_EST_CIQ" hidden="1">"c4978"</definedName>
    <definedName name="IQ_FFO_LOW_EST_CIQ_COL" hidden="1">"c11625"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 hidden="1">"c1665"</definedName>
    <definedName name="IQ_FFO_MEDIAN_EST_CIQ" hidden="1">"c4979"</definedName>
    <definedName name="IQ_FFO_MEDIAN_EST_CIQ_COL" hidden="1">"c11626"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IQ_COL" hidden="1">"c11627"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ACT_OR_EST_CIQ_COL" hidden="1">"c11618"</definedName>
    <definedName name="IQ_FFO_SHARE_EST" hidden="1">"c4445"</definedName>
    <definedName name="IQ_FFO_SHARE_EST_DET_EST" hidden="1">"c12059"</definedName>
    <definedName name="IQ_FFO_SHARE_EST_DET_EST_CURRENCY" hidden="1">"c12466"</definedName>
    <definedName name="IQ_FFO_SHARE_EST_DET_EST_CURRENCY_THOM" hidden="1">"c12487"</definedName>
    <definedName name="IQ_FFO_SHARE_EST_DET_EST_DATE" hidden="1">"c12212"</definedName>
    <definedName name="IQ_FFO_SHARE_EST_DET_EST_DATE_THOM" hidden="1">"c12238"</definedName>
    <definedName name="IQ_FFO_SHARE_EST_DET_EST_INCL" hidden="1">"c12349"</definedName>
    <definedName name="IQ_FFO_SHARE_EST_DET_EST_INCL_THOM" hidden="1">"c12370"</definedName>
    <definedName name="IQ_FFO_SHARE_EST_DET_EST_ORIGIN" hidden="1">"c12722"</definedName>
    <definedName name="IQ_FFO_SHARE_EST_DET_EST_ORIGIN_THOM" hidden="1">"c12608"</definedName>
    <definedName name="IQ_FFO_SHARE_EST_DET_EST_THOM" hidden="1">"c12088"</definedName>
    <definedName name="IQ_FFO_SHARE_EST_THOM" hidden="1">"c3999"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HARES_BASIC">"c16185"</definedName>
    <definedName name="IQ_FFO_SHARES_DILUTED">"c16187"</definedName>
    <definedName name="IQ_FFO_STDDEV_EST" hidden="1">"c422"</definedName>
    <definedName name="IQ_FFO_STDDEV_EST_CIQ" hidden="1">"c4981"</definedName>
    <definedName name="IQ_FFO_STDDEV_EST_CIQ_COL" hidden="1">"c11628"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CIQ_COL" hidden="1">"c11741"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CIQ_COL" hidden="1">"c11742"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 hidden="1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 hidden="1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 hidden="1">"c449"</definedName>
    <definedName name="IQ_FULL_TIME" hidden="1">"c450"</definedName>
    <definedName name="IQ_FULLY_INSURED_BROKERED_DEPOSITS_FFIEC">"c15305"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>"c13493"</definedName>
    <definedName name="IQ_FUND_GEOGRAPHIC_MANDATE" hidden="1">"c19195"</definedName>
    <definedName name="IQ_FUND_MARKET_CAP_EMPHASIS" hidden="1">"c19197"</definedName>
    <definedName name="IQ_FUND_NAV">"c15225"</definedName>
    <definedName name="IQ_FUND_PRIMARY_ADVISOR">"c19091"</definedName>
    <definedName name="IQ_FUND_SECTOR_EMPHASIS" hidden="1">"c19196"</definedName>
    <definedName name="IQ_FUND_VEHICLE_TYPE" hidden="1">"c19194"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UTURES_NAME" hidden="1">"c13936"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ST_CIQ" hidden="1">"c13924"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>"c13066"</definedName>
    <definedName name="IQ_GAIN_CREDIT_DERIVATIVES_NON_TRADING_FFIEC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 hidden="1">"c2742"</definedName>
    <definedName name="IQ_GROSS_CLAIM_ADJ_EXP_RESERVE_BOP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>"c15871"</definedName>
    <definedName name="IQ_GROSS_LOSSES_AVG_LOANS_FFIEC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>"c15590"</definedName>
    <definedName name="IQ_GVKEY_OTHER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>"c15971"</definedName>
    <definedName name="IQ_HG_EXP_CASINO" hidden="1">"c8733"</definedName>
    <definedName name="IQ_HG_EXP_DEVELOPMENT" hidden="1">"c8738"</definedName>
    <definedName name="IQ_HG_EXP_DIRECT_CASINO_GAMING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>"c15980"</definedName>
    <definedName name="IQ_HG_FOOD_BEV_REV_TOTAL_REV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>"c15970"</definedName>
    <definedName name="IQ_HG_NUMBER_TABLES_AVG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>"c15993"</definedName>
    <definedName name="IQ_HG_REV_INCENTIVE_MANAGEMENT_FEES" hidden="1">"c8727"</definedName>
    <definedName name="IQ_HG_REV_MANAGEMENT_FEES" hidden="1">"c8718"</definedName>
    <definedName name="IQ_HG_REV_OTHER_CASINO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>"c15990"</definedName>
    <definedName name="IQ_HG_REV_TABLE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 hidden="1">"c8745"</definedName>
    <definedName name="IQ_HG_ROOM_REV_TOTAL_REV">"c15984"</definedName>
    <definedName name="IQ_HG_ROOMS_BEG" hidden="1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 hidden="1">"c546"</definedName>
    <definedName name="IQ_HOTEL_OPERATING_EXPENSE">"c16042"</definedName>
    <definedName name="IQ_HOTEL_OPERATING_REVENUE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>"c15265"</definedName>
    <definedName name="IQ_HYBRID_STRUCTURED_PRODUCTS_FFIEC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>"c15748"</definedName>
    <definedName name="IQ_IMPAIR_OIL" hidden="1">"c547"</definedName>
    <definedName name="IQ_IMPAIRED_LOANS">"c15250"</definedName>
    <definedName name="IQ_IMPAIRMENT_GW" hidden="1">"c548"</definedName>
    <definedName name="IQ_IMPAIRMENT_GW_SUPPLE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>"c19104"</definedName>
    <definedName name="IQ_INSIDER_SHARES" hidden="1">"c579"</definedName>
    <definedName name="IQ_INSIDER_VALUE">"c19103"</definedName>
    <definedName name="IQ_INST_DEPOSITS" hidden="1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>"c19109"</definedName>
    <definedName name="IQ_INSTITUTIONAL_SHARES" hidden="1">"c582"</definedName>
    <definedName name="IQ_INSTITUTIONAL_VALUE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 hidden="1">"c1166"</definedName>
    <definedName name="IQ_INT_BEARING_FUNDS_AVG_ASSETS_FFIEC">"c13355"</definedName>
    <definedName name="IQ_INT_BEARING_LIABILITIES_REPRICE_ASSETS_TOT_FFIEC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 hidden="1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 hidden="1">"c587"</definedName>
    <definedName name="IQ_INT_EXP_EARNING_ASSETS_FFIEC">"c13376"</definedName>
    <definedName name="IQ_INT_EXP_FED_FUNDS_PURCHASED_FFIEC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 hidden="1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 hidden="1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GIBLES_NET" hidden="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>"c15220"</definedName>
    <definedName name="IQ_INV_REL_NAME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 hidden="1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HOLD_IMPROVEMENT" hidden="1">"c17549"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 hidden="1">"c2123"</definedName>
    <definedName name="IQ_LICENSED_WIRELESS_POPS">"c2123"</definedName>
    <definedName name="IQ_LIFE_EARNED" hidden="1">"c2739"</definedName>
    <definedName name="IQ_LIFE_INSURANCE_ASSETS_FDIC" hidden="1">"c6372"</definedName>
    <definedName name="IQ_LIFE_INSURANCE_ASSETS_FFIEC">"c12847"</definedName>
    <definedName name="IQ_LIFOR" hidden="1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L" hidden="1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 hidden="1">"c658"</definedName>
    <definedName name="IQ_LOANS_AGRICULTURAL_PROD_LL_REC_FFIEC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 hidden="1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 hidden="1">"c667"</definedName>
    <definedName name="IQ_LOANS_PURCHASING_CARRYING_SECURITIES_LL_REC_DOM_FFIEC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>"c13132"</definedName>
    <definedName name="IQ_LOSS_LOSS_EXP" hidden="1">"c672"</definedName>
    <definedName name="IQ_LOSS_TO_NET_EARNED" hidden="1">"c2751"</definedName>
    <definedName name="IQ_LOW_SULFUR_CONTENT_RESERVES_COAL">"c15924"</definedName>
    <definedName name="IQ_LOW_SULFURE_RESERVES_TO_TOTAL_RESERVES_COAL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>"c13453"</definedName>
    <definedName name="IQ_LT_DEBT_REPRICING_WITHIN_1_YR_INT_SENSITIVITY_FFIEC">"c13095"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ACT_OR_EST_CIQ_COL" hidden="1">"c11634"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>"c16035"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>"c12799"</definedName>
    <definedName name="IQ_MBS_OTHER_ISSUED_FNMA_OTHERS_FFIEC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>"c12797"</definedName>
    <definedName name="IQ_MBS_PASS_THROUGH_FNMA_FFIEC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>"c12796"</definedName>
    <definedName name="IQ_MBS_PASS_THROUGH_GNMA_FFIEC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>"c12798"</definedName>
    <definedName name="IQ_MBS_PASS_THROUGH_OTHER_FFIEC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 hidden="1">"c9937"</definedName>
    <definedName name="IQ_MC_DAYS_CLAIMS_PAYABLE_EXCL_CAPITATION" hidden="1">"c9938"</definedName>
    <definedName name="IQ_MC_DENTAL_MEMBERS">"c15832"</definedName>
    <definedName name="IQ_MC_DENTAL_PREMIUMS">"c15858"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 hidden="1">"c9925"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 hidden="1">"c9942"</definedName>
    <definedName name="IQ_MC_PPO_POS_MEMBERS">"c15823"</definedName>
    <definedName name="IQ_MC_PPO_POS_PREMIUMS">"c15849"</definedName>
    <definedName name="IQ_MC_PREMIUMS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>"c15867"</definedName>
    <definedName name="IQ_MC_SPECIALTY_NON_RISK_MEMBERS">"c15840"</definedName>
    <definedName name="IQ_MC_STATUTORY_SURPLUS" hidden="1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 hidden="1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 hidden="1">"c9922"</definedName>
    <definedName name="IQ_MC_TOTAL_MEMBERSHIP_CAPITATION" hidden="1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>"c15808"</definedName>
    <definedName name="IQ_MINTUTES_USED_LONG_DIST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>"c15276"</definedName>
    <definedName name="IQ_MORTGAGE_SERV_RIGHTS" hidden="1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40122.3865046296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>"c13822"</definedName>
    <definedName name="IQ_NATURAL_RESOURCES_COST" hidden="1">"c17550"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RE">"c15996"</definedName>
    <definedName name="IQ_NAV_SHARE_ACT_OR_EST" hidden="1">"c5615"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NOTE" hidden="1">"c17522"</definedName>
    <definedName name="IQ_NAV_SHARE_EST_NOTE_CIQ" hidden="1">"c17475"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ARBY_CONTRACT_ID" hidden="1">"c14328"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CIQ_COL" hidden="1">"c11717"</definedName>
    <definedName name="IQ_NET_DEBT_ACT_OR_EST_REUT" hidden="1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 hidden="1">"c20430"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 hidden="1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CONTRACT_ID" hidden="1">"c13928"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CIQ_COL" hidden="1">"c11712"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>"c13370"</definedName>
    <definedName name="IQ_NI_BANK_AND_NONCONTROLLING_INTEREST_FFIEC">"c15365"</definedName>
    <definedName name="IQ_NI_BEFORE_CAPITALIZED" hidden="1">"c792"</definedName>
    <definedName name="IQ_NI_BEFORE_INTERNAL_ALLOCATIONS_FOREIGN_FFIEC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REUT" hidden="1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EST_REUT" hidden="1">"c5375"</definedName>
    <definedName name="IQ_NI_GW_GUIDANCE" hidden="1">"c4471"</definedName>
    <definedName name="IQ_NI_GW_GUIDANCE_CIQ">"c5009"</definedName>
    <definedName name="IQ_NI_GW_GUIDANCE_CIQ_COL">"c11656"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N_CONTROLLING_INTERESTS_FFIEC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ACT_OR_EST_CIQ_COL" hidden="1">"c11659"</definedName>
    <definedName name="IQ_NI_SBC_EST" hidden="1">"c4473"</definedName>
    <definedName name="IQ_NI_SBC_GUIDANCE" hidden="1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 hidden="1">"c5016"</definedName>
    <definedName name="IQ_NI_SBC_GW_ACT_OR_EST_CIQ_COL" hidden="1">"c11663"</definedName>
    <definedName name="IQ_NI_SBC_GW_EST" hidden="1">"c4477"</definedName>
    <definedName name="IQ_NI_SBC_GW_GUIDANCE" hidden="1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 hidden="1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 hidden="1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 hidden="1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>"c13353"</definedName>
    <definedName name="IQ_NON_ACCRUAL_ASSET_SOLD_DURING_QTR_FFIEC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 hidden="1">"c798"</definedName>
    <definedName name="IQ_NON_INS_REV" hidden="1">"c799"</definedName>
    <definedName name="IQ_NON_INT_BAL_OTHER_INSTITUTIONS_FFIEC">"c12950"</definedName>
    <definedName name="IQ_NON_INT_BEAR_CD" hidden="1">"c11750"</definedName>
    <definedName name="IQ_NON_INT_BEARING_DEPOSITS" hidden="1">"c800"</definedName>
    <definedName name="IQ_NON_INT_DEPOSITS_DOM_FFIEC">"c12851"</definedName>
    <definedName name="IQ_NON_INT_DEPOSITS_FOREIGN_FFIEC">"c12854"</definedName>
    <definedName name="IQ_NON_INT_EXP" hidden="1">"c801"</definedName>
    <definedName name="IQ_NON_INT_EXP_AVG_ASSETS_FFIEC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>"c15702"</definedName>
    <definedName name="IQ_NON_PERF_ASSETS_LOANS_OREO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>"c13859"</definedName>
    <definedName name="IQ_NON_PERFORMING_LOANS" hidden="1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 hidden="1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>"c13739"</definedName>
    <definedName name="IQ_NUM_OFFICES" hidden="1">"c2088"</definedName>
    <definedName name="IQ_NUMBER_ADRHOLDERS" hidden="1">"c1970"</definedName>
    <definedName name="IQ_NUMBER_CELL_SITES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TRADES_EXECUTED" hidden="1">"c20428"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>"c13372"</definedName>
    <definedName name="IQ_OCCUPANCY_EXP_OPERATING_INC_FFIEC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 hidden="1">"c10096"</definedName>
    <definedName name="IQ_OG_GROSS_OPERATED_WELLS" hidden="1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INTEREST" hidden="1">"c13931"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RGANIC_GROWTH_RATE" hidden="1">"c20429"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 hidden="1">"c859"</definedName>
    <definedName name="IQ_OTHER_ADJUSTMENTS_COVERED" hidden="1">"c9961"</definedName>
    <definedName name="IQ_OTHER_ADJUSTMENTS_FFIEC">"c12972"</definedName>
    <definedName name="IQ_OTHER_ADJUSTMENTS_GROUP" hidden="1">"c9947"</definedName>
    <definedName name="IQ_OTHER_AFFO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>"c15473"</definedName>
    <definedName name="IQ_OTHER_DEDUCTIONS_LEVERAGE_RATIO_FFIEC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 hidden="1">"c1609"</definedName>
    <definedName name="IQ_OTHER_EPRA_NAV_ADJ">"c16004"</definedName>
    <definedName name="IQ_OTHER_EPRA_NNAV_ADJ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>"c13381"</definedName>
    <definedName name="IQ_OTHER_FAD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 hidden="1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>"c12801"</definedName>
    <definedName name="IQ_OTHER_MBS_FFIEC">"c12787"</definedName>
    <definedName name="IQ_OTHER_MBS_HTM_AMORT_COST_FFIEC" hidden="1">"c20446"</definedName>
    <definedName name="IQ_OTHER_MBS_HTM_FAIR_VAL_FFIEC" hidden="1">"c20481"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>"c15931"</definedName>
    <definedName name="IQ_OTHER_NET" hidden="1">"c1453"</definedName>
    <definedName name="IQ_OTHER_NON_INT_ALLOCATIONS_FFIEC">"c13065"</definedName>
    <definedName name="IQ_OTHER_NON_INT_EXP" hidden="1">"c953"</definedName>
    <definedName name="IQ_OTHER_NON_INT_EXP_FDIC" hidden="1">"c6578"</definedName>
    <definedName name="IQ_OTHER_NON_INT_EXP_FFIEC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>"c13770"</definedName>
    <definedName name="IQ_OTHER_PC_WRITTEN" hidden="1">"c1006"</definedName>
    <definedName name="IQ_OTHER_PROP" hidden="1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 hidden="1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 hidden="1">"c8780"</definedName>
    <definedName name="IQ_OTHER_STRIKE_PRICE_GRANTED" hidden="1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>"c13254"</definedName>
    <definedName name="IQ_PARTNERSHIP_INC_RE" hidden="1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ETRATION_BASIC_CABLE">"c16204"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>"c13371"</definedName>
    <definedName name="IQ_PERSONNEL_EXP_OPERATING_INC_FFIEC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>"c13123"</definedName>
    <definedName name="IQ_POSITIVE_FAIR_VALUE_DERIVATIVES_GUARANTOR_FFIEC">"c13116"</definedName>
    <definedName name="IQ_POST_RETIRE_EXP" hidden="1">"c1039"</definedName>
    <definedName name="IQ_POSTAGE_FFIEC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CIQ_COL" hidden="1">"c11711"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>"c12875"</definedName>
    <definedName name="IQ_PREF_TOT" hidden="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>"c15216"</definedName>
    <definedName name="IQ_PRESIDENT_NAME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CONTRACT_ID" hidden="1">"c13929"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UNIT" hidden="1">"c15556"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EST_CIQ_COL" hidden="1">"c11677"</definedName>
    <definedName name="IQ_PRICE_VOLATILITY_HIGH" hidden="1">"c4493"</definedName>
    <definedName name="IQ_PRICE_VOLATILITY_HIGH_CIQ_COL" hidden="1">"c11678"</definedName>
    <definedName name="IQ_PRICE_VOLATILITY_LOW" hidden="1">"c4494"</definedName>
    <definedName name="IQ_PRICE_VOLATILITY_LOW_CIQ_COL" hidden="1">"c11679"</definedName>
    <definedName name="IQ_PRICE_VOLATILITY_MEDIAN" hidden="1">"c4495"</definedName>
    <definedName name="IQ_PRICE_VOLATILITY_MEDIAN_CIQ_COL" hidden="1">"c11680"</definedName>
    <definedName name="IQ_PRICE_VOLATILITY_NUM" hidden="1">"c4496"</definedName>
    <definedName name="IQ_PRICE_VOLATILITY_NUM_CIQ_COL" hidden="1">"c11681"</definedName>
    <definedName name="IQ_PRICE_VOLATILITY_STDDEV" hidden="1">"c4497"</definedName>
    <definedName name="IQ_PRICE_VOLATILITY_STDDEV_CIQ_COL" hidden="1">"c11682"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EST_CONSOLIDATION" hidden="1">"c16246"</definedName>
    <definedName name="IQ_PRIMARY_EST_CONSOLIDATION_CIQ" hidden="1">"c16247"</definedName>
    <definedName name="IQ_PRIMARY_INDUSTRY" hidden="1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>"c15945"</definedName>
    <definedName name="IQ_PROFESSIONAL" hidden="1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 hidden="1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 hidden="1">"c9969"</definedName>
    <definedName name="IQ_PROFIT_BEFORE_COST_CAPITAL_NEW_BUSINESS" hidden="1">"c9967"</definedName>
    <definedName name="IQ_PROGRAMMING_COSTS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>"c15717"</definedName>
    <definedName name="IQ_PROVISION_CHARGE_OFFS" hidden="1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 hidden="1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>"c13479"</definedName>
    <definedName name="IQ_RE_GAIN_LOSS_SALE_ASSETS" hidden="1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>"c16036"</definedName>
    <definedName name="IQ_RE_RISK_BASED_FFIEC">"c13417"</definedName>
    <definedName name="IQ_REAL_ESTATE" hidden="1">"c1093"</definedName>
    <definedName name="IQ_REAL_ESTATE_ASSETS" hidden="1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ACT_OR_EST_CIQ_COL" hidden="1">"c11692"</definedName>
    <definedName name="IQ_RECURRING_PROFIT_EST" hidden="1">"c4499"</definedName>
    <definedName name="IQ_RECURRING_PROFIT_GUIDANCE" hidden="1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 hidden="1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 hidden="1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ACT_OR_EST_CIQ_COL" hidden="1">"c11693"</definedName>
    <definedName name="IQ_RECURRING_PROFIT_SHARE_EST" hidden="1">"c4506"</definedName>
    <definedName name="IQ_RECURRING_PROFIT_SHARE_GUIDANCE" hidden="1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 hidden="1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>"c16221"</definedName>
    <definedName name="IQ_REINSTATEMENT_DATE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 hidden="1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>"c15895"</definedName>
    <definedName name="IQ_RETAINED_EARN" hidden="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CIQ_COL" hidden="1">"c11706"</definedName>
    <definedName name="IQ_REVENUE_ACT_OR_EST_REUT" hidden="1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 hidden="1">"c1126"</definedName>
    <definedName name="IQ_REVENUE_EST_1" hidden="1">"c190"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DOWN_2MONTH" hidden="1">"c16285"</definedName>
    <definedName name="IQ_REVENUE_EST_DOWN_2MONTH_CIQ" hidden="1">"c16609"</definedName>
    <definedName name="IQ_REVENUE_EST_DOWN_3MONTH" hidden="1">"c16289"</definedName>
    <definedName name="IQ_REVENUE_EST_DOWN_3MONTH_CIQ" hidden="1">"c16613"</definedName>
    <definedName name="IQ_REVENUE_EST_DOWN_MONTH" hidden="1">"c16281"</definedName>
    <definedName name="IQ_REVENUE_EST_DOWN_MONTH_CIQ" hidden="1">"c16605"</definedName>
    <definedName name="IQ_REVENUE_EST_NOTE" hidden="1">"c17502"</definedName>
    <definedName name="IQ_REVENUE_EST_NOTE_CIQ" hidden="1">"c17455"</definedName>
    <definedName name="IQ_REVENUE_EST_NUM_ANALYSTS_2MONTH" hidden="1">"c16283"</definedName>
    <definedName name="IQ_REVENUE_EST_NUM_ANALYSTS_2MONTH_CIQ" hidden="1">"c16607"</definedName>
    <definedName name="IQ_REVENUE_EST_NUM_ANALYSTS_3MONTH" hidden="1">"c16287"</definedName>
    <definedName name="IQ_REVENUE_EST_NUM_ANALYSTS_3MONTH_CIQ" hidden="1">"c16611"</definedName>
    <definedName name="IQ_REVENUE_EST_NUM_ANALYSTS_MONTH" hidden="1">"c16279"</definedName>
    <definedName name="IQ_REVENUE_EST_NUM_ANALYSTS_MONTH_CIQ" hidden="1">"c16603"</definedName>
    <definedName name="IQ_REVENUE_EST_REUT" hidden="1">"c3634"</definedName>
    <definedName name="IQ_REVENUE_EST_THOM" hidden="1">"c3652"</definedName>
    <definedName name="IQ_REVENUE_EST_TOTAL_REVISED_2MONTH" hidden="1">"c16286"</definedName>
    <definedName name="IQ_REVENUE_EST_TOTAL_REVISED_2MONTH_CIQ" hidden="1">"c16610"</definedName>
    <definedName name="IQ_REVENUE_EST_TOTAL_REVISED_3MONTH" hidden="1">"c16290"</definedName>
    <definedName name="IQ_REVENUE_EST_TOTAL_REVISED_3MONTH_CIQ" hidden="1">"c16614"</definedName>
    <definedName name="IQ_REVENUE_EST_TOTAL_REVISED_MONTH" hidden="1">"c16282"</definedName>
    <definedName name="IQ_REVENUE_EST_TOTAL_REVISED_MONTH_CIQ" hidden="1">"c16606"</definedName>
    <definedName name="IQ_REVENUE_EST_UP_2MONTH" hidden="1">"c16284"</definedName>
    <definedName name="IQ_REVENUE_EST_UP_2MONTH_CIQ" hidden="1">"c16608"</definedName>
    <definedName name="IQ_REVENUE_EST_UP_3MONTH" hidden="1">"c16288"</definedName>
    <definedName name="IQ_REVENUE_EST_UP_3MONTH_CIQ" hidden="1">"c16612"</definedName>
    <definedName name="IQ_REVENUE_EST_UP_MONTH" hidden="1">"c16280"</definedName>
    <definedName name="IQ_REVENUE_EST_UP_MONTH_CIQ" hidden="1">"c16604"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39839.3672337963</definedName>
    <definedName name="IQ_REVISION_DATE__1" hidden="1">39125.817037037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 hidden="1">"c13314"</definedName>
    <definedName name="IQ_REVOLVING_SECURED_1_–4_NON_ACCRUAL_FFIEC" hidden="1">"c15565"</definedName>
    <definedName name="IQ_RGU">"c2863"</definedName>
    <definedName name="IQ_RISK_ADJ_BANK_ASSETS" hidden="1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>"c13023"</definedName>
    <definedName name="IQ_SALARIES_OTHER_BENEFITS">"c16176"</definedName>
    <definedName name="IQ_SALARY" hidden="1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>"c12961"</definedName>
    <definedName name="IQ_SALE_PROP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>"c12965"</definedName>
    <definedName name="IQ_SALES_COAL">"c15930"</definedName>
    <definedName name="IQ_SALES_MARKETING" hidden="1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FS_AMORT_COST_FFIEC" hidden="1">"c20492"</definedName>
    <definedName name="IQ_SEC_ISSUED_US_AFS_FAIR_VAL_FFIEC" hidden="1">"c20457"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 hidden="1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 hidden="1">"c1152"</definedName>
    <definedName name="IQ_SECURITY_LEVEL" hidden="1">"c2159"</definedName>
    <definedName name="IQ_SECURITY_NAME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>"c12042"</definedName>
    <definedName name="IQ_SELECTED_FOREIGN_ASSETS_FFIEC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>"c13105"</definedName>
    <definedName name="IQ_SEPARATE_ACCOUNT_LIAB_LH_FFIEC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_PRICE" hidden="1">"c15157"</definedName>
    <definedName name="IQ_SETTLEMENTS_TAX_AUTHORITIES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S_PER_DR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INTEREST_VOLUME" hidden="1">"c228"</definedName>
    <definedName name="IQ_SHORT_POSITIONS_FFIEC">"c12859"</definedName>
    <definedName name="IQ_SHORT_SCORE_DX" hidden="1">"c17439"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>"c13616"</definedName>
    <definedName name="IQ_SP_ISSUE_NSR_ACTION_ST">"c13622"</definedName>
    <definedName name="IQ_SP_ISSUE_NSR_DATE_LT">"c13615"</definedName>
    <definedName name="IQ_SP_ISSUE_NSR_DATE_ST">"c13621"</definedName>
    <definedName name="IQ_SP_ISSUE_NSR_LT">"c13614"</definedName>
    <definedName name="IQ_SP_ISSUE_NSR_ST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>"c13613"</definedName>
    <definedName name="IQ_SP_NSR_ACTION_ST">"c13619"</definedName>
    <definedName name="IQ_SP_NSR_DATE_LT">"c13612"</definedName>
    <definedName name="IQ_SP_NSR_DATE_ST">"c13618"</definedName>
    <definedName name="IQ_SP_NSR_LT">"c13611"</definedName>
    <definedName name="IQ_SP_NSR_ST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>"c13438"</definedName>
    <definedName name="IQ_ST_INVEST_ST_NONCORE_FUNDING_FFIEC">"c13338"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"c16205"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 hidden="1">"c1214"</definedName>
    <definedName name="IQ_SYMBOL_RT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>"c13395"</definedName>
    <definedName name="IQ_TAXES_NOI_FFIEC">"c13394"</definedName>
    <definedName name="IQ_TAXES_TE_AVG_ASSETS_FFIEC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>"c13516"</definedName>
    <definedName name="IQ_TBV_SHARE" hidden="1">"c1217"</definedName>
    <definedName name="IQ_TBV_SHARE_REPORTED">"c19140"</definedName>
    <definedName name="IQ_TELECOM_FFIEC">"c13057"</definedName>
    <definedName name="IQ_TEMPLATE" hidden="1">"c1521"</definedName>
    <definedName name="IQ_TENANT" hidden="1">"c1218"</definedName>
    <definedName name="IQ_TENANT_LEASE_COMMISSION">"c16177"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>"c15241"</definedName>
    <definedName name="IQ_TIME_DEP" hidden="1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 hidden="1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>"c15291"</definedName>
    <definedName name="IQ_TOTAL_CASH_DUE_DEPOSITORY_INSTIT_FFIEC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 hidden="1">"c4196"</definedName>
    <definedName name="IQ_TOTAL_DEBT_HIGH_GUIDANCE_CIQ">"c4608"</definedName>
    <definedName name="IQ_TOTAL_DEBT_HIGH_GUIDANCE_CIQ_COL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 hidden="1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 hidden="1">"c1382"</definedName>
    <definedName name="IQ_TOTAL_INTEREST_EXP_FOREIGN_FFIEC">"c15374"</definedName>
    <definedName name="IQ_TOTAL_INTEREST_INC_FOREIGN_FFIEC">"c15373"</definedName>
    <definedName name="IQ_TOTAL_INVENTORY" hidden="1">"c1385"</definedName>
    <definedName name="IQ_TOTAL_INVEST" hidden="1">"c1275"</definedName>
    <definedName name="IQ_TOTAL_IRA_KEOGH_PLAN_ACCOUNTS_FFIEC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 hidden="1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 hidden="1">"c1617"</definedName>
    <definedName name="IQ_TOTAL_NON_REC" hidden="1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>"c16047"</definedName>
    <definedName name="IQ_TOTAL_OPERATING_REVENUE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>"c15715"</definedName>
    <definedName name="IQ_TOTAL_RE_NOI_AVG_GROSS_PROP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>"c13120"</definedName>
    <definedName name="IQ_TOTAL_RETURN_SWAPS_DERIVATIVES_GUARANTOR_FFIEC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>"c2298"</definedName>
    <definedName name="IQ_TR_SELL_TERM_FEE_PCT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 hidden="1">"c2212"</definedName>
    <definedName name="IQ_TRADING_ITEM_CIQID" hidden="1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 hidden="1">"c1311"</definedName>
    <definedName name="IQ_TREASURY_INVEST_SECURITIES_FFIEC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 hidden="1">"c8783"</definedName>
    <definedName name="IQ_UNCONSOL_NOI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>"c2524"</definedName>
    <definedName name="IQ_UNDRAWN_FHLB">"c2520"</definedName>
    <definedName name="IQ_UNDRAWN_LC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HTM_AMORT_COST_FFIEC" hidden="1">"c20438"</definedName>
    <definedName name="IQ_US_AGENCY_OBLIG_HTM_FAIR_VAL_FFIEC" hidden="1">"c20473"</definedName>
    <definedName name="IQ_US_AGENCY_OBLIG_TRADING_DOM_FFIEC">"c12919"</definedName>
    <definedName name="IQ_US_AGENCY_OBLIG_TRADING_FFIEC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>"c12794"</definedName>
    <definedName name="IQ_US_SPONSORED_AGENCY_OBLIG_FFIEC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>"c15469"</definedName>
    <definedName name="IQ_UST_SECURITIES_GOVT_AGENCY_QUARTERLY_AVG_FFIEC">"c15468"</definedName>
    <definedName name="IQ_UTIL_PPE_NET" hidden="1">"c1620"</definedName>
    <definedName name="IQ_UTIL_REV" hidden="1">"c2091"</definedName>
    <definedName name="IQ_UTILITY_EXPENSE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>"c15249"</definedName>
    <definedName name="IQ_VENTURE_CAPITAL_REVENUE_FFIEC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>"c16203"</definedName>
    <definedName name="IQ_VOICE_SUB_TOTAL_HOMES_PASSED">"c15770"</definedName>
    <definedName name="IQ_VOICE_SUB_VIDEO_SUB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>"YEARHIGH"</definedName>
    <definedName name="IQ_YEARLOW" hidden="1">"c1338"</definedName>
    <definedName name="IQ_YEARLOW_DATE" hidden="1">"c2251"</definedName>
    <definedName name="IQ_YEARLOW_RT">"YEARLOW"</definedName>
    <definedName name="IQ_YIELD_CURVE_LIST" hidden="1">"c19250"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B6" hidden="1">"$B$7:$B$260"</definedName>
    <definedName name="IQRC30" hidden="1">"$C$31:$C$130"</definedName>
    <definedName name="IQRC6" hidden="1">"$C$7:$C$260"</definedName>
    <definedName name="IQRC7" hidden="1">"$C$8:$C$27"</definedName>
    <definedName name="IQRD30" hidden="1">"$D$31:$D$130"</definedName>
    <definedName name="IQRD7" hidden="1">"$D$8:$D$27"</definedName>
    <definedName name="IQRE30" hidden="1">"$E$31:$E$130"</definedName>
    <definedName name="IQRE7" hidden="1">"$E$8:$E$27"</definedName>
    <definedName name="IQRR5" hidden="1">"$R$6:$R$147"</definedName>
    <definedName name="iQShowHideColumns" hidden="1">"iQShowAll"</definedName>
    <definedName name="IRR">#REF!</definedName>
    <definedName name="IRR_10yr">#REF!</definedName>
    <definedName name="IRR_3yr">#REF!</definedName>
    <definedName name="IRR_5yr">#REF!</definedName>
    <definedName name="IRRdetail">#REF!</definedName>
    <definedName name="IRRPP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IRRsummary">#REF!</definedName>
    <definedName name="IsColHidden" hidden="1">FALSE</definedName>
    <definedName name="iser" hidden="1">{"Rent_ChangesTotal",#N/A,FALSE,"Sheet1"}</definedName>
    <definedName name="ishideend" hidden="1">#REF!</definedName>
    <definedName name="ishidestart" hidden="1">#REF!</definedName>
    <definedName name="IsLTMColHidden" hidden="1">FALSE</definedName>
    <definedName name="j" hidden="1">#REF!</definedName>
    <definedName name="j5r6yju" hidden="1">{"Investor",#N/A,FALSE,"Model";"Property",#N/A,FALSE,"Model";"Incentive Taxes",#N/A,FALSE,"Model"}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fza">#REF!</definedName>
    <definedName name="james" hidden="1">{#N/A,#N/A,FALSE,"Consolidated";#N/A,#N/A,FALSE,"Available Credit";#N/A,#N/A,FALSE,"100% Owned";#N/A,#N/A,FALSE,"Bentall U.S. LLC";#N/A,#N/A,FALSE,"Bentall Properties (U.S.) Ltd.";#N/A,#N/A,FALSE,"Schedule I"}</definedName>
    <definedName name="Jan.">#REF!</definedName>
    <definedName name="JaS" hidden="1">{"Assumptions",#N/A,TRUE,"Returns";"Tables",#N/A,TRUE,"Returns"}</definedName>
    <definedName name="jb" hidden="1">{"summary1",#N/A,TRUE,"Comps";"summary2",#N/A,TRUE,"Comps";"summary3",#N/A,TRUE,"Comps"}</definedName>
    <definedName name="jc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jd" hidden="1">{#N/A,#N/A,FALSE,"LoanAssumptions"}</definedName>
    <definedName name="jde">#REF!</definedName>
    <definedName name="jdstryj" hidden="1">{"Investor",#N/A,FALSE,"Model";"Property",#N/A,FALSE,"Model";"Incentive Taxes",#N/A,FALSE,"Model"}</definedName>
    <definedName name="jdtyjs" hidden="1">{"Investor",#N/A,FALSE,"Model";"Property",#N/A,FALSE,"Model";"Incentive Taxes",#N/A,FALSE,"Model"}</definedName>
    <definedName name="Jersey" hidden="1">{0,#N/A,FALSE,0}</definedName>
    <definedName name="jes" hidden="1">{"View1",#N/A,FALSE,"Sheet1";"View2",#N/A,FALSE,"Sheet1"}</definedName>
    <definedName name="jetro">#REF!</definedName>
    <definedName name="jim" hidden="1">#REF!</definedName>
    <definedName name="jimmy" hidden="1">#REF!</definedName>
    <definedName name="jjj" hidden="1">#REF!</definedName>
    <definedName name="jjjjj" hidden="1">#REF!</definedName>
    <definedName name="jjjjjjjjjjjjjjjjjjj" hidden="1">{"AnnualRentRoll",#N/A,FALSE,"RentRoll"}</definedName>
    <definedName name="jjlj" hidden="1">{"scheduleB",#N/A,FALSE,"CTT_CLO"}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kl" hidden="1">{#N/A,#N/A,FALSE,"Chart 2 by Prop Type"}</definedName>
    <definedName name="jklkj" hidden="1">{"Sum1",#N/A,FALSE,"Reserve Report";"Sum2",#N/A,FALSE,"Reserve Report";"Sum3",#N/A,FALSE,"Reserve Report";"Sum4",#N/A,FALSE,"Reserve Report"}</definedName>
    <definedName name="jlkj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jn" hidden="1">{"Data Input",#N/A,TRUE,"Data Input";"10-Yr Cash Flow",#N/A,TRUE,"Cash Flow";"10-Yr Value",#N/A,TRUE,"Value "}</definedName>
    <definedName name="jnm" hidden="1">{"Data Input",#N/A,TRUE,"Data Input";"15-Yr Cash Flow",#N/A,TRUE,"Cash Flow";"15-Yr Value",#N/A,TRUE,"Value "}</definedName>
    <definedName name="jpeg" hidden="1">{"'Assump'!$F$6:$J$6"}</definedName>
    <definedName name="JPICFDIST">#REF!</definedName>
    <definedName name="JPIEQUITY">#REF!</definedName>
    <definedName name="JPIEQUITYA">#REF!</definedName>
    <definedName name="JPIPREFRETURN">#REF!</definedName>
    <definedName name="jrtyhdf" hidden="1">{"Investor",#N/A,FALSE,"Model";"Property",#N/A,FALSE,"Model";"Incentive Taxes",#N/A,FALSE,"Model"}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rj" hidden="1">{"Investor",#N/A,FALSE,"Model";"Property",#N/A,FALSE,"Model";"Incentive Taxes",#N/A,FALSE,"Model"}</definedName>
    <definedName name="jtyt" hidden="1">{"Investor",#N/A,FALSE,"Model";"Property",#N/A,FALSE,"Model";"Incentive Taxes",#N/A,FALSE,"Model"}</definedName>
    <definedName name="Juli">#REF!</definedName>
    <definedName name="julia" hidden="1">#REF!</definedName>
    <definedName name="June" hidden="1">{"three",#N/A,FALSE,"Capital";"four",#N/A,FALSE,"Capital"}</definedName>
    <definedName name="Juni">#REF!</definedName>
    <definedName name="JUNK" hidden="1">{"'Table of Contents'!$A$1"}</definedName>
    <definedName name="Junk_condo" hidden="1">{"SCHEDULE",#N/A,FALSE,"Fin_sched"}</definedName>
    <definedName name="JUNK2" hidden="1">{"SUMMARY",#N/A,FALSE,"Fin_sched"}</definedName>
    <definedName name="JV_PORTFOLIO">#REF!</definedName>
    <definedName name="JVCat">#REF!</definedName>
    <definedName name="JVSource">#REF!</definedName>
    <definedName name="jvterm">#REF!</definedName>
    <definedName name="jz" hidden="1">#REF!</definedName>
    <definedName name="k" hidden="1">{#N/A,#N/A,FALSE,"Chart 2 by Prop Type"}</definedName>
    <definedName name="K2_WBEVMODE" hidden="1">-1</definedName>
    <definedName name="kah" hidden="1">#REF!</definedName>
    <definedName name="KansasIncl.">#REF!</definedName>
    <definedName name="kdjol">#REF!</definedName>
    <definedName name="ke" hidden="1">#REF!</definedName>
    <definedName name="key" hidden="1">#REF!</definedName>
    <definedName name="KeyAnaly_Header" hidden="1">#REF!</definedName>
    <definedName name="Keybank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ju" hidden="1">{#N/A,#N/A,FALSE,"Chart 2 by Prop Type"}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u" hidden="1">{#N/A,#N/A,FALSE,"Chart 2 by Prop Type"}</definedName>
    <definedName name="kj" hidden="1">{#N/A,#N/A,TRUE,"Krycí list"}</definedName>
    <definedName name="kjj" hidden="1">{#N/A,#N/A,TRUE,"Krycí list"}</definedName>
    <definedName name="kjjjjkjhk" hidden="1">{"sheet a",#N/A,FALSE,"A";"sheet b 1",#N/A,FALSE,"B";"sheet b 2",#N/A,FALSE,"B"}</definedName>
    <definedName name="kjkk" hidden="1">{"Sum1",#N/A,FALSE,"Reserve Report";"Sum2",#N/A,FALSE,"Reserve Report";"Sum3",#N/A,FALSE,"Reserve Report";"Sum4",#N/A,FALSE,"Reserve Report"}</definedName>
    <definedName name="kjljl" hidden="1">{"sheet a",#N/A,FALSE,"A";"2 9 casflow",#N/A,FALSE,"B"}</definedName>
    <definedName name="kk" hidden="1">#REF!</definedName>
    <definedName name="kkjjj" hidden="1">{#N/A,#N/A,FALSE,"Common Area Accrual";#N/A,#N/A,FALSE,"Unit One LaSalle";#N/A,#N/A,FALSE,"Unit One CW";#N/A,#N/A,FALSE,"Unit One LaSallle + C &amp; W";#N/A,#N/A,FALSE,"Consolidated Accrual"}</definedName>
    <definedName name="kkk" hidden="1">{#N/A,#N/A,FALSE,"B_Spread"}</definedName>
    <definedName name="kkkk" hidden="1">#REF!</definedName>
    <definedName name="kkkkkkk" hidden="1">{"MonthlyRentRoll",#N/A,FALSE,"RentRoll"}</definedName>
    <definedName name="kkkkkkkkkk" hidden="1">{#N/A,#N/A,FALSE,"Cash Flow";#N/A,#N/A,FALSE,"scenario 1"}</definedName>
    <definedName name="kkkkkkkkkkkkkkkkkkkkk" hidden="1">{"AnnualRentRoll",#N/A,FALSE,"RentRoll"}</definedName>
    <definedName name="kli" hidden="1">{"Total",#N/A,FALSE,"Total Proved";"PDP",#N/A,FALSE,"Total Proved";"PNP",#N/A,FALSE,"Total Proved";"PUD",#N/A,FALSE,"Total Proved"}</definedName>
    <definedName name="klmno" hidden="1">{#N/A,#N/A,FALSE,"Chart 2 by Prop Type"}</definedName>
    <definedName name="ktyk" hidden="1">{"Investor",#N/A,FALSE,"Model";"Property",#N/A,FALSE,"Model";"Incentive Taxes",#N/A,FALSE,"Model"}</definedName>
    <definedName name="ky" hidden="1">#REF!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ActionOptn." hidden="1">1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{#N/A,#N/A,FALSE,"Chart 2 by Prop Type"}</definedName>
    <definedName name="ladd" hidden="1">#REF!</definedName>
    <definedName name="lam" hidden="1">{"2001",#N/A,FALSE,"2001"}</definedName>
    <definedName name="land">#REF!</definedName>
    <definedName name="Land_Area">#REF!</definedName>
    <definedName name="Land_Basis">#REF!</definedName>
    <definedName name="LandCst">#REF!</definedName>
    <definedName name="lank" hidden="1">#REF!</definedName>
    <definedName name="Last_Edit">#REF!</definedName>
    <definedName name="Last_Row">IF(Values_Entered,Header_Row+Number_of_Payments,Header_Row)</definedName>
    <definedName name="LBOCreditConsol" hidden="1">{"FCB_ALL",#N/A,FALSE,"FCB"}</definedName>
    <definedName name="LCyr1">#REF!</definedName>
    <definedName name="LCyr10">#REF!</definedName>
    <definedName name="LCyr11">#REF!</definedName>
    <definedName name="LCyr2">#REF!</definedName>
    <definedName name="LCyr3">#REF!</definedName>
    <definedName name="LCyr4">#REF!</definedName>
    <definedName name="LCyr5">#REF!</definedName>
    <definedName name="LCyr6">#REF!</definedName>
    <definedName name="LCyr7">#REF!</definedName>
    <definedName name="LCyr8">#REF!</definedName>
    <definedName name="LCyr9">#REF!</definedName>
    <definedName name="LeaseComm">#REF!</definedName>
    <definedName name="leased_unit_count">#REF!</definedName>
    <definedName name="leased_unit_rent">#REF!</definedName>
    <definedName name="leased_unit_size">#REF!</definedName>
    <definedName name="leased_unit_type">#REF!</definedName>
    <definedName name="LeaseDetail">#REF!</definedName>
    <definedName name="LeaseType">#REF!</definedName>
    <definedName name="LeaseUp_YN">#REF!</definedName>
    <definedName name="leek" hidden="1">#REF!</definedName>
    <definedName name="len" hidden="1">{"Full Gross to Net",#N/A,TRUE,"GtoN";"R_I Accepted from Group Coys",#N/A,TRUE,"GtoN";"R_I Ceded to Group Coys",#N/A,TRUE,"GtoN";"Closing Loss Reserves and Gross Claims Incurred",#N/A,TRUE,"GtoN"}</definedName>
    <definedName name="LessorPart">#REF!</definedName>
    <definedName name="LETTER">#N/A</definedName>
    <definedName name="lfyu" hidden="1">{"Investor",#N/A,FALSE,"Model";"Property",#N/A,FALSE,"Model";"Incentive Taxes",#N/A,FALSE,"Model"}</definedName>
    <definedName name="LIBOR">#REF!</definedName>
    <definedName name="LIM">#REF!</definedName>
    <definedName name="limcount" hidden="1">1</definedName>
    <definedName name="lincoln">#REF!</definedName>
    <definedName name="LINCSPLIT">#REF!</definedName>
    <definedName name="Line">"_____ "</definedName>
    <definedName name="LinkHistMdbField001001" hidden="1">#REF!</definedName>
    <definedName name="LinkHistMdbField001002" hidden="1">#REF!</definedName>
    <definedName name="LinkHistMdbField001003" hidden="1">#REF!</definedName>
    <definedName name="LinkHistMdbField001004" hidden="1">#REF!</definedName>
    <definedName name="LinkHistMdbField001005" hidden="1">#REF!</definedName>
    <definedName name="LinkHistMdbField001006" hidden="1">#REF!</definedName>
    <definedName name="LinkHistMdbField001007" hidden="1">#REF!</definedName>
    <definedName name="LinkHistMdbField001008" hidden="1">#REF!</definedName>
    <definedName name="LinkHistMdbField001009" hidden="1">#REF!</definedName>
    <definedName name="LinkHistMdbField001010" hidden="1">#REF!</definedName>
    <definedName name="LinkHistMdbField001011" hidden="1">#REF!</definedName>
    <definedName name="LinkHistMdbField001012" hidden="1">#REF!</definedName>
    <definedName name="LinkHistMdbField001013" hidden="1">#REF!</definedName>
    <definedName name="LinkHistMdbField001014" hidden="1">#REF!</definedName>
    <definedName name="LinkHistMdbField001015" hidden="1">#REF!</definedName>
    <definedName name="LinkHistMdbField001016" hidden="1">#REF!</definedName>
    <definedName name="LinkHistMdbField001017" hidden="1">#REF!</definedName>
    <definedName name="LinkHistMdbField001018" hidden="1">#REF!</definedName>
    <definedName name="LinkHistMdbField001019" hidden="1">#REF!</definedName>
    <definedName name="LinkHistMdbField001020" hidden="1">#REF!</definedName>
    <definedName name="LinkHistMdbField001021" hidden="1">#REF!</definedName>
    <definedName name="LinkHistMdbField001022" hidden="1">#REF!</definedName>
    <definedName name="LinkHistMdbField001023" hidden="1">#REF!</definedName>
    <definedName name="LinkHistMdbField001024" hidden="1">#REF!</definedName>
    <definedName name="LinkHistMdbField001025" hidden="1">#REF!</definedName>
    <definedName name="LinkHistMdbField001026" hidden="1">#REF!</definedName>
    <definedName name="LinkHistMdbField001027" hidden="1">#REF!</definedName>
    <definedName name="LinkHistMdbField001028" hidden="1">#REF!</definedName>
    <definedName name="LinkHistMdbField001029" hidden="1">#REF!</definedName>
    <definedName name="LinkHistMdbField001030" hidden="1">#REF!</definedName>
    <definedName name="LinkHistMdbField001031" hidden="1">#REF!</definedName>
    <definedName name="LinkHistMdbField001032" hidden="1">#REF!</definedName>
    <definedName name="LinkHistMdbField001033" hidden="1">#REF!</definedName>
    <definedName name="LinkHistMdbField001034" hidden="1">#REF!</definedName>
    <definedName name="LinkHistMdbField001035" hidden="1">#REF!</definedName>
    <definedName name="LinkHistMdbField001036" hidden="1">#REF!</definedName>
    <definedName name="LinkHistMdbField001037" hidden="1">#REF!</definedName>
    <definedName name="LinkHistMdbField001038" hidden="1">#REF!</definedName>
    <definedName name="LinkHistMdbField001039" hidden="1">#REF!</definedName>
    <definedName name="LinkHistMdbField001040" hidden="1">#REF!</definedName>
    <definedName name="LinkHistMdbField001041" hidden="1">#REF!</definedName>
    <definedName name="LinkHistMdbField001042" hidden="1">#REF!</definedName>
    <definedName name="LinkHistMdbField001043" hidden="1">#REF!</definedName>
    <definedName name="LinkHistMdbField001044" hidden="1">#REF!</definedName>
    <definedName name="LinkHistMdbField001045" hidden="1">#REF!</definedName>
    <definedName name="LinkHistMdbField001046" hidden="1">#REF!</definedName>
    <definedName name="LinkHistMdbField002001" hidden="1">#REF!</definedName>
    <definedName name="LinkHistMdbField002002" hidden="1">#REF!</definedName>
    <definedName name="LinkHistMdbField002003" hidden="1">#REF!</definedName>
    <definedName name="LinkHistMdbField002004" hidden="1">#REF!</definedName>
    <definedName name="LinkHistMdbField002005" hidden="1">#REF!</definedName>
    <definedName name="LinkHistMdbField002006" hidden="1">#REF!</definedName>
    <definedName name="LinkHistMdbField002007" hidden="1">#REF!</definedName>
    <definedName name="LinkHistMdbField002008" hidden="1">#REF!</definedName>
    <definedName name="LinkHistMdbField002009" hidden="1">#REF!</definedName>
    <definedName name="LinkHistMdbField002010" hidden="1">#REF!</definedName>
    <definedName name="LinkHistMdbField002011" hidden="1">#REF!</definedName>
    <definedName name="LinkHistMdbField002012" hidden="1">#REF!</definedName>
    <definedName name="LinkHistMdbField002013" hidden="1">#REF!</definedName>
    <definedName name="LinkHistMdbField002014" hidden="1">#REF!</definedName>
    <definedName name="LinkHistMdbField002015" hidden="1">#REF!</definedName>
    <definedName name="LinkHistMdbField002016" hidden="1">#REF!</definedName>
    <definedName name="LinkHistMdbField002017" hidden="1">#REF!</definedName>
    <definedName name="LinkHistMdbField002018" hidden="1">#REF!</definedName>
    <definedName name="LinkHistMdbField002019" hidden="1">#REF!</definedName>
    <definedName name="LinkHistMdbField002020" hidden="1">#REF!</definedName>
    <definedName name="LinkHistMdbField002021" hidden="1">#REF!</definedName>
    <definedName name="LinkHistMdbField002022" hidden="1">#REF!</definedName>
    <definedName name="LinkHistMdbField002023" hidden="1">#REF!</definedName>
    <definedName name="LinkHistMdbField002024" hidden="1">#REF!</definedName>
    <definedName name="LinkHistMdbField002025" hidden="1">#REF!</definedName>
    <definedName name="LinkHistMdbField002026" hidden="1">#REF!</definedName>
    <definedName name="LinkHistMdbField002027" hidden="1">#REF!</definedName>
    <definedName name="LinkHistMdbField002028" hidden="1">#REF!</definedName>
    <definedName name="LinkHistMdbField002029" hidden="1">#REF!</definedName>
    <definedName name="LinkHistMdbField002030" hidden="1">#REF!</definedName>
    <definedName name="LinkHistMdbField002031" hidden="1">#REF!</definedName>
    <definedName name="LinkHistMdbField002032" hidden="1">#REF!</definedName>
    <definedName name="LinkHistMdbField002033" hidden="1">#REF!</definedName>
    <definedName name="LinkHistMdbField002034" hidden="1">#REF!</definedName>
    <definedName name="LinkHistMdbField002035" hidden="1">#REF!</definedName>
    <definedName name="LinkHistMdbField002036" hidden="1">#REF!</definedName>
    <definedName name="LinkHistMdbField002037" hidden="1">#REF!</definedName>
    <definedName name="LinkHistMdbField002038" hidden="1">#REF!</definedName>
    <definedName name="LinkHistMdbField002039" hidden="1">#REF!</definedName>
    <definedName name="LinkHistMdbField002040" hidden="1">#REF!</definedName>
    <definedName name="LinkHistMdbField002041" hidden="1">#REF!</definedName>
    <definedName name="LinkHistMdbField002042" hidden="1">#REF!</definedName>
    <definedName name="LinkHistMdbField002043" hidden="1">#REF!</definedName>
    <definedName name="LinkHistMdbField002044" hidden="1">#REF!</definedName>
    <definedName name="LinkHistMdbField002045" hidden="1">#REF!</definedName>
    <definedName name="LinkHistMdbField002046" hidden="1">#REF!</definedName>
    <definedName name="LinkHistMdbField003001" hidden="1">#REF!</definedName>
    <definedName name="LinkHistMdbField003002" hidden="1">#REF!</definedName>
    <definedName name="LinkHistMdbField003003" hidden="1">#REF!</definedName>
    <definedName name="LinkHistMdbField003004" hidden="1">#REF!</definedName>
    <definedName name="LinkHistMdbField003005" hidden="1">#REF!</definedName>
    <definedName name="LinkHistMdbField003006" hidden="1">#REF!</definedName>
    <definedName name="LinkHistMdbField003007" hidden="1">#REF!</definedName>
    <definedName name="LinkHistMdbField003008" hidden="1">#REF!</definedName>
    <definedName name="LinkHistMdbField003009" hidden="1">#REF!</definedName>
    <definedName name="LinkHistMdbField003010" hidden="1">#REF!</definedName>
    <definedName name="LinkHistMdbField003011" hidden="1">#REF!</definedName>
    <definedName name="LinkHistMdbField003012" hidden="1">#REF!</definedName>
    <definedName name="LinkHistMdbField003013" hidden="1">#REF!</definedName>
    <definedName name="LinkHistMdbField003014" hidden="1">#REF!</definedName>
    <definedName name="LinkHistMdbField003015" hidden="1">#REF!</definedName>
    <definedName name="LinkHistMdbField003016" hidden="1">#REF!</definedName>
    <definedName name="LinkHistMdbField003017" hidden="1">#REF!</definedName>
    <definedName name="LinkHistMdbField003018" hidden="1">#REF!</definedName>
    <definedName name="LinkHistMdbField003019" hidden="1">#REF!</definedName>
    <definedName name="LinkHistMdbField003020" hidden="1">#REF!</definedName>
    <definedName name="LinkHistMdbField003021" hidden="1">#REF!</definedName>
    <definedName name="LinkHistMdbField003022" hidden="1">#REF!</definedName>
    <definedName name="LinkHistMdbField003023" hidden="1">#REF!</definedName>
    <definedName name="LinkHistMdbField003024" hidden="1">#REF!</definedName>
    <definedName name="LinkHistMdbField003025" hidden="1">#REF!</definedName>
    <definedName name="LinkHistMdbField003026" hidden="1">#REF!</definedName>
    <definedName name="LinkHistMdbField003027" hidden="1">#REF!</definedName>
    <definedName name="LinkHistMdbField003028" hidden="1">#REF!</definedName>
    <definedName name="LinkHistMdbField003029" hidden="1">#REF!</definedName>
    <definedName name="LinkHistMdbField003030" hidden="1">#REF!</definedName>
    <definedName name="LinkHistMdbField003031" hidden="1">#REF!</definedName>
    <definedName name="LinkHistMdbField003032" hidden="1">#REF!</definedName>
    <definedName name="LinkHistMdbField003033" hidden="1">#REF!</definedName>
    <definedName name="LinkHistMdbField003034" hidden="1">#REF!</definedName>
    <definedName name="LinkHistMdbField003035" hidden="1">#REF!</definedName>
    <definedName name="LinkHistMdbField003036" hidden="1">#REF!</definedName>
    <definedName name="LinkHistMdbField003037" hidden="1">#REF!</definedName>
    <definedName name="LinkHistMdbField003038" hidden="1">#REF!</definedName>
    <definedName name="LinkHistMdbField003039" hidden="1">#REF!</definedName>
    <definedName name="LinkHistMdbField003040" hidden="1">#REF!</definedName>
    <definedName name="LinkHistMdbField003041" hidden="1">#REF!</definedName>
    <definedName name="LinkHistMdbField003042" hidden="1">#REF!</definedName>
    <definedName name="LinkHistMdbField003043" hidden="1">#REF!</definedName>
    <definedName name="LinkHistMdbField003044" hidden="1">#REF!</definedName>
    <definedName name="LinkHistMdbField003045" hidden="1">#REF!</definedName>
    <definedName name="LinkHistMdbField003046" hidden="1">#REF!</definedName>
    <definedName name="LinkHistMdbField004001" hidden="1">#REF!</definedName>
    <definedName name="LinkHistMdbField004002" hidden="1">#REF!</definedName>
    <definedName name="LinkHistMdbField004003" hidden="1">#REF!</definedName>
    <definedName name="LinkHistMdbField004004" hidden="1">#REF!</definedName>
    <definedName name="LinkHistMdbField004005" hidden="1">#REF!</definedName>
    <definedName name="LinkHistMdbField004006" hidden="1">#REF!</definedName>
    <definedName name="LinkHistMdbField004007" hidden="1">#REF!</definedName>
    <definedName name="LinkHistMdbField004008" hidden="1">#REF!</definedName>
    <definedName name="LinkHistMdbField004009" hidden="1">#REF!</definedName>
    <definedName name="LinkHistMdbField004010" hidden="1">#REF!</definedName>
    <definedName name="LinkHistMdbField004011" hidden="1">#REF!</definedName>
    <definedName name="LinkHistMdbField004012" hidden="1">#REF!</definedName>
    <definedName name="LinkHistMdbField004013" hidden="1">#REF!</definedName>
    <definedName name="LinkHistMdbField004014" hidden="1">#REF!</definedName>
    <definedName name="LinkHistMdbField004015" hidden="1">#REF!</definedName>
    <definedName name="LinkHistMdbField004016" hidden="1">#REF!</definedName>
    <definedName name="LinkHistMdbField004017" hidden="1">#REF!</definedName>
    <definedName name="LinkHistMdbField004018" hidden="1">#REF!</definedName>
    <definedName name="LinkHistMdbField004019" hidden="1">#REF!</definedName>
    <definedName name="LinkHistMdbField004020" hidden="1">#REF!</definedName>
    <definedName name="LinkHistMdbField004021" hidden="1">#REF!</definedName>
    <definedName name="LinkHistMdbField004022" hidden="1">#REF!</definedName>
    <definedName name="LinkHistMdbField004023" hidden="1">#REF!</definedName>
    <definedName name="LinkHistMdbField004024" hidden="1">#REF!</definedName>
    <definedName name="LinkHistMdbField004025" hidden="1">#REF!</definedName>
    <definedName name="LinkHistMdbField004026" hidden="1">#REF!</definedName>
    <definedName name="LinkHistMdbField004027" hidden="1">#REF!</definedName>
    <definedName name="LinkHistMdbField004028" hidden="1">#REF!</definedName>
    <definedName name="LinkHistMdbField004029" hidden="1">#REF!</definedName>
    <definedName name="LinkHistMdbField004030" hidden="1">#REF!</definedName>
    <definedName name="LinkHistMdbField004031" hidden="1">#REF!</definedName>
    <definedName name="LinkHistMdbField004032" hidden="1">#REF!</definedName>
    <definedName name="LinkHistMdbField004033" hidden="1">#REF!</definedName>
    <definedName name="LinkHistMdbField004034" hidden="1">#REF!</definedName>
    <definedName name="LinkHistMdbField004035" hidden="1">#REF!</definedName>
    <definedName name="LinkHistMdbField004036" hidden="1">#REF!</definedName>
    <definedName name="LinkHistMdbField004037" hidden="1">#REF!</definedName>
    <definedName name="LinkHistMdbField004038" hidden="1">#REF!</definedName>
    <definedName name="LinkHistMdbField004039" hidden="1">#REF!</definedName>
    <definedName name="LinkHistMdbField004040" hidden="1">#REF!</definedName>
    <definedName name="LinkHistMdbField004041" hidden="1">#REF!</definedName>
    <definedName name="LinkHistMdbField004042" hidden="1">#REF!</definedName>
    <definedName name="LinkHistMdbField004043" hidden="1">#REF!</definedName>
    <definedName name="LinkHistMdbField004044" hidden="1">#REF!</definedName>
    <definedName name="LinkHistMdbField004045" hidden="1">#REF!</definedName>
    <definedName name="LinkHistMdbField004046" hidden="1">#REF!</definedName>
    <definedName name="LinkHistMdbField005001" hidden="1">#REF!</definedName>
    <definedName name="LinkHistMdbField005002" hidden="1">#REF!</definedName>
    <definedName name="LinkHistMdbField005003" hidden="1">#REF!</definedName>
    <definedName name="LinkHistMdbField005004" hidden="1">#REF!</definedName>
    <definedName name="LinkHistMdbField005005" hidden="1">#REF!</definedName>
    <definedName name="LinkHistMdbField005006" hidden="1">#REF!</definedName>
    <definedName name="LinkHistMdbField005007" hidden="1">#REF!</definedName>
    <definedName name="LinkHistMdbField005008" hidden="1">#REF!</definedName>
    <definedName name="LinkHistMdbField005009" hidden="1">#REF!</definedName>
    <definedName name="LinkHistMdbField005010" hidden="1">#REF!</definedName>
    <definedName name="LinkHistMdbField005011" hidden="1">#REF!</definedName>
    <definedName name="LinkHistMdbField005012" hidden="1">#REF!</definedName>
    <definedName name="LinkHistMdbField005013" hidden="1">#REF!</definedName>
    <definedName name="LinkHistMdbField005014" hidden="1">#REF!</definedName>
    <definedName name="LinkHistMdbField005015" hidden="1">#REF!</definedName>
    <definedName name="LinkHistMdbField005016" hidden="1">#REF!</definedName>
    <definedName name="LinkHistMdbField005017" hidden="1">#REF!</definedName>
    <definedName name="LinkHistMdbField005018" hidden="1">#REF!</definedName>
    <definedName name="LinkHistMdbField005019" hidden="1">#REF!</definedName>
    <definedName name="LinkHistMdbField005020" hidden="1">#REF!</definedName>
    <definedName name="LinkHistMdbField005021" hidden="1">#REF!</definedName>
    <definedName name="LinkHistMdbField005022" hidden="1">#REF!</definedName>
    <definedName name="LinkHistMdbField005023" hidden="1">#REF!</definedName>
    <definedName name="LinkHistMdbField005024" hidden="1">#REF!</definedName>
    <definedName name="LinkHistMdbField005025" hidden="1">#REF!</definedName>
    <definedName name="LinkHistMdbField005026" hidden="1">#REF!</definedName>
    <definedName name="LinkHistMdbField005027" hidden="1">#REF!</definedName>
    <definedName name="LinkHistMdbField005028" hidden="1">#REF!</definedName>
    <definedName name="LinkHistMdbField005029" hidden="1">#REF!</definedName>
    <definedName name="LinkHistMdbField005030" hidden="1">#REF!</definedName>
    <definedName name="LinkHistMdbField005031" hidden="1">#REF!</definedName>
    <definedName name="LinkHistMdbField005032" hidden="1">#REF!</definedName>
    <definedName name="LinkHistMdbField005033" hidden="1">#REF!</definedName>
    <definedName name="LinkHistMdbField005034" hidden="1">#REF!</definedName>
    <definedName name="LinkHistMdbField005035" hidden="1">#REF!</definedName>
    <definedName name="LinkHistMdbField005036" hidden="1">#REF!</definedName>
    <definedName name="LinkHistMdbField005037" hidden="1">#REF!</definedName>
    <definedName name="LinkHistMdbField005038" hidden="1">#REF!</definedName>
    <definedName name="LinkHistMdbField005039" hidden="1">#REF!</definedName>
    <definedName name="LinkHistMdbField005040" hidden="1">#REF!</definedName>
    <definedName name="LinkHistMdbField005041" hidden="1">#REF!</definedName>
    <definedName name="LinkHistMdbField005042" hidden="1">#REF!</definedName>
    <definedName name="LinkHistMdbField005043" hidden="1">#REF!</definedName>
    <definedName name="LinkHistMdbField005044" hidden="1">#REF!</definedName>
    <definedName name="LinkHistMdbField005045" hidden="1">#REF!</definedName>
    <definedName name="LinkHistMdbField005046" hidden="1">#REF!</definedName>
    <definedName name="LinkHistMdbField0101" hidden="1">#REF!</definedName>
    <definedName name="LinkHistMdbField0102" hidden="1">#REF!</definedName>
    <definedName name="LinkHistMdbField0103" hidden="1">#REF!</definedName>
    <definedName name="LinkHistMdbField0104" hidden="1">#REF!</definedName>
    <definedName name="LinkHistMdbField0105" hidden="1">#REF!</definedName>
    <definedName name="LinkHistMdbField0106" hidden="1">#REF!</definedName>
    <definedName name="LinkHistMdbField0107" hidden="1">#REF!</definedName>
    <definedName name="LinkHistMdbField0108" hidden="1">#REF!</definedName>
    <definedName name="LinkHistMdbField0109" hidden="1">#REF!</definedName>
    <definedName name="LinkHistMdbField0110" hidden="1">#REF!</definedName>
    <definedName name="LinkHistMdbField0111" hidden="1">#REF!</definedName>
    <definedName name="LinkHistMdbField0112" hidden="1">#REF!</definedName>
    <definedName name="LinkHistMdbField0113" hidden="1">#REF!</definedName>
    <definedName name="LinkHistMdbField0114" hidden="1">#REF!</definedName>
    <definedName name="LinkHistMdbField0115" hidden="1">#REF!</definedName>
    <definedName name="LinkHistMdbField0116" hidden="1">#REF!</definedName>
    <definedName name="LinkHistMdbField0117" hidden="1">#REF!</definedName>
    <definedName name="LinkHistMdbField0118" hidden="1">#REF!</definedName>
    <definedName name="LinkHistMdbField0119" hidden="1">#REF!</definedName>
    <definedName name="LinkHistMdbField0120" hidden="1">#REF!</definedName>
    <definedName name="LinkHistMdbField0121" hidden="1">#REF!</definedName>
    <definedName name="LinkHistMdbField0122" hidden="1">#REF!</definedName>
    <definedName name="LinkHistMdbField0123" hidden="1">#REF!</definedName>
    <definedName name="LinkHistMdbField0124" hidden="1">#REF!</definedName>
    <definedName name="LinkHistMdbField0125" hidden="1">#REF!</definedName>
    <definedName name="LinkHistMdbField0126" hidden="1">#REF!</definedName>
    <definedName name="LinkHistMdbField0127" hidden="1">#REF!</definedName>
    <definedName name="LinkHistMdbField0128" hidden="1">#REF!</definedName>
    <definedName name="LinkHistMdbField0129" hidden="1">#REF!</definedName>
    <definedName name="LinkHistMdbField0130" hidden="1">#REF!</definedName>
    <definedName name="LinkHistMdbField0131" hidden="1">#REF!</definedName>
    <definedName name="LinkHistMdbField0132" hidden="1">#REF!</definedName>
    <definedName name="LinkHistMdbField0133" hidden="1">#REF!</definedName>
    <definedName name="LinkHistMdbField0134" hidden="1">#REF!</definedName>
    <definedName name="LinkHistMdbField0135" hidden="1">#REF!</definedName>
    <definedName name="LinkHistMdbField0136" hidden="1">#REF!</definedName>
    <definedName name="LinkHistMdbField0137" hidden="1">#REF!</definedName>
    <definedName name="LinkHistMdbField0138" hidden="1">#REF!</definedName>
    <definedName name="LinkHistMdbField0139" hidden="1">#REF!</definedName>
    <definedName name="LinkHistMdbField0140" hidden="1">#REF!</definedName>
    <definedName name="LinkHistMdbField0141" hidden="1">#REF!</definedName>
    <definedName name="LinkHistMdbField0142" hidden="1">#REF!</definedName>
    <definedName name="LinkHistMdbField0143" hidden="1">#REF!</definedName>
    <definedName name="LinkHistMdbField0144" hidden="1">#REF!</definedName>
    <definedName name="LinkHistMdbField0145" hidden="1">#REF!</definedName>
    <definedName name="LinkHistMdbField0146" hidden="1">#REF!</definedName>
    <definedName name="LinkHistMdbField0201" hidden="1">#REF!</definedName>
    <definedName name="LinkHistMdbField0202" hidden="1">#REF!</definedName>
    <definedName name="LinkHistMdbField0203" hidden="1">#REF!</definedName>
    <definedName name="LinkHistMdbField0204" hidden="1">#REF!</definedName>
    <definedName name="LinkHistMdbField0205" hidden="1">#REF!</definedName>
    <definedName name="LinkHistMdbField0206" hidden="1">#REF!</definedName>
    <definedName name="LinkHistMdbField0207" hidden="1">#REF!</definedName>
    <definedName name="LinkHistMdbField0208" hidden="1">#REF!</definedName>
    <definedName name="LinkHistMdbField0209" hidden="1">#REF!</definedName>
    <definedName name="LinkHistMdbField0210" hidden="1">#REF!</definedName>
    <definedName name="LinkHistMdbField0211" hidden="1">#REF!</definedName>
    <definedName name="LinkHistMdbField0212" hidden="1">#REF!</definedName>
    <definedName name="LinkHistMdbField0213" hidden="1">#REF!</definedName>
    <definedName name="LinkHistMdbField0214" hidden="1">#REF!</definedName>
    <definedName name="LinkHistMdbField0215" hidden="1">#REF!</definedName>
    <definedName name="LinkHistMdbField0216" hidden="1">#REF!</definedName>
    <definedName name="LinkHistMdbField0217" hidden="1">#REF!</definedName>
    <definedName name="LinkHistMdbField0218" hidden="1">#REF!</definedName>
    <definedName name="LinkHistMdbField0219" hidden="1">#REF!</definedName>
    <definedName name="LinkHistMdbField0220" hidden="1">#REF!</definedName>
    <definedName name="LinkHistMdbField0221" hidden="1">#REF!</definedName>
    <definedName name="LinkHistMdbField0222" hidden="1">#REF!</definedName>
    <definedName name="LinkHistMdbField0223" hidden="1">#REF!</definedName>
    <definedName name="LinkHistMdbField0224" hidden="1">#REF!</definedName>
    <definedName name="LinkHistMdbField0225" hidden="1">#REF!</definedName>
    <definedName name="LinkHistMdbField0226" hidden="1">#REF!</definedName>
    <definedName name="LinkHistMdbField0227" hidden="1">#REF!</definedName>
    <definedName name="LinkHistMdbField0228" hidden="1">#REF!</definedName>
    <definedName name="LinkHistMdbField0229" hidden="1">#REF!</definedName>
    <definedName name="LinkHistMdbField0230" hidden="1">#REF!</definedName>
    <definedName name="LinkHistMdbField0231" hidden="1">#REF!</definedName>
    <definedName name="LinkHistMdbField0232" hidden="1">#REF!</definedName>
    <definedName name="LinkHistMdbField0233" hidden="1">#REF!</definedName>
    <definedName name="LinkHistMdbField0234" hidden="1">#REF!</definedName>
    <definedName name="LinkHistMdbField0235" hidden="1">#REF!</definedName>
    <definedName name="LinkHistMdbField0236" hidden="1">#REF!</definedName>
    <definedName name="LinkHistMdbField0237" hidden="1">#REF!</definedName>
    <definedName name="LinkHistMdbField0238" hidden="1">#REF!</definedName>
    <definedName name="LinkHistMdbField0239" hidden="1">#REF!</definedName>
    <definedName name="LinkHistMdbField0240" hidden="1">#REF!</definedName>
    <definedName name="LinkHistMdbField0241" hidden="1">#REF!</definedName>
    <definedName name="LinkHistMdbField0242" hidden="1">#REF!</definedName>
    <definedName name="LinkHistMdbField0243" hidden="1">#REF!</definedName>
    <definedName name="LinkHistMdbField0244" hidden="1">#REF!</definedName>
    <definedName name="LinkHistMdbField0245" hidden="1">#REF!</definedName>
    <definedName name="LinkHistMdbField0246" hidden="1">#REF!</definedName>
    <definedName name="LinkHistMdbField0301" hidden="1">#REF!</definedName>
    <definedName name="LinkHistMdbField0302" hidden="1">#REF!</definedName>
    <definedName name="LinkHistMdbField0303" hidden="1">#REF!</definedName>
    <definedName name="LinkHistMdbField0304" hidden="1">#REF!</definedName>
    <definedName name="LinkHistMdbField0305" hidden="1">#REF!</definedName>
    <definedName name="LinkHistMdbField0306" hidden="1">#REF!</definedName>
    <definedName name="LinkHistMdbField0307" hidden="1">#REF!</definedName>
    <definedName name="LinkHistMdbField0308" hidden="1">#REF!</definedName>
    <definedName name="LinkHistMdbField0309" hidden="1">#REF!</definedName>
    <definedName name="LinkHistMdbField0310" hidden="1">#REF!</definedName>
    <definedName name="LinkHistMdbField0311" hidden="1">#REF!</definedName>
    <definedName name="LinkHistMdbField0312" hidden="1">#REF!</definedName>
    <definedName name="LinkHistMdbField0313" hidden="1">#REF!</definedName>
    <definedName name="LinkHistMdbField0314" hidden="1">#REF!</definedName>
    <definedName name="LinkHistMdbField0315" hidden="1">#REF!</definedName>
    <definedName name="LinkHistMdbField0316" hidden="1">#REF!</definedName>
    <definedName name="LinkHistMdbField0317" hidden="1">#REF!</definedName>
    <definedName name="LinkHistMdbField0318" hidden="1">#REF!</definedName>
    <definedName name="LinkHistMdbField0319" hidden="1">#REF!</definedName>
    <definedName name="LinkHistMdbField0320" hidden="1">#REF!</definedName>
    <definedName name="LinkHistMdbField0321" hidden="1">#REF!</definedName>
    <definedName name="LinkHistMdbField0322" hidden="1">#REF!</definedName>
    <definedName name="LinkHistMdbField0323" hidden="1">#REF!</definedName>
    <definedName name="LinkHistMdbField0324" hidden="1">#REF!</definedName>
    <definedName name="LinkHistMdbField0325" hidden="1">#REF!</definedName>
    <definedName name="LinkHistMdbField0326" hidden="1">#REF!</definedName>
    <definedName name="LinkHistMdbField0327" hidden="1">#REF!</definedName>
    <definedName name="LinkHistMdbField0328" hidden="1">#REF!</definedName>
    <definedName name="LinkHistMdbField0329" hidden="1">#REF!</definedName>
    <definedName name="LinkHistMdbField0330" hidden="1">#REF!</definedName>
    <definedName name="LinkHistMdbField0331" hidden="1">#REF!</definedName>
    <definedName name="LinkHistMdbField0332" hidden="1">#REF!</definedName>
    <definedName name="LinkHistMdbField0333" hidden="1">#REF!</definedName>
    <definedName name="LinkHistMdbField0334" hidden="1">#REF!</definedName>
    <definedName name="LinkHistMdbField0335" hidden="1">#REF!</definedName>
    <definedName name="LinkHistMdbField0336" hidden="1">#REF!</definedName>
    <definedName name="LinkHistMdbField0337" hidden="1">#REF!</definedName>
    <definedName name="LinkHistMdbField0338" hidden="1">#REF!</definedName>
    <definedName name="LinkHistMdbField0339" hidden="1">#REF!</definedName>
    <definedName name="LinkHistMdbField0340" hidden="1">#REF!</definedName>
    <definedName name="LinkHistMdbField0341" hidden="1">#REF!</definedName>
    <definedName name="LinkHistMdbField0342" hidden="1">#REF!</definedName>
    <definedName name="LinkHistMdbField0343" hidden="1">#REF!</definedName>
    <definedName name="LinkHistMdbField0344" hidden="1">#REF!</definedName>
    <definedName name="LinkHistMdbField0345" hidden="1">#REF!</definedName>
    <definedName name="LinkHistMdbField0346" hidden="1">#REF!</definedName>
    <definedName name="LinkHistMdbField0401" hidden="1">#REF!</definedName>
    <definedName name="LinkHistMdbField0402" hidden="1">#REF!</definedName>
    <definedName name="LinkHistMdbField0403" hidden="1">#REF!</definedName>
    <definedName name="LinkHistMdbField0404" hidden="1">#REF!</definedName>
    <definedName name="LinkHistMdbField0405" hidden="1">#REF!</definedName>
    <definedName name="LinkHistMdbField0406" hidden="1">#REF!</definedName>
    <definedName name="LinkHistMdbField0407" hidden="1">#REF!</definedName>
    <definedName name="LinkHistMdbField0408" hidden="1">#REF!</definedName>
    <definedName name="LinkHistMdbField0409" hidden="1">#REF!</definedName>
    <definedName name="LinkHistMdbField0410" hidden="1">#REF!</definedName>
    <definedName name="LinkHistMdbField0411" hidden="1">#REF!</definedName>
    <definedName name="LinkHistMdbField0412" hidden="1">#REF!</definedName>
    <definedName name="LinkHistMdbField0413" hidden="1">#REF!</definedName>
    <definedName name="LinkHistMdbField0414" hidden="1">#REF!</definedName>
    <definedName name="LinkHistMdbField0415" hidden="1">#REF!</definedName>
    <definedName name="LinkHistMdbField0416" hidden="1">#REF!</definedName>
    <definedName name="LinkHistMdbField0417" hidden="1">#REF!</definedName>
    <definedName name="LinkHistMdbField0418" hidden="1">#REF!</definedName>
    <definedName name="LinkHistMdbField0419" hidden="1">#REF!</definedName>
    <definedName name="LinkHistMdbField0420" hidden="1">#REF!</definedName>
    <definedName name="LinkHistMdbField0421" hidden="1">#REF!</definedName>
    <definedName name="LinkHistMdbField0422" hidden="1">#REF!</definedName>
    <definedName name="LinkHistMdbField0423" hidden="1">#REF!</definedName>
    <definedName name="LinkHistMdbField0424" hidden="1">#REF!</definedName>
    <definedName name="LinkHistMdbField0425" hidden="1">#REF!</definedName>
    <definedName name="LinkHistMdbField0426" hidden="1">#REF!</definedName>
    <definedName name="LinkHistMdbField0427" hidden="1">#REF!</definedName>
    <definedName name="LinkHistMdbField0428" hidden="1">#REF!</definedName>
    <definedName name="LinkHistMdbField0429" hidden="1">#REF!</definedName>
    <definedName name="LinkHistMdbField0430" hidden="1">#REF!</definedName>
    <definedName name="LinkHistMdbField0431" hidden="1">#REF!</definedName>
    <definedName name="LinkHistMdbField0432" hidden="1">#REF!</definedName>
    <definedName name="LinkHistMdbField0433" hidden="1">#REF!</definedName>
    <definedName name="LinkHistMdbField0434" hidden="1">#REF!</definedName>
    <definedName name="LinkHistMdbField0435" hidden="1">#REF!</definedName>
    <definedName name="LinkHistMdbField0436" hidden="1">#REF!</definedName>
    <definedName name="LinkHistMdbField0437" hidden="1">#REF!</definedName>
    <definedName name="LinkHistMdbField0438" hidden="1">#REF!</definedName>
    <definedName name="LinkHistMdbField0439" hidden="1">#REF!</definedName>
    <definedName name="LinkHistMdbField0440" hidden="1">#REF!</definedName>
    <definedName name="LinkHistMdbField0441" hidden="1">#REF!</definedName>
    <definedName name="LinkHistMdbField0442" hidden="1">#REF!</definedName>
    <definedName name="LinkHistMdbField0443" hidden="1">#REF!</definedName>
    <definedName name="LinkHistMdbField0444" hidden="1">#REF!</definedName>
    <definedName name="LinkHistMdbField0445" hidden="1">#REF!</definedName>
    <definedName name="LinkHistMdbField0446" hidden="1">#REF!</definedName>
    <definedName name="LinkHistMdbField0501" hidden="1">#REF!</definedName>
    <definedName name="LinkHistMdbField0502" hidden="1">#REF!</definedName>
    <definedName name="LinkHistMdbField0503" hidden="1">#REF!</definedName>
    <definedName name="LinkHistMdbField0504" hidden="1">#REF!</definedName>
    <definedName name="LinkHistMdbField0505" hidden="1">#REF!</definedName>
    <definedName name="LinkHistMdbField0506" hidden="1">#REF!</definedName>
    <definedName name="LinkHistMdbField0507" hidden="1">#REF!</definedName>
    <definedName name="LinkHistMdbField0508" hidden="1">#REF!</definedName>
    <definedName name="LinkHistMdbField0509" hidden="1">#REF!</definedName>
    <definedName name="LinkHistMdbField0510" hidden="1">#REF!</definedName>
    <definedName name="LinkHistMdbField0511" hidden="1">#REF!</definedName>
    <definedName name="LinkHistMdbField0512" hidden="1">#REF!</definedName>
    <definedName name="LinkHistMdbField0513" hidden="1">#REF!</definedName>
    <definedName name="LinkHistMdbField0514" hidden="1">#REF!</definedName>
    <definedName name="LinkHistMdbField0515" hidden="1">#REF!</definedName>
    <definedName name="LinkHistMdbField0516" hidden="1">#REF!</definedName>
    <definedName name="LinkHistMdbField0517" hidden="1">#REF!</definedName>
    <definedName name="LinkHistMdbField0518" hidden="1">#REF!</definedName>
    <definedName name="LinkHistMdbField0519" hidden="1">#REF!</definedName>
    <definedName name="LinkHistMdbField0520" hidden="1">#REF!</definedName>
    <definedName name="LinkHistMdbField0521" hidden="1">#REF!</definedName>
    <definedName name="LinkHistMdbField0522" hidden="1">#REF!</definedName>
    <definedName name="LinkHistMdbField0523" hidden="1">#REF!</definedName>
    <definedName name="LinkHistMdbField0524" hidden="1">#REF!</definedName>
    <definedName name="LinkHistMdbField0525" hidden="1">#REF!</definedName>
    <definedName name="LinkHistMdbField0526" hidden="1">#REF!</definedName>
    <definedName name="LinkHistMdbField0527" hidden="1">#REF!</definedName>
    <definedName name="LinkHistMdbField0528" hidden="1">#REF!</definedName>
    <definedName name="LinkHistMdbField0529" hidden="1">#REF!</definedName>
    <definedName name="LinkHistMdbField0530" hidden="1">#REF!</definedName>
    <definedName name="LinkHistMdbField0531" hidden="1">#REF!</definedName>
    <definedName name="LinkHistMdbField0532" hidden="1">#REF!</definedName>
    <definedName name="LinkHistMdbField0533" hidden="1">#REF!</definedName>
    <definedName name="LinkHistMdbField0534" hidden="1">#REF!</definedName>
    <definedName name="LinkHistMdbField0535" hidden="1">#REF!</definedName>
    <definedName name="LinkHistMdbField0536" hidden="1">#REF!</definedName>
    <definedName name="LinkHistMdbField0537" hidden="1">#REF!</definedName>
    <definedName name="LinkHistMdbField0538" hidden="1">#REF!</definedName>
    <definedName name="LinkHistMdbField0539" hidden="1">#REF!</definedName>
    <definedName name="LinkHistMdbField0540" hidden="1">#REF!</definedName>
    <definedName name="LinkHistMdbField0541" hidden="1">#REF!</definedName>
    <definedName name="LinkHistMdbField0542" hidden="1">#REF!</definedName>
    <definedName name="LinkHistMdbField0543" hidden="1">#REF!</definedName>
    <definedName name="LinkHistMdbField0544" hidden="1">#REF!</definedName>
    <definedName name="LinkHistMdbField0545" hidden="1">#REF!</definedName>
    <definedName name="LinkHistMdbField0546" hidden="1">#REF!</definedName>
    <definedName name="LinkMdbField001001" hidden="1">#REF!</definedName>
    <definedName name="LinkMdbField001002" hidden="1">#REF!</definedName>
    <definedName name="LinkMdbField001003" hidden="1">#REF!</definedName>
    <definedName name="LinkMdbField001004" hidden="1">#REF!</definedName>
    <definedName name="LinkMdbField001005" hidden="1">#REF!</definedName>
    <definedName name="LinkMdbField001006" hidden="1">#REF!</definedName>
    <definedName name="LinkMdbField001007" hidden="1">#REF!</definedName>
    <definedName name="LinkMdbField001008" hidden="1">#REF!</definedName>
    <definedName name="LinkMdbField001009" hidden="1">#REF!</definedName>
    <definedName name="LinkMdbField001010" hidden="1">#REF!</definedName>
    <definedName name="LinkMdbField001011" hidden="1">#REF!</definedName>
    <definedName name="LinkMdbField001012" hidden="1">#REF!</definedName>
    <definedName name="LinkMdbField001013" hidden="1">#REF!</definedName>
    <definedName name="LinkMdbField001014" hidden="1">#REF!</definedName>
    <definedName name="LinkMdbField001015" hidden="1">#REF!</definedName>
    <definedName name="LinkMdbField001016" hidden="1">#REF!</definedName>
    <definedName name="LinkMdbField001017" hidden="1">#REF!</definedName>
    <definedName name="LinkMdbField001018" hidden="1">#REF!</definedName>
    <definedName name="LinkMdbField001019" hidden="1">#REF!</definedName>
    <definedName name="LinkMdbField001020" hidden="1">#REF!</definedName>
    <definedName name="LinkMdbField001021" hidden="1">#REF!</definedName>
    <definedName name="LinkMdbField001022" hidden="1">#REF!</definedName>
    <definedName name="LinkMdbField001023" hidden="1">#REF!</definedName>
    <definedName name="LinkMdbField001024" hidden="1">#REF!</definedName>
    <definedName name="LinkMdbField001025" hidden="1">#REF!</definedName>
    <definedName name="LinkMdbField001026" hidden="1">#REF!</definedName>
    <definedName name="LinkMdbField001027" hidden="1">#REF!</definedName>
    <definedName name="LinkMdbField001028" hidden="1">#REF!</definedName>
    <definedName name="LinkMdbField001029" hidden="1">#REF!</definedName>
    <definedName name="LinkMdbField001030" hidden="1">#REF!</definedName>
    <definedName name="LinkMdbField001031" hidden="1">#REF!</definedName>
    <definedName name="LinkMdbField001032" hidden="1">#REF!</definedName>
    <definedName name="LinkMdbField001033" hidden="1">#REF!</definedName>
    <definedName name="LinkMdbField001034" hidden="1">#REF!</definedName>
    <definedName name="LinkMdbField001035" hidden="1">#REF!</definedName>
    <definedName name="LinkMdbField001036" hidden="1">#REF!</definedName>
    <definedName name="LinkMdbField001037" hidden="1">#REF!</definedName>
    <definedName name="LinkMdbField001038" hidden="1">#REF!</definedName>
    <definedName name="LinkMdbField001039" hidden="1">#REF!</definedName>
    <definedName name="LinkMdbField001040" hidden="1">#REF!</definedName>
    <definedName name="LinkMdbField001041" hidden="1">#REF!</definedName>
    <definedName name="LinkMdbField001042" hidden="1">#REF!</definedName>
    <definedName name="LinkMdbField001043" hidden="1">#REF!</definedName>
    <definedName name="LinkMdbField001044" hidden="1">#REF!</definedName>
    <definedName name="LinkMdbField001045" hidden="1">#REF!</definedName>
    <definedName name="LinkMdbField001046" hidden="1">#REF!</definedName>
    <definedName name="LinkMdbField001047" hidden="1">#REF!</definedName>
    <definedName name="LinkMdbField001048" hidden="1">#REF!</definedName>
    <definedName name="LinkMdbField001049" hidden="1">#REF!</definedName>
    <definedName name="LinkMdbField001050" hidden="1">#REF!</definedName>
    <definedName name="LinkMdbField001051" hidden="1">#REF!</definedName>
    <definedName name="LinkMdbField001052" hidden="1">#REF!</definedName>
    <definedName name="LinkMdbField001053" hidden="1">#REF!</definedName>
    <definedName name="LinkMdbField001054" hidden="1">#REF!</definedName>
    <definedName name="LinkMdbField001055" hidden="1">#REF!</definedName>
    <definedName name="LinkMdbField001056" hidden="1">#REF!</definedName>
    <definedName name="LinkMdbField001057" hidden="1">#REF!</definedName>
    <definedName name="LinkMdbField001058" hidden="1">#REF!</definedName>
    <definedName name="LinkMdbField001059" hidden="1">#REF!</definedName>
    <definedName name="LinkMdbField001060" hidden="1">#REF!</definedName>
    <definedName name="LinkMdbField001061" hidden="1">#REF!</definedName>
    <definedName name="LinkMdbField001062" hidden="1">#REF!</definedName>
    <definedName name="LinkMdbField001063" hidden="1">#REF!</definedName>
    <definedName name="LinkMdbField001064" hidden="1">#REF!</definedName>
    <definedName name="LinkMdbField001065" hidden="1">#REF!</definedName>
    <definedName name="LinkMdbField001066" hidden="1">#REF!</definedName>
    <definedName name="LinkMdbField001067" hidden="1">#REF!</definedName>
    <definedName name="LinkMdbField001068" hidden="1">#REF!</definedName>
    <definedName name="LinkMdbField001069" hidden="1">#REF!</definedName>
    <definedName name="LinkMdbField001070" hidden="1">#REF!</definedName>
    <definedName name="LinkMdbField001071" hidden="1">#REF!</definedName>
    <definedName name="LinkMdbField001072" hidden="1">#REF!</definedName>
    <definedName name="LinkMdbField001073" hidden="1">#REF!</definedName>
    <definedName name="LinkMdbField001074" hidden="1">#REF!</definedName>
    <definedName name="LinkMdbField001075" hidden="1">#REF!</definedName>
    <definedName name="LinkMdbField001076" hidden="1">#REF!</definedName>
    <definedName name="LinkMdbField001077" hidden="1">#REF!</definedName>
    <definedName name="LinkMdbField001078" hidden="1">#REF!</definedName>
    <definedName name="LinkMdbField001079" hidden="1">#REF!</definedName>
    <definedName name="LinkMdbField001080" hidden="1">#REF!</definedName>
    <definedName name="LinkMdbField001081" hidden="1">#REF!</definedName>
    <definedName name="LinkMdbField001082" hidden="1">#REF!</definedName>
    <definedName name="LinkMdbField001083" hidden="1">#REF!</definedName>
    <definedName name="LinkMdbField001084" hidden="1">#REF!</definedName>
    <definedName name="LinkMdbField001085" hidden="1">#REF!</definedName>
    <definedName name="LinkMdbField001086" hidden="1">#REF!</definedName>
    <definedName name="LinkMdbField001087" hidden="1">#REF!</definedName>
    <definedName name="LinkMdbField001088" hidden="1">#REF!</definedName>
    <definedName name="LinkMdbField001089" hidden="1">#REF!</definedName>
    <definedName name="LinkMdbField001090" hidden="1">#REF!</definedName>
    <definedName name="LinkMdbField001091" hidden="1">#REF!</definedName>
    <definedName name="LinkMdbField001092" hidden="1">#REF!</definedName>
    <definedName name="LinkMdbField001093" hidden="1">#REF!</definedName>
    <definedName name="LinkMdbField001094" hidden="1">#REF!</definedName>
    <definedName name="LinkMdbField001095" hidden="1">#REF!</definedName>
    <definedName name="LinkMdbField001096" hidden="1">#REF!</definedName>
    <definedName name="LinkMdbField001097" hidden="1">#REF!</definedName>
    <definedName name="LinkMdbField001098" hidden="1">#REF!</definedName>
    <definedName name="LinkMdbField001099" hidden="1">#REF!</definedName>
    <definedName name="LinkMdbField001100" hidden="1">#REF!</definedName>
    <definedName name="LinkMdbField001101" hidden="1">#REF!</definedName>
    <definedName name="LinkMdbField001102" hidden="1">#REF!</definedName>
    <definedName name="LinkMdbField001103" hidden="1">#REF!</definedName>
    <definedName name="LinkMdbField001104" hidden="1">#REF!</definedName>
    <definedName name="LinkMdbField001105" hidden="1">#REF!</definedName>
    <definedName name="LinkMdbField001106" hidden="1">#REF!</definedName>
    <definedName name="LinkMdbField001107" hidden="1">#REF!</definedName>
    <definedName name="LinkMdbField001108" hidden="1">#REF!</definedName>
    <definedName name="LinkMdbField001109" hidden="1">#REF!</definedName>
    <definedName name="LinkMdbField001110" hidden="1">#REF!</definedName>
    <definedName name="LinkMdbField001111" hidden="1">#REF!</definedName>
    <definedName name="LinkMdbField001112" hidden="1">#REF!</definedName>
    <definedName name="LinkMdbField001113" hidden="1">#REF!</definedName>
    <definedName name="LinkMdbField001114" hidden="1">#REF!</definedName>
    <definedName name="LinkMdbField001115" hidden="1">#REF!</definedName>
    <definedName name="LinkMdbField001116" hidden="1">#REF!</definedName>
    <definedName name="LinkMdbField001117" hidden="1">#REF!</definedName>
    <definedName name="LinkMdbField001118" hidden="1">#REF!</definedName>
    <definedName name="LinkMdbField001119" hidden="1">#REF!</definedName>
    <definedName name="LinkMdbField001120" hidden="1">#REF!</definedName>
    <definedName name="LinkMdbField001121" hidden="1">#REF!</definedName>
    <definedName name="LinkMdbField001122" hidden="1">#REF!</definedName>
    <definedName name="LinkMdbField001123" hidden="1">#REF!</definedName>
    <definedName name="LinkMdbField001124" hidden="1">#REF!</definedName>
    <definedName name="LinkMdbField001125" hidden="1">#REF!</definedName>
    <definedName name="LinkMdbField001126" hidden="1">#REF!</definedName>
    <definedName name="LinkMdbField001127" hidden="1">#REF!</definedName>
    <definedName name="LinkMdbField001128" hidden="1">#REF!</definedName>
    <definedName name="LinkMdbField001129" hidden="1">#REF!</definedName>
    <definedName name="LinkMdbField001130" hidden="1">#REF!</definedName>
    <definedName name="LinkMdbField001131" hidden="1">#REF!</definedName>
    <definedName name="LinkMdbField001132" hidden="1">#REF!</definedName>
    <definedName name="LinkMdbField001133" hidden="1">#REF!</definedName>
    <definedName name="LinkMdbField001134" hidden="1">#REF!</definedName>
    <definedName name="LinkMdbField001135" hidden="1">#REF!</definedName>
    <definedName name="LinkMdbField001136" hidden="1">#REF!</definedName>
    <definedName name="LinkMdbField001137" hidden="1">#REF!</definedName>
    <definedName name="LinkMdbField001138" hidden="1">#REF!</definedName>
    <definedName name="LinkMdbField001139" hidden="1">#REF!</definedName>
    <definedName name="LinkMdbField001140" hidden="1">#REF!</definedName>
    <definedName name="LinkMdbField001141" hidden="1">#REF!</definedName>
    <definedName name="LinkMdbField001142" hidden="1">#REF!</definedName>
    <definedName name="LinkMdbField001143" hidden="1">#REF!</definedName>
    <definedName name="LinkMdbField001144" hidden="1">#REF!</definedName>
    <definedName name="LinkMdbField001145" hidden="1">#REF!</definedName>
    <definedName name="LinkMdbField001146" hidden="1">#REF!</definedName>
    <definedName name="LinkMdbField001147" hidden="1">#REF!</definedName>
    <definedName name="LinkMdbField001148" hidden="1">#REF!</definedName>
    <definedName name="LinkMdbField001149" hidden="1">#REF!</definedName>
    <definedName name="LinkMdbField001150" hidden="1">#REF!</definedName>
    <definedName name="LinkMdbField001151" hidden="1">#REF!</definedName>
    <definedName name="LinkMdbField001152" hidden="1">#REF!</definedName>
    <definedName name="LinkMdbField001153" hidden="1">#REF!</definedName>
    <definedName name="LinkMdbField001154" hidden="1">#REF!</definedName>
    <definedName name="LinkMdbField001155" hidden="1">#REF!</definedName>
    <definedName name="LinkMdbField001156" hidden="1">#REF!</definedName>
    <definedName name="LinkMdbField001157" hidden="1">#REF!</definedName>
    <definedName name="LinkMdbField001158" hidden="1">#REF!</definedName>
    <definedName name="LinkMdbField001159" hidden="1">#REF!</definedName>
    <definedName name="LinkMdbField001160" hidden="1">#REF!</definedName>
    <definedName name="LinkMdbField001161" hidden="1">#REF!</definedName>
    <definedName name="LinkMdbField001162" hidden="1">#REF!</definedName>
    <definedName name="LinkMdbField001163" hidden="1">#REF!</definedName>
    <definedName name="LinkMdbField001164" hidden="1">#REF!</definedName>
    <definedName name="LinkMdbField001165" hidden="1">#REF!</definedName>
    <definedName name="LinkMdbField001166" hidden="1">#REF!</definedName>
    <definedName name="LinkMdbField001167" hidden="1">#REF!</definedName>
    <definedName name="LinkMdbField001168" hidden="1">#REF!</definedName>
    <definedName name="LinkMdbField001169" hidden="1">#REF!</definedName>
    <definedName name="LinkMdbField001170" hidden="1">#REF!</definedName>
    <definedName name="LinkMdbField001171" hidden="1">#REF!</definedName>
    <definedName name="LinkMdbField001172" hidden="1">#REF!</definedName>
    <definedName name="LinkMdbField001173" hidden="1">#REF!</definedName>
    <definedName name="LinkMdbField001174" hidden="1">#REF!</definedName>
    <definedName name="LinkMdbField001175" hidden="1">#REF!</definedName>
    <definedName name="LinkMdbField001176" hidden="1">#REF!</definedName>
    <definedName name="LinkMdbField001177" hidden="1">#REF!</definedName>
    <definedName name="LinkMdbField001178" hidden="1">#REF!</definedName>
    <definedName name="LinkMdbField001179" hidden="1">#REF!</definedName>
    <definedName name="LinkMdbField001180" hidden="1">#REF!</definedName>
    <definedName name="LinkMdbField001181" hidden="1">#REF!</definedName>
    <definedName name="LinkMdbField001182" hidden="1">#REF!</definedName>
    <definedName name="LinkMdbField001183" hidden="1">#REF!</definedName>
    <definedName name="LinkMdbField001184" hidden="1">#REF!</definedName>
    <definedName name="LinkMdbField001185" hidden="1">#REF!</definedName>
    <definedName name="LinkMdbField001186" hidden="1">#REF!</definedName>
    <definedName name="LinkMdbField001187" hidden="1">#REF!</definedName>
    <definedName name="LinkMdbField001188" hidden="1">#REF!</definedName>
    <definedName name="LinkMdbField001189" hidden="1">#REF!</definedName>
    <definedName name="LinkMdbField001190" hidden="1">#REF!</definedName>
    <definedName name="LinkMdbField001191" hidden="1">#REF!</definedName>
    <definedName name="LinkMdbField001192" hidden="1">#REF!</definedName>
    <definedName name="LinkMdbField001193" hidden="1">#REF!</definedName>
    <definedName name="LinkMdbField001194" hidden="1">#REF!</definedName>
    <definedName name="LinkMdbField001195" hidden="1">#REF!</definedName>
    <definedName name="LinkMdbField001196" hidden="1">#REF!</definedName>
    <definedName name="LinkMdbField001197" hidden="1">#REF!</definedName>
    <definedName name="LinkMdbField001198" hidden="1">#REF!</definedName>
    <definedName name="LinkMdbField001199" hidden="1">#REF!</definedName>
    <definedName name="LinkMdbField001200" hidden="1">#REF!</definedName>
    <definedName name="LinkMdbField001201" hidden="1">#REF!</definedName>
    <definedName name="LinkMdbField001202" hidden="1">#REF!</definedName>
    <definedName name="LinkMdbField001203" hidden="1">#REF!</definedName>
    <definedName name="LinkMdbField001204" hidden="1">#REF!</definedName>
    <definedName name="LinkMdbField001205" hidden="1">#REF!</definedName>
    <definedName name="LinkMdbField001206" hidden="1">#REF!</definedName>
    <definedName name="LinkMdbField001207" hidden="1">#REF!</definedName>
    <definedName name="LinkMdbField001208" hidden="1">#REF!</definedName>
    <definedName name="LinkMdbField001209" hidden="1">#REF!</definedName>
    <definedName name="LinkMdbField001210" hidden="1">#REF!</definedName>
    <definedName name="LinkMdbField001211" hidden="1">#REF!</definedName>
    <definedName name="LinkMdbField001212" hidden="1">#REF!</definedName>
    <definedName name="LinkMdbField001213" hidden="1">#REF!</definedName>
    <definedName name="LinkMdbField001214" hidden="1">#REF!</definedName>
    <definedName name="LinkMdbField001215" hidden="1">#REF!</definedName>
    <definedName name="LinkMdbField001216" hidden="1">#REF!</definedName>
    <definedName name="LinkMdbField001217" hidden="1">#REF!</definedName>
    <definedName name="LinkMdbField001218" hidden="1">#REF!</definedName>
    <definedName name="LinkMdbField001219" hidden="1">#REF!</definedName>
    <definedName name="LinkMdbField001220" hidden="1">#REF!</definedName>
    <definedName name="LinkMdbField001221" hidden="1">#REF!</definedName>
    <definedName name="LinkMdbField001222" hidden="1">#REF!</definedName>
    <definedName name="LinkMdbField001223" hidden="1">#REF!</definedName>
    <definedName name="LinkMdbField001224" hidden="1">#REF!</definedName>
    <definedName name="LinkMdbField001225" hidden="1">#REF!</definedName>
    <definedName name="LinkMdbField001226" hidden="1">#REF!</definedName>
    <definedName name="LinkMdbField001227" hidden="1">#REF!</definedName>
    <definedName name="LinkMdbField001228" hidden="1">#REF!</definedName>
    <definedName name="LinkMdbField001229" hidden="1">#REF!</definedName>
    <definedName name="LinkMdbField001230" hidden="1">#REF!</definedName>
    <definedName name="LinkMdbField001231" hidden="1">#REF!</definedName>
    <definedName name="LinkMdbField0101" hidden="1">#REF!</definedName>
    <definedName name="LinkMdbField0102" hidden="1">#REF!</definedName>
    <definedName name="LinkMdbField0103" hidden="1">#REF!</definedName>
    <definedName name="LinkMdbField0104" hidden="1">#REF!</definedName>
    <definedName name="LinkMdbField0105" hidden="1">#REF!</definedName>
    <definedName name="LinkMdbField0106" hidden="1">#REF!</definedName>
    <definedName name="LinkMdbField0107" hidden="1">#REF!</definedName>
    <definedName name="LinkMdbField0108" hidden="1">#REF!</definedName>
    <definedName name="LinkMdbField0109" hidden="1">#REF!</definedName>
    <definedName name="LinkMdbField0110" hidden="1">#REF!</definedName>
    <definedName name="LinkMdbField01100" hidden="1">#REF!</definedName>
    <definedName name="LinkMdbField01101" hidden="1">#REF!</definedName>
    <definedName name="LinkMdbField01102" hidden="1">#REF!</definedName>
    <definedName name="LinkMdbField01103" hidden="1">#REF!</definedName>
    <definedName name="LinkMdbField01104" hidden="1">#REF!</definedName>
    <definedName name="LinkMdbField01105" hidden="1">#REF!</definedName>
    <definedName name="LinkMdbField01106" hidden="1">#REF!</definedName>
    <definedName name="LinkMdbField01107" hidden="1">#REF!</definedName>
    <definedName name="LinkMdbField01108" hidden="1">#REF!</definedName>
    <definedName name="LinkMdbField01109" hidden="1">#REF!</definedName>
    <definedName name="LinkMdbField0111" hidden="1">#REF!</definedName>
    <definedName name="LinkMdbField01110" hidden="1">#REF!</definedName>
    <definedName name="LinkMdbField01111" hidden="1">#REF!</definedName>
    <definedName name="LinkMdbField01112" hidden="1">#REF!</definedName>
    <definedName name="LinkMdbField01113" hidden="1">#REF!</definedName>
    <definedName name="LinkMdbField01114" hidden="1">#REF!</definedName>
    <definedName name="LinkMdbField01115" hidden="1">#REF!</definedName>
    <definedName name="LinkMdbField01116" hidden="1">#REF!</definedName>
    <definedName name="LinkMdbField01117" hidden="1">#REF!</definedName>
    <definedName name="LinkMdbField01118" hidden="1">#REF!</definedName>
    <definedName name="LinkMdbField01119" hidden="1">#REF!</definedName>
    <definedName name="LinkMdbField0112" hidden="1">#REF!</definedName>
    <definedName name="LinkMdbField01120" hidden="1">#REF!</definedName>
    <definedName name="LinkMdbField01121" hidden="1">#REF!</definedName>
    <definedName name="LinkMdbField01122" hidden="1">#REF!</definedName>
    <definedName name="LinkMdbField01123" hidden="1">#REF!</definedName>
    <definedName name="LinkMdbField01124" hidden="1">#REF!</definedName>
    <definedName name="LinkMdbField01125" hidden="1">#REF!</definedName>
    <definedName name="LinkMdbField01126" hidden="1">#REF!</definedName>
    <definedName name="LinkMdbField01127" hidden="1">#REF!</definedName>
    <definedName name="LinkMdbField01128" hidden="1">#REF!</definedName>
    <definedName name="LinkMdbField01129" hidden="1">#REF!</definedName>
    <definedName name="LinkMdbField0113" hidden="1">#REF!</definedName>
    <definedName name="LinkMdbField01130" hidden="1">#REF!</definedName>
    <definedName name="LinkMdbField01131" hidden="1">#REF!</definedName>
    <definedName name="LinkMdbField01132" hidden="1">#REF!</definedName>
    <definedName name="LinkMdbField01133" hidden="1">#REF!</definedName>
    <definedName name="LinkMdbField01134" hidden="1">#REF!</definedName>
    <definedName name="LinkMdbField01135" hidden="1">#REF!</definedName>
    <definedName name="LinkMdbField01136" hidden="1">#REF!</definedName>
    <definedName name="LinkMdbField01137" hidden="1">#REF!</definedName>
    <definedName name="LinkMdbField01138" hidden="1">#REF!</definedName>
    <definedName name="LinkMdbField01139" hidden="1">#REF!</definedName>
    <definedName name="LinkMdbField0114" hidden="1">#REF!</definedName>
    <definedName name="LinkMdbField01140" hidden="1">#REF!</definedName>
    <definedName name="LinkMdbField01141" hidden="1">#REF!</definedName>
    <definedName name="LinkMdbField01142" hidden="1">#REF!</definedName>
    <definedName name="LinkMdbField01143" hidden="1">#REF!</definedName>
    <definedName name="LinkMdbField01144" hidden="1">#REF!</definedName>
    <definedName name="LinkMdbField01145" hidden="1">#REF!</definedName>
    <definedName name="LinkMdbField01146" hidden="1">#REF!</definedName>
    <definedName name="LinkMdbField01147" hidden="1">#REF!</definedName>
    <definedName name="LinkMdbField01148" hidden="1">#REF!</definedName>
    <definedName name="LinkMdbField01149" hidden="1">#REF!</definedName>
    <definedName name="LinkMdbField0115" hidden="1">#REF!</definedName>
    <definedName name="LinkMdbField01150" hidden="1">#REF!</definedName>
    <definedName name="LinkMdbField01151" hidden="1">#REF!</definedName>
    <definedName name="LinkMdbField01152" hidden="1">#REF!</definedName>
    <definedName name="LinkMdbField01153" hidden="1">#REF!</definedName>
    <definedName name="LinkMdbField01154" hidden="1">#REF!</definedName>
    <definedName name="LinkMdbField01155" hidden="1">#REF!</definedName>
    <definedName name="LinkMdbField01156" hidden="1">#REF!</definedName>
    <definedName name="LinkMdbField01157" hidden="1">#REF!</definedName>
    <definedName name="LinkMdbField01158" hidden="1">#REF!</definedName>
    <definedName name="LinkMdbField01159" hidden="1">#REF!</definedName>
    <definedName name="LinkMdbField0116" hidden="1">#REF!</definedName>
    <definedName name="LinkMdbField01160" hidden="1">#REF!</definedName>
    <definedName name="LinkMdbField01161" hidden="1">#REF!</definedName>
    <definedName name="LinkMdbField01162" hidden="1">#REF!</definedName>
    <definedName name="LinkMdbField01163" hidden="1">#REF!</definedName>
    <definedName name="LinkMdbField01164" hidden="1">#REF!</definedName>
    <definedName name="LinkMdbField01165" hidden="1">#REF!</definedName>
    <definedName name="LinkMdbField01166" hidden="1">#REF!</definedName>
    <definedName name="LinkMdbField01167" hidden="1">#REF!</definedName>
    <definedName name="LinkMdbField01168" hidden="1">#REF!</definedName>
    <definedName name="LinkMdbField01169" hidden="1">#REF!</definedName>
    <definedName name="LinkMdbField0117" hidden="1">#REF!</definedName>
    <definedName name="LinkMdbField01170" hidden="1">#REF!</definedName>
    <definedName name="LinkMdbField01171" hidden="1">#REF!</definedName>
    <definedName name="LinkMdbField01172" hidden="1">#REF!</definedName>
    <definedName name="LinkMdbField01173" hidden="1">#REF!</definedName>
    <definedName name="LinkMdbField01174" hidden="1">#REF!</definedName>
    <definedName name="LinkMdbField01175" hidden="1">#REF!</definedName>
    <definedName name="LinkMdbField01176" hidden="1">#REF!</definedName>
    <definedName name="LinkMdbField01177" hidden="1">#REF!</definedName>
    <definedName name="LinkMdbField01178" hidden="1">#REF!</definedName>
    <definedName name="LinkMdbField01179" hidden="1">#REF!</definedName>
    <definedName name="LinkMdbField0118" hidden="1">#REF!</definedName>
    <definedName name="LinkMdbField01180" hidden="1">#REF!</definedName>
    <definedName name="LinkMdbField01181" hidden="1">#REF!</definedName>
    <definedName name="LinkMdbField01182" hidden="1">#REF!</definedName>
    <definedName name="LinkMdbField01183" hidden="1">#REF!</definedName>
    <definedName name="LinkMdbField01184" hidden="1">#REF!</definedName>
    <definedName name="LinkMdbField01185" hidden="1">#REF!</definedName>
    <definedName name="LinkMdbField01186" hidden="1">#REF!</definedName>
    <definedName name="LinkMdbField01187" hidden="1">#REF!</definedName>
    <definedName name="LinkMdbField01188" hidden="1">#REF!</definedName>
    <definedName name="LinkMdbField01189" hidden="1">#REF!</definedName>
    <definedName name="LinkMdbField0119" hidden="1">#REF!</definedName>
    <definedName name="LinkMdbField01190" hidden="1">#REF!</definedName>
    <definedName name="LinkMdbField01191" hidden="1">#REF!</definedName>
    <definedName name="LinkMdbField01192" hidden="1">#REF!</definedName>
    <definedName name="LinkMdbField01193" hidden="1">#REF!</definedName>
    <definedName name="LinkMdbField01194" hidden="1">#REF!</definedName>
    <definedName name="LinkMdbField01195" hidden="1">#REF!</definedName>
    <definedName name="LinkMdbField01196" hidden="1">#REF!</definedName>
    <definedName name="LinkMdbField01197" hidden="1">#REF!</definedName>
    <definedName name="LinkMdbField01198" hidden="1">#REF!</definedName>
    <definedName name="LinkMdbField01199" hidden="1">#REF!</definedName>
    <definedName name="LinkMdbField0120" hidden="1">#REF!</definedName>
    <definedName name="LinkMdbField01200" hidden="1">#REF!</definedName>
    <definedName name="LinkMdbField01201" hidden="1">#REF!</definedName>
    <definedName name="LinkMdbField01202" hidden="1">#REF!</definedName>
    <definedName name="LinkMdbField01203" hidden="1">#REF!</definedName>
    <definedName name="LinkMdbField01204" hidden="1">#REF!</definedName>
    <definedName name="LinkMdbField01205" hidden="1">#REF!</definedName>
    <definedName name="LinkMdbField01206" hidden="1">#REF!</definedName>
    <definedName name="LinkMdbField01207" hidden="1">#REF!</definedName>
    <definedName name="LinkMdbField01208" hidden="1">#REF!</definedName>
    <definedName name="LinkMdbField01209" hidden="1">#REF!</definedName>
    <definedName name="LinkMdbField0121" hidden="1">#REF!</definedName>
    <definedName name="LinkMdbField01210" hidden="1">#REF!</definedName>
    <definedName name="LinkMdbField01211" hidden="1">#REF!</definedName>
    <definedName name="LinkMdbField01212" hidden="1">#REF!</definedName>
    <definedName name="LinkMdbField01213" hidden="1">#REF!</definedName>
    <definedName name="LinkMdbField01214" hidden="1">#REF!</definedName>
    <definedName name="LinkMdbField01215" hidden="1">#REF!</definedName>
    <definedName name="LinkMdbField01216" hidden="1">#REF!</definedName>
    <definedName name="LinkMdbField01217" hidden="1">#REF!</definedName>
    <definedName name="LinkMdbField01218" hidden="1">#REF!</definedName>
    <definedName name="LinkMdbField01219" hidden="1">#REF!</definedName>
    <definedName name="LinkMdbField0122" hidden="1">#REF!</definedName>
    <definedName name="LinkMdbField01220" hidden="1">#REF!</definedName>
    <definedName name="LinkMdbField01221" hidden="1">#REF!</definedName>
    <definedName name="LinkMdbField01222" hidden="1">#REF!</definedName>
    <definedName name="LinkMdbField01223" hidden="1">#REF!</definedName>
    <definedName name="LinkMdbField01224" hidden="1">#REF!</definedName>
    <definedName name="LinkMdbField01225" hidden="1">#REF!</definedName>
    <definedName name="LinkMdbField01226" hidden="1">#REF!</definedName>
    <definedName name="LinkMdbField01227" hidden="1">#REF!</definedName>
    <definedName name="LinkMdbField01228" hidden="1">#REF!</definedName>
    <definedName name="LinkMdbField01229" hidden="1">#REF!</definedName>
    <definedName name="LinkMdbField0123" hidden="1">#REF!</definedName>
    <definedName name="LinkMdbField01230" hidden="1">#REF!</definedName>
    <definedName name="LinkMdbField01231" hidden="1">#REF!</definedName>
    <definedName name="LinkMdbField0124" hidden="1">#REF!</definedName>
    <definedName name="LinkMdbField0125" hidden="1">#REF!</definedName>
    <definedName name="LinkMdbField0126" hidden="1">#REF!</definedName>
    <definedName name="LinkMdbField0127" hidden="1">#REF!</definedName>
    <definedName name="LinkMdbField0128" hidden="1">#REF!</definedName>
    <definedName name="LinkMdbField0129" hidden="1">#REF!</definedName>
    <definedName name="LinkMdbField0130" hidden="1">#REF!</definedName>
    <definedName name="LinkMdbField0131" hidden="1">#REF!</definedName>
    <definedName name="LinkMdbField0132" hidden="1">#REF!</definedName>
    <definedName name="LinkMdbField0133" hidden="1">#REF!</definedName>
    <definedName name="LinkMdbField0134" hidden="1">#REF!</definedName>
    <definedName name="LinkMdbField0135" hidden="1">#REF!</definedName>
    <definedName name="LinkMdbField0136" hidden="1">#REF!</definedName>
    <definedName name="LinkMdbField0137" hidden="1">#REF!</definedName>
    <definedName name="LinkMdbField0138" hidden="1">#REF!</definedName>
    <definedName name="LinkMdbField0139" hidden="1">#REF!</definedName>
    <definedName name="LinkMdbField0140" hidden="1">#REF!</definedName>
    <definedName name="LinkMdbField0141" hidden="1">#REF!</definedName>
    <definedName name="LinkMdbField0142" hidden="1">#REF!</definedName>
    <definedName name="LinkMdbField0143" hidden="1">#REF!</definedName>
    <definedName name="LinkMdbField0144" hidden="1">#REF!</definedName>
    <definedName name="LinkMdbField0145" hidden="1">#REF!</definedName>
    <definedName name="LinkMdbField0146" hidden="1">#REF!</definedName>
    <definedName name="LinkMdbField0147" hidden="1">#REF!</definedName>
    <definedName name="LinkMdbField0148" hidden="1">#REF!</definedName>
    <definedName name="LinkMdbField0149" hidden="1">#REF!</definedName>
    <definedName name="LinkMdbField0150" hidden="1">#REF!</definedName>
    <definedName name="LinkMdbField0151" hidden="1">#REF!</definedName>
    <definedName name="LinkMdbField0152" hidden="1">#REF!</definedName>
    <definedName name="LinkMdbField0153" hidden="1">#REF!</definedName>
    <definedName name="LinkMdbField0154" hidden="1">#REF!</definedName>
    <definedName name="LinkMdbField0155" hidden="1">#REF!</definedName>
    <definedName name="LinkMdbField0156" hidden="1">#REF!</definedName>
    <definedName name="LinkMdbField0157" hidden="1">#REF!</definedName>
    <definedName name="LinkMdbField0158" hidden="1">#REF!</definedName>
    <definedName name="LinkMdbField0159" hidden="1">#REF!</definedName>
    <definedName name="LinkMdbField0160" hidden="1">#REF!</definedName>
    <definedName name="LinkMdbField0161" hidden="1">#REF!</definedName>
    <definedName name="LinkMdbField0162" hidden="1">#REF!</definedName>
    <definedName name="LinkMdbField0163" hidden="1">#REF!</definedName>
    <definedName name="LinkMdbField0164" hidden="1">#REF!</definedName>
    <definedName name="LinkMdbField0165" hidden="1">#REF!</definedName>
    <definedName name="LinkMdbField0166" hidden="1">#REF!</definedName>
    <definedName name="LinkMdbField0167" hidden="1">#REF!</definedName>
    <definedName name="LinkMdbField0168" hidden="1">#REF!</definedName>
    <definedName name="LinkMdbField0169" hidden="1">#REF!</definedName>
    <definedName name="LinkMdbField0170" hidden="1">#REF!</definedName>
    <definedName name="LinkMdbField0171" hidden="1">#REF!</definedName>
    <definedName name="LinkMdbField0172" hidden="1">#REF!</definedName>
    <definedName name="LinkMdbField0173" hidden="1">#REF!</definedName>
    <definedName name="LinkMdbField0174" hidden="1">#REF!</definedName>
    <definedName name="LinkMdbField0175" hidden="1">#REF!</definedName>
    <definedName name="LinkMdbField0176" hidden="1">#REF!</definedName>
    <definedName name="LinkMdbField0177" hidden="1">#REF!</definedName>
    <definedName name="LinkMdbField0178" hidden="1">#REF!</definedName>
    <definedName name="LinkMdbField0179" hidden="1">#REF!</definedName>
    <definedName name="LinkMdbField0180" hidden="1">#REF!</definedName>
    <definedName name="LinkMdbField0181" hidden="1">#REF!</definedName>
    <definedName name="LinkMdbField0182" hidden="1">#REF!</definedName>
    <definedName name="LinkMdbField0183" hidden="1">#REF!</definedName>
    <definedName name="LinkMdbField0184" hidden="1">#REF!</definedName>
    <definedName name="LinkMdbField0185" hidden="1">#REF!</definedName>
    <definedName name="LinkMdbField0186" hidden="1">#REF!</definedName>
    <definedName name="LinkMdbField0187" hidden="1">#REF!</definedName>
    <definedName name="LinkMdbField0188" hidden="1">#REF!</definedName>
    <definedName name="LinkMdbField0189" hidden="1">#REF!</definedName>
    <definedName name="LinkMdbField0190" hidden="1">#REF!</definedName>
    <definedName name="LinkMdbField0191" hidden="1">#REF!</definedName>
    <definedName name="LinkMdbField0192" hidden="1">#REF!</definedName>
    <definedName name="LinkMdbField0193" hidden="1">#REF!</definedName>
    <definedName name="LinkMdbField0194" hidden="1">#REF!</definedName>
    <definedName name="LinkMdbField0195" hidden="1">#REF!</definedName>
    <definedName name="LinkMdbField0196" hidden="1">#REF!</definedName>
    <definedName name="LinkMdbField0197" hidden="1">#REF!</definedName>
    <definedName name="LinkMdbField0198" hidden="1">#REF!</definedName>
    <definedName name="LinkMdbField0199" hidden="1">#REF!</definedName>
    <definedName name="lisa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lisa2" hidden="1">{"View1",#N/A,FALSE,"Sheet1";"View2",#N/A,FALSE,"Sheet1"}</definedName>
    <definedName name="lisa3" hidden="1">{"View1",#N/A,FALSE,"Sheet1";"View2",#N/A,FALSE,"Sheet1"}</definedName>
    <definedName name="List">#REF!</definedName>
    <definedName name="List.Category.CapexRecoverable">#REF!</definedName>
    <definedName name="List.Category.ConstructionPeriodInterest">#REF!</definedName>
    <definedName name="List.Category.DevelopmentContingency">#REF!</definedName>
    <definedName name="List.Category.DevelopmentFee">#REF!</definedName>
    <definedName name="List.Category.Expenses">#REF!</definedName>
    <definedName name="List.Category.ExtraordinaryEvents">#REF!</definedName>
    <definedName name="List.Category.HardCosts">#REF!</definedName>
    <definedName name="List.Category.Land">#REF!</definedName>
    <definedName name="List.Category.LeasingCommissions">#REF!</definedName>
    <definedName name="List.Category.NonRecoverable">#REF!</definedName>
    <definedName name="List.Category.PursuitExpenses">#REF!</definedName>
    <definedName name="List.Category.SoftCosts">#REF!</definedName>
    <definedName name="List.Category.TenantImprovements">#REF!</definedName>
    <definedName name="List.Category.TIMakeReady">#REF!</definedName>
    <definedName name="List.CategoryIDName">#REF!</definedName>
    <definedName name="List_AUS">#REF!</definedName>
    <definedName name="List_BLT">#REF!</definedName>
    <definedName name="List_CAMNonrecov">#REF!</definedName>
    <definedName name="List_CAMRecovNonrecur">#REF!</definedName>
    <definedName name="List_CAMRecovRecur">#REF!</definedName>
    <definedName name="List_CategoryCapital">#REF!</definedName>
    <definedName name="List_CategoryExpense">#REF!</definedName>
    <definedName name="List_CHH">#REF!</definedName>
    <definedName name="List_CHI">#REF!</definedName>
    <definedName name="List_DFW">#REF!</definedName>
    <definedName name="List_Electrical">#REF!</definedName>
    <definedName name="List_ELP">#REF!</definedName>
    <definedName name="List_FireSystems">#REF!</definedName>
    <definedName name="List_HOU">#REF!</definedName>
    <definedName name="List_IEE">#REF!</definedName>
    <definedName name="List_IEW">#REF!</definedName>
    <definedName name="List_Insurance">#REF!</definedName>
    <definedName name="List_JRZ">#REF!</definedName>
    <definedName name="List_LAX">#REF!</definedName>
    <definedName name="List_Leasing">#REF!</definedName>
    <definedName name="List_LRD">#REF!</definedName>
    <definedName name="List_Makeready">#REF!</definedName>
    <definedName name="List_MCA">#REF!</definedName>
    <definedName name="List_Mechanical">#REF!</definedName>
    <definedName name="List_MEP">#REF!</definedName>
    <definedName name="List_MgmtFees">#REF!</definedName>
    <definedName name="List_NCA">#REF!</definedName>
    <definedName name="List_Other">#REF!</definedName>
    <definedName name="List_Paint">#REF!</definedName>
    <definedName name="List_ParkingLot">#REF!</definedName>
    <definedName name="List_PaymentTiming">#REF!</definedName>
    <definedName name="List_PHX">#REF!</definedName>
    <definedName name="List_PropID">#REF!</definedName>
    <definedName name="List_Recoverable">#REF!</definedName>
    <definedName name="List_Recurring">#REF!</definedName>
    <definedName name="List_REY">#REF!</definedName>
    <definedName name="List_Roof">#REF!</definedName>
    <definedName name="List_SAT">#REF!</definedName>
    <definedName name="List_SLC">#REF!</definedName>
    <definedName name="List_Taxes">#REF!</definedName>
    <definedName name="List_TIJ">#REF!</definedName>
    <definedName name="List_TiltWalls">#REF!</definedName>
    <definedName name="List_TruckCourt">#REF!</definedName>
    <definedName name="List_Units">#REF!</definedName>
    <definedName name="List_Utilities">#REF!</definedName>
    <definedName name="ListOffset" hidden="1">9</definedName>
    <definedName name="ListSheetsMacroButton">#REF!</definedName>
    <definedName name="LiveIndex">#REF!</definedName>
    <definedName name="ljl" hidden="1">{#N/A,#N/A,FALSE,"Expense Detail ";#N/A,#N/A,FALSE,"Worksheet";#N/A,#N/A,FALSE,"Audit";#N/A,#N/A,FALSE,"Exclusions";#N/A,#N/A,FALSE,"Variance";#N/A,#N/A,FALSE,"Reconciliation"}</definedName>
    <definedName name="ll" hidden="1">#REF!</definedName>
    <definedName name="LLL" hidden="1">#REF!</definedName>
    <definedName name="lllll" hidden="1">{"sheet a",#N/A,FALSE,"A";"sheet b 1",#N/A,FALSE,"B";"sheet b 2",#N/A,FALSE,"B"}</definedName>
    <definedName name="llllllllllllllllllllllllllllll" hidden="1">{#N/A,#N/A,FALSE,"LP Exp";#N/A,#N/A,FALSE,"Salary";#N/A,#N/A,FALSE,"Admin Exp";#N/A,#N/A,FALSE,"QTS Bud";#N/A,#N/A,FALSE,"Marketing"}</definedName>
    <definedName name="lmo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LOADCHOICE">#REF!</definedName>
    <definedName name="LOADRESULT">#REF!</definedName>
    <definedName name="LOAN">#REF!</definedName>
    <definedName name="Loan_Amount">#REF!</definedName>
    <definedName name="Loan_Start">#REF!</definedName>
    <definedName name="Loan_Term">#REF!</definedName>
    <definedName name="Loan_Years">#REF!</definedName>
    <definedName name="Loan1_Amt">#REF!</definedName>
    <definedName name="Loan1_FDate">#REF!</definedName>
    <definedName name="Loan1_IntRate">#REF!</definedName>
    <definedName name="Loan1_Points">#REF!</definedName>
    <definedName name="Loan2_FDate">#REF!</definedName>
    <definedName name="Loan3_FDate">#REF!</definedName>
    <definedName name="Loan3_Name">#REF!</definedName>
    <definedName name="Loan3_PMO">#REF!</definedName>
    <definedName name="LoanAmnt">#REF!</definedName>
    <definedName name="LoanAmnt2">#REF!</definedName>
    <definedName name="LoanBal">#REF!</definedName>
    <definedName name="loanPAYMENTtable">#REF!</definedName>
    <definedName name="Location">#REF!</definedName>
    <definedName name="Locations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okback">#REF!</definedName>
    <definedName name="Losses" hidden="1">{"TAB 1",#N/A,FALSE,"1";"tab 2",#N/A,FALSE,"2";"TAB 3",#N/A,FALSE,"3";"tab 4",#N/A,FALSE,"4";"tab 5",#N/A,FALSE,"5";"tab 6",#N/A,FALSE,"6";"tab 7",#N/A,FALSE,"7";"TAB 8",#N/A,FALSE,"8"}</definedName>
    <definedName name="lot">#REF!</definedName>
    <definedName name="Louvers" hidden="1">{#N/A,#N/A,TRUE,"Ericsson Stadium PCD ";#N/A,#N/A,TRUE,"Ericsson Stadium IOR"}</definedName>
    <definedName name="Louversa" hidden="1">{#N/A,#N/A,TRUE,"Ericsson Stadium PCD ";#N/A,#N/A,TRUE,"Ericsson Stadium IOR"}</definedName>
    <definedName name="LS_Delinq">#REF!</definedName>
    <definedName name="LS_Repos">#REF!</definedName>
    <definedName name="Lse_Term">#REF!</definedName>
    <definedName name="LTC">#REF!</definedName>
    <definedName name="ltm_BalanceSheet" hidden="1">#REF!</definedName>
    <definedName name="ltm_IncomeStatement" hidden="1">#REF!</definedName>
    <definedName name="ltmnonasset1" hidden="1">#REF!</definedName>
    <definedName name="ltmnonliab1" hidden="1">#REF!</definedName>
    <definedName name="LTV">#REF!</definedName>
    <definedName name="lu" hidden="1">{"'Directory'!$A$72:$E$91"}</definedName>
    <definedName name="LY">#REF!</definedName>
    <definedName name="m">#REF!</definedName>
    <definedName name="M_PlaceofPath" hidden="1">"\\SNYCEQT0100\HOME\DANDERS\COMPANY\IGT\IGT_VDF.xls"</definedName>
    <definedName name="Mai">#REF!</definedName>
    <definedName name="MAN_INPUT">#REF!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ket">#REF!</definedName>
    <definedName name="market1" hidden="1">{"Zone1",#N/A,FALSE,"Parameters";"Zone2",#N/A,FALSE,"Parameters"}</definedName>
    <definedName name="MarketRentPSF">#REF!</definedName>
    <definedName name="marnwcty" hidden="1">#REF!</definedName>
    <definedName name="marrevtwo" hidden="1">#REF!</definedName>
    <definedName name="MarshR">#REF!</definedName>
    <definedName name="MarshU">#REF!</definedName>
    <definedName name="martyrange" hidden="1">#REF!</definedName>
    <definedName name="martyrangeone" hidden="1">#REF!</definedName>
    <definedName name="März">#REF!</definedName>
    <definedName name="matrices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matricies" hidden="1">{#N/A,#N/A,FALSE,"matx B4 DS";#N/A,#N/A,FALSE,"matx B4 DS Hac";#N/A,#N/A,FALSE,"matx B4 DS Chabot";#N/A,#N/A,FALSE,"matx B4 DS Diablo"}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urity">#REF!</definedName>
    <definedName name="Max_Incr">#REF!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dmult" hidden="1">#REF!</definedName>
    <definedName name="meg" hidden="1">#REF!</definedName>
    <definedName name="men" hidden="1">{"Error Report",#N/A,FALSE,"Report"}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errillPrintIt" hidden="1">#N/A</definedName>
    <definedName name="metro">#REF!</definedName>
    <definedName name="MEWarning" hidden="1">1</definedName>
    <definedName name="Mezz_debt_paydown">#REF!</definedName>
    <definedName name="Mezzanine_Debt">#REF!</definedName>
    <definedName name="Mezzanine_Financing_Proceeds">#REF!</definedName>
    <definedName name="mezzanine_rate">#REF!</definedName>
    <definedName name="mezzfinancing">#REF!</definedName>
    <definedName name="mezzinterest">#REF!</definedName>
    <definedName name="mezzmosofIO">#REF!</definedName>
    <definedName name="mezzorigfee">#REF!</definedName>
    <definedName name="mezzpandi">#REF!</definedName>
    <definedName name="mezzterm">#REF!</definedName>
    <definedName name="MGDV_IRR" hidden="1">{"Zone1",#N/A,FALSE,"Parameters";"Zone2",#N/A,FALSE,"Parameters"}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mntCo">#REF!</definedName>
    <definedName name="MgmntCoDistriOper">#REF!</definedName>
    <definedName name="MgmntCoDistriSale">#REF!</definedName>
    <definedName name="MgmntCoEq">#REF!</definedName>
    <definedName name="MgmntCoOwn">#REF!</definedName>
    <definedName name="MgmntCoPrefer">#REF!</definedName>
    <definedName name="MgmntFee1">#REF!</definedName>
    <definedName name="MgmntFee2">#REF!</definedName>
    <definedName name="MgmntFee3">#REF!</definedName>
    <definedName name="MgmntFee4">#REF!</definedName>
    <definedName name="MGMT">#REF!</definedName>
    <definedName name="MgmtIncentiveFee">#REF!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chael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midpointvalue" hidden="1">{#N/A,#N/A,FALSE,"Cashflow Analysis";#N/A,#N/A,FALSE,"Sensitivity Analysis";#N/A,#N/A,FALSE,"PV";#N/A,#N/A,FALSE,"Pro Forma"}</definedName>
    <definedName name="Mietsoll_._._Leerstand__03.05">#REF!</definedName>
    <definedName name="MILF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F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milner" hidden="1">{#N/A,#N/A,FALSE,"Aging Summary";#N/A,#N/A,FALSE,"Ratio Analysis";#N/A,#N/A,FALSE,"Test 120 Day Accts";#N/A,#N/A,FALSE,"Tickmarks"}</definedName>
    <definedName name="minadj" hidden="1">#REF!</definedName>
    <definedName name="minadj2" hidden="1">#REF!</definedName>
    <definedName name="MiniPerm">#REF!</definedName>
    <definedName name="MiniPerm2">#REF!</definedName>
    <definedName name="MiniPerm3">#REF!</definedName>
    <definedName name="minorityintyes" hidden="1">#REF!</definedName>
    <definedName name="MISC.NON_RECOV">#REF!</definedName>
    <definedName name="MKT">#REF!</definedName>
    <definedName name="Mkt_Lsd_Rnt_Calcs">#REF!</definedName>
    <definedName name="Mkt_Lsd_Rnt_Data">#REF!</definedName>
    <definedName name="Mkt_Rnt_Data">#REF!</definedName>
    <definedName name="Mkt_Rnt_Formula">#REF!</definedName>
    <definedName name="Mkt_Rnt_Tbl">#REF!</definedName>
    <definedName name="Mkt_Rnt_Unit_Dtl">#REF!</definedName>
    <definedName name="Mkt_Rnt_Unit1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G2000">#REF!</definedName>
    <definedName name="MKTG2001">#REF!</definedName>
    <definedName name="mktrentyr1">#REF!</definedName>
    <definedName name="mktrentyr10">#REF!</definedName>
    <definedName name="mktrentyr11">#REF!</definedName>
    <definedName name="mktrentyr12">#REF!</definedName>
    <definedName name="mktrentyr2">#REF!</definedName>
    <definedName name="mktrentyr3">#REF!</definedName>
    <definedName name="mktrentyr4">#REF!</definedName>
    <definedName name="mktrentyr5">#REF!</definedName>
    <definedName name="mktrentyr6">#REF!</definedName>
    <definedName name="mktrentyr7">#REF!</definedName>
    <definedName name="mktrentyr8">#REF!</definedName>
    <definedName name="mktrentyr9">#REF!</definedName>
    <definedName name="mm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mm" hidden="1">{"View1",#N/A,FALSE,"Sheet1";"View2",#N/A,FALSE,"Sheet1"}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nths_qtr">#REF!</definedName>
    <definedName name="mnths_quarter">#REF!</definedName>
    <definedName name="mo" hidden="1">{"fis.dbo.r1_datasum"}</definedName>
    <definedName name="mo_CurrMo">#REF!</definedName>
    <definedName name="mo_PriorMo">#REF!</definedName>
    <definedName name="Mo_Rents">#REF!</definedName>
    <definedName name="monda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dayjvcopy" hidden="1">{"View1",#N/A,FALSE,"Sheet1";"View2",#N/A,FALSE,"Sheet1"}</definedName>
    <definedName name="mondaypark" hidden="1">{"View1",#N/A,FALSE,"Sheet1";"View2",#N/A,FALSE,"Sheet1"}</definedName>
    <definedName name="mondaytes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month">#REF!</definedName>
    <definedName name="monthdes">#REF!</definedName>
    <definedName name="Monthly_">#REF!</definedName>
    <definedName name="Monthly_Taxes">#REF!</definedName>
    <definedName name="monthocc">#REF!</definedName>
    <definedName name="monthocc2">#REF!</definedName>
    <definedName name="monthocc3">#REF!</definedName>
    <definedName name="Monthpy">#REF!</definedName>
    <definedName name="Months_Constr">#REF!</definedName>
    <definedName name="Months_Entitle">#REF!</definedName>
    <definedName name="months_qtr">#REF!</definedName>
    <definedName name="months_year">#REF!</definedName>
    <definedName name="MoPymnt2">#REF!</definedName>
    <definedName name="MoPymt">#REF!</definedName>
    <definedName name="MoPymt2">#REF!</definedName>
    <definedName name="MortCalc">#REF!</definedName>
    <definedName name="MortCalc2">#REF!</definedName>
    <definedName name="MortCalc3">#REF!</definedName>
    <definedName name="Mos_Remain">#REF!</definedName>
    <definedName name="MosHeld">#REF!</definedName>
    <definedName name="MosIn1stYr">#REF!</definedName>
    <definedName name="MOVED" hidden="1">{"CHART",#N/A,FALSE,"Arch Communications"}</definedName>
    <definedName name="moved2" hidden="1">{"CHART",#N/A,FALSE,"Arch Communications"}</definedName>
    <definedName name="mps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MRG" hidden="1">{"INCOME",#N/A,FALSE,"ProNet";"VALUE",#N/A,FALSE,"ProNet"}</definedName>
    <definedName name="MRG_old" hidden="1">{"INCOME",#N/A,FALSE,"ProNet";"VALUE",#N/A,FALSE,"ProNet"}</definedName>
    <definedName name="MRG2_old" hidden="1">{"INCOME",#N/A,FALSE,"ProNet";"VALUE",#N/A,FALSE,"ProNet"}</definedName>
    <definedName name="MSforecast" hidden="1">{"'Sheet1'!$A$1:$I$10","'Sheet1'!$A$1:$I$11"}</definedName>
    <definedName name="Mt.Todd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mth">MONTH(#REF!)</definedName>
    <definedName name="mthno">#REF!</definedName>
    <definedName name="MTM">#REF!</definedName>
    <definedName name="Müllabfuhr">#REF!</definedName>
    <definedName name="multcash1" hidden="1">#REF!</definedName>
    <definedName name="multformrow" hidden="1">#REF!</definedName>
    <definedName name="multtable" hidden="1">#REF!</definedName>
    <definedName name="MVAR725">#REF!</definedName>
    <definedName name="MVAR777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n">#REF!</definedName>
    <definedName name="NA" hidden="1">#REF!</definedName>
    <definedName name="NAME">#N/A</definedName>
    <definedName name="name1" hidden="1">{"SIMPLIFD_P1",#N/A,FALSE,"SIMPLIFD"}</definedName>
    <definedName name="name1_1" hidden="1">{"SIMPLIFD_P1",#N/A,FALSE,"SIMPLIFD"}</definedName>
    <definedName name="name1_2" hidden="1">{"SIMPLIFD_P1",#N/A,FALSE,"SIMPLIFD"}</definedName>
    <definedName name="name1_3" hidden="1">{"SIMPLIFD_P1",#N/A,FALSE,"SIMPLIFD"}</definedName>
    <definedName name="name1_4" hidden="1">{"SIMPLIFD_P1",#N/A,FALSE,"SIMPLIFD"}</definedName>
    <definedName name="name2" hidden="1">{#N/A,#N/A,FALSE,"Assumptions";#N/A,#N/A,FALSE,"Promote Assumptions";#N/A,#N/A,FALSE,"Residual Analysis";#N/A,#N/A,FALSE,"ROC";#N/A,#N/A,FALSE,"Project Costs";#N/A,#N/A,FALSE,"Annual CF";#N/A,#N/A,FALSE,"Stab Proforma"}</definedName>
    <definedName name="Nane2" hidden="1">{"TEST1",#N/A,FALSE,"SIMPLIFD"}</definedName>
    <definedName name="Nane2_1" hidden="1">{"TEST1",#N/A,FALSE,"SIMPLIFD"}</definedName>
    <definedName name="Nane2_2" hidden="1">{"TEST1",#N/A,FALSE,"SIMPLIFD"}</definedName>
    <definedName name="Nane2_3" hidden="1">{"TEST1",#N/A,FALSE,"SIMPLIFD"}</definedName>
    <definedName name="Nane2_4" hidden="1">{"TEST1",#N/A,FALSE,"SIMPLIFD"}</definedName>
    <definedName name="NashEquity">#REF!</definedName>
    <definedName name="National_Sales___Marketing_Fee">#REF!</definedName>
    <definedName name="NAV">#REF!</definedName>
    <definedName name="naveeds" hidden="1">{"CSheet",#N/A,FALSE,"C";"SmCap",#N/A,FALSE,"VAL1";"GulfCoast",#N/A,FALSE,"VAL1";"nav",#N/A,FALSE,"NAV";"Summary",#N/A,FALSE,"NAV"}</definedName>
    <definedName name="nb" hidden="1">#REF!</definedName>
    <definedName name="nbmvcmnb" hidden="1">{#N/A,#N/A,TRUE,"10 Yr Hold";#N/A,#N/A,TRUE,"7 Yr Hold";#N/A,#N/A,TRUE,"5 Yr Hold";#N/A,#N/A,TRUE,"3 Yr Hold"}</definedName>
    <definedName name="nbvn" hidden="1">{#N/A,#N/A,TRUE,"CostSumm";#N/A,#N/A,TRUE,"Land";#N/A,#N/A,TRUE,"Construction";#N/A,#N/A,TRUE,"A&amp;E";#N/A,#N/A,TRUE,"Indirect";#N/A,#N/A,TRUE,"Marketing";#N/A,#N/A,TRUE,"Finance";#N/A,#N/A,TRUE,"Gen and Admin"}</definedName>
    <definedName name="ncas" hidden="1">{"FCB_ALL",#N/A,FALSE,"FCB";"GREY_ALL",#N/A,FALSE,"GREY"}</definedName>
    <definedName name="NCF">#REF!</definedName>
    <definedName name="ncfyr1">#REF!</definedName>
    <definedName name="ncfyr10">#REF!</definedName>
    <definedName name="ncfyr11">#REF!</definedName>
    <definedName name="ncfyr2">#REF!</definedName>
    <definedName name="ncfyr3">#REF!</definedName>
    <definedName name="ncfyr4">#REF!</definedName>
    <definedName name="ncfyr5">#REF!</definedName>
    <definedName name="ncfyr6">#REF!</definedName>
    <definedName name="ncfyr7">#REF!</definedName>
    <definedName name="ncfyr8">#REF!</definedName>
    <definedName name="ncfyr9">#REF!</definedName>
    <definedName name="NCREIF_Region">#REF!</definedName>
    <definedName name="ND">#REF!</definedName>
    <definedName name="Net.Asset.Value">#REF!</definedName>
    <definedName name="net_rent00">#REF!</definedName>
    <definedName name="net_rent01">#REF!</definedName>
    <definedName name="net_rent02">#REF!</definedName>
    <definedName name="net_rent03">#REF!</definedName>
    <definedName name="net_rent04">#REF!</definedName>
    <definedName name="net_rent05">#REF!</definedName>
    <definedName name="net_rent06">#REF!</definedName>
    <definedName name="net_rent07">#REF!</definedName>
    <definedName name="net_rent97">#REF!</definedName>
    <definedName name="net_rent98">#REF!</definedName>
    <definedName name="net_rent99">#REF!</definedName>
    <definedName name="netdebt1">#REF!</definedName>
    <definedName name="NETLAND">#REF!</definedName>
    <definedName name="NEToperatingINCOME">#REF!</definedName>
    <definedName name="NetReversion">#REF!</definedName>
    <definedName name="NetSaleProceeds">#REF!</definedName>
    <definedName name="NetSalesProceeds">#REF!</definedName>
    <definedName name="netsf">#REF!</definedName>
    <definedName name="new" hidden="1">{"Spread Dollars",#N/A,FALSE,"Budget";"Spread Ratios",#N/A,FALSE,"Budget";"Target Comparison",#N/A,FALSE,"Summary"}</definedName>
    <definedName name="NEW_1" hidden="1">#REF!</definedName>
    <definedName name="New_Equity">#REF!</definedName>
    <definedName name="new_order1" hidden="1">255</definedName>
    <definedName name="New_Parking_Stalls">#REF!</definedName>
    <definedName name="New_Taxes">#REF!</definedName>
    <definedName name="Newcap" hidden="1">{"'2ND_QUAR'!$A$1:$P$106"}</definedName>
    <definedName name="newdebt" hidden="1">{"Spread Dollars",#N/A,FALSE,"Budget";"Spread Ratios",#N/A,FALSE,"Budget";"Target Comparison",#N/A,FALSE,"Summary"}</definedName>
    <definedName name="newer" hidden="1">#REF!</definedName>
    <definedName name="newhtml" hidden="1">{"'Assump'!$F$6:$J$6"}</definedName>
    <definedName name="newname" hidden="1">{"Financials",#N/A,FALSE,"Financials";"AVP",#N/A,FALSE,"AVP";"DCF",#N/A,FALSE,"DCF";"CSC",#N/A,FALSE,"CSC";"Deal_Comp",#N/A,FALSE,"DealComp"}</definedName>
    <definedName name="newrange" hidden="1">{"Annual Cash Flows",#N/A,FALSE,"Annual Summary"}</definedName>
    <definedName name="nhjythh" hidden="1">{"DCF","UPSIDE CASE",FALSE,"Sheet1";"DCF","BASE CASE",FALSE,"Sheet1";"DCF","DOWNSIDE CASE",FALSE,"Sheet1"}</definedName>
    <definedName name="Niederschlagswasser">#REF!</definedName>
    <definedName name="Night">#REF!</definedName>
    <definedName name="NISSAN">#REF!</definedName>
    <definedName name="NJ" hidden="1">{#N/A,#N/A,FALSE}</definedName>
    <definedName name="NLTradingChart">Word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 hidden="1">{#N/A,#N/A,FALSE,"CCC Variance";#N/A,#N/A,FALSE,"CCC Notes"}</definedName>
    <definedName name="NNN_MarketRent">#REF!</definedName>
    <definedName name="nnnn" hidden="1">{#N/A,#N/A,FALSE,"A";#N/A,#N/A,FALSE,"C"}</definedName>
    <definedName name="nnnnnnn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nnnnnnnnnnnnnnnnnnn" hidden="1">{"LIBOR",#N/A,TRUE,"Model";"Caps",#N/A,TRUE,"Model";"Assets",#N/A,TRUE,"Model";"Liabilities",#N/A,TRUE,"Model";"Tests",#N/A,TRUE,"Model";"Results",#N/A,TRUE,"Model"}</definedName>
    <definedName name="No_SF">#REF!</definedName>
    <definedName name="No_Units">#REF!</definedName>
    <definedName name="NOI">#REF!</definedName>
    <definedName name="noi_table">#REF!</definedName>
    <definedName name="noicf">#REF!</definedName>
    <definedName name="noijni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noiyr1">#REF!</definedName>
    <definedName name="noiyr10">#REF!</definedName>
    <definedName name="noiyr11">#REF!</definedName>
    <definedName name="noiyr2">#REF!</definedName>
    <definedName name="noiyr3">#REF!</definedName>
    <definedName name="noiyr4">#REF!</definedName>
    <definedName name="noiyr5">#REF!</definedName>
    <definedName name="noiyr6">#REF!</definedName>
    <definedName name="noiyr7">#REF!</definedName>
    <definedName name="noiyr8">#REF!</definedName>
    <definedName name="noiyr9">#REF!</definedName>
    <definedName name="notdoug" hidden="1">{#N/A,#N/A,FALSE,"Consolidated";#N/A,#N/A,FALSE,"Available Credit";#N/A,#N/A,FALSE,"100% Owned";#N/A,#N/A,FALSE,"Bentall U.S. LLC";#N/A,#N/A,FALSE,"Bentall Properties (U.S.) Ltd.";#N/A,#N/A,FALSE,"Schedule I"}</definedName>
    <definedName name="Nov.">#REF!</definedName>
    <definedName name="Now" hidden="1">{"Assumptions",#N/A,TRUE,"Returns";"Tables",#N/A,TRUE,"Returns"}</definedName>
    <definedName name="nowe" hidden="1">{#N/A,#N/A,TRUE,"Krycí list"}</definedName>
    <definedName name="NRA">#REF!</definedName>
    <definedName name="nrAcqFeeBasis">#REF!</definedName>
    <definedName name="nrAMFeeCalcMethod">#REF!</definedName>
    <definedName name="nrAnalysisStartDate">#REF!</definedName>
    <definedName name="nrAssetName">#REF!</definedName>
    <definedName name="nrCBREMetroDataRange">#REF!</definedName>
    <definedName name="nrCBRESubMarketDataRange">#REF!</definedName>
    <definedName name="nrCFCapitalAdjustment">#REF!</definedName>
    <definedName name="nrCityName">#REF!</definedName>
    <definedName name="nrClientList">#REF!</definedName>
    <definedName name="nrClientRange">#REF!</definedName>
    <definedName name="nrContDistAdjustment">#REF!</definedName>
    <definedName name="nrDispFeeCalcMethod">#REF!</definedName>
    <definedName name="nrDistributionSequence">#REF!</definedName>
    <definedName name="nrEquityTiming">#REF!</definedName>
    <definedName name="nrFinancingCostSwitch">#REF!</definedName>
    <definedName name="nrFundName">#REF!</definedName>
    <definedName name="nrInflationRate">#REF!</definedName>
    <definedName name="nrInputDebtLookupRange">#REF!</definedName>
    <definedName name="nrInputDebtOptions">#REF!</definedName>
    <definedName name="nrInputReturns">#REF!</definedName>
    <definedName name="nrIRRYear">#REF!</definedName>
    <definedName name="nrKeyNumberReturnsRange">#REF!</definedName>
    <definedName name="nrKeyNumberReturnType1">#REF!</definedName>
    <definedName name="nrKeyNumberReturnType2">#REF!</definedName>
    <definedName name="nrKeyNumberYearRange">#REF!</definedName>
    <definedName name="nrMaxPerformanceFee">#REF!</definedName>
    <definedName name="nrMinPerformanceFee">#REF!</definedName>
    <definedName name="nrMonthRange">#REF!</definedName>
    <definedName name="nrPerformanceFeeTiming">#REF!</definedName>
    <definedName name="nrPkgReturnsRange">#REF!</definedName>
    <definedName name="nrPkgReturnsYearRange">#REF!</definedName>
    <definedName name="nrProjectionStartDate">#REF!</definedName>
    <definedName name="nrPurchasePrice">#REF!</definedName>
    <definedName name="nrQuarterRange">#REF!</definedName>
    <definedName name="nrRebuyCalcRange">#REF!</definedName>
    <definedName name="nrReturnsRange">#REF!</definedName>
    <definedName name="nrStabilizedYear">#REF!</definedName>
    <definedName name="nrState">#REF!</definedName>
    <definedName name="nrTotalArea">#REF!</definedName>
    <definedName name="nrYearRange">#REF!</definedName>
    <definedName name="nrYears10">#REF!</definedName>
    <definedName name="nrYears14">#REF!</definedName>
    <definedName name="NSP">#REF!</definedName>
    <definedName name="NTA00">#REF!</definedName>
    <definedName name="Num_Pmt_Per_Year">#REF!</definedName>
    <definedName name="Number_of_Payments">MATCH(0.01,End_Bal,-1)+1</definedName>
    <definedName name="number_range">#REF!</definedName>
    <definedName name="number_range2">#REF!</definedName>
    <definedName name="numberINTonlyPAYMENTS">#REF!</definedName>
    <definedName name="NvsASD">"V2001-12-31"</definedName>
    <definedName name="NvsAutoDrillOk">"VN"</definedName>
    <definedName name="NvsElapsedTime">0.00043518518214114</definedName>
    <definedName name="NvsEndTime">37546.5793412037</definedName>
    <definedName name="NvsInstanceHook">"ColumnFormat"</definedName>
    <definedName name="NvsInstSpec">"%,FBUSINESS_UNIT,VAUBLP"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"%,X,RPF..,CZF.."</definedName>
    <definedName name="NvsPanelEffdt">"V2020-12-31"</definedName>
    <definedName name="NvsPanelSetid">"VCPSTD"</definedName>
    <definedName name="NvsReqBU">"VAUBLP"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AFFILIATE">"AFFILIATE_VW"</definedName>
    <definedName name="NvsValTbl.BUSINESS_UNIT">"BUS_UNIT_TBL_GL"</definedName>
    <definedName name="NvsValTbl.DEPTID">"DEPARTMENT_TBL"</definedName>
    <definedName name="NvsValTbl.PRODUCT">"PRODUCT_TBL"</definedName>
    <definedName name="NvsValTbl.PROJECT_ID">"PROJECT"</definedName>
    <definedName name="NW" hidden="1">#REF!</definedName>
    <definedName name="O">#REF!</definedName>
    <definedName name="occ_2005">#REF!</definedName>
    <definedName name="Occ_Units">#REF!</definedName>
    <definedName name="OCCNRA">#REF!</definedName>
    <definedName name="Occup">#REF!</definedName>
    <definedName name="OCCUPANCY">#REF!</definedName>
    <definedName name="OCCUPIED">#REF!</definedName>
    <definedName name="OCP">#REF!</definedName>
    <definedName name="oct02b" hidden="1">{#N/A,#N/A,FALSE,"Class A";#N/A,#N/A,FALSE,"Class B";#N/A,#N/A,FALSE,"Class C"}</definedName>
    <definedName name="oen" hidden="1">{"Ops_S.Holders Assets and Income",#N/A,FALSE,"ops_shf"}</definedName>
    <definedName name="OER">#REF!</definedName>
    <definedName name="OfferPrice">#REF!</definedName>
    <definedName name="office1" hidden="1">{#N/A,#N/A,FALSE,"Cashflow Analysis";#N/A,#N/A,FALSE,"Sensitivity Analysis";#N/A,#N/A,FALSE,"PV";#N/A,#N/A,FALSE,"Pro Forma"}</definedName>
    <definedName name="ogmkcjr" hidden="1">{#N/A,#N/A,FALSE,"Chart 2 by Prop Type"}</definedName>
    <definedName name="oipp" hidden="1">{#N/A,#N/A,FALSE,"Chart 2 by Prop Type"}</definedName>
    <definedName name="oiwea" hidden="1">{"FCB_ALL",#N/A,FALSE,"FCB";"GREY_ALL",#N/A,FALSE,"GREY"}</definedName>
    <definedName name="ok" hidden="1">{"Page1",#N/A,TRUE,"Sheet1";"Page2",#N/A,TRUE,"Sheet1";"Page3",#N/A,TRUE,"Sheet1"}</definedName>
    <definedName name="OKAY" hidden="1">#REF!</definedName>
    <definedName name="okp" hidden="1">{#N/A,#N/A,FALSE,"Chart 2 by Prop Type"}</definedName>
    <definedName name="Okt.">#REF!</definedName>
    <definedName name="ol" hidden="1">{#N/A,#N/A,FALSE,"Chart 2 by Prop Type"}</definedName>
    <definedName name="old">#REF!</definedName>
    <definedName name="oldhtl" hidden="1">{"'Assump'!$F$6:$J$6"}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table" hidden="1">#REF!</definedName>
    <definedName name="oldtable1" hidden="1">#REF!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Pager_Mobile" hidden="1">{#N/A,#N/A,FALSE,"Loan Summary";#N/A,#N/A,FALSE,"NOI";"RR and Expir",#N/A,FALSE,"Rental";"Sales History",#N/A,FALSE,"Rental";#N/A,#N/A,FALSE,"Reserves"}</definedName>
    <definedName name="oo" hidden="1">#REF!</definedName>
    <definedName name="ooooooooo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OpDeficit">#REF!</definedName>
    <definedName name="OpenDate">#REF!</definedName>
    <definedName name="opendbs" hidden="1">{"fis.dbo.r1_datasum"}</definedName>
    <definedName name="opendbs1" hidden="1">{"fis.dbo.r1_datasum"}</definedName>
    <definedName name="Operating2" hidden="1">#REF!</definedName>
    <definedName name="OPERBGT">#REF!</definedName>
    <definedName name="OPERBGT1">#REF!</definedName>
    <definedName name="OPERBGT2">#REF!</definedName>
    <definedName name="OPERBGT3">#REF!</definedName>
    <definedName name="OPERBGTSUM">#REF!</definedName>
    <definedName name="OPsData">#REF!</definedName>
    <definedName name="opsyr1">#REF!</definedName>
    <definedName name="opsyr10">#REF!</definedName>
    <definedName name="opsyr11">#REF!</definedName>
    <definedName name="opsyr2">#REF!</definedName>
    <definedName name="opsyr3">#REF!</definedName>
    <definedName name="opsyr4">#REF!</definedName>
    <definedName name="opsyr5">#REF!</definedName>
    <definedName name="opsyr6">#REF!</definedName>
    <definedName name="opsyr7">#REF!</definedName>
    <definedName name="opsyr8">#REF!</definedName>
    <definedName name="opsyr9">#REF!</definedName>
    <definedName name="Option_dates">#REF!</definedName>
    <definedName name="ORDER" hidden="1">0</definedName>
    <definedName name="Order2" hidden="1">255</definedName>
    <definedName name="OrderTable" hidden="1">#REF!</definedName>
    <definedName name="Origination_Fee">#REF!</definedName>
    <definedName name="Orix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Orrick">#REF!</definedName>
    <definedName name="OrrickR">#REF!</definedName>
    <definedName name="OrrickU">#REF!</definedName>
    <definedName name="other.income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other.whatever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Other_Co_finhigh_pg4">#REF!</definedName>
    <definedName name="Other_Income_Growth">#REF!</definedName>
    <definedName name="output" hidden="1">{#N/A,#N/A,FALSE,"Matrix";#N/A,#N/A,FALSE,"Cash Flow";#N/A,#N/A,FALSE,"10 Year Cost Analysis"}</definedName>
    <definedName name="owl">#REF!</definedName>
    <definedName name="OwnerEntity">#REF!</definedName>
    <definedName name="OwnerPriority">#REF!</definedName>
    <definedName name="ownership">#REF!</definedName>
    <definedName name="P">#REF!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fssdkp" hidden="1">#REF!</definedName>
    <definedName name="page1">#REF!</definedName>
    <definedName name="Page2">#REF!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ram_CumRent" hidden="1">#REF!</definedName>
    <definedName name="Param_CurrentDa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K_STATS">#REF!</definedName>
    <definedName name="PARK_VAR">#REF!</definedName>
    <definedName name="parkavecopy" hidden="1">{"View1",#N/A,FALSE,"Sheet1";"View2",#N/A,FALSE,"Sheet1"}</definedName>
    <definedName name="park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ing">#REF!</definedName>
    <definedName name="Parking_NOI">#REF!</definedName>
    <definedName name="parking2">#REF!</definedName>
    <definedName name="ParkingSpaces">#REF!</definedName>
    <definedName name="parkjvcopy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ktest" hidden="1">{"View1",#N/A,FALSE,"Sheet1";"View2",#N/A,FALSE,"Sheet1"}</definedName>
    <definedName name="parktest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PARTEQUITY">#REF!</definedName>
    <definedName name="PARTEQUITYA">#REF!</definedName>
    <definedName name="partnertier1">#REF!</definedName>
    <definedName name="partnertier2">#REF!</definedName>
    <definedName name="partnertier3">#REF!</definedName>
    <definedName name="partnertier4">#REF!</definedName>
    <definedName name="Pasterange">#REF!</definedName>
    <definedName name="Pay_Num">#REF!</definedName>
    <definedName name="Payment_Date">DATE(YEAR(Loan_Start),MONTH(Loan_Start)+Payment_Number,DAY(Loan_Start))</definedName>
    <definedName name="Payment_Number">ROW()-[0]!Header_Row</definedName>
    <definedName name="Payments_per_year">#REF!</definedName>
    <definedName name="PCap" hidden="1">#REF!</definedName>
    <definedName name="PCM">#REF!</definedName>
    <definedName name="pct_mkt">#REF!</definedName>
    <definedName name="pen" hidden="1">{"Logo",#N/A,FALSE,"Logo";"Exchange",#N/A,FALSE,"Logo";#N/A,#N/A,FALSE,"overview"}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ercentageRent">#REF!</definedName>
    <definedName name="Period">#REF!</definedName>
    <definedName name="Period_Size">#REF!</definedName>
    <definedName name="PeriodArray">#REF!</definedName>
    <definedName name="Perm_Beg">#REF!</definedName>
    <definedName name="Perm_Equity">#REF!</definedName>
    <definedName name="Perm_IR">#REF!</definedName>
    <definedName name="Perm_Loan">#REF!</definedName>
    <definedName name="Perm_LoanAvailable">#REF!</definedName>
    <definedName name="Perm_TermYrs">#REF!</definedName>
    <definedName name="PERS2000">#REF!</definedName>
    <definedName name="PERS2001">#REF!</definedName>
    <definedName name="petersen">#REF!</definedName>
    <definedName name="PeterTEST" hidden="1">{#N/A,#N/A,TRUE,"Acq-Ass";#N/A,#N/A,TRUE,"Acq-IS";#N/A,#N/A,TRUE,"Acq-BS";#N/A,#N/A,TRUE,"Acq-CF"}</definedName>
    <definedName name="PEXPBGT">#REF!</definedName>
    <definedName name="PHUNT">#REF!</definedName>
    <definedName name="Pie" hidden="1">{"Financials",#N/A,FALSE,"Financials";"AVP",#N/A,FALSE,"AVP";"DCF",#N/A,FALSE,"DCF";"CSC",#N/A,FALSE,"CSC";"Deal_Comp",#N/A,FALSE,"DealComp"}</definedName>
    <definedName name="pier90" hidden="1">{"excavation",#N/A,FALSE,"DETAIL.XLS"}</definedName>
    <definedName name="pii" hidden="1">#REF!</definedName>
    <definedName name="pijm" hidden="1">{"lot inventory",#N/A,FALSE,"Lot List"}</definedName>
    <definedName name="pio" hidden="1">#REF!</definedName>
    <definedName name="PIRR">#REF!</definedName>
    <definedName name="Pitchbook" hidden="1">{#N/A,#N/A,TRUE,"Sheet16"}</definedName>
    <definedName name="pj" hidden="1">{"INCOME",#N/A,FALSE,"ProNet";"VALUE",#N/A,FALSE,"ProNet"}</definedName>
    <definedName name="PJAM3Yr" hidden="1">{"INCOME",#N/A,FALSE,"ProNet";"VALUE",#N/A,FALSE,"ProNet"}</definedName>
    <definedName name="PJAM3Yr_old" hidden="1">{"INCOME",#N/A,FALSE,"ProNet";"VALUE",#N/A,FALSE,"ProNet"}</definedName>
    <definedName name="pjam3yr2" hidden="1">{"INCOME",#N/A,FALSE,"ProNet";"VALUE",#N/A,FALSE,"ProNet"}</definedName>
    <definedName name="PJDATA">#REF!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l" hidden="1">#REF!</definedName>
    <definedName name="Platform">#REF!</definedName>
    <definedName name="platforma" hidden="1">{#N/A,#N/A,TRUE,"Ericsson Stadium PCD ";#N/A,#N/A,TRUE,"Ericsson Stadium IOR"}</definedName>
    <definedName name="please" hidden="1">{"Assumptions",#N/A,TRUE,"Returns";"Tables",#N/A,TRUE,"Returns"}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MACRO">#REF!</definedName>
    <definedName name="pmf">#REF!</definedName>
    <definedName name="Pmt_to_use">#REF!</definedName>
    <definedName name="pn" hidden="1">#REF!</definedName>
    <definedName name="POPERBGT">#REF!</definedName>
    <definedName name="Port_fill" hidden="1">#REF!</definedName>
    <definedName name="Port_Fill2" hidden="1">#REF!</definedName>
    <definedName name="Portfolio" hidden="1">#REF!</definedName>
    <definedName name="Portfolio_NRA">#REF!</definedName>
    <definedName name="pou" hidden="1">#REF!</definedName>
    <definedName name="Power_Plant_Name">"Ilijan, Phillipines (1200 MW)"</definedName>
    <definedName name="PPACKAGE">#REF!</definedName>
    <definedName name="ppdins" hidden="1">#REF!</definedName>
    <definedName name="PPT" hidden="1">{#N/A,#N/A,FALSE,"Chart 2 by Prop Type"}</definedName>
    <definedName name="Pref">#REF!</definedName>
    <definedName name="PREFCFDIST">#REF!</definedName>
    <definedName name="PREFEQUITY">#REF!</definedName>
    <definedName name="PREFEQUITYA">#REF!</definedName>
    <definedName name="Preferred">#REF!</definedName>
    <definedName name="PREFRETURN">#REF!</definedName>
    <definedName name="prefyes" hidden="1">#REF!</definedName>
    <definedName name="preopen">#REF!</definedName>
    <definedName name="previous">#REF!</definedName>
    <definedName name="Price" hidden="1">{"AnnualRentRoll",#N/A,FALSE,"RentRoll"}</definedName>
    <definedName name="pricebook_col" hidden="1">#REF!</definedName>
    <definedName name="priceearnings_col" hidden="1">#REF!</definedName>
    <definedName name="PricePSF">#REF!</definedName>
    <definedName name="PrimaryComp" hidden="1">{"Primarily Competition",#N/A,FALSE,"Comp.&amp; Market Penet."}</definedName>
    <definedName name="Princ">#REF!</definedName>
    <definedName name="PRINCIPAL">#REF!</definedName>
    <definedName name="PRINT">#REF!,#REF!,#REF!</definedName>
    <definedName name="Print_Area_MI">#REF!</definedName>
    <definedName name="Print_Area_Reset">OFFSET(Full_Print,0,0,Last_Row)</definedName>
    <definedName name="Print_Titles_MI">#REF!</definedName>
    <definedName name="PRINT1">#REF!</definedName>
    <definedName name="PRINT2">#REF!</definedName>
    <definedName name="printarea">#REF!</definedName>
    <definedName name="PRINTBUDGET">#REF!</definedName>
    <definedName name="PrintManagerQuery">#REF!</definedName>
    <definedName name="PRINTPROFORMA">#REF!</definedName>
    <definedName name="PRINTPROJCOSTS">#REF!</definedName>
    <definedName name="PrintProjection">#REF!</definedName>
    <definedName name="PRINTRENTUP">#REF!</definedName>
    <definedName name="PrintSelectedSheetsMacroButton">#REF!</definedName>
    <definedName name="PRINTSUMMARY">#REF!</definedName>
    <definedName name="PriorYr">#REF!</definedName>
    <definedName name="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mote">#REF!</definedName>
    <definedName name="Prn_Assump_10Yr">#REF!,#REF!</definedName>
    <definedName name="Prn_Assump_Static">#REF!,#REF!</definedName>
    <definedName name="Prn_Op_Stmnt_Dtl">#REF!,#REF!</definedName>
    <definedName name="Prn_Rent_Roll">#REF!</definedName>
    <definedName name="prntall" hidden="1">{#N/A,#N/A,FALSE,"Land";#N/A,#N/A,FALSE,"Cost Analysis";"Summary",#N/A,FALSE,"Equipment"}</definedName>
    <definedName name="problem" hidden="1">{"View1",#N/A,FALSE,"Sheet1";"View2",#N/A,FALSE,"Sheet1"}</definedName>
    <definedName name="ProdForm" hidden="1">#REF!</definedName>
    <definedName name="Product" hidden="1">#REF!</definedName>
    <definedName name="Profit" hidden="1">#REF!</definedName>
    <definedName name="proformrow" hidden="1">#REF!</definedName>
    <definedName name="Proj_Size">#REF!</definedName>
    <definedName name="projdepamort" hidden="1">#REF!</definedName>
    <definedName name="PROJECT">#REF!</definedName>
    <definedName name="Project_Address">#REF!</definedName>
    <definedName name="Project_CashFlow">#REF!</definedName>
    <definedName name="Project_City">#REF!</definedName>
    <definedName name="Project_Descr">#REF!</definedName>
    <definedName name="Project_Description">#REF!</definedName>
    <definedName name="Project_Name">#REF!</definedName>
    <definedName name="Project_Name_1">#REF!</definedName>
    <definedName name="Project_State">#REF!</definedName>
    <definedName name="Project_StName">#REF!</definedName>
    <definedName name="Project_StNo_1">#REF!</definedName>
    <definedName name="Project_StNo_2">#REF!</definedName>
    <definedName name="Project_ZipCode">#REF!</definedName>
    <definedName name="PROJECTION">#REF!</definedName>
    <definedName name="ProjectName">{"Client Name or 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">#REF!</definedName>
    <definedName name="PROM2">#REF!</definedName>
    <definedName name="PROMOTE">#REF!</definedName>
    <definedName name="promote1">#REF!</definedName>
    <definedName name="promte" hidden="1">{"Assumptions",#N/A,FALSE,"Assumptions"}</definedName>
    <definedName name="Prop">#REF!</definedName>
    <definedName name="Prop_13">#REF!</definedName>
    <definedName name="Prop_Acq_Cost">#REF!</definedName>
    <definedName name="Property_Description">#REF!</definedName>
    <definedName name="property_name">#REF!</definedName>
    <definedName name="PropertyName">#REF!</definedName>
    <definedName name="propertytable">#REF!</definedName>
    <definedName name="propname">#REF!</definedName>
    <definedName name="proptable">#REF!</definedName>
    <definedName name="PropTax">#REF!</definedName>
    <definedName name="PropTypes">#REF!</definedName>
    <definedName name="proxy1" hidden="1">{"Full Sheet",#N/A,FALSE,"Expense Comparison"}</definedName>
    <definedName name="proxy1_1" hidden="1">{"Full Sheet",#N/A,FALSE,"Expense Comparison"}</definedName>
    <definedName name="proxy1_2" hidden="1">{"Full Sheet",#N/A,FALSE,"Expense Comparison"}</definedName>
    <definedName name="proxy1_3" hidden="1">{"Full Sheet",#N/A,FALSE,"Expense Comparison"}</definedName>
    <definedName name="proxy1_4" hidden="1">{"Full Sheet",#N/A,FALSE,"Expense Comparison"}</definedName>
    <definedName name="proxy2" hidden="1">{#N/A,#N/A,FALSE,"Expense Comparison"}</definedName>
    <definedName name="proxy2_1" hidden="1">{#N/A,#N/A,FALSE,"Expense Comparison"}</definedName>
    <definedName name="proxy2_2" hidden="1">{#N/A,#N/A,FALSE,"Expense Comparison"}</definedName>
    <definedName name="proxy2_3" hidden="1">{#N/A,#N/A,FALSE,"Expense Comparison"}</definedName>
    <definedName name="proxy2_4" hidden="1">{#N/A,#N/A,FALSE,"Expense Comparison"}</definedName>
    <definedName name="proxy3" hidden="1">{"Full Sheet",#N/A,FALSE,"Expense Comparison"}</definedName>
    <definedName name="proxy3_1" hidden="1">{"Full Sheet",#N/A,FALSE,"Expense Comparison"}</definedName>
    <definedName name="proxy3_2" hidden="1">{"Full Sheet",#N/A,FALSE,"Expense Comparison"}</definedName>
    <definedName name="proxy3_3" hidden="1">{"Full Sheet",#N/A,FALSE,"Expense Comparison"}</definedName>
    <definedName name="proxy3_4" hidden="1">{"Full Sheet",#N/A,FALSE,"Expense Comparison"}</definedName>
    <definedName name="proxy4" hidden="1">{#N/A,#N/A,FALSE,"Expense Comparison"}</definedName>
    <definedName name="proxy4_1" hidden="1">{#N/A,#N/A,FALSE,"Expense Comparison"}</definedName>
    <definedName name="proxy4_2" hidden="1">{#N/A,#N/A,FALSE,"Expense Comparison"}</definedName>
    <definedName name="proxy4_3" hidden="1">{#N/A,#N/A,FALSE,"Expense Comparison"}</definedName>
    <definedName name="proxy4_4" hidden="1">{#N/A,#N/A,FALSE,"Expense Comparison"}</definedName>
    <definedName name="PSALARYDET">#REF!</definedName>
    <definedName name="PSUMMARIES">#REF!</definedName>
    <definedName name="PUB_FileID" hidden="1">"L10004431.xls"</definedName>
    <definedName name="PUB_UserID" hidden="1">"MAYERX"</definedName>
    <definedName name="Purch_Price">#REF!</definedName>
    <definedName name="Purchase_Date">#REF!</definedName>
    <definedName name="PURCHASE_PRICE">#REF!</definedName>
    <definedName name="Purchaser_costs">#REF!</definedName>
    <definedName name="PYADM">#REF!</definedName>
    <definedName name="PYCON">#REF!</definedName>
    <definedName name="PYMKTG">#REF!</definedName>
    <definedName name="PYMR">#REF!</definedName>
    <definedName name="PYPERS">#REF!</definedName>
    <definedName name="PYRM">#REF!</definedName>
    <definedName name="PYUTIL">#REF!</definedName>
    <definedName name="q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Q3ADM">#REF!</definedName>
    <definedName name="Q3CON">#REF!</definedName>
    <definedName name="Q3GASMASTER">#REF!</definedName>
    <definedName name="Q3GASRUB">#REF!</definedName>
    <definedName name="Q3GASVACANT">#REF!</definedName>
    <definedName name="Q3GREV">#REF!</definedName>
    <definedName name="Q3GROSSREV">#REF!</definedName>
    <definedName name="Q3MKTG">#REF!</definedName>
    <definedName name="Q3MR">#REF!</definedName>
    <definedName name="Q3OPEXPENSE">#REF!</definedName>
    <definedName name="Q3PERS">#REF!</definedName>
    <definedName name="Q3RM">#REF!</definedName>
    <definedName name="Q3SEWERMASTER">#REF!</definedName>
    <definedName name="Q3TRASHMASTER">#REF!</definedName>
    <definedName name="Q3TRRUB\">#REF!</definedName>
    <definedName name="Q3UTIL">#REF!</definedName>
    <definedName name="Q3WATERMASTER">#REF!</definedName>
    <definedName name="Q3WATERVACANT">#REF!</definedName>
    <definedName name="Q3WATRUB">#REF!</definedName>
    <definedName name="qa" hidden="1">{#N/A,#N/A,FALSE,"Chart 2 by Prop Type"}</definedName>
    <definedName name="QEWQEW" hidden="1">{#N/A,#N/A,FALSE,"1995 Rev &amp; Exp"}</definedName>
    <definedName name="qewrga" hidden="1">#REF!</definedName>
    <definedName name="QLGC" hidden="1">{"CHART",#N/A,FALSE,"Arch Communications"}</definedName>
    <definedName name="qq" hidden="1">{"SIMPLIFD_P1",#N/A,FALSE,"SIMPLIFD"}</definedName>
    <definedName name="qq_1" hidden="1">{"SIMPLIFD_P1",#N/A,FALSE,"SIMPLIFD"}</definedName>
    <definedName name="qq_2" hidden="1">{"SIMPLIFD_P1",#N/A,FALSE,"SIMPLIFD"}</definedName>
    <definedName name="qq_3" hidden="1">{"SIMPLIFD_P1",#N/A,FALSE,"SIMPLIFD"}</definedName>
    <definedName name="qq_4" hidden="1">{"SIMPLIFD_P1",#N/A,FALSE,"SIMPLIFD"}</definedName>
    <definedName name="qqq" hidden="1">{"TEST1",#N/A,FALSE,"SIMPLIFD"}</definedName>
    <definedName name="qqq_1" hidden="1">{"TEST1",#N/A,FALSE,"SIMPLIFD"}</definedName>
    <definedName name="qqq_2" hidden="1">{"TEST1",#N/A,FALSE,"SIMPLIFD"}</definedName>
    <definedName name="qqq_3" hidden="1">{"TEST1",#N/A,FALSE,"SIMPLIFD"}</definedName>
    <definedName name="qqq_4" hidden="1">{"TEST1",#N/A,FALSE,"SIMPLIFD"}</definedName>
    <definedName name="qqqq" hidden="1">{#N/A,#N/A,FALSE,"Chart 2 by Prop Type"}</definedName>
    <definedName name="qqqqq" hidden="1">#REF!</definedName>
    <definedName name="qqqqqqqqqqq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DQS" hidden="1">#REF!</definedName>
    <definedName name="qselReportLeasingByBuilding">#REF!</definedName>
    <definedName name="QTR">#REF!</definedName>
    <definedName name="qtrs_year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w" hidden="1">{#N/A,#N/A,FALSE,"Chart 2 by Prop Type"}</definedName>
    <definedName name="QWE" hidden="1">{#N/A,#N/A,FALSE,"APPRAISAL";#N/A,#N/A,FALSE,"APPRAISAL 2";#N/A,#N/A,FALSE,"APPRAISAL 3"}</definedName>
    <definedName name="qwer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s" hidden="1">{#N/A,#N/A,FALSE,"Chart 2 by Prop Type"}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MBC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r.Summary" hidden="1">#REF!</definedName>
    <definedName name="RAAAAA" hidden="1">{"CHART",#N/A,FALSE,"Arch Communications"}</definedName>
    <definedName name="radg" hidden="1">{"FCB_ALL",#N/A,FALSE,"FCB";"GREY_ALL",#N/A,FALSE,"GREY"}</definedName>
    <definedName name="Radnor" hidden="1">binary</definedName>
    <definedName name="RANGE">#N/A</definedName>
    <definedName name="Range_Control">#REF!</definedName>
    <definedName name="Rangecount">#REF!</definedName>
    <definedName name="RATES">#REF!</definedName>
    <definedName name="Rating" hidden="1">{"Assumptions",#N/A,FALSE,"input page";"1998",#N/A,FALSE,"1998";"1999",#N/A,FALSE,"1999";"2000",#N/A,FALSE,"2000";"2001",#N/A,FALSE,"2001"}</definedName>
    <definedName name="RBC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RCArea" hidden="1">#REF!</definedName>
    <definedName name="RCIII" hidden="1">{"ba1",#N/A,TRUE,"B-A";"ba2",#N/A,TRUE,"B-A"}</definedName>
    <definedName name="RCT">#REF!</definedName>
    <definedName name="re" hidden="1">#REF!</definedName>
    <definedName name="Recycling">#REF!</definedName>
    <definedName name="RedefinePrintTableRange" hidden="1">#N/A</definedName>
    <definedName name="redo" hidden="1">{#N/A,#N/A,FALSE,"ACQ_GRAPHS";#N/A,#N/A,FALSE,"T_1 GRAPHS";#N/A,#N/A,FALSE,"T_2 GRAPHS";#N/A,#N/A,FALSE,"COMB_GRAPHS"}</definedName>
    <definedName name="REFI">#REF!</definedName>
    <definedName name="REFIcost">#REF!</definedName>
    <definedName name="refiPAYMENTtable">#REF!</definedName>
    <definedName name="RegionList" hidden="1">#REF!</definedName>
    <definedName name="regmult" hidden="1">#REF!</definedName>
    <definedName name="Regression" hidden="1">#REF!</definedName>
    <definedName name="RegY" hidden="1">#REF!</definedName>
    <definedName name="Rehab101">#REF!</definedName>
    <definedName name="Rehab102">#REF!</definedName>
    <definedName name="Rehab103">#REF!</definedName>
    <definedName name="Rehab104">#REF!</definedName>
    <definedName name="Rehab105">#REF!</definedName>
    <definedName name="Rehab106">#REF!</definedName>
    <definedName name="Rehab107">#REF!</definedName>
    <definedName name="Rehab108">#REF!</definedName>
    <definedName name="Rehab109">#REF!</definedName>
    <definedName name="Rehab110">#REF!</definedName>
    <definedName name="Rehab111">#REF!</definedName>
    <definedName name="Rehab112">#REF!</definedName>
    <definedName name="Rehab201">#REF!</definedName>
    <definedName name="Rehab202">#REF!</definedName>
    <definedName name="Rehab203">#REF!</definedName>
    <definedName name="Rehab204">#REF!</definedName>
    <definedName name="Rehab205">#REF!</definedName>
    <definedName name="Rehab206">#REF!</definedName>
    <definedName name="Rehab207">#REF!</definedName>
    <definedName name="Rehab208">#REF!</definedName>
    <definedName name="Rehab209">#REF!</definedName>
    <definedName name="Rehab210">#REF!</definedName>
    <definedName name="Rehab211">#REF!</definedName>
    <definedName name="Rehab212">#REF!</definedName>
    <definedName name="Reim" hidden="1">{#N/A,#N/A,FALSE,"SUMMARY 4a";#N/A,#N/A,FALSE,"GBA 4b";#N/A,#N/A,FALSE,"TENANT 4c";#N/A,#N/A,FALSE,"BUDGET DETAIL";#N/A,#N/A,FALSE,"PRO FORMA"}</definedName>
    <definedName name="rel" hidden="1">#REF!</definedName>
    <definedName name="rem" hidden="1">{"Assumptions",#N/A,FALSE,"input page";"1998",#N/A,FALSE,"1998";"1999",#N/A,FALSE,"1999";"2000",#N/A,FALSE,"2000";"2001",#N/A,FALSE,"2001"}</definedName>
    <definedName name="Remim" hidden="1">{#N/A,#N/A,FALSE,"Leasing 6A"}</definedName>
    <definedName name="remit_address">#REF!</definedName>
    <definedName name="ren" hidden="1">{"rec. of 310",#N/A,FALSE,"Resanal"}</definedName>
    <definedName name="RENT_DEL">#REF!</definedName>
    <definedName name="Rent_Raised">#REF!</definedName>
    <definedName name="RENT_ROLL">#REF!</definedName>
    <definedName name="Rent_Roll_Hdr">#REF!</definedName>
    <definedName name="RENT601" hidden="1">#REF!</definedName>
    <definedName name="RentalStartMonth">#REF!</definedName>
    <definedName name="RENTDATA">#REF!</definedName>
    <definedName name="RentInc01">#REF!</definedName>
    <definedName name="RentInc02">#REF!</definedName>
    <definedName name="RentInc03">#REF!</definedName>
    <definedName name="RentInc04">#REF!</definedName>
    <definedName name="RentInc05">#REF!</definedName>
    <definedName name="RentInc06">#REF!</definedName>
    <definedName name="RentInc07">#REF!</definedName>
    <definedName name="RentInc08">#REF!</definedName>
    <definedName name="RentInc09">#REF!</definedName>
    <definedName name="RentInc10">#REF!</definedName>
    <definedName name="RentInc11">#REF!</definedName>
    <definedName name="RentInc12">#REF!</definedName>
    <definedName name="RentInc13">#REF!</definedName>
    <definedName name="RentInc14">#REF!</definedName>
    <definedName name="RentInc15">#REF!</definedName>
    <definedName name="RentInc16">#REF!</definedName>
    <definedName name="RentInc17">#REF!</definedName>
    <definedName name="RentInc18">#REF!</definedName>
    <definedName name="RentInc19">#REF!</definedName>
    <definedName name="RentInc20">#REF!</definedName>
    <definedName name="RentInc21">#REF!</definedName>
    <definedName name="RentInc22">#REF!</definedName>
    <definedName name="Rentindex">#REF!</definedName>
    <definedName name="RENTPSF">#REF!</definedName>
    <definedName name="RentRoll">#REF!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_Tab.City">#REF!</definedName>
    <definedName name="Report_Tab.GenAdmin">#REF!</definedName>
    <definedName name="Report_Tab.GrossPotentialRents">#REF!</definedName>
    <definedName name="Report_Tab.Insurance">#REF!</definedName>
    <definedName name="Report_Tab.Maintenance">#REF!</definedName>
    <definedName name="Report_Tab.ManagementFee">#REF!</definedName>
    <definedName name="Report_Tab.Marketing">#REF!</definedName>
    <definedName name="Report_Tab.NCF">#REF!</definedName>
    <definedName name="Report_Tab.NetRentalIncome">#REF!</definedName>
    <definedName name="Report_Tab.NOI">#REF!</definedName>
    <definedName name="Report_Tab.OccupancyPct">#REF!</definedName>
    <definedName name="Report_Tab.OtherIncome">#REF!</definedName>
    <definedName name="Report_Tab.Payroll">#REF!</definedName>
    <definedName name="Report_Tab.Property_Name">#REF!</definedName>
    <definedName name="Report_Tab.ReplacementReserves">#REF!</definedName>
    <definedName name="Report_Tab.ReportData">#REF!</definedName>
    <definedName name="Report_Tab.ReportHeadersAndData">#REF!</definedName>
    <definedName name="Report_Tab.State">#REF!</definedName>
    <definedName name="Report_Tab.Taxes">#REF!</definedName>
    <definedName name="Report_Tab.Units">#REF!</definedName>
    <definedName name="Report_Tab.Utilities">#REF!</definedName>
    <definedName name="Report_Tab.WaterSewer">#REF!</definedName>
    <definedName name="Report_Version_4">"A1"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Group" hidden="1">0</definedName>
    <definedName name="Reserved">#REF!</definedName>
    <definedName name="Residents">#REF!</definedName>
    <definedName name="Residu" hidden="1">{#N/A,#N/A,TRUE,"Summary";"AnnualRentRoll",#N/A,TRUE,"RentRoll";#N/A,#N/A,TRUE,"ExitStratigy";#N/A,#N/A,TRUE,"OperatingAssumptions"}</definedName>
    <definedName name="ResidualCFPercent">#REF!</definedName>
    <definedName name="ResidualPSF">#REF!</definedName>
    <definedName name="resort" hidden="1">{"Output-3Column",#N/A,FALSE,"Output"}</definedName>
    <definedName name="RESTART">#REF!</definedName>
    <definedName name="RESULTS">#REF!</definedName>
    <definedName name="RESULTS02">#REF!</definedName>
    <definedName name="RET_SF">#REF!</definedName>
    <definedName name="retail" hidden="1">#REF!</definedName>
    <definedName name="retewr" hidden="1">#REF!</definedName>
    <definedName name="retha" hidden="1">#REF!</definedName>
    <definedName name="retl" hidden="1">#REF!</definedName>
    <definedName name="REV_1">#REF!</definedName>
    <definedName name="REV_2">#REF!</definedName>
    <definedName name="REV_3">#REF!</definedName>
    <definedName name="REV_NOI">#REF!</definedName>
    <definedName name="REV_NOI_3">#REF!</definedName>
    <definedName name="Revenue_Category_1">#REF!</definedName>
    <definedName name="Revenue_Category_2">#REF!</definedName>
    <definedName name="Revenue_Category_3">#REF!</definedName>
    <definedName name="Revenue_Category_4">#REF!</definedName>
    <definedName name="Revenue_Category_5">#REF!</definedName>
    <definedName name="Revenue_Category_6">#REF!</definedName>
    <definedName name="Revenue_Category_7">#REF!</definedName>
    <definedName name="Revenue_Category_8">#REF!</definedName>
    <definedName name="Revenue_Dummy_Data" hidden="1">OFFSET(#REF!,0,0,COUNTA(#REF!)-1,1)</definedName>
    <definedName name="revenues">#REF!</definedName>
    <definedName name="reversion">#REF!</definedName>
    <definedName name="rez" hidden="1">{#N/A,#N/A,FALSE,"Sheet39";#N/A,#N/A,FALSE,"Sheet40";#N/A,#N/A,FALSE,"Sheet38";#N/A,#N/A,FALSE,"Sheet37";#N/A,#N/A,FALSE,"Sheet31";#N/A,#N/A,FALSE,"Sheet36";#N/A,#N/A,FALSE,"Sheet35";#N/A,#N/A,FALSE,"Sheet34";#N/A,#N/A,FALSE,"Sheet33";#N/A,#N/A,FALSE,"Sheet32";#N/A,#N/A,FALSE,"Sheet31";#N/A,#N/A,FALSE,"Sheet29";#N/A,#N/A,FALSE,"Sheet30";#N/A,#N/A,FALSE,"Sheet28";#N/A,#N/A,FALSE,"Sheet27";#N/A,#N/A,FALSE,"Sheet26";#N/A,#N/A,FALSE,"Sheet25";#N/A,#N/A,FALSE,"Sheet20";#N/A,#N/A,FALSE,"Sheet19";#N/A,#N/A,FALSE,"Sheet18";#N/A,#N/A,FALSE,"Sheet17";#N/A,#N/A,FALSE,"Sheet16";#N/A,#N/A,FALSE,"Sheet15";#N/A,#N/A,FALSE,"Sheet14";#N/A,#N/A,FALSE,"Sheet13";#N/A,#N/A,FALSE,"Sheet12";#N/A,#N/A,FALSE,"Sheet11";#N/A,#N/A,FALSE,"Sheet8";#N/A,#N/A,FALSE,"Sheet7";#N/A,#N/A,FALSE,"Sheet6";#N/A,#N/A,FALSE,"Sheet5";#N/A,#N/A,FALSE,"Sheet4";#N/A,#N/A,FALSE,"Sheet3";#N/A,#N/A,FALSE,"Sheet2";#N/A,#N/A,FALSE,"Sheet1"}</definedName>
    <definedName name="reza" hidden="1">{#N/A,#N/A,FALSE,"BALLY COSTS";#N/A,#N/A,FALSE,"FF&amp;E";#N/A,#N/A,FALSE,"FEES";#N/A,#N/A,FALSE,"CONTINGENCY";#N/A,#N/A,FALSE,"SOFT COSTS";#N/A,#N/A,FALSE,"DETAIL";#N/A,#N/A,FALSE,"sum12-3"}</definedName>
    <definedName name="rezab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REZTEZRT" hidden="1">#REF!</definedName>
    <definedName name="rgdhgsrt" hidden="1">{"Assump",#N/A,TRUE,"Proforma";"first",#N/A,TRUE,"Proforma";"second",#N/A,TRUE,"Proforma";"lease1",#N/A,TRUE,"Proforma";"lease2",#N/A,TRUE,"Proforma"}</definedName>
    <definedName name="rgdr" hidden="1">#REF!</definedName>
    <definedName name="rgerg" hidden="1">{"Investor",#N/A,FALSE,"Model";"Property",#N/A,FALSE,"Model";"Incentive Taxes",#N/A,FALSE,"Model"}</definedName>
    <definedName name="rget" hidden="1">{0,0,0,0}</definedName>
    <definedName name="rgr" hidden="1">{"ReportTop",#N/A,FALSE,"report top"}</definedName>
    <definedName name="right" hidden="1">{"CHART",#N/A,FALSE,"Arch Communications"}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6145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iverway" hidden="1">{"Table of Contents",#N/A,FALSE,"Table of Contents";"Assumptions Checklist",#N/A,FALSE,"Projected Acq_Dis";"Yearly Assumptions",#N/A,FALSE,"Other Assumptions";"Annual Summary",#N/A,FALSE,"Summary";"1999 by Quarter Summary",#N/A,FALSE,"Summary";"2000 by Quarter Summary",#N/A,FALSE,"Summary";"Contribution to FFO",#N/A,FALSE,"CONT SUMMARY";"Contribution to FFO-Acq. &amp; Disp.",#N/A,FALSE,"CONT SUMMARY";"Contribution to FFO-Developments",#N/A,FALSE,"CONT SUMMARY";"Pivot Table Pro-Forma",#N/A,FALSE,"Pivot Table Proforma";"Pivot Table-Dispositions",#N/A,FALSE,"Pivot Table Dispositions";"Development Cash Flows",#N/A,FALSE,"Development Cash Flows";"Income from JVs",#N/A,FALSE,"Income from JV's";"Fee Income",#N/A,FALSE,"Fees noncombined affiliates";"Interest Income",#N/A,FALSE,"Interest Income";"Unsecured Debentures",#N/A,FALSE,"Unsecured Debentures";"secured interest",#N/A,FALSE,"Secured Existing Interest Pivot";"Extended Secured Debt",#N/A,FALSE,"Extended Secured Debt";"Capitalized Interest",#N/A,FALSE,"Capitalized Interest";"Secured Existing Debt",#N/A,FALSE,"Secured Existing Debt";"Secured Debt-Refinanced",#N/A,FALSE,"Secured Debt Refinanced";"principal payments",#N/A,FALSE,"Secured PrincPay Pivot";"Covenant Ratios",#N/A,FALSE,"Covenant Ratios";"Covenant Calculation",#N/A,FALSE,"Covenant Calculations";"Margins",#N/A,FALSE,"Margins";"GAAP to TAX",#N/A,FALSE,"GAAP to TAX";"Net Free CF-Paydown",#N/A,FALSE,"Net Free CF Revolver Paydown";"CAPX",#N/A,FALSE,"CAP X";"Balance Sheet",#N/A,FALSE,"Balance Sheet";"BSA99",#N/A,FALSE,"Balance Sheet Analysis";"BSA2000",#N/A,FALSE,"Balance Sheet Analysis";"BSA2001",#N/A,FALSE,"Balance Sheet Analysis";"Unencumbered Portfolio",#N/A,FALSE,"Unencumbered Portfolio "}</definedName>
    <definedName name="RLAINPUT_DebtLoan1CapEx" hidden="1">#REF!</definedName>
    <definedName name="RLAINPUT_DebtLoan1Funding" hidden="1">#REF!,#REF!,#REF!</definedName>
    <definedName name="RLAINPUT_DebtLoan1Gen1" hidden="1">#REF!</definedName>
    <definedName name="RLAINPUT_DebtLoan1Gen2" hidden="1">#REF!</definedName>
    <definedName name="RLAINPUT_DebtLoan1Payment" hidden="1">#REF!</definedName>
    <definedName name="RLAINPUT_DebtLoan2CapEx" hidden="1">#REF!</definedName>
    <definedName name="RLAINPUT_DebtLoan2Funding" hidden="1">#REF!,#REF!,#REF!</definedName>
    <definedName name="RLAINPUT_DebtLoan2Gen1" hidden="1">#REF!</definedName>
    <definedName name="RLAINPUT_DebtLoan2Gen2" hidden="1">#REF!</definedName>
    <definedName name="RLAINPUT_DebtLoan2Payment" hidden="1">#REF!</definedName>
    <definedName name="RLAINPUT_DebtLoan3CapEx" hidden="1">#REF!</definedName>
    <definedName name="RLAINPUT_DebtLoan3Funding" hidden="1">#REF!,#REF!,#REF!</definedName>
    <definedName name="RLAINPUT_DebtLoan3Gen1" hidden="1">#REF!</definedName>
    <definedName name="RLAINPUT_DebtLoan3Gen2" hidden="1">#REF!</definedName>
    <definedName name="RLAINPUT_DebtLoan3Payment" hidden="1">#REF!</definedName>
    <definedName name="RLAINPUT_DebtRateIndex" hidden="1">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Percent" hidden="1">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LAINPUT_PortfolioInputs" hidden="1">#REF!</definedName>
    <definedName name="RLAINPUT_PortfolioPropertyInputs" hidden="1">#REF!</definedName>
    <definedName name="RM_Corrected?">TRUE</definedName>
    <definedName name="rngCommunity">#REF!</definedName>
    <definedName name="Rnt_Lse">#REF!</definedName>
    <definedName name="Rnt_Mkt">#REF!</definedName>
    <definedName name="Rnt_Unit_Mo">#REF!</definedName>
    <definedName name="Rnt_Var">#REF!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llfile">#REF!</definedName>
    <definedName name="rollingEQUITYvalue">#REF!</definedName>
    <definedName name="RollingNPV">#REF!</definedName>
    <definedName name="Rooms">#REF!</definedName>
    <definedName name="RootDir">#REF!</definedName>
    <definedName name="ROWS">#REF!</definedName>
    <definedName name="rozp" hidden="1">{#N/A,#N/A,TRUE,"Krycí list"}</definedName>
    <definedName name="rozpp" hidden="1">{#N/A,#N/A,TRUE,"Krycí list"}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_Date">#REF!</definedName>
    <definedName name="rrg" hidden="1">#REF!</definedName>
    <definedName name="RRoll_Data">#REF!</definedName>
    <definedName name="RRoll_Vac_Calc">#REF!</definedName>
    <definedName name="RRoll_Vac_Data">#REF!</definedName>
    <definedName name="rrr" hidden="1">{#N/A,#N/A,FALSE,"ExecutiveSummary";#N/A,#N/A,FALSE,"CostDetail";#N/A,#N/A,FALSE,"IncomeDetail"}</definedName>
    <definedName name="rrrr" hidden="1">#N/A</definedName>
    <definedName name="rs" hidden="1">{"FCB_ALL",#N/A,FALSE,"FCB"}</definedName>
    <definedName name="rse" hidden="1">{"FCB_ALL",#N/A,FALSE,"FCB"}</definedName>
    <definedName name="RSF">#REF!</definedName>
    <definedName name="rt" hidden="1">#REF!</definedName>
    <definedName name="rtartg" hidden="1">#REF!</definedName>
    <definedName name="rtha" hidden="1">#REF!</definedName>
    <definedName name="rther" hidden="1">{"Investor",#N/A,FALSE,"Model";"Property",#N/A,FALSE,"Model";"Incentive Taxes",#N/A,FALSE,"Model"}</definedName>
    <definedName name="rthsrth" hidden="1">#REF!</definedName>
    <definedName name="rtl" hidden="1">#REF!</definedName>
    <definedName name="rtxfdgth" hidden="1">#REF!</definedName>
    <definedName name="rtyr" hidden="1">{"sheet a",#N/A,FALSE,"A";"sheet b 1",#N/A,FALSE,"B";"sheet b 2",#N/A,FALSE,"B"}</definedName>
    <definedName name="RUT">#REF!</definedName>
    <definedName name="RW_INFO_1">#REF!</definedName>
    <definedName name="rwe" hidden="1">{"Grant",#N/A,FALSE,"Grant";"GP Developer",#N/A,FALSE,"GP &amp; Dev Loans";"Operating Analysis",#N/A,FALSE,"Operations";"Tax Credit",#N/A,FALSE,"Tax Credits";"Tax Credit Analysis",#N/A,FALSE,"TC Analysis"}</definedName>
    <definedName name="Rwvu._Current_." hidden="1">#REF!</definedName>
    <definedName name="Rwvu.ALL." hidden="1">#REF!,#REF!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FRP_backlog2." hidden="1">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Overhead._.detail." hidden="1">#REF!,#REF!</definedName>
    <definedName name="Rwvu.PERCENTAGE._.RENT." hidden="1">#REF!,#REF!,#REF!</definedName>
    <definedName name="Rwvu.Profit._.report._.detailed." hidden="1">#REF!,#REF!</definedName>
    <definedName name="Rwvu.Sommaire." hidden="1">#REF!,#REF!,#REF!,#REF!,#REF!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ryui" hidden="1">{0,#N/A,FALSE,0}</definedName>
    <definedName name="s" hidden="1">#REF!</definedName>
    <definedName name="s_old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a_2" hidden="1">{"rtn",#N/A,FALSE,"RTN";"tables",#N/A,FALSE,"RTN";"cf",#N/A,FALSE,"CF";"stats",#N/A,FALSE,"Stats";"prop",#N/A,FALSE,"Prop"}</definedName>
    <definedName name="saa_3" hidden="1">{"rtn",#N/A,FALSE,"RTN";"tables",#N/A,FALSE,"RTN";"cf",#N/A,FALSE,"CF";"stats",#N/A,FALSE,"Stats";"prop",#N/A,FALSE,"Prop"}</definedName>
    <definedName name="saa_4" hidden="1">{"rtn",#N/A,FALSE,"RTN";"tables",#N/A,FALSE,"RTN";"cf",#N/A,FALSE,"CF";"stats",#N/A,FALSE,"Stats";"prop",#N/A,FALSE,"Prop"}</definedName>
    <definedName name="sadasd" hidden="1">#REF!</definedName>
    <definedName name="sadd" hidden="1">{"MonthlyRentRoll",#N/A,FALSE,"RentRoll"}</definedName>
    <definedName name="sadd_1" hidden="1">{"MonthlyRentRoll",#N/A,FALSE,"RentRoll"}</definedName>
    <definedName name="sadd_2" hidden="1">{"MonthlyRentRoll",#N/A,FALSE,"RentRoll"}</definedName>
    <definedName name="sadd_3" hidden="1">{"MonthlyRentRoll",#N/A,FALSE,"RentRoll"}</definedName>
    <definedName name="sadd_4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_1" hidden="1">{"MonthlyRentRoll",#N/A,FALSE,"RentRoll"}</definedName>
    <definedName name="sadd2_2" hidden="1">{"MonthlyRentRoll",#N/A,FALSE,"RentRoll"}</definedName>
    <definedName name="sadd2_3" hidden="1">{"MonthlyRentRoll",#N/A,FALSE,"RentRoll"}</definedName>
    <definedName name="sadd2_4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_1" hidden="1">{"AnnualRentRoll",#N/A,FALSE,"RentRoll"}</definedName>
    <definedName name="saddd_2" hidden="1">{"AnnualRentRoll",#N/A,FALSE,"RentRoll"}</definedName>
    <definedName name="saddd_3" hidden="1">{"AnnualRentRoll",#N/A,FALSE,"RentRoll"}</definedName>
    <definedName name="saddd_4" hidden="1">{"AnnualRentRoll",#N/A,FALSE,"RentRoll"}</definedName>
    <definedName name="saddd2" hidden="1">{"AnnualRentRoll",#N/A,FALSE,"RentRoll"}</definedName>
    <definedName name="saddd2_1" hidden="1">{"AnnualRentRoll",#N/A,FALSE,"RentRoll"}</definedName>
    <definedName name="saddd2_2" hidden="1">{"AnnualRentRoll",#N/A,FALSE,"RentRoll"}</definedName>
    <definedName name="saddd2_3" hidden="1">{"AnnualRentRoll",#N/A,FALSE,"RentRoll"}</definedName>
    <definedName name="saddd2_4" hidden="1">{"AnnualRentRoll",#N/A,FALSE,"RentRoll"}</definedName>
    <definedName name="sadddd2" hidden="1">{"AnnualRentRoll",#N/A,FALSE,"RentRoll"}</definedName>
    <definedName name="sadddd2_1" hidden="1">{"AnnualRentRoll",#N/A,FALSE,"RentRoll"}</definedName>
    <definedName name="sadddd2_2" hidden="1">{"AnnualRentRoll",#N/A,FALSE,"RentRoll"}</definedName>
    <definedName name="sadddd2_3" hidden="1">{"AnnualRentRoll",#N/A,FALSE,"RentRoll"}</definedName>
    <definedName name="sadddd2_4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_2" hidden="1">{"AnnualRentRoll",#N/A,FALSE,"RentRoll"}</definedName>
    <definedName name="saddddd_3" hidden="1">{"AnnualRentRoll",#N/A,FALSE,"RentRoll"}</definedName>
    <definedName name="saddddd_4" hidden="1">{"AnnualRentRoll",#N/A,FALSE,"RentRoll"}</definedName>
    <definedName name="saddddddd2" hidden="1">{#N/A,#N/A,FALSE,"ExitStratigy"}</definedName>
    <definedName name="saddddddd2_1" hidden="1">{#N/A,#N/A,FALSE,"ExitStratigy"}</definedName>
    <definedName name="saddddddd2_2" hidden="1">{#N/A,#N/A,FALSE,"ExitStratigy"}</definedName>
    <definedName name="saddddddd2_3" hidden="1">{#N/A,#N/A,FALSE,"ExitStratigy"}</definedName>
    <definedName name="saddddddd2_4" hidden="1">{#N/A,#N/A,FALSE,"ExitStratigy"}</definedName>
    <definedName name="sadddddddd" hidden="1">{#N/A,#N/A,FALSE,"ExitStratigy"}</definedName>
    <definedName name="sadddddddd_1" hidden="1">{#N/A,#N/A,FALSE,"ExitStratigy"}</definedName>
    <definedName name="sadddddddd_2" hidden="1">{#N/A,#N/A,FALSE,"ExitStratigy"}</definedName>
    <definedName name="sadddddddd_3" hidden="1">{#N/A,#N/A,FALSE,"ExitStratigy"}</definedName>
    <definedName name="sadddddddd_4" hidden="1">{#N/A,#N/A,FALSE,"ExitStratigy"}</definedName>
    <definedName name="saddddddddd2" hidden="1">{#N/A,#N/A,FALSE,"LoanAssumptions"}</definedName>
    <definedName name="saddddddddd2_1" hidden="1">{#N/A,#N/A,FALSE,"LoanAssumptions"}</definedName>
    <definedName name="saddddddddd2_2" hidden="1">{#N/A,#N/A,FALSE,"LoanAssumptions"}</definedName>
    <definedName name="saddddddddd2_3" hidden="1">{#N/A,#N/A,FALSE,"LoanAssumptions"}</definedName>
    <definedName name="saddddddddd2_4" hidden="1">{#N/A,#N/A,FALSE,"LoanAssumptions"}</definedName>
    <definedName name="sadddddddddd" hidden="1">{#N/A,#N/A,FALSE,"LoanAssumptions"}</definedName>
    <definedName name="sadddddddddd_1" hidden="1">{#N/A,#N/A,FALSE,"LoanAssumptions"}</definedName>
    <definedName name="sadddddddddd_2" hidden="1">{#N/A,#N/A,FALSE,"LoanAssumptions"}</definedName>
    <definedName name="sadddddddddd_3" hidden="1">{#N/A,#N/A,FALSE,"LoanAssumptions"}</definedName>
    <definedName name="sadddddddddd_4" hidden="1">{#N/A,#N/A,FALSE,"LoanAssumptions"}</definedName>
    <definedName name="saddddddddddd2" hidden="1">{#N/A,#N/A,FALSE,"OperatingAssumptions"}</definedName>
    <definedName name="saddddddddddd2_1" hidden="1">{#N/A,#N/A,FALSE,"OperatingAssumptions"}</definedName>
    <definedName name="saddddddddddd2_2" hidden="1">{#N/A,#N/A,FALSE,"OperatingAssumptions"}</definedName>
    <definedName name="saddddddddddd2_3" hidden="1">{#N/A,#N/A,FALSE,"OperatingAssumptions"}</definedName>
    <definedName name="saddddddddddd2_4" hidden="1">{#N/A,#N/A,FALSE,"OperatingAssumptions"}</definedName>
    <definedName name="saddddddddddddd" hidden="1">{#N/A,#N/A,FALSE,"OperatingAssumptions"}</definedName>
    <definedName name="saddddddddddddd_1" hidden="1">{#N/A,#N/A,FALSE,"OperatingAssumptions"}</definedName>
    <definedName name="saddddddddddddd_2" hidden="1">{#N/A,#N/A,FALSE,"OperatingAssumptions"}</definedName>
    <definedName name="saddddddddddddd_3" hidden="1">{#N/A,#N/A,FALSE,"OperatingAssumptions"}</definedName>
    <definedName name="saddddddddddddd_4" hidden="1">{#N/A,#N/A,FALSE,"OperatingAssumptions"}</definedName>
    <definedName name="sadfs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dfz" hidden="1">{0,#N/A,FALSE,0;0,#N/A,FALSE,0}</definedName>
    <definedName name="sadgsdffsd" hidden="1">{#N/A,#N/A,FALSE,"Consolidated";#N/A,#N/A,FALSE,"Available Credit";#N/A,#N/A,FALSE,"100% Owned";#N/A,#N/A,FALSE,"Bentall U.S. LLC";#N/A,#N/A,FALSE,"Bentall Properties (U.S.) Ltd.";#N/A,#N/A,FALSE,"Schedule I"}</definedName>
    <definedName name="sadsadsa" hidden="1">{"'Assump'!$F$6:$J$6"}</definedName>
    <definedName name="saery" hidden="1">{"Investor",#N/A,FALSE,"Model";"Property",#N/A,FALSE,"Model";"Incentive Taxes",#N/A,FALSE,"Model"}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#REF!</definedName>
    <definedName name="SALARYPRINT">#REF!</definedName>
    <definedName name="Sale">#REF!</definedName>
    <definedName name="SALE_CAP">#REF!</definedName>
    <definedName name="Sale_CapRate">#REF!</definedName>
    <definedName name="Sale_Exp">#REF!</definedName>
    <definedName name="Sale_Mo">#REF!</definedName>
    <definedName name="SALE_YEAR">#REF!</definedName>
    <definedName name="SaleCost">#REF!</definedName>
    <definedName name="salecosts">#REF!</definedName>
    <definedName name="SaleDate">#REF!</definedName>
    <definedName name="SALEPRICE01">#REF!</definedName>
    <definedName name="Sales_Cost">#REF!</definedName>
    <definedName name="Sales_Price">#REF!</definedName>
    <definedName name="Sales_Proceeds_after_Debt">#REF!</definedName>
    <definedName name="SalesCost">#REF!</definedName>
    <definedName name="sam" hidden="1">{"Full Gross to Net",#N/A,TRUE,"GtoN";"R_I Accepted from Group Coys",#N/A,TRUE,"GtoN";"R_I Ceded to Group Coys",#N/A,TRUE,"GtoN";"Closing Loss Reserves and Gross Claims Incurred",#N/A,TRUE,"GtoN"}</definedName>
    <definedName name="SAPBEXdnldView" hidden="1">"CT2YB164SH65T9MQ85IJ9K1BH"</definedName>
    <definedName name="SAPBEXhrIndnt" hidden="1">1</definedName>
    <definedName name="SAPBEXrevision" hidden="1">1</definedName>
    <definedName name="SAPBEXsysID" hidden="1">"BWP"</definedName>
    <definedName name="SAPBEXwbID" hidden="1">"97TGO3MUQQJKGLDFZCKVCYHCU"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_2" hidden="1">{"Outflow 1",#N/A,FALSE,"Outflows-Inflows";"Outflow 2",#N/A,FALSE,"Outflows-Inflows";"Inflow 1",#N/A,FALSE,"Outflows-Inflows";"Inflow 2",#N/A,FALSE,"Outflows-Inflows"}</definedName>
    <definedName name="sas_3" hidden="1">{"Outflow 1",#N/A,FALSE,"Outflows-Inflows";"Outflow 2",#N/A,FALSE,"Outflows-Inflows";"Inflow 1",#N/A,FALSE,"Outflows-Inflows";"Inflow 2",#N/A,FALSE,"Outflows-Inflows"}</definedName>
    <definedName name="sas_4" hidden="1">{"Outflow 1",#N/A,FALSE,"Outflows-Inflows";"Outflow 2",#N/A,FALSE,"Outflows-Inflows";"Inflow 1",#N/A,FALSE,"Outflows-Inflows";"Inflow 2",#N/A,FALSE,"Outflows-Inflows"}</definedName>
    <definedName name="sasdfkj" hidden="1">{"FCB_ALL",#N/A,FALSE,"FCB"}</definedName>
    <definedName name="sbgsdgfgbb" hidden="1">#REF!</definedName>
    <definedName name="SC_Fill" hidden="1">#REF!</definedName>
    <definedName name="SC_Fill2" hidden="1">#REF!</definedName>
    <definedName name="scen_change" hidden="1">#REF!,#REF!,#REF!,#REF!,#REF!</definedName>
    <definedName name="scen_date1" hidden="1">34379.7786921296</definedName>
    <definedName name="scen_name1" hidden="1">"SOLV 1"</definedName>
    <definedName name="scen_num" hidden="1">1</definedName>
    <definedName name="scen_result" hidden="1">#REF!</definedName>
    <definedName name="scen_user1" hidden="1">"JEAN-LOUIS TORRES"</definedName>
    <definedName name="scen_value1" hidden="1">{"0,0525";"0";"0";"20";"0";"0,025";"7"}</definedName>
    <definedName name="scen1">#REF!</definedName>
    <definedName name="scen2">#REF!</definedName>
    <definedName name="scen3">#REF!</definedName>
    <definedName name="SCENARIO">#REF!</definedName>
    <definedName name="scenariocoverpage">#REF!</definedName>
    <definedName name="ScenarioNumber" hidden="1">#REF!</definedName>
    <definedName name="Sched_Pay">#REF!</definedName>
    <definedName name="Scheduled_Extra_Payments">#REF!</definedName>
    <definedName name="Scheduled_Monthly_Payment">#REF!</definedName>
    <definedName name="Schornsteinfeger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sdaleAP" hidden="1">#REF!</definedName>
    <definedName name="sd" hidden="1">{"Assump",#N/A,TRUE,"Proforma";"first",#N/A,TRUE,"Proforma";"second",#N/A,TRUE,"Proforma";"lease1",#N/A,TRUE,"Proforma";"lease2",#N/A,TRUE,"Proforma"}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cds" hidden="1">{"'Assump'!$F$6:$J$6"}</definedName>
    <definedName name="sdf" hidden="1">{"sheet a",#N/A,FALSE,"A";"sheet b 1",#N/A,FALSE,"B";"sheet b 2",#N/A,FALSE,"B"}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ass_2" hidden="1">{"Outflow 1",#N/A,FALSE,"Outflows-Inflows";"Outflow 2",#N/A,FALSE,"Outflows-Inflows";"Inflow 1",#N/A,FALSE,"Outflows-Inflows";"Inflow 2",#N/A,FALSE,"Outflows-Inflows"}</definedName>
    <definedName name="sdfass_3" hidden="1">{"Outflow 1",#N/A,FALSE,"Outflows-Inflows";"Outflow 2",#N/A,FALSE,"Outflows-Inflows";"Inflow 1",#N/A,FALSE,"Outflows-Inflows";"Inflow 2",#N/A,FALSE,"Outflows-Inflows"}</definedName>
    <definedName name="sdfass_4" hidden="1">{"Outflow 1",#N/A,FALSE,"Outflows-Inflows";"Outflow 2",#N/A,FALSE,"Outflows-Inflows";"Inflow 1",#N/A,FALSE,"Outflows-Inflows";"Inflow 2",#N/A,FALSE,"Outflows-Inflows"}</definedName>
    <definedName name="sdfd" hidden="1">{"Summary",#N/A,FALSE,"Summary"}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{"FCB_ALL",#N/A,FALSE,"FCB";"GREY_ALL",#N/A,FALSE,"GREY"}</definedName>
    <definedName name="sdff" hidden="1">{#N/A,#N/A,TRUE,"Krycí list"}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dsf" hidden="1">#REF!</definedName>
    <definedName name="sdfgdsfg" hidden="1">#REF!</definedName>
    <definedName name="SDFGFG" hidden="1">#REF!</definedName>
    <definedName name="sdfgsdfhhsfd" hidden="1">#REF!</definedName>
    <definedName name="sdfh" hidden="1">{"FCB_ALL",#N/A,FALSE,"FCB"}</definedName>
    <definedName name="sdfh2w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sdfhshcdddcd" hidden="1">#REF!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df" hidden="1">#REF!</definedName>
    <definedName name="sdfsdfsdfsafsdf" hidden="1">{"FCB_ALL",#N/A,FALSE,"FCB"}</definedName>
    <definedName name="sdfsds" hidden="1">#REF!</definedName>
    <definedName name="sdfv" hidden="1">{0,#N/A,FALSE,0;0,#N/A,FALSE,0}</definedName>
    <definedName name="sdgasfhadsfhgerh" hidden="1">#REF!</definedName>
    <definedName name="sdgdfg" hidden="1">{"new",#N/A,FALSE,"D";"PROFORMA",#N/A,FALSE,"A";"partial 1",#N/A,FALSE,"B";"partial 2",#N/A,FALSE,"B";"partial 3",#N/A,FALSE,"B";"SMALL CF 1",#N/A,FALSE,"C"}</definedName>
    <definedName name="sdgfr" hidden="1">{"sheet a",#N/A,FALSE,"A";"sheet b 1",#N/A,FALSE,"B";"sheet b 2",#N/A,FALSE,"B"}</definedName>
    <definedName name="sdgg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dgs" hidden="1">{0,0,0,0}</definedName>
    <definedName name="sdhr" hidden="1">{"FCB_ALL",#N/A,FALSE,"FCB";"GREY_ALL",#N/A,FALSE,"GREY"}</definedName>
    <definedName name="sdvsfdvfdsb" hidden="1">#REF!</definedName>
    <definedName name="sdz" hidden="1">{"FCB_ALL",#N/A,FALSE,"FCB"}</definedName>
    <definedName name="se" hidden="1">#REF!</definedName>
    <definedName name="SECONDLIEN">#REF!</definedName>
    <definedName name="SecondLoanSchedule">#REF!</definedName>
    <definedName name="seee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Seg_LBO_Summ" hidden="1">{"LBO Summary",#N/A,FALSE,"Summary"}</definedName>
    <definedName name="Segment_Pie_Data" hidden="1">OFFSET(#REF!,0,0,COUNTA(#REF!)-1,1)</definedName>
    <definedName name="Segment_Pie_X_Data" hidden="1">OFFSET(#REF!,0,0,COUNTA(#REF!)-1,1)</definedName>
    <definedName name="SELECTION_ENTITY">#REF!</definedName>
    <definedName name="Sell_Date">#REF!</definedName>
    <definedName name="selrange" hidden="1">#REF!</definedName>
    <definedName name="Semi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hidden="1">1</definedName>
    <definedName name="senfinancing">#REF!</definedName>
    <definedName name="senInterest">#REF!</definedName>
    <definedName name="SenLTV">#REF!</definedName>
    <definedName name="senmosofIO">#REF!</definedName>
    <definedName name="senorigfee">#REF!</definedName>
    <definedName name="senpandi">#REF!</definedName>
    <definedName name="SENSITIVITY">#REF!</definedName>
    <definedName name="senterm">#REF!</definedName>
    <definedName name="Sept.">#REF!</definedName>
    <definedName name="sese" hidden="1">{"mgmt forecast",#N/A,FALSE,"Mgmt Forecast";"dcf table",#N/A,FALSE,"Mgmt Forecast";"sensitivity",#N/A,FALSE,"Mgmt Forecast";"table inputs",#N/A,FALSE,"Mgmt Forecast";"calculations",#N/A,FALSE,"Mgmt Forecast"}</definedName>
    <definedName name="Set">" "</definedName>
    <definedName name="SetExitLables">#N/A</definedName>
    <definedName name="setExitValue">#N/A</definedName>
    <definedName name="setheth" hidden="1">#REF!</definedName>
    <definedName name="sf">#REF!</definedName>
    <definedName name="SF_2">#REF!</definedName>
    <definedName name="SF_Additional">#REF!</definedName>
    <definedName name="SF_Build">#REF!</definedName>
    <definedName name="SF_Current_Industrial">#REF!</definedName>
    <definedName name="SF_Current_Office">#REF!</definedName>
    <definedName name="SF_Existing">#REF!</definedName>
    <definedName name="SF_FAR">#REF!</definedName>
    <definedName name="SF_Gross">#REF!</definedName>
    <definedName name="SF_Lot">#REF!</definedName>
    <definedName name="SF_Net">#REF!</definedName>
    <definedName name="SF_Raised">#REF!</definedName>
    <definedName name="sfbgsfbgsfbg" hidden="1">#REF!</definedName>
    <definedName name="sfd" hidden="1">{"Const_Monthly",#N/A,FALSE,"Construction"}</definedName>
    <definedName name="sfdag" hidden="1">{#N/A,#N/A,TRUE,"FR_HC";#N/A,#N/A,TRUE,"FR_REST";#N/A,#N/A,TRUE,"FR_RETA";#N/A,#N/A,TRUE,"FR_TECSOF";#N/A,#N/A,TRUE,"FR_NETTEC";#N/A,#N/A,TRUE,"FR_CLISER"}</definedName>
    <definedName name="SFDGDSG" hidden="1">#REF!</definedName>
    <definedName name="sfdgsar" hidden="1">{"FCB_ALL",#N/A,FALSE,"FCB";"GREY_ALL",#N/A,FALSE,"GREY"}</definedName>
    <definedName name="sfds" hidden="1">{#N/A,#N/A,FALSE,"Cash Flow"}</definedName>
    <definedName name="SFDsum" hidden="1">{#N/A,#N/A,FALSE,"Static Proforma";#N/A,#N/A,FALSE,"Bldg Dev DCF";#N/A,#N/A,FALSE,"Land Sales DCF"}</definedName>
    <definedName name="Sfe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sffsd">INDEX({12,6,3,2,1},MATCH(#REF!,battery1,0))</definedName>
    <definedName name="sfg" hidden="1">{#N/A,#N/A,FALSE,"Aging Summary";#N/A,#N/A,FALSE,"Ratio Analysis";#N/A,#N/A,FALSE,"Test 120 Day Accts";#N/A,#N/A,FALSE,"Tickmarks"}</definedName>
    <definedName name="sfg." hidden="1">{"Construction_Short",#N/A,FALSE,"Construction"}</definedName>
    <definedName name="sg" hidden="1">{#N/A,#N/A,FALSE,"Chart 2 by Prop Type"}</definedName>
    <definedName name="SG_Fill" hidden="1">#REF!</definedName>
    <definedName name="sgs" hidden="1">{#N/A,#N/A,FALSE,"Chart 2 by Prop Type"}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eet" hidden="1">#N/A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rtfallMo1Y1">#REF!</definedName>
    <definedName name="ShortfallMo1Y2">#REF!</definedName>
    <definedName name="ShortfallMo2Y1">#REF!</definedName>
    <definedName name="ShortfallMo2Y2">#REF!</definedName>
    <definedName name="ShortfallMo3Y1">#REF!</definedName>
    <definedName name="ShortfallMo3Y2">#REF!</definedName>
    <definedName name="ShortfallYr">#REF!</definedName>
    <definedName name="ShortfallYr2">#REF!</definedName>
    <definedName name="ShortfallYr3">#REF!</definedName>
    <definedName name="Sites">#REF!</definedName>
    <definedName name="sjsryhry" hidden="1">#REF!</definedName>
    <definedName name="sk" hidden="1">"1, 3, 1, False, 2, False, False, , 0, False, True, 3, 2"</definedName>
    <definedName name="skxcbwjkcb" hidden="1">#REF!</definedName>
    <definedName name="slkdhvoislsfjpsojflmnfsofjhsofbs" hidden="1">{#N/A,#N/A,FALSE,"Chart 2 by Prop Type"}</definedName>
    <definedName name="SMBC" hidden="1">{"Ops_S.Holders Assets and Income",#N/A,FALSE,"ops_shf"}</definedName>
    <definedName name="SMBCR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SMtoSF">#REF!</definedName>
    <definedName name="SOBID">#REF!</definedName>
    <definedName name="sofj" hidden="1">{#N/A,#N/A,FALSE,"Chart 2 by Prop Type"}</definedName>
    <definedName name="SOlive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10" hidden="1">#REF!</definedName>
    <definedName name="solver_lhs11" hidden="1">#REF!</definedName>
    <definedName name="solver_lhs12" hidden="1">#REF!</definedName>
    <definedName name="solver_lhs13" hidden="1">#REF!</definedName>
    <definedName name="solver_lhs14" hidden="1">#REF!</definedName>
    <definedName name="solver_lhs15" hidden="1">#REF!</definedName>
    <definedName name="solver_lhs16" hidden="1">#REF!</definedName>
    <definedName name="solver_lhs17" hidden="1">#REF!</definedName>
    <definedName name="solver_lhs18" hidden="1">#REF!</definedName>
    <definedName name="solver_lhs19" hidden="1">#REF!</definedName>
    <definedName name="solver_lhs2" hidden="1">#REF!</definedName>
    <definedName name="solver_lhs20" hidden="1">#REF!</definedName>
    <definedName name="solver_lhs21" hidden="1">#REF!</definedName>
    <definedName name="solver_lhs22" hidden="1">#REF!</definedName>
    <definedName name="solver_lhs23" hidden="1">#REF!</definedName>
    <definedName name="solver_lhs24" hidden="1">#REF!</definedName>
    <definedName name="solver_lhs25" hidden="1">#REF!</definedName>
    <definedName name="solver_lhs26" hidden="1">#REF!</definedName>
    <definedName name="solver_lhs27" hidden="1">#REF!</definedName>
    <definedName name="solver_lhs28" hidden="1">#REF!</definedName>
    <definedName name="solver_lhs29" hidden="1">#REF!</definedName>
    <definedName name="solver_lhs3" hidden="1">#REF!</definedName>
    <definedName name="solver_lhs30" hidden="1">#REF!</definedName>
    <definedName name="solver_lhs31" hidden="1">#REF!</definedName>
    <definedName name="solver_lhs32" hidden="1">#REF!</definedName>
    <definedName name="solver_lhs33" hidden="1">#REF!</definedName>
    <definedName name="solver_lhs34" hidden="1">#REF!</definedName>
    <definedName name="solver_lhs35" hidden="1">#REF!</definedName>
    <definedName name="solver_lhs36" hidden="1">#REF!</definedName>
    <definedName name="solver_lhs37" hidden="1">#REF!</definedName>
    <definedName name="solver_lhs38" hidden="1">#REF!</definedName>
    <definedName name="solver_lhs39" hidden="1">#REF!</definedName>
    <definedName name="solver_lhs4" hidden="1">#REF!</definedName>
    <definedName name="solver_lhs40" hidden="1">#REF!</definedName>
    <definedName name="solver_lhs41" hidden="1">#REF!</definedName>
    <definedName name="solver_lhs42" hidden="1">#REF!</definedName>
    <definedName name="solver_lhs43" hidden="1">#REF!</definedName>
    <definedName name="solver_lhs44" hidden="1">#REF!</definedName>
    <definedName name="solver_lhs45" hidden="1">#REF!</definedName>
    <definedName name="solver_lhs46" hidden="1">#REF!</definedName>
    <definedName name="solver_lhs47" hidden="1">#REF!</definedName>
    <definedName name="solver_lhs48" hidden="1">#REF!</definedName>
    <definedName name="solver_lhs49" hidden="1">#REF!</definedName>
    <definedName name="solver_lhs5" hidden="1">#REF!</definedName>
    <definedName name="solver_lhs50" hidden="1">#REF!</definedName>
    <definedName name="solver_lhs51" hidden="1">#REF!</definedName>
    <definedName name="solver_lhs52" hidden="1">#REF!</definedName>
    <definedName name="solver_lhs53" hidden="1">#REF!</definedName>
    <definedName name="solver_lhs54" hidden="1">#REF!</definedName>
    <definedName name="solver_lhs55" hidden="1">#REF!</definedName>
    <definedName name="solver_lhs56" hidden="1">#REF!</definedName>
    <definedName name="solver_lhs57" hidden="1">#REF!</definedName>
    <definedName name="solver_lhs58" hidden="1">#REF!</definedName>
    <definedName name="solver_lhs59" hidden="1">#REF!</definedName>
    <definedName name="solver_lhs6" hidden="1">#REF!</definedName>
    <definedName name="solver_lhs60" hidden="1">#REF!</definedName>
    <definedName name="solver_lhs61" hidden="1">#REF!</definedName>
    <definedName name="solver_lhs62" hidden="1">#REF!</definedName>
    <definedName name="solver_lhs63" hidden="1">#REF!</definedName>
    <definedName name="solver_lhs64" hidden="1">#REF!</definedName>
    <definedName name="solver_lhs65" hidden="1">#REF!</definedName>
    <definedName name="solver_lhs66" hidden="1">#REF!</definedName>
    <definedName name="solver_lhs67" hidden="1">#REF!</definedName>
    <definedName name="solver_lhs68" hidden="1">#REF!</definedName>
    <definedName name="solver_lhs69" hidden="1">#REF!</definedName>
    <definedName name="solver_lhs7" hidden="1">#REF!</definedName>
    <definedName name="solver_lhs70" hidden="1">#REF!</definedName>
    <definedName name="solver_lhs71" hidden="1">#REF!</definedName>
    <definedName name="solver_lhs72" hidden="1">#REF!</definedName>
    <definedName name="solver_lhs73" hidden="1">#REF!</definedName>
    <definedName name="solver_lhs74" hidden="1">#REF!</definedName>
    <definedName name="solver_lhs75" hidden="1">#REF!</definedName>
    <definedName name="solver_lhs76" hidden="1">#REF!</definedName>
    <definedName name="solver_lhs77" hidden="1">#REF!</definedName>
    <definedName name="solver_lhs78" hidden="1">#REF!</definedName>
    <definedName name="solver_lhs79" hidden="1">#REF!</definedName>
    <definedName name="solver_lhs8" hidden="1">#REF!</definedName>
    <definedName name="solver_lhs80" hidden="1">#REF!</definedName>
    <definedName name="solver_lhs81" hidden="1">#REF!</definedName>
    <definedName name="solver_lhs82" hidden="1">#REF!</definedName>
    <definedName name="solver_lhs83" hidden="1">#REF!</definedName>
    <definedName name="solver_lhs84" hidden="1">#REF!</definedName>
    <definedName name="solver_lhs85" hidden="1">#REF!</definedName>
    <definedName name="solver_lhs86" hidden="1">#REF!</definedName>
    <definedName name="solver_lhs87" hidden="1">#REF!</definedName>
    <definedName name="solver_lhs88" hidden="1">#REF!</definedName>
    <definedName name="solver_lhs9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10" hidden="1">5</definedName>
    <definedName name="solver_rel11" hidden="1">5</definedName>
    <definedName name="solver_rel12" hidden="1">5</definedName>
    <definedName name="solver_rel13" hidden="1">5</definedName>
    <definedName name="solver_rel14" hidden="1">5</definedName>
    <definedName name="solver_rel15" hidden="1">5</definedName>
    <definedName name="solver_rel16" hidden="1">5</definedName>
    <definedName name="solver_rel17" hidden="1">5</definedName>
    <definedName name="solver_rel18" hidden="1">5</definedName>
    <definedName name="solver_rel19" hidden="1">5</definedName>
    <definedName name="solver_rel2" hidden="1">5</definedName>
    <definedName name="solver_rel20" hidden="1">5</definedName>
    <definedName name="solver_rel21" hidden="1">5</definedName>
    <definedName name="solver_rel22" hidden="1">5</definedName>
    <definedName name="solver_rel23" hidden="1">1</definedName>
    <definedName name="solver_rel24" hidden="1">5</definedName>
    <definedName name="solver_rel25" hidden="1">5</definedName>
    <definedName name="solver_rel26" hidden="1">5</definedName>
    <definedName name="solver_rel27" hidden="1">5</definedName>
    <definedName name="solver_rel28" hidden="1">5</definedName>
    <definedName name="solver_rel29" hidden="1">5</definedName>
    <definedName name="solver_rel3" hidden="1">5</definedName>
    <definedName name="solver_rel30" hidden="1">5</definedName>
    <definedName name="solver_rel31" hidden="1">5</definedName>
    <definedName name="solver_rel32" hidden="1">5</definedName>
    <definedName name="solver_rel33" hidden="1">5</definedName>
    <definedName name="solver_rel34" hidden="1">5</definedName>
    <definedName name="solver_rel35" hidden="1">5</definedName>
    <definedName name="solver_rel36" hidden="1">5</definedName>
    <definedName name="solver_rel37" hidden="1">5</definedName>
    <definedName name="solver_rel38" hidden="1">5</definedName>
    <definedName name="solver_rel39" hidden="1">5</definedName>
    <definedName name="solver_rel4" hidden="1">5</definedName>
    <definedName name="solver_rel40" hidden="1">5</definedName>
    <definedName name="solver_rel41" hidden="1">5</definedName>
    <definedName name="solver_rel42" hidden="1">5</definedName>
    <definedName name="solver_rel43" hidden="1">5</definedName>
    <definedName name="solver_rel44" hidden="1">5</definedName>
    <definedName name="solver_rel45" hidden="1">1</definedName>
    <definedName name="solver_rel46" hidden="1">5</definedName>
    <definedName name="solver_rel47" hidden="1">5</definedName>
    <definedName name="solver_rel48" hidden="1">5</definedName>
    <definedName name="solver_rel49" hidden="1">5</definedName>
    <definedName name="solver_rel5" hidden="1">5</definedName>
    <definedName name="solver_rel50" hidden="1">5</definedName>
    <definedName name="solver_rel51" hidden="1">5</definedName>
    <definedName name="solver_rel52" hidden="1">5</definedName>
    <definedName name="solver_rel53" hidden="1">5</definedName>
    <definedName name="solver_rel54" hidden="1">5</definedName>
    <definedName name="solver_rel55" hidden="1">5</definedName>
    <definedName name="solver_rel56" hidden="1">5</definedName>
    <definedName name="solver_rel57" hidden="1">5</definedName>
    <definedName name="solver_rel58" hidden="1">5</definedName>
    <definedName name="solver_rel59" hidden="1">5</definedName>
    <definedName name="solver_rel6" hidden="1">5</definedName>
    <definedName name="solver_rel60" hidden="1">5</definedName>
    <definedName name="solver_rel61" hidden="1">5</definedName>
    <definedName name="solver_rel62" hidden="1">5</definedName>
    <definedName name="solver_rel63" hidden="1">5</definedName>
    <definedName name="solver_rel64" hidden="1">5</definedName>
    <definedName name="solver_rel65" hidden="1">5</definedName>
    <definedName name="solver_rel66" hidden="1">5</definedName>
    <definedName name="solver_rel67" hidden="1">1</definedName>
    <definedName name="solver_rel68" hidden="1">5</definedName>
    <definedName name="solver_rel69" hidden="1">5</definedName>
    <definedName name="solver_rel7" hidden="1">5</definedName>
    <definedName name="solver_rel70" hidden="1">5</definedName>
    <definedName name="solver_rel71" hidden="1">5</definedName>
    <definedName name="solver_rel72" hidden="1">5</definedName>
    <definedName name="solver_rel73" hidden="1">5</definedName>
    <definedName name="solver_rel74" hidden="1">5</definedName>
    <definedName name="solver_rel75" hidden="1">5</definedName>
    <definedName name="solver_rel76" hidden="1">5</definedName>
    <definedName name="solver_rel77" hidden="1">5</definedName>
    <definedName name="solver_rel78" hidden="1">5</definedName>
    <definedName name="solver_rel79" hidden="1">5</definedName>
    <definedName name="solver_rel8" hidden="1">5</definedName>
    <definedName name="solver_rel80" hidden="1">5</definedName>
    <definedName name="solver_rel81" hidden="1">5</definedName>
    <definedName name="solver_rel82" hidden="1">5</definedName>
    <definedName name="solver_rel83" hidden="1">5</definedName>
    <definedName name="solver_rel84" hidden="1">5</definedName>
    <definedName name="solver_rel85" hidden="1">5</definedName>
    <definedName name="solver_rel86" hidden="1">5</definedName>
    <definedName name="solver_rel87" hidden="1">5</definedName>
    <definedName name="solver_rel88" hidden="1">5</definedName>
    <definedName name="solver_rel9" hidden="1">5</definedName>
    <definedName name="solver_rhs1" hidden="1">0.15</definedName>
    <definedName name="solver_rhs10" hidden="1">binary</definedName>
    <definedName name="solver_rhs11" hidden="1">binary</definedName>
    <definedName name="solver_rhs12" hidden="1">binary</definedName>
    <definedName name="solver_rhs13" hidden="1">binary</definedName>
    <definedName name="solver_rhs14" hidden="1">binary</definedName>
    <definedName name="solver_rhs15" hidden="1">binary</definedName>
    <definedName name="solver_rhs16" hidden="1">binary</definedName>
    <definedName name="solver_rhs17" hidden="1">binary</definedName>
    <definedName name="solver_rhs18" hidden="1">binary</definedName>
    <definedName name="solver_rhs19" hidden="1">binary</definedName>
    <definedName name="solver_rhs2" hidden="1">binary</definedName>
    <definedName name="solver_rhs20" hidden="1">binary</definedName>
    <definedName name="solver_rhs21" hidden="1">binary</definedName>
    <definedName name="solver_rhs22" hidden="1">binary</definedName>
    <definedName name="solver_rhs23" hidden="1">#REF!</definedName>
    <definedName name="solver_rhs24" hidden="1">binary</definedName>
    <definedName name="solver_rhs25" hidden="1">binary</definedName>
    <definedName name="solver_rhs26" hidden="1">binary</definedName>
    <definedName name="solver_rhs27" hidden="1">binary</definedName>
    <definedName name="solver_rhs28" hidden="1">binary</definedName>
    <definedName name="solver_rhs29" hidden="1">binary</definedName>
    <definedName name="solver_rhs3" hidden="1">binary</definedName>
    <definedName name="solver_rhs30" hidden="1">binary</definedName>
    <definedName name="solver_rhs31" hidden="1">binary</definedName>
    <definedName name="solver_rhs32" hidden="1">binary</definedName>
    <definedName name="solver_rhs33" hidden="1">binary</definedName>
    <definedName name="solver_rhs34" hidden="1">binary</definedName>
    <definedName name="solver_rhs35" hidden="1">binary</definedName>
    <definedName name="solver_rhs36" hidden="1">binary</definedName>
    <definedName name="solver_rhs37" hidden="1">binary</definedName>
    <definedName name="solver_rhs38" hidden="1">binary</definedName>
    <definedName name="solver_rhs39" hidden="1">binary</definedName>
    <definedName name="solver_rhs4" hidden="1">binary</definedName>
    <definedName name="solver_rhs40" hidden="1">binary</definedName>
    <definedName name="solver_rhs41" hidden="1">binary</definedName>
    <definedName name="solver_rhs42" hidden="1">binary</definedName>
    <definedName name="solver_rhs43" hidden="1">binary</definedName>
    <definedName name="solver_rhs44" hidden="1">binary</definedName>
    <definedName name="solver_rhs45" hidden="1">#REF!</definedName>
    <definedName name="solver_rhs46" hidden="1">binary</definedName>
    <definedName name="solver_rhs47" hidden="1">binary</definedName>
    <definedName name="solver_rhs48" hidden="1">binary</definedName>
    <definedName name="solver_rhs49" hidden="1">binary</definedName>
    <definedName name="solver_rhs5" hidden="1">binary</definedName>
    <definedName name="solver_rhs50" hidden="1">binary</definedName>
    <definedName name="solver_rhs51" hidden="1">binary</definedName>
    <definedName name="solver_rhs52" hidden="1">binary</definedName>
    <definedName name="solver_rhs53" hidden="1">binary</definedName>
    <definedName name="solver_rhs54" hidden="1">binary</definedName>
    <definedName name="solver_rhs55" hidden="1">binary</definedName>
    <definedName name="solver_rhs56" hidden="1">binary</definedName>
    <definedName name="solver_rhs57" hidden="1">binary</definedName>
    <definedName name="solver_rhs58" hidden="1">binary</definedName>
    <definedName name="solver_rhs59" hidden="1">binary</definedName>
    <definedName name="solver_rhs6" hidden="1">binary</definedName>
    <definedName name="solver_rhs60" hidden="1">binary</definedName>
    <definedName name="solver_rhs61" hidden="1">binary</definedName>
    <definedName name="solver_rhs62" hidden="1">binary</definedName>
    <definedName name="solver_rhs63" hidden="1">binary</definedName>
    <definedName name="solver_rhs64" hidden="1">binary</definedName>
    <definedName name="solver_rhs65" hidden="1">binary</definedName>
    <definedName name="solver_rhs66" hidden="1">binary</definedName>
    <definedName name="solver_rhs67" hidden="1">#REF!</definedName>
    <definedName name="solver_rhs68" hidden="1">binary</definedName>
    <definedName name="solver_rhs69" hidden="1">binary</definedName>
    <definedName name="solver_rhs7" hidden="1">binary</definedName>
    <definedName name="solver_rhs70" hidden="1">binary</definedName>
    <definedName name="solver_rhs71" hidden="1">binary</definedName>
    <definedName name="solver_rhs72" hidden="1">binary</definedName>
    <definedName name="solver_rhs73" hidden="1">binary</definedName>
    <definedName name="solver_rhs74" hidden="1">binary</definedName>
    <definedName name="solver_rhs75" hidden="1">binary</definedName>
    <definedName name="solver_rhs76" hidden="1">binary</definedName>
    <definedName name="solver_rhs77" hidden="1">binary</definedName>
    <definedName name="solver_rhs78" hidden="1">binary</definedName>
    <definedName name="solver_rhs79" hidden="1">binary</definedName>
    <definedName name="solver_rhs8" hidden="1">binary</definedName>
    <definedName name="solver_rhs80" hidden="1">binary</definedName>
    <definedName name="solver_rhs81" hidden="1">binary</definedName>
    <definedName name="solver_rhs82" hidden="1">binary</definedName>
    <definedName name="solver_rhs83" hidden="1">binary</definedName>
    <definedName name="solver_rhs84" hidden="1">binary</definedName>
    <definedName name="solver_rhs85" hidden="1">binary</definedName>
    <definedName name="solver_rhs86" hidden="1">binary</definedName>
    <definedName name="solver_rhs87" hidden="1">binary</definedName>
    <definedName name="solver_rhs88" hidden="1">binary</definedName>
    <definedName name="solver_rhs9" hidden="1">binary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</definedName>
    <definedName name="solver2" hidden="1">#REF!</definedName>
    <definedName name="sort">#REF!</definedName>
    <definedName name="sot" hidden="1">#REF!</definedName>
    <definedName name="SpecialPrice" hidden="1">#REF!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ponsortier1">#REF!</definedName>
    <definedName name="sponsortier2">#REF!</definedName>
    <definedName name="sponsortier3">#REF!</definedName>
    <definedName name="sponsortier4">#REF!</definedName>
    <definedName name="SPWS_WBID">"8129601D-092E-4067-B84D-9BC90C2562C1"</definedName>
    <definedName name="SqFt">#REF!</definedName>
    <definedName name="sql_statement" hidden="1">"select distinct acct_cat,sum(cyr),sum(lyr),sum(cbd),mult_x000D_
from r1_datasum_x000D_
group by acct_cat_x000D_
_x000D_
"</definedName>
    <definedName name="SR_Lookup">#REF!</definedName>
    <definedName name="srhtjdtyjn" hidden="1">#REF!</definedName>
    <definedName name="srt" hidden="1">#REF!</definedName>
    <definedName name="ss" hidden="1">{"'Lennar U.S. Partners'!$A$1:$N$53"}</definedName>
    <definedName name="SS_fin_high_pg2">#REF!</definedName>
    <definedName name="SS_finhigh_pg1">#REF!</definedName>
    <definedName name="SS_mthoprslt_pg2">#REF!</definedName>
    <definedName name="SS_ytdoprslt_pg3">#REF!</definedName>
    <definedName name="ssm" hidden="1">#REF!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{#N/A,#N/A,TRUE,"10 Yr Hold";#N/A,#N/A,TRUE,"7 Yr Hold";#N/A,#N/A,TRUE,"5 Yr Hold";#N/A,#N/A,TRUE,"3 Yr Hold"}</definedName>
    <definedName name="ssss" hidden="1">{#N/A,#N/A,FALSE,"Class A";#N/A,#N/A,FALSE,"Class B";#N/A,#N/A,FALSE,"Class C"}</definedName>
    <definedName name="SSSSSVS" hidden="1">{"print annual inc. statement",#N/A,FALSE,"Summary";"print annual stats",#N/A,FALSE,"Summary";"print quarterly inc. statement",#N/A,FALSE,"Summary";"print quarterly stats",#N/A,FALSE,"Summary"}</definedName>
    <definedName name="st" hidden="1">#REF!</definedName>
    <definedName name="ST_INPUT">#REF!</definedName>
    <definedName name="STAB">#REF!</definedName>
    <definedName name="STAB_ROLL_SF">#REF!</definedName>
    <definedName name="StableYr">#REF!</definedName>
    <definedName name="Stacked_Blue" hidden="1">"c1449"</definedName>
    <definedName name="Stadium" hidden="1">{#N/A,#N/A,TRUE,"Ericsson Stadium PCD ";#N/A,#N/A,TRUE,"Ericsson Stadium IOR"}</definedName>
    <definedName name="stadiuma" hidden="1">{#N/A,#N/A,TRUE,"Ericsson Stadium PCD ";#N/A,#N/A,TRUE,"Ericsson Stadium IOR"}</definedName>
    <definedName name="STANDARDS">#REF!</definedName>
    <definedName name="stands" hidden="1">{"FCB_ALL",#N/A,FALSE,"FCB";"GREY_ALL",#N/A,FALSE,"GREY"}</definedName>
    <definedName name="stands1" hidden="1">{"FCB_ALL",#N/A,FALSE,"FCB";"GREY_ALL",#N/A,FALSE,"GREY"}</definedName>
    <definedName name="stare" hidden="1">{#N/A,#N/A,TRUE,"A-site";#N/A,#N/A,TRUE,"B-Buildings";#N/A,#N/A,TRUE,"c-out-of-fence";#N/A,#N/A,TRUE,"d-proj.infr.";#N/A,#N/A,TRUE,"e- land"}</definedName>
    <definedName name="Start">#REF!</definedName>
    <definedName name="Start_Date">#REF!</definedName>
    <definedName name="Startcell">#REF!</definedName>
    <definedName name="StartCol">#REF!</definedName>
    <definedName name="StartDate">#REF!</definedName>
    <definedName name="StartRow">#REF!</definedName>
    <definedName name="StartYr">#REF!</definedName>
    <definedName name="State_List">#REF!</definedName>
    <definedName name="Statistics">#REF!</definedName>
    <definedName name="Status">#REF!</definedName>
    <definedName name="Status_Unit1">#REF!</definedName>
    <definedName name="Status1">#REF!</definedName>
    <definedName name="Status2">#REF!</definedName>
    <definedName name="Status3">#REF!</definedName>
    <definedName name="Status4">#REF!</definedName>
    <definedName name="Status5">#REF!</definedName>
    <definedName name="Status6">#REF!</definedName>
    <definedName name="Status7">#REF!</definedName>
    <definedName name="STNDRDPRS">#REF!</definedName>
    <definedName name="stop" hidden="1">#REF!</definedName>
    <definedName name="Straßenreinigung">#REF!</definedName>
    <definedName name="Strike">#REF!</definedName>
    <definedName name="StudentValueBasis">#REF!</definedName>
    <definedName name="stuff" hidden="1">{"CSheet",#N/A,FALSE,"C";"SmCap",#N/A,FALSE,"VAL1";"GulfCoast",#N/A,FALSE,"VAL1";"nav",#N/A,FALSE,"NAV";"Summary",#N/A,FALSE,"NAV"}</definedName>
    <definedName name="stupid" hidden="1">{"cap_structure",#N/A,FALSE,"Graph-Mkt Cap";"price",#N/A,FALSE,"Graph-Price";"ebit",#N/A,FALSE,"Graph-EBITDA";"ebitda",#N/A,FALSE,"Graph-EBITDA"}</definedName>
    <definedName name="subj_EBITDA" hidden="1">#REF!</definedName>
    <definedName name="SubsGrowth" hidden="1">#REF!</definedName>
    <definedName name="SUl" hidden="1">{#N/A,#N/A,FALSE,"Fund-II"}</definedName>
    <definedName name="SUMM">#REF!</definedName>
    <definedName name="SUMMARY">#REF!</definedName>
    <definedName name="SUMMARY_BOOK" hidden="1">{"page1",#N/A,FALSE,"GIRLBO";"page2",#N/A,FALSE,"GIRLBO";"page3",#N/A,FALSE,"GIRLBO";"page4",#N/A,FALSE,"GIRLBO";"page5",#N/A,FALSE,"GIRLBO"}</definedName>
    <definedName name="Summary2" hidden="1">{"INCOME",#N/A,FALSE,"ProNet";"VALUE",#N/A,FALSE,"ProNet"}</definedName>
    <definedName name="summary3" hidden="1">{"INCOME",#N/A,FALSE,"ProNet";"VALUE",#N/A,FALSE,"ProNet"}</definedName>
    <definedName name="summaryy" hidden="1">{#N/A,#N/A,TRUE,"Krycí list"}</definedName>
    <definedName name="Support4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Susie" hidden="1">{#N/A,#N/A,FALSE,"ZellLurieFinSummary";#N/A,#N/A,FALSE,"FirstCapFinSummary";#N/A,#N/A,FALSE,"ZM I-III Consol FinSummary"}</definedName>
    <definedName name="switch">#REF!</definedName>
    <definedName name="Swvu.ALL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FRP_BACKLOG1." hidden="1">#REF!</definedName>
    <definedName name="Swvu.FRP_backlog2." hidden="1">#REF!</definedName>
    <definedName name="Swvu.inputs._.raw._.data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Overhead._.detail." hidden="1">#REF!</definedName>
    <definedName name="Swvu.PERCENTAGE._.RENT." hidden="1">#REF!</definedName>
    <definedName name="Swvu.Profit._.report._.detailed." hidden="1">#REF!</definedName>
    <definedName name="Swvu.Sommaire." hidden="1">#REF!,#REF!,#REF!,#REF!,#REF!,#REF!</definedName>
    <definedName name="Swvu.summary1." hidden="1">#REF!</definedName>
    <definedName name="Swvu.summary2." hidden="1">#REF!</definedName>
    <definedName name="Swvu.summary3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WAT." hidden="1">#REF!</definedName>
    <definedName name="sx" hidden="1">{#N/A,#N/A,FALSE,"Chart 2 by Prop Type"}</definedName>
    <definedName name="sxdfrtxdft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syb">"MVX-CA"</definedName>
    <definedName name="T">#REF!</definedName>
    <definedName name="TABLE_1">#REF!</definedName>
    <definedName name="TABLE_3">#REF!</definedName>
    <definedName name="Table4">#REF!</definedName>
    <definedName name="Table4a">#REF!</definedName>
    <definedName name="Table5">#REF!</definedName>
    <definedName name="Table5a">#REF!</definedName>
    <definedName name="Table6">#REF!</definedName>
    <definedName name="Table6a">#REF!</definedName>
    <definedName name="TableName">"Dummy"</definedName>
    <definedName name="TableNames">#REF!,#REF!</definedName>
    <definedName name="tableofcontents">#REF!</definedName>
    <definedName name="TablePage2.com" hidden="1">{"COM",#N/A,FALSE,"800 10th"}</definedName>
    <definedName name="tables" hidden="1">#REF!</definedName>
    <definedName name="TableTypes">#REF!,#REF!</definedName>
    <definedName name="tanner">#REF!</definedName>
    <definedName name="Target" hidden="1">{"AnnualRentRoll",#N/A,FALSE,"RentRoll"}</definedName>
    <definedName name="Target.Company">"ETC-CA"</definedName>
    <definedName name="Tax_Rate">#REF!</definedName>
    <definedName name="TAXADJUST">#REF!</definedName>
    <definedName name="taxes">#REF!</definedName>
    <definedName name="TaxInflation">#REF!</definedName>
    <definedName name="TaxRate">#REF!</definedName>
    <definedName name="TAXRATE01">#REF!</definedName>
    <definedName name="TAXVALUE">#REF!</definedName>
    <definedName name="tbl_ProdInfo" hidden="1">#REF!</definedName>
    <definedName name="TC">#REF!</definedName>
    <definedName name="tdyjdtyj" hidden="1">{"Investor",#N/A,FALSE,"Model";"Property",#N/A,FALSE,"Model";"Incentive Taxes",#N/A,FALSE,"Model"}</definedName>
    <definedName name="temp" hidden="1">{"Financials",#N/A,FALSE,"Financials";"AVP",#N/A,FALSE,"AVP";"DCF",#N/A,FALSE,"DCF";"CSC",#N/A,FALSE,"CSC";"Deal_Comp",#N/A,FALSE,"DealComp"}</definedName>
    <definedName name="temp2" hidden="1">{"Print CRXLAND Assumptions",#N/A,FALSE,"CRXLAND Openings";"Print CRXLAND Openings",#N/A,FALSE,"CRXLAND Openings"}</definedName>
    <definedName name="template" hidden="1">{"'Lennar U.S. Partners'!$A$1:$N$53"}</definedName>
    <definedName name="tempor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temporary" hidden="1">{"Construction Costs",#N/A,FALSE,"Total Costs"}</definedName>
    <definedName name="tenant">#REF!</definedName>
    <definedName name="tenant_address">#REF!</definedName>
    <definedName name="tenant_list">#REF!</definedName>
    <definedName name="Term_in_years">#REF!</definedName>
    <definedName name="TermCap">#REF!</definedName>
    <definedName name="TermCap_yr10">#REF!</definedName>
    <definedName name="TermCap_yr3">#REF!</definedName>
    <definedName name="TermCap_yr5">#REF!</definedName>
    <definedName name="Terminate">#REF!</definedName>
    <definedName name="test" hidden="1">{#N/A,#N/A,FALSE,"HISTORICAL REV &amp; EXP"}</definedName>
    <definedName name="test1" hidden="1">#REF!</definedName>
    <definedName name="test10" hidden="1">{"INCOME",#N/A,FALSE,"ProNet";"VALUE",#N/A,FALSE,"ProNet"}</definedName>
    <definedName name="test100" hidden="1">{"View1",#N/A,FALSE,"Sheet1";"View2",#N/A,FALSE,"Sheet1"}</definedName>
    <definedName name="test11" hidden="1">{#N/A,#N/A,FALSE,"Fund-II"}</definedName>
    <definedName name="Test2" hidden="1">{"INCOME",#N/A,FALSE,"ProNet";"VALUE",#N/A,FALSE,"ProNet"}</definedName>
    <definedName name="Test2_old" hidden="1">{"INCOME",#N/A,FALSE,"ProNet";"VALUE",#N/A,FALSE,"ProNet"}</definedName>
    <definedName name="test20" hidden="1">{"INCOME",#N/A,FALSE,"ProNet";"VALUE",#N/A,FALSE,"ProNet"}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_old" hidden="1">{"INCOME",#N/A,FALSE,"ProNet";"VALUE",#N/A,FALSE,"ProNet"}</definedName>
    <definedName name="test30" hidden="1">{"INCOME",#N/A,FALSE,"ProNet";"VALUE",#N/A,FALSE,"ProNet"}</definedName>
    <definedName name="test4" hidden="1">{"CHART",#N/A,FALSE,"Arch Communications"}</definedName>
    <definedName name="test4_old" hidden="1">{"CHART",#N/A,FALSE,"Arch Communications"}</definedName>
    <definedName name="test40" hidden="1">{"CHART",#N/A,FALSE,"Arch Communications"}</definedName>
    <definedName name="test6" hidden="1">{"CHART",#N/A,FALSE,"Arch Communications"}</definedName>
    <definedName name="test60" hidden="1">{"CHART",#N/A,FALSE,"Arch Communications"}</definedName>
    <definedName name="testcopy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stIIL1">NOT(ISERR(DATEVALUE(LEFT([0]!cc,FIND("|", [0]!cc)-1) &amp; "/01")))</definedName>
    <definedName name="TestIIL2">ISNUMBER(VALUE(MID([0]!cc,FP+1, FIND("|", [0]!cc, FP+1)-FP-1)))</definedName>
    <definedName name="TestIIL3">OR(RIGHT([0]!cc,1)="0", RIGHT([0]!cc,1)="1")</definedName>
    <definedName name="testing2" hidden="1">{"View1",#N/A,FALSE,"Sheet1";"View2",#N/A,FALSE,"Sheet1"}</definedName>
    <definedName name="testnig" hidden="1">{#N/A,#N/A,FALSE,"OVERVIEW"}</definedName>
    <definedName name="testparkave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TextRefCopyRangeCount" hidden="1">9</definedName>
    <definedName name="tgreta" hidden="1">#REF!</definedName>
    <definedName name="th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Thou">#REF!</definedName>
    <definedName name="Threeyr_Data" hidden="1">#REF!</definedName>
    <definedName name="TI" hidden="1">#REF!</definedName>
    <definedName name="TI_BLEND">#REF!</definedName>
    <definedName name="TI_NEW">#REF!</definedName>
    <definedName name="TI_RENEWAL">#REF!</definedName>
    <definedName name="ticker">"B1Z95S"</definedName>
    <definedName name="tickname" hidden="1">#REF!</definedName>
    <definedName name="tilcdebt">#REF!</definedName>
    <definedName name="title">#REF!</definedName>
    <definedName name="TM1REBUILDOPTION">0</definedName>
    <definedName name="TMS_TEMPLATE_ID">"Workbook"</definedName>
    <definedName name="TOTA196">#REF!</definedName>
    <definedName name="TOTA295">#REF!</definedName>
    <definedName name="TOTA296">#REF!</definedName>
    <definedName name="Total">#REF!</definedName>
    <definedName name="Total_Net_Purchase_Price">#REF!</definedName>
    <definedName name="Total_Parking_Income">#REF!</definedName>
    <definedName name="Total_Pay">#REF!</definedName>
    <definedName name="Total_Payment">SCHEDULED_PAYMENT+EXTRA_PAYMENT</definedName>
    <definedName name="Total_Sales_Price">#REF!</definedName>
    <definedName name="Total_Subsidiary_Space_Income">#REF!</definedName>
    <definedName name="Total_Units">#REF!</definedName>
    <definedName name="TotalCF">#REF!</definedName>
    <definedName name="TotalCollected">#REF!</definedName>
    <definedName name="TotalHardCosts" hidden="1">#REF!</definedName>
    <definedName name="TOTALNRA">#REF!</definedName>
    <definedName name="TotalProjectOHLot" hidden="1">#REF!</definedName>
    <definedName name="TOTALrevenue">#REF!</definedName>
    <definedName name="TotalSalesPrice" hidden="1">#REF!</definedName>
    <definedName name="TotalSF">#REF!</definedName>
    <definedName name="TotalUnits">#REF!</definedName>
    <definedName name="totcap" hidden="1">#REF!,#REF!,#REF!,#REF!</definedName>
    <definedName name="TotCost">#REF!</definedName>
    <definedName name="TotEq">#REF!</definedName>
    <definedName name="TOTNRA">#REF!</definedName>
    <definedName name="TOTPRICE">#REF!</definedName>
    <definedName name="TP_Footer_Path" hidden="1">"S:\01534\2003RET\016\PROJ FILE\"</definedName>
    <definedName name="TP_Footer_User" hidden="1">"omichij"</definedName>
    <definedName name="TP_Footer_Version" hidden="1">"v3.00"</definedName>
    <definedName name="Trans_Cost">#REF!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hrwty" hidden="1">#REF!</definedName>
    <definedName name="Trial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tt" hidden="1">#REF!</definedName>
    <definedName name="tttt" hidden="1">{"data",#N/A,FALSE,"INPUT"}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vguide">#REF!</definedName>
    <definedName name="twn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twohy">#REF!</definedName>
    <definedName name="tyjetyj" hidden="1">#REF!</definedName>
    <definedName name="tyjsrty" hidden="1">{"Investor",#N/A,FALSE,"Model";"Property",#N/A,FALSE,"Model";"Incentive Taxes",#N/A,FALSE,"Model"}</definedName>
    <definedName name="tykjthk" hidden="1">{"Investor",#N/A,FALSE,"Model";"Property",#N/A,FALSE,"Model";"Incentive Taxes",#N/A,FALSE,"Model"}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nonasset" hidden="1">#REF!</definedName>
    <definedName name="Type">#REF!</definedName>
    <definedName name="type_1">#REF!</definedName>
    <definedName name="type_1_breakpoint">#REF!</definedName>
    <definedName name="type_1_SF">#REF!</definedName>
    <definedName name="type_2">#REF!</definedName>
    <definedName name="type_2_breakpoint">#REF!</definedName>
    <definedName name="type_2_SF">#REF!</definedName>
    <definedName name="type_3">#REF!</definedName>
    <definedName name="type_3_breakpoint">#REF!</definedName>
    <definedName name="type_3_SF">#REF!</definedName>
    <definedName name="type_4">#REF!</definedName>
    <definedName name="type_4_breakpoint">#REF!</definedName>
    <definedName name="type_4_SF">#REF!</definedName>
    <definedName name="type_5">#REF!</definedName>
    <definedName name="type_5_breakpoint">#REF!</definedName>
    <definedName name="type_5_SF">#REF!</definedName>
    <definedName name="TypeList">#REF!</definedName>
    <definedName name="tyrt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u" hidden="1">{"CSheet",#N/A,FALSE,"C";"SmCap",#N/A,FALSE,"VAL1";"GulfCoast",#N/A,FALSE,"VAL1";"nav",#N/A,FALSE,"NAV";"Summary",#N/A,FALSE,"NAV"}</definedName>
    <definedName name="Überschuss___Fehlbetrag">#REF!</definedName>
    <definedName name="UCosts">#REF!</definedName>
    <definedName name="uen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ui" hidden="1">{"Total",#N/A,FALSE,"Total Proved";"PDP",#N/A,FALSE,"Total Proved";"PNP",#N/A,FALSE,"Total Proved";"PUD",#N/A,FALSE,"Total Proved"}</definedName>
    <definedName name="uigl" hidden="1">#REF!</definedName>
    <definedName name="uioiuo" hidden="1">{#N/A,#N/A,FALSE,"Highridge Return Analysis";#N/A,#N/A,FALSE,"Sale @ end of year 3 (4yr Plan)";#N/A,#N/A,FALSE,"Highridge Assumption Page"}</definedName>
    <definedName name="uiyui" hidden="1">{"sheet a",#N/A,FALSE,"A";"2 9 casflow",#N/A,FALSE,"B"}</definedName>
    <definedName name="uj" hidden="1">{#N/A,#N/A,FALSE,"Chart 2 by Prop Type"}</definedName>
    <definedName name="uky" hidden="1">#REF!</definedName>
    <definedName name="Unit">#REF!</definedName>
    <definedName name="UNIT_MIX">#REF!</definedName>
    <definedName name="Unit_Number">#REF!</definedName>
    <definedName name="Unit_Type">#REF!</definedName>
    <definedName name="Unit1_Info">#REF!</definedName>
    <definedName name="Unit1_Mo1">#REF!</definedName>
    <definedName name="Unit1_Rents">#REF!</definedName>
    <definedName name="UNIT95">#REF!</definedName>
    <definedName name="unitcount">#REF!</definedName>
    <definedName name="Units">#REF!</definedName>
    <definedName name="unitsav100">#REF!</definedName>
    <definedName name="unitsav101">#REF!</definedName>
    <definedName name="unitsav102">#REF!</definedName>
    <definedName name="unitsav103">#REF!</definedName>
    <definedName name="unitsav104">#REF!</definedName>
    <definedName name="unitsav105">#REF!</definedName>
    <definedName name="unitsav106">#REF!</definedName>
    <definedName name="unitsav107">#REF!</definedName>
    <definedName name="unitsav197">#REF!</definedName>
    <definedName name="unitsav198">#REF!</definedName>
    <definedName name="unitsav199">#REF!</definedName>
    <definedName name="unitsav200">#REF!</definedName>
    <definedName name="unitsav201">#REF!</definedName>
    <definedName name="unitsav202">#REF!</definedName>
    <definedName name="unitsav203">#REF!</definedName>
    <definedName name="unitsav204">#REF!</definedName>
    <definedName name="unitsav205">#REF!</definedName>
    <definedName name="unitsav206">#REF!</definedName>
    <definedName name="unitsav207">#REF!</definedName>
    <definedName name="unitsav297">#REF!</definedName>
    <definedName name="unitsav298">#REF!</definedName>
    <definedName name="unitsav299">#REF!</definedName>
    <definedName name="UNITSORD196">#REF!</definedName>
    <definedName name="Unrec_Costs">#REF!</definedName>
    <definedName name="Unrec_Exp">#REF!</definedName>
    <definedName name="Unrecoverable">#REF!</definedName>
    <definedName name="Unreserved">#REF!</definedName>
    <definedName name="USDollar" hidden="1">#REF!</definedName>
    <definedName name="UTIL2000">#REF!</definedName>
    <definedName name="UTIL2001">#REF!</definedName>
    <definedName name="uu" hidden="1">#REF!</definedName>
    <definedName name="uw4u" hidden="1">{"Investor",#N/A,FALSE,"Model";"Property",#N/A,FALSE,"Model";"Incentive Taxes",#N/A,FALSE,"Model"}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" hidden="1">#REF!</definedName>
    <definedName name="v_Key1" hidden="1">#REF!</definedName>
    <definedName name="v_Key2" hidden="1">#REF!</definedName>
    <definedName name="Vac">#REF!</definedName>
    <definedName name="VACANCY">#REF!</definedName>
    <definedName name="VACANT">#REF!</definedName>
    <definedName name="vacant_unit_count">#REF!</definedName>
    <definedName name="vacant_unit_rent">#REF!</definedName>
    <definedName name="vacant_unit_size">#REF!</definedName>
    <definedName name="vacant_unit_type">#REF!</definedName>
    <definedName name="VACINP">#REF!</definedName>
    <definedName name="VACNRA">#REF!</definedName>
    <definedName name="VALRA1">#REF!</definedName>
    <definedName name="VALRN1">#REF!</definedName>
    <definedName name="VALRN10">#REF!</definedName>
    <definedName name="VALRN11">#REF!</definedName>
    <definedName name="VALRN12">#REF!</definedName>
    <definedName name="VALRN2">#REF!</definedName>
    <definedName name="VALRN3">#REF!</definedName>
    <definedName name="VALRN4">#REF!</definedName>
    <definedName name="VALRN5">#REF!</definedName>
    <definedName name="VALRN6">#REF!</definedName>
    <definedName name="VALRN7">#REF!</definedName>
    <definedName name="VALRN8">#REF!</definedName>
    <definedName name="VALRN9">#REF!</definedName>
    <definedName name="VALRQ1">#REF!</definedName>
    <definedName name="VALRQ2">#REF!</definedName>
    <definedName name="VALRQ3">#REF!</definedName>
    <definedName name="VALRS1">#REF!</definedName>
    <definedName name="VALRS2">#REF!</definedName>
    <definedName name="VALRS3">#REF!</definedName>
    <definedName name="VALRS4">#REF!</definedName>
    <definedName name="VALRV1">#REF!</definedName>
    <definedName name="VALRV2">#REF!</definedName>
    <definedName name="VALRV3">#REF!</definedName>
    <definedName name="VALRV4">#REF!</definedName>
    <definedName name="VALRW1">#REF!</definedName>
    <definedName name="VALUE">#N/A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LUESUM">#REF!</definedName>
    <definedName name="var96_96" hidden="1">{#N/A,#N/A,FALSE,"B_Spread"}</definedName>
    <definedName name="VarExp">#REF!</definedName>
    <definedName name="vasugi" hidden="1">{#N/A,#N/A,FALSE,"Class A";#N/A,#N/A,FALSE,"Class B";#N/A,#N/A,FALSE,"Class C"}</definedName>
    <definedName name="vc" hidden="1">#REF!</definedName>
    <definedName name="Versicherungen">#REF!</definedName>
    <definedName name="VerwGeb_SOLL">#REF!</definedName>
    <definedName name="vghjkvgh" hidden="1">{#N/A,#N/A,FALSE,"Expense Detail ";#N/A,#N/A,FALSE,"Worksheet";#N/A,#N/A,FALSE,"Audit";#N/A,#N/A,FALSE,"Exclusions";#N/A,#N/A,FALSE,"Variance";#N/A,#N/A,FALSE,"Reconciliation"}</definedName>
    <definedName name="vghvgh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vhjh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viasat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VIGRIN.Operations._.Review" hidden="1">{#N/A,#N/A,FALSE,"Proforma Five Yr";#N/A,#N/A,FALSE,"Occ and Rate";#N/A,#N/A,FALSE,"PF Input";#N/A,#N/A,FALSE,"Hotcomps"}</definedName>
    <definedName name="VIRG.Complete._.Review" hidden="1">{#N/A,#N/A,FALSE,"Occ and Rate";#N/A,#N/A,FALSE,"PF Input";#N/A,#N/A,FALSE,"Capital Input";#N/A,#N/A,FALSE,"Proforma Five Yr";#N/A,#N/A,FALSE,"Calculations";#N/A,#N/A,FALSE,"Transaction Summary-DTW"}</definedName>
    <definedName name="VIRGIN.Investment._.Review" hidden="1">{#N/A,#N/A,FALSE,"Proforma Five Yr";#N/A,#N/A,FALSE,"Capital Input";#N/A,#N/A,FALSE,"Calculations";#N/A,#N/A,FALSE,"Transaction Summary-DTW"}</definedName>
    <definedName name="VIRGIN.Phase._.I." hidden="1">{#N/A,#N/A,FALSE,"Transaction Summary-DTW";#N/A,#N/A,FALSE,"Proforma Five Yr";#N/A,#N/A,FALSE,"Occ and Rate"}</definedName>
    <definedName name="VIRGIN.Proforma._.Review." hidden="1">{#N/A,#N/A,FALSE,"Occ and Rate";#N/A,#N/A,FALSE,"PF Input";#N/A,#N/A,FALSE,"Proforma Five Yr";#N/A,#N/A,FALSE,"Hotcomps"}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nbs" hidden="1">{"FCB_ALL",#N/A,FALSE,"FCB"}</definedName>
    <definedName name="vsr" hidden="1">{"FCB_ALL",#N/A,FALSE,"FCB"}</definedName>
    <definedName name="vv" hidden="1">#REF!</definedName>
    <definedName name="vvv" hidden="1">{"1998",#N/A,FALSE,"1998"}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hidden="1">{"Assump",#N/A,TRUE,"Proforma";"first",#N/A,TRUE,"Proforma";"second",#N/A,TRUE,"Proforma";"lease1",#N/A,TRUE,"Proforma";"lease2",#N/A,TRUE,"Proforma"}</definedName>
    <definedName name="WACCnew" hidden="1">{"CHART",#N/A,FALSE,"Arch Communications"}</definedName>
    <definedName name="wafe" hidden="1">{"summary1",#N/A,TRUE,"Comps";"summary2",#N/A,TRUE,"Comps";"summary3",#N/A,TRUE,"Comps"}</definedName>
    <definedName name="WageType">#REF!</definedName>
    <definedName name="WalkYTDBudNEW" hidden="1">{"FIXVARIANCE",#N/A,FALSE,"COSTPHSE";"SOURCING",#N/A,FALSE,"COSTPHSE"}</definedName>
    <definedName name="Ward2273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artung_Aufzug">#REF!</definedName>
    <definedName name="Wartung_Heizung">#REF!</definedName>
    <definedName name="was" hidden="1">{#N/A,#N/A,FALSE,"Chart 2 by Prop Type"}</definedName>
    <definedName name="WatertownIncl.">#REF!</definedName>
    <definedName name="we" hidden="1">{#N/A,#N/A,FALSE,"Chart 2 by Prop Type"}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dsf" hidden="1">{#N/A,#N/A,FALSE,"Consolidated";#N/A,#N/A,FALSE,"Available Credit";#N/A,#N/A,FALSE,"100% Owned";#N/A,#N/A,FALSE,"Bentall U.S. LLC";#N/A,#N/A,FALSE,"Bentall Properties (U.S.) Ltd.";#N/A,#N/A,FALSE,"Schedule I"}</definedName>
    <definedName name="wegj56" hidden="1">{"scen1",#N/A,FALSE,"Scenarios";"scen2",#N/A,FALSE,"Scenarios"}</definedName>
    <definedName name="wen" hidden="1">{"Assumptions",#N/A,FALSE,"input page"}</definedName>
    <definedName name="wepij" hidden="1">#REF!</definedName>
    <definedName name="WEQQE" hidden="1">{"summary1",#N/A,TRUE,"Comps";"summary2",#N/A,TRUE,"Comps";"summary3",#N/A,TRUE,"Comps"}</definedName>
    <definedName name="wer" hidden="1">{"Total",#N/A,FALSE,"Six Fields";"PDP",#N/A,FALSE,"Six Fields";"PNP",#N/A,FALSE,"Six Fields";"PUD",#N/A,FALSE,"Six Fields";"Prob",#N/A,FALSE,"Six Fields"}</definedName>
    <definedName name="were" hidden="1">{"CHART",#N/A,FALSE,"Arch Communications"}</definedName>
    <definedName name="were2" hidden="1">{"CHART",#N/A,FALSE,"Arch Communications"}</definedName>
    <definedName name="wertewrt" hidden="1">#REF!</definedName>
    <definedName name="wertwert" hidden="1">{0,0,0,0;0,0,0,0;0,0,0,0;0,0,0,0;0,0,0,0}</definedName>
    <definedName name="werw" hidden="1">{#N/A,#N/A,TRUE,"COVER";#N/A,#N/A,TRUE,"PROFORMA";#N/A,#N/A,TRUE,"Construction CF";#N/A,#N/A,TRUE,"CASHFLOW"}</definedName>
    <definedName name="werwer" hidden="1">#N/A</definedName>
    <definedName name="werwerw" hidden="1">#N/A</definedName>
    <definedName name="West" hidden="1">#REF!</definedName>
    <definedName name="wet" hidden="1">{"CSheet",#N/A,FALSE,"C";"SmCap",#N/A,FALSE,"VAL1";"GulfCoast",#N/A,FALSE,"VAL1";"nav",#N/A,FALSE,"NAV";"Summary",#N/A,FALSE,"NAV"}</definedName>
    <definedName name="wetadf" hidden="1">{"Assump",#N/A,TRUE,"Proforma";"first",#N/A,TRUE,"Proforma";"second",#N/A,TRUE,"Proforma";"lease1",#N/A,TRUE,"Proforma";"lease2",#N/A,TRUE,"Proforma"}</definedName>
    <definedName name="WF_2_Inc">#REF!</definedName>
    <definedName name="WF_3_Inc">#REF!</definedName>
    <definedName name="what" hidden="1">{"clp_bs_doc",#N/A,FALSE,"CLP";"clp_is_doc",#N/A,FALSE,"CLP";"clp_cf_doc",#N/A,FALSE,"CLP";"clp_fr_doc",#N/A,FALSE,"CLP"}</definedName>
    <definedName name="what_asdf2" hidden="1">{#N/A,#N/A,FALSE,"OperatingAssumptions"}</definedName>
    <definedName name="what_asdf2_1" hidden="1">{#N/A,#N/A,FALSE,"OperatingAssumptions"}</definedName>
    <definedName name="what_asdf2_2" hidden="1">{#N/A,#N/A,FALSE,"OperatingAssumptions"}</definedName>
    <definedName name="what_asdf2_3" hidden="1">{#N/A,#N/A,FALSE,"OperatingAssumptions"}</definedName>
    <definedName name="what_asdf2_4" hidden="1">{#N/A,#N/A,FALSE,"OperatingAssumptions"}</definedName>
    <definedName name="Whatever" hidden="1">#REF!</definedName>
    <definedName name="whatwhat" hidden="1">{"Page1",#N/A,FALSE,"7979";"Page2",#N/A,FALSE,"7979";"Page3",#N/A,FALSE,"7979"}</definedName>
    <definedName name="whitehall">#REF!</definedName>
    <definedName name="WHSPLIT">#REF!</definedName>
    <definedName name="wilshire">#REF!</definedName>
    <definedName name="wmp" hidden="1">{#N/A,#N/A,FALSE,"ENGINEERING"}</definedName>
    <definedName name="wn.all." hidden="1">{#N/A,#N/A,FALSE,"Class A";#N/A,#N/A,FALSE,"Class B";#N/A,#N/A,FALSE,"Class C"}</definedName>
    <definedName name="w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oolworth">#REF!</definedName>
    <definedName name="worksheet_signature">#REF!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.all." hidden="1">{#N/A,#N/A,FALSE,"Class A";#N/A,#N/A,FALSE,"Class B";#N/A,#N/A,FALSE,"Class C"}</definedName>
    <definedName name="wr.alll." hidden="1">{#N/A,#N/A,FALSE,"Class A";#N/A,#N/A,FALSE,"Class B";#N/A,#N/A,FALSE,"Class C"}</definedName>
    <definedName name="wr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.Brookfield._.Notes." hidden="1">{#N/A,#N/A,FALSE,"Note 2";#N/A,#N/A,FALSE,"Note 3";#N/A,#N/A,FALSE,"Note 4";#N/A,#N/A,FALSE,"Note 5";#N/A,#N/A,FALSE,"Note 6";#N/A,#N/A,FALSE,"Note 10"}</definedName>
    <definedName name="wr.Brookfield._.Notes._1" hidden="1">{#N/A,#N/A,FALSE,"Note 2";#N/A,#N/A,FALSE,"Note 3";#N/A,#N/A,FALSE,"Note 4";#N/A,#N/A,FALSE,"Note 5";#N/A,#N/A,FALSE,"Note 6";#N/A,#N/A,FALSE,"Note 10"}</definedName>
    <definedName name="wr.Brookfield._.Notes._2" hidden="1">{#N/A,#N/A,FALSE,"Note 2";#N/A,#N/A,FALSE,"Note 3";#N/A,#N/A,FALSE,"Note 4";#N/A,#N/A,FALSE,"Note 5";#N/A,#N/A,FALSE,"Note 6";#N/A,#N/A,FALSE,"Note 10"}</definedName>
    <definedName name="wrd.2._.pagers.3" hidden="1">{"Cover",#N/A,FALSE,"Cover";"Summary",#N/A,FALSE,"Summarpage"}</definedName>
    <definedName name="wrn" hidden="1">{#N/A,#N/A,FALSE,"ZellLurieFinSummary";#N/A,#N/A,FALSE,"FirstCapFinSummary";#N/A,#N/A,FALSE,"ZM I-III Consol FinSummary"}</definedName>
    <definedName name="wrn.042696." hidden="1">{#N/A,#N/A,FALSE,"Master Summ";#N/A,#N/A,FALSE,"Rem Obl";#N/A,#N/A,FALSE,"320 Park";#N/A,#N/A,FALSE,"520 Mad (LL 41)";#N/A,#N/A,FALSE,"520 Mad (Proj 41)";#N/A,#N/A,FALSE,"1 Rock"}</definedName>
    <definedName name="wrn.1._.Page._.Summaries." hidden="1">{"S/A 1 Summary 1P",#N/A,FALSE,"Core Assumptions";"S/A 2 Summary 1P",#N/A,FALSE,"Core Assumptions";"S/A 3 Summary 1P",#N/A,FALSE,"Core Assumptions";"S/A Summary 4 1P",#N/A,FALSE,"Core Assumptions";"Core Assumptions",#N/A,FALSE,"Core Assumptions";"T/O Assumptions",#N/A,FALSE,"Take Over Assumptions"}</definedName>
    <definedName name="wrn.1._.Recap._.Model." hidden="1">{"1 - Summary",#N/A,TRUE,"Project Summary";"1 - Dev Budg",#N/A,TRUE,"Project Summary";"1 - Annual",#N/A,TRUE,"Project Annual";"1 - Leasing",#N/A,TRUE,"Phase I"}</definedName>
    <definedName name="wrn.10._.Year._.Analysis." hidden="1">{"Data Input",#N/A,TRUE,"Data Input";"10-Yr Cash Flow",#N/A,TRUE,"Cash Flow";"10-Yr Value",#N/A,TRUE,"Value 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1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2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3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._.MONTH._.SPREAD._4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5._.Analysis." hidden="1">{#N/A,#N/A,FALSE,"1995 Rev &amp; Exp"}</definedName>
    <definedName name="wrn.1997." hidden="1">{"CoverSheet",#N/A,TRUE,"97CoverPage";#N/A,#N/A,TRUE,"97TableOfContents";"CY 1997",#N/A,TRUE,"97CashFlowBeforeFinancing";"CY 1997",#N/A,TRUE,"97CashFlowAfterFinancing ";"CY 1997",#N/A,TRUE,"97Escrow Closings (all) ";"CY 1997",#N/A,TRUE,"97Revenue Summary";"CY 1997",#N/A,TRUE,"97 A-1 Sales";"CY 1997",#N/A,TRUE,"97 A-2 Sales";"CY 1997",#N/A,TRUE,"97 B-1 Sales";"CY 1997",#N/A,TRUE,"97 B-2 Sales";"CY 1997",#N/A,TRUE,"97 D-1 Sales";"CY 1997",#N/A,TRUE,"97 H Sales";"CY 1997",#N/A,TRUE,"97 I Sales";"CY 1997",#N/A,TRUE,"97 J Sales";"CY 1997",#N/A,TRUE,"97 K Sales";"CY 1997",#N/A,TRUE,"97 Land ";"CY 1997",#N/A,TRUE,"97 Pre-Development";"CY 1997",#N/A,TRUE,"97Construction Summary ";"CY 1997",#N/A,TRUE,"97 A-1 DevCosts";"CY 1997",#N/A,TRUE,"97 A-2 DevCosts";"CY 1997",#N/A,TRUE,"97 B-1 DevCosts";"CY 1997",#N/A,TRUE,"97 B-2 DevCosts";"CY 1997",#N/A,TRUE,"97 C DevCosts";#N/A,#N/A,TRUE,"97 D-1 DevCosts";"CY 1997",#N/A,TRUE,"97 E Dev Costs";"CY 1997",#N/A,TRUE,"97 G Dev Costs";#N/A,#N/A,TRUE,"97 H Dev Costs";#N/A,#N/A,TRUE,"97 I Dev Costs";"CY 1997",#N/A,TRUE,"97 J Dev Costs";#N/A,#N/A,TRUE,"97 K Dev Costs";"CY 1997",#N/A,TRUE,"97 Master Dev. Cost Wksht";"CY 1997",#N/A,TRUE,"97 Golf Course Captial ";"CY 1997",#N/A,TRUE,"97 Indirect &amp; Operating Costs ";"CY 1997",#N/A,TRUE,"97 Other SalesRevenue";"CY 1997",#N/A,TRUE,"97 Village Absorption";"CY 1997",#N/A,TRUE,"97 FINANCING";#N/A,#N/A,TRUE,"97 Dev Assumptions";#N/A,#N/A,TRUE,"97 A&amp;B Development Cost";#N/A,#N/A,TRUE,"97 B-2 Bonding ";#N/A,#N/A,TRUE,"97 E Supplemental Schedule";#N/A,#N/A,TRUE,"97 Factors"}</definedName>
    <definedName name="wrn.1998." hidden="1">{"1998",#N/A,FALSE,"1998"}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2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9." hidden="1">{"1999",#N/A,FALSE,"1999"}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00." hidden="1">{"2000",#N/A,FALSE,"2000"}</definedName>
    <definedName name="wrn.2000._.Accum." hidden="1">{"2000 Accum",#N/A,FALSE,"ACCUM SUM"}</definedName>
    <definedName name="wrn.2000_part.2" hidden="1">{"2000 Accum",#N/A,FALSE,"ACCUM SUM"}</definedName>
    <definedName name="wrn.2001." hidden="1">{"2001",#N/A,FALSE,"2001"}</definedName>
    <definedName name="wrn.2001._.Accum." hidden="1">{"2001 Accum",#N/A,FALSE,"ACCUM SUM"}</definedName>
    <definedName name="wrn.2001_NAr" hidden="1">{"2001 Accum",#N/A,FALSE,"ACCUM SUM"}</definedName>
    <definedName name="wrn.2007._.all." hidden="1">{"2007",#N/A,FALSE,"SUMMARY";"2007",#N/A,FALSE,"RET ON CAP";"2007",#N/A,FALSE,"PROFORMA";"2007",#N/A,FALSE,"Assumptions";"2007",#N/A,FALSE,"Sales &amp; Marketing";"2007",#N/A,FALSE,"Overhead";"2007",#N/A,FALSE,"General Project";"2007",#N/A,FALSE,"Development"}</definedName>
    <definedName name="wrn.2007._.summaries." hidden="1">{#N/A,#N/A,FALSE,"SUMMARY";#N/A,#N/A,FALSE,"RET ON CAP"}</definedName>
    <definedName name="wrn.2009._.REPORT._.MANAGER." hidden="1">{"Summary - NEW",#N/A,FALSE,"Summary";"Program1",#N/A,FALSE,"Summary";"Land Dev. Budget",#N/A,FALSE,"Summary";"Infrastructure Budget - Annual",#N/A,FALSE,"Summary";"Infrastructure Monthly",#N/A,FALSE,"Monthly Cash Flow";"Project CF - Annual NEW",#N/A,FALSE,"Summary";"Project Revenues - Annual - NEW",#N/A,FALSE,"Summary";"Debt - Annual New",#N/A,FALSE,"Summary";"Summary CF - Monthly",#N/A,FALSE,"Monthly Cash Flow";"Project Revenues - Monthly",#N/A,FALSE,"Monthly Cash Flow";"Debt Monthly - New",#N/A,FALSE,"Monthly Cash Flow";"Residential Summary",#N/A,FALSE,"Residential";"Residental Monthly - New",#N/A,FALSE,"Residential";"Office &amp; Retail Dev. Schedule",#N/A,FALSE,"Office &amp; Retail-Summary";"Office Monthly - New",#N/A,FALSE,"Office &amp; Retail-Summary"}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._.Year._.Summary." hidden="1">{#N/A,#N/A,FALSE,"3-Year Summary"}</definedName>
    <definedName name="wrn.310._.rec.." hidden="1">{"rec. of 310",#N/A,FALSE,"Resanal"}</definedName>
    <definedName name="wrn.399." hidden="1">{#N/A,#N/A,FALSE,"A";#N/A,#N/A,FALSE,"C"}</definedName>
    <definedName name="wrn.3cases." hidden="1">{#N/A,"Base",FALSE,"Dividend";#N/A,"Conservative",FALSE,"Dividend";#N/A,"Downside",FALSE,"Dividend"}</definedName>
    <definedName name="wrn.3year._.frcst." hidden="1">{#N/A,#N/A,FALSE,"963YR";#N/A,#N/A,FALSE,"mkt mix";#N/A,#N/A,FALSE,"sect 5";#N/A,#N/A,FALSE,"sect 6";#N/A,#N/A,FALSE,"csh";#N/A,#N/A,FALSE,"capx";#N/A,#N/A,FALSE,"bal sheet"}</definedName>
    <definedName name="wrn.3yr.CF." hidden="1">{"assume",#N/A,FALSE,"K&amp;20th Month CF";"MoCF",#N/A,FALSE,"K&amp;20th Month CF";"AnCF",#N/A,FALSE,"K&amp;20th Month CF"}</definedName>
    <definedName name="wrn.3yr.CF._1" hidden="1">{"assume",#N/A,FALSE,"K&amp;20th Month CF";"MoCF",#N/A,FALSE,"K&amp;20th Month CF";"AnCF",#N/A,FALSE,"K&amp;20th Month CF"}</definedName>
    <definedName name="wrn.3yr.CF._2" hidden="1">{"assume",#N/A,FALSE,"K&amp;20th Month CF";"MoCF",#N/A,FALSE,"K&amp;20th Month CF";"AnCF",#N/A,FALSE,"K&amp;20th Month CF"}</definedName>
    <definedName name="wrn.3yr.CF._3" hidden="1">{"assume",#N/A,FALSE,"K&amp;20th Month CF";"MoCF",#N/A,FALSE,"K&amp;20th Month CF";"AnCF",#N/A,FALSE,"K&amp;20th Month CF"}</definedName>
    <definedName name="wrn.3yr.CF._4" hidden="1">{"assume",#N/A,FALSE,"K&amp;20th Month CF";"MoCF",#N/A,FALSE,"K&amp;20th Month CF";"AnCF",#N/A,FALSE,"K&amp;20th Month CF"}</definedName>
    <definedName name="wrn.42._.Portfolio." hidden="1">{#N/A,#N/A,FALSE,"Consolidate Portfolio";#N/A,#N/A,FALSE,"Ashley";#N/A,#N/A,FALSE,"Atrium";#N/A,#N/A,FALSE,"Biscayne";#N/A,#N/A,FALSE,"Boulder";#N/A,#N/A,FALSE,"Braden";#N/A,#N/A,FALSE,"Cambridge";#N/A,#N/A,FALSE,"Carnegie";#N/A,#N/A,FALSE,"Charleston";#N/A,#N/A,FALSE,"Chasewood";#N/A,#N/A,FALSE,"ClubNorthHills";#N/A,#N/A,FALSE,"Cornerstone";#N/A,#N/A,FALSE,"Courtyard";#N/A,#N/A,FALSE,"Culpeper ";#N/A,#N/A,FALSE,"DoverFarms";#N/A,#N/A,FALSE,"GreenwayChase";#N/A,#N/A,FALSE,"Island Club 1";#N/A,#N/A,FALSE,"Island Club 2";#N/A,#N/A,FALSE,"IslesGateway";#N/A,#N/A,FALSE,"Kensington";#N/A,#N/A,FALSE,"LakeFront";#N/A,#N/A,FALSE,"LakeMayport";#N/A,#N/A,FALSE,"MadisonPark";#N/A,#N/A,FALSE,"MadisonRidge";#N/A,#N/A,FALSE,"Magnolia";#N/A,#N/A,FALSE,"Oaks";#N/A,#N/A,FALSE,"Paces River 1";#N/A,#N/A,FALSE,"Paces River 2";#N/A,#N/A,FALSE,"PacesRun";#N/A,#N/A,FALSE,"Paddock ";#N/A,#N/A,FALSE,"Park";#N/A,#N/A,FALSE,"PointeWest";#N/A,#N/A,FALSE,"Royal";#N/A,#N/A,FALSE,"Summer";#N/A,#N/A,FALSE,"Sunbrook";#N/A,#N/A,FALSE,"Sundance";#N/A,#N/A,FALSE,"Sutton";#N/A,#N/A,FALSE,"TownPlace";#N/A,#N/A,FALSE,"Valle";#N/A,#N/A,FALSE,"WatPark";#N/A,#N/A,FALSE,"WatPlace";#N/A,#N/A,FALSE,"WatCastleton";#N/A,#N/A,FALSE,"Wellington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20._.Madison." hidden="1">{"520 Madison Summary",#N/A,FALSE,"520 Madison Summary";"520 Madison Partnership Valuation",#N/A,FALSE,"520 Madison Summary";"520 Madison Sensitivities",#N/A,FALSE,"520 Madison Summary";"520 Madison Cash Flow",#N/A,FALSE,"520 Madison Summary";"520 Madison Partnership Equity Value",#N/A,FALSE,"520 Madison Summary";"520 Madison Distributions",#N/A,FALSE,"520 Madison Summary";"520 Madison Assumptions",#N/A,FALSE,"520 Madison Summary"}</definedName>
    <definedName name="wrn.617" hidden="1">{#N/A,#N/A,FALSE,"Income Stmt";#N/A,#N/A,FALSE,"Income Summary"}</definedName>
    <definedName name="wrn.7._.Page._.Proforma." hidden="1">{#N/A,#N/A,FALSE,"Deal Summary";#N/A,#N/A,FALSE,"Unit Mix";#N/A,#N/A,FALSE,"Historical OS";#N/A,#N/A,FALSE,"Sources &amp; Uses";#N/A,#N/A,FALSE,"Proj of Cash Flow";#N/A,#N/A,FALSE,"Allocation";#N/A,#N/A,FALSE,"Debt Financing"}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92264.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ESC." hidden="1">{#N/A,#N/A,FALSE,"ope";#N/A,#N/A,FALSE,"ret";#N/A,#N/A,FALSE,"expenses";#N/A,#N/A,FALSE,"BankExpenses";#N/A,#N/A,FALSE,"TennExpenses";#N/A,#N/A,FALSE,"Occupancy"}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3._.Reports." hidden="1">{#N/A,#N/A,FALSE,"ActvBud";#N/A,#N/A,FALSE,"RptSalJC";#N/A,#N/A,FALSE,"RptSalTot ";#N/A,#N/A,FALSE,"RptSumExp";#N/A,#N/A,FALSE,"RptSum"}</definedName>
    <definedName name="wrn.A4._.Reports.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{"ABC1",#N/A,TRUE,"Links";"ABC2",#N/A,TRUE,"Links";"ABC3",#N/A,TRUE,"Links"}</definedName>
    <definedName name="wrn.abc_old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q._.Model." hidden="1">{"RTN",#N/A,FALSE,"RTN";"Inc Stmt",#N/A,FALSE,"Inc Stmt";"Stats",#N/A,FALSE,"Stats";"Rnds",#N/A,FALSE,"Rnds";"Capx",#N/A,FALSE,"CapX";"Dues",#N/A,FALSE,"Dues";"Hist",#N/A,FALSE,"Hist";"Rev1",#N/A,FALSE,"Rev";"Rev2",#N/A,FALSE,"Rev";"Exp",#N/A,FALSE,"Exp";"Rounds",#N/A,FALSE,"Rounds";"Cap Imp",#N/A,FALSE,"Cap Imp"}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._.Model." hidden="1">{"Return",#N/A,FALSE,"RTN";"Inc Stmt",#N/A,FALSE,"Inc Stmt";"Stats",#N/A,FALSE,"Stats";"Rnds",#N/A,FALSE,"Rnds";"Dues",#N/A,FALSE,"Dues";"Capx",#N/A,FALSE,"CapX";"History",#N/A,FALSE,"Hist";"Rev",#N/A,FALSE,"Rev";"Expenses",#N/A,FALSE,"Exp";"Rounds",#N/A,FALSE,"Rounds";"Capex",#N/A,FALSE,"Capex"}</definedName>
    <definedName name="wrn.Acquisitions." hidden="1">{"One",#N/A,FALSE,"Acquisitions";"Two",#N/A,FALSE,"Acquisitions"}</definedName>
    <definedName name="wrn.Acquistion._.Status." hidden="1">{#N/A,#N/A,FALSE,"zm III";#N/A,#N/A,FALSE,"deal flow";#N/A,#N/A,FALSE,"Pending deals"}</definedName>
    <definedName name="wrn.AcqVal." hidden="1">{#N/A,#N/A,FALSE,"Acq-Val";#N/A,#N/A,FALSE,"Acq-Mult Val"}</definedName>
    <definedName name="wrn.Actual._.Data._.Entry." hidden="1">{#N/A,#N/A,FALSE,"Sales"}</definedName>
    <definedName name="wrn.AD._.Tool." hidden="1">{"AD Tool",#N/A,FALSE,"Spreadsheet"}</definedName>
    <definedName name="wrn.AFI._.QUARTERLY._.REPORT." hidden="1">{#N/A,#N/A,TRUE,"TITLE";#N/A,#N/A,TRUE,"SCH 1";#N/A,#N/A,TRUE,"SCH 2";#N/A,#N/A,TRUE,"SCH 3";#N/A,#N/A,TRUE,"SCH3(A)"}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Trend._.Analysis.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Main._.Reports." hidden="1">{"Summary",#N/A,FALSE,"Sheet1";"Budget",#N/A,FALSE,"Sheet1";"Notes 2",#N/A,FALSE,"Sheet1";"Payroll Assumption Summary",#N/A,FALSE,"Sheet1";"Payroll_Assumption1",#N/A,FALSE,"Sheet1";"Rent_Assumptions",#N/A,FALSE,"Sheet1"}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yroll._.Reports." hidden="1">{"Payroll Assumption Summary",#N/A,FALSE,"Sheet1";"Payroll_Assumption1",#N/A,FALSE,"Sheet1";"Payroll_Assumption2",#N/A,FALSE,"Sheet1"}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nt._.Reports." hidden="1">{"Rent_Assumptions",#N/A,FALSE,"Sheet1";"Rent_ChangesPerUnit",#N/A,FALSE,"Sheet1";"Rent_ChangesTotal",#N/A,FALSE,"Sheet1";"Rent_Totals",#N/A,FALSE,"Sheet1"}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Reports." hidden="1">{"Estimated Proforma",#N/A,TRUE,"Prelim. Proforma";"Sales and Marketing Budget",#N/A,TRUE,"S&amp;M Budget";"Summary Cash Flow Grid",#N/A,TRUE,"Cash Flow Grid";"Detail Project Cash Flow",#N/A,TRUE,"Cash Flow Grid";"Financing Calculation",#N/A,TRUE,"Cash Flow Grid";"Cash Flow Graph",#N/A,TRUE,"Cash Flow Graphic";"Final Proforma",#N/A,TRUE,"Final Proforma"}</definedName>
    <definedName name="wrn.ALL._.REPORTS._.EXCEPT._.PSF._.TABLES.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Schedules." hidden="1">{#N/A,#N/A,FALSE,"Static Proforma";#N/A,#N/A,FALSE,"Bldg Dev DCF";#N/A,#N/A,FALSE,"Land Sales DCF"}</definedName>
    <definedName name="wrn.All._.Sections." hidden="1">{#N/A,#N/A,TRUE,"Table of Contents";"Inn P&amp;L Annual",#N/A,TRUE,"Inn P&amp;L";"Condo P&amp;L Annual",#N/A,TRUE,"Condo P&amp;L";"Townhouse P&amp;L Annual",#N/A,TRUE,"Townhouse P&amp;L";"Ocean Ridge P &amp; L Annual",#N/A,TRUE,"Ocean Ridge P &amp; L";"A-2 to A-4 P&amp;L Annual",#N/A,TRUE," A-2 to A-4 P&amp;L";"Inn P&amp;L Monthly",#N/A,TRUE,"Inn P&amp;L";"Condo P&amp;L Monthly",#N/A,TRUE,"Condo P&amp;L";"Townhouse P&amp;L Monthly",#N/A,TRUE,"Townhouse P&amp;L";"Ocean Ridge Monthly P &amp; L",#N/A,TRUE,"Ocean Ridge P &amp; L";"A-2 to A-4 P&amp;L Monthly",#N/A,TRUE," A-2 to A-4 P&amp;L";"Inn Assumptions",#N/A,TRUE,"Inn Assumptions";"Condo Assumptions",#N/A,TRUE,"Condo Assumptions";"Townhouse Assumptions",#N/A,TRUE,"Townhouse Assumptions";"Ocean Ridge Assumptions",#N/A,TRUE,"Ocean Ridge Assumptions";"A-2 to A-4 Assumptions",#N/A,TRUE,"A-2 to A-4 Assumptions"}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" hidden="1">{"Summary",#N/A,FALSE,"Sheet1"}</definedName>
    <definedName name="wrn.All._1" hidden="1">{#N/A,#N/A,FALSE,"Summary";#N/A,#N/A,FALSE,"Gen. Wash.";#N/A,#N/A,FALSE,"Iris Court";#N/A,#N/A,FALSE,"Castle Court";#N/A,#N/A,FALSE,"Edge Hills";#N/A,#N/A,FALSE,"Talbot Woods";#N/A,#N/A,FALSE,"Edge Terrace";#N/A,#N/A,FALSE,"Edge Village";#N/A,#N/A,FALSE,"Westgate";#N/A,#N/A,FALSE,"Century Hills";#N/A,#N/A,FALSE,"Parkview";#N/A,#N/A,FALSE,"Park Bethesda";#N/A,#N/A,FALSE,"Fairfax";#N/A,#N/A,FALSE,"North Park";#N/A,#N/A,FALSE,"Huntington";#N/A,#N/A,FALSE,"Bennington"}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irr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sched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old" hidden="1">{"INCOME",#N/A,FALSE,"ProNet";"VALUE",#N/A,FALSE,"ProNet"}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bassador." hidden="1">{#N/A,#N/A,TRUE,"Summary Acquisition Ambassador";#N/A,#N/A,TRUE,"Prime Crest Apartments";#N/A,#N/A,TRUE,"Royal Crest Apartments"}</definedName>
    <definedName name="wrn.AmREIT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Summary",#N/A,TRUE,"Summary";"MacArthur Park",#N/A,TRUE,"Summary";"Plaza in the Park",#N/A,TRUE,"Summary";"Cinco Ranch",#N/A,TRUE,"Summary";"Uptown Park",#N/A,TRUE,"Summary";"Uptown Plaza Dallas",#N/A,TRUE,"Summary";"Southbank Riverwalk",#N/A,TRUE,"Summary";"Uptown Plaza Houston",#N/A,TRUE,"Summary";"Bakery Square",#N/A,TRUE,"Summary";"Courtyard Square",#N/A,TRUE,"Summary";"Terrace Shops",#N/A,TRUE,"Summary";"Sugar Land Plaza",#N/A,TRUE,"Summary";"Lake Woodlands Plaza",#N/A,TRUE,"Summary";"Woodlands Ring Road",#N/A,TRUE,"Summary";"Ground Leases",#N/A,TRUE,"Summary";"Single-Tenant Fee-Simples",#N/A,TRUE,"Summary";"IHOP Sugarland-Topeka",#N/A,TRUE,"Summary";"IHOP AAA CTL",#N/A,TRUE,"Summary"}</definedName>
    <definedName name="wrn.AmREIT._.excl._.properties." hidden="1">{"Summary",#N/A,TRUE,"Summary";"Sensitivities",#N/A,TRUE,"Summary";"Partnership Value",#N/A,TRUE,"Summary";"Cash Flows",#N/A,TRUE,"Summary";"Partnership Equity Value",#N/A,TRUE,"Summary";"MIR Fund Structure",#N/A,TRUE,"Summary";"Assumptions",#N/A,TRUE,"Summary";"Valuation Summary",#N/A,TRUE,"Summary"}</definedName>
    <definedName name="wrn.Annual." hidden="1">{"Annual p1",#N/A,TRUE,"Annual CF";"Annual p2",#N/A,TRUE,"Annual CF";"Annual p3",#N/A,TRUE,"Annual CF"}</definedName>
    <definedName name="wrn.Annual._.CF.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CF.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_.Report." hidden="1">{"summary",#N/A,FALSE,"Summary";"pro forma annual",#N/A,FALSE,"Pro Forma";"equity annual",#N/A,FALSE,"Equity";"TCC annual",#N/A,FALSE,"TCC"}</definedName>
    <definedName name="wrn.Annual._.Revised." hidden="1">{"Venture Summary",#N/A,FALSE,"Summary";"Development Budget",#N/A,FALSE,"Summary";"Development Proforma",#N/A,FALSE,"Dev PF";"Annual CF",#N/A,FALSE,"Annual"}</definedName>
    <definedName name="wrn.Annual._.Summary." hidden="1">{"INV AUM",#N/A,TRUE,"AUM";"INV S&amp;U",#N/A,TRUE,"S&amp;U";"INV NetCashFlow",#N/A,TRUE,"Net Cash Flow";"INV Waterfall",#N/A,TRUE,"Waterfall";"INV Sensitivity",#N/A,TRUE,"Sensitivity"}</definedName>
    <definedName name="wrn.Annual.CF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1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1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2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3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.CF_4" hidden="1">{"Annual Deal CF 1",#N/A,TRUE,"Investments";"Annual Deal CF 2",#N/A,TRUE,"Investments";"Annual Deal CF 3",#N/A,TRUE,"Investments";"Annual Deal CF 4",#N/A,TRUE,"Investments";"Annual Deal CF 5",#N/A,TRUE,"Investments";"Annual Deal CF 6",#N/A,TRUE,"Investments";"Annual Deal CF 7",#N/A,TRUE,"Investments"}</definedName>
    <definedName name="wrn.Annual_n_Quarterly." hidden="1">{"Annual",#N/A,FALSE,"Sales &amp; Market";"Quarterly",#N/A,FALSE,"Sales &amp; Market"}</definedName>
    <definedName name="wrn.AnnualRentRoll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._2" hidden="1">{"AnnualRentRoll",#N/A,FALSE,"RentRoll"}</definedName>
    <definedName name="wrn.AnnualRentRoll._3" hidden="1">{"AnnualRentRoll",#N/A,FALSE,"RentRoll"}</definedName>
    <definedName name="wrn.AnnualRentRoll._4" hidden="1">{"AnnualRentRoll",#N/A,FALSE,"RentRoll"}</definedName>
    <definedName name="wrn.AnnualRentRoll_1" hidden="1">{"AnnualRentRoll",#N/A,FALSE,"RentRoll"}</definedName>
    <definedName name="wrn.AnnualRentRoll_2" hidden="1">{"AnnualRentRoll",#N/A,FALSE,"RentRoll"}</definedName>
    <definedName name="wrn.AnnualRentRoll_3" hidden="1">{"AnnualRentRoll",#N/A,FALSE,"RentRoll"}</definedName>
    <definedName name="wrn.AnnualRentRoll_4" hidden="1">{"AnnualRentRoll",#N/A,FALSE,"RentRoll"}</definedName>
    <definedName name="wrn.annualrentroll2" hidden="1">{"AnnualRentRoll",#N/A,FALSE,"RentRoll"}</definedName>
    <definedName name="wrn.annualrentroll2_1" hidden="1">{"AnnualRentRoll",#N/A,FALSE,"RentRoll"}</definedName>
    <definedName name="wrn.annualrentroll2_2" hidden="1">{"AnnualRentRoll",#N/A,FALSE,"RentRoll"}</definedName>
    <definedName name="wrn.annualrentroll2_3" hidden="1">{"AnnualRentRoll",#N/A,FALSE,"RentRoll"}</definedName>
    <definedName name="wrn.annualrentroll2_4" hidden="1">{"AnnualRentRoll",#N/A,FALSE,"RentRoll"}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pr._.Forecast." hidden="1">{"Apr",#N/A,FALSE,"Manager Report"}</definedName>
    <definedName name="wrn.Arcform1." hidden="1">{"One",#N/A,FALSE,"Property";"Rent Analysis",#N/A,FALSE,"Rent &amp; Income";"Market",#N/A,FALSE,"Market";"Environmental",#N/A,FALSE,"Environmental"}</definedName>
    <definedName name="wrn.Arcform2." hidden="1">{"Development Team",#N/A,FALSE,"Team";"Environmental",#N/A,FALSE,"Environmental";"Permanent",#N/A,FALSE,"Perm Mtg";"Soft",#N/A,FALSE,"Soft Mtg"}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hidden="1">{"Construction Analysis",#N/A,FALSE,"Constr Analysis";"Construction Financing",#N/A,FALSE,"Constr Finan";"Guarantees and Reserves",#N/A,FALSE,"Guar &amp; Reserves"}</definedName>
    <definedName name="wrn.Arena._.PCD." hidden="1">{#N/A,#N/A,TRUE,"Maritime Park Arena PCD";#N/A,#N/A,TRUE,"Maritime Park Arena IOR"}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et._.Management." hidden="1">{#N/A,#N/A,FALSE,"ASSET MGMT."}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et._.Manager._.Summary." hidden="1">{#N/A,#N/A,FALSE,"Jim Walsh";#N/A,#N/A,FALSE,"Dan Minkoff";#N/A,#N/A,FALSE,"Chip Cinnamond";#N/A,#N/A,FALSE,"Ann Cole";#N/A,#N/A,FALSE,"Jim Rosasco";#N/A,#N/A,FALSE,"George Ochs";#N/A,#N/A,FALSE,"Peter Weed";#N/A,#N/A,FALSE,"Sheryl Crosland";#N/A,#N/A,FALSE,"Jim McLoughlin";#N/A,#N/A,FALSE,"Jim Olson";#N/A,#N/A,FALSE,"Anne Pfeiffer"}</definedName>
    <definedName name="wrn.Assumptions." hidden="1">{"Assumptions",#N/A,FALSE,"Assumptions"}</definedName>
    <definedName name="wrn.Assumptions._.Book." hidden="1">{#N/A,#N/A,FALSE,"Cover";#N/A,#N/A,FALSE,"Contents";#N/A,#N/A,FALSE,"1. Transaction parameters";#N/A,#N/A,FALSE,"2. Revenue";#N/A,#N/A,FALSE,"3. Operational - Orco Valley";#N/A,#N/A,FALSE,"3. Operational - Susa Valley";#N/A,#N/A,FALSE,"3. Operational - Turin";#N/A,#N/A,FALSE,"3. Operational - Pont Ventoux";#N/A,#N/A,FALSE,"4. Operating expenses";#N/A,#N/A,FALSE,"5. Capex";#N/A,#N/A,FALSE,"6. Financing";#N/A,#N/A,FALSE,"7. Economics";#N/A,#N/A,FALSE,"8. Cost of Capital";#N/A,#N/A,FALSE,"9. Accounting";#N/A,#N/A,FALSE,"10. Taxation";#N/A,#N/A,FALSE,"11. Others"}</definedName>
    <definedName name="wrn.Atrium." hidden="1">{"Atrium-Investor",#N/A,FALSE,"Atrium";"Atrium-Property",#N/A,FALSE,"Atrium"}</definedName>
    <definedName name="wrn.Audit._.Committee." hidden="1">{#N/A,#N/A,FALSE,"Title Page - Aud";#N/A,#N/A,FALSE,"Index - Aud";#N/A,#N/A,FALSE,"Stmt of Income";#N/A,#N/A,FALSE,"Balance Sheet - Audit Comm";#N/A,#N/A,FALSE,"Stmt of Retained Earnings";#N/A,#N/A,FALSE,"Total Cash Flow";#N/A,#N/A,FALSE,"S.C.F.P.";#N/A,#N/A,FALSE,"Appraisal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Sales"}</definedName>
    <definedName name="wrn.Aug._.Forecast." hidden="1">{"Aug",#N/A,FALSE,"Manager Report"}</definedName>
    <definedName name="wrn.Auto._.Comp." hidden="1">{#N/A,#N/A,FALSE,"Sheet1"}</definedName>
    <definedName name="wrn.autoproj." hidden="1">{#N/A,#N/A,FALSE,"Project Properties";#N/A,#N/A,FALSE,"Eng %";#N/A,#N/A,FALSE,"ENGFORM";#N/A,#N/A,FALSE,"staffing";#N/A,#N/A,FALSE,"spending"}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rep." hidden="1">{#N/A,#N/A,FALSE,"ExecSum";#N/A,#N/A,FALSE,"Summary";#N/A,#N/A,FALSE,"Budget";#N/A,#N/A,FALSE,"CashFlow"}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ATON._.ROUGE._.1996._.CAP._.EX." hidden="1">{#N/A,#N/A,FALSE,"BATCAPX";#N/A,#N/A,FALSE,"GR&amp;CORR TOTALS";#N/A,#N/A,FALSE,"LUX  KING FF&amp;E";#N/A,#N/A,FALSE,"LUX KING GC";#N/A,#N/A,FALSE,"TYP DBL FF&amp;E ";#N/A,#N/A,FALSE,"TYP DBL GC ";#N/A,#N/A,FALSE,"PETITE W-SOFA FF&amp;E";#N/A,#N/A,FALSE,"PETITE W-SOFA GC";#N/A,#N/A,FALSE,"TYP KING FF&amp;E";#N/A,#N/A,FALSE,"TYP KING GC";#N/A,#N/A,FALSE,"EXEC KING FF&amp;E";#N/A,#N/A,FALSE,"EXEC KING GC";#N/A,#N/A,FALSE,"TOWNHS PARLOR FF&amp;E";#N/A,#N/A,FALSE,"TOWNHS PARLOR GC";#N/A,#N/A,FALSE,"LUX K PAR FF&amp;E ";#N/A,#N/A,FALSE,"LUX K PAR GC ";#N/A,#N/A,FALSE,"PRES SUITE FF&amp;E";#N/A,#N/A,FALSE,"PRES SUITE GC";#N/A,#N/A,FALSE,"CONC LOUNGE FF&amp;E";#N/A,#N/A,FALSE,"CONC LOUNGE GC";#N/A,#N/A,FALSE,"ADA GR  FF&amp;E ";#N/A,#N/A,FALSE,"ADA GR GC ";#N/A,#N/A,FALSE,"GUEST COR FF&amp;E ";#N/A,#N/A,FALSE,"GUEST  CORR GC";#N/A,#N/A,FALSE,"2ND FLR BANQ FF&amp;E L";#N/A,#N/A,FALSE,"2ND FLR BANQ GC L";#N/A,#N/A,FALSE,"2ND FLR BANQ FF&amp;E S";#N/A,#N/A,FALSE,"2ND FLR BANQ GC S"}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hidden="1">{#N/A,#N/A,FALSE,"Income Statement";#N/A,#N/A,FALSE,"Balance Sheet";#N/A,#N/A,FALSE,"Sheet5";#N/A,#N/A,FALSE,"Debt &amp; Equity Detail"}</definedName>
    <definedName name="wrn.BEN._.ELDER." hidden="1">{"Venture Summary",#N/A,FALSE,"Summary";"PI Summary",#N/A,FALSE,"PI Summary";"PI Leasing Summary",#N/A,FALSE,"PI Summary";#N/A,#N/A,FALSE,"PI&amp;II Monthly CF"}</definedName>
    <definedName name="wrn.BidCo." hidden="1">{#N/A,#N/A,FALSE,"BidCo Assumptions";#N/A,#N/A,FALSE,"Credit Stats";#N/A,#N/A,FALSE,"Bidco Summary";#N/A,#N/A,FALSE,"BIDCO Consolidated"}</definedName>
    <definedName name="wrn.BIGGER." hidden="1">{"PROFORMA",#N/A,FALSE,"A";"BIGGER 1",#N/A,FALSE,"B";"BIGGER 2",#N/A,FALSE,"B";"BIGGER 3",#N/A,FALSE,"B";"SMALL CF 1",#N/A,FALSE,"C"}</definedName>
    <definedName name="wrn.Binder." hidden="1">{"Summary",#N/A,FALSE,"Financial Summary";"Income",#N/A,FALSE,"Lease Terms";"Development",#N/A,FALSE,"Development Costs";"Expense",#N/A,FALSE,"Lease Terms";"CFlow",#N/A,FALSE,"5 Year Cash Flow"}</definedName>
    <definedName name="wrn.BINDER._.PRINT_YES." hidden="1">{"Summary",#N/A,TRUE,"Summary";"All Annual",#N/A,TRUE,"Annual"}</definedName>
    <definedName name="wrn.Birdie." hidden="1">{#N/A,#N/A,FALSE,"Trans Summary";#N/A,#N/A,FALSE,"Proforma Five Yr";#N/A,#N/A,FALSE,"Occ and Rate"}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eu4._1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1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2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_4" hidden="1">{#N/A,#N/A,TRUE,"Summary";#N/A,#N/A,TRUE,"Program Scheme";#N/A,#N/A,TRUE,"Assumptions";#N/A,#N/A,TRUE,"Development Budget &amp; Timing";#N/A,#N/A,TRUE,"Cash Flow";#N/A,#N/A,TRUE,"Cash Flow to Debt &amp; Equity"}</definedName>
    <definedName name="wrn.Board." hidden="1">{#N/A,#N/A,FALSE,"Title Page - Board";#N/A,#N/A,FALSE,"Index - Board";#N/A,#N/A,FALSE,"Stmt of Income";#N/A,#N/A,FALSE,"Balance Sheet - Audit Comm";#N/A,#N/A,FALSE,"Stmt of Retained Earnings";#N/A,#N/A,FALSE,"Total Cash Flow";#N/A,#N/A,FALSE,"S.C.F.P.";#N/A,#N/A,FALSE,"Appraisal surplus";#N/A,#N/A,FALSE,"FMV";#N/A,#N/A,FALSE,"Ratios"}</definedName>
    <definedName name="wrn.boardPackage." hidden="1">{#N/A,#N/A,FALSE,"ZM I-III Consol FinSummary";#N/A,#N/A,FALSE,"ZM1 FinSummary";#N/A,#N/A,FALSE,"ZM2 FinSummary";#N/A,#N/A,FALSE,"ZM3 FinSummary";#N/A,#N/A,FALSE,"FirstCapFinSummary";#N/A,#N/A,FALSE,"ZellLurieFinSummary";#N/A,#N/A,FALSE,"PortfolioOverview";#N/A,#N/A,FALSE,"Portfolio FinSummary";#N/A,#N/A,FALSE,"OverviewbyState";#N/A,#N/A,FALSE,"portfolio";#N/A,#N/A,FALSE,"ZM123";#N/A,#N/A,FALSE,"FCOccy";#N/A,#N/A,FALSE,"ZL";#N/A,#N/A,FALSE,"ZM ROll SbyS";#N/A,#N/A,FALSE,"zmlConsildated";#N/A,#N/A,FALSE,"FC Roll";#N/A,#N/A,FALSE,"ZL Roll";#N/A,#N/A,FALSE,"Retention";#N/A,#N/A,FALSE,"ConsZM123DebtMaturity";#N/A,#N/A,FALSE,"zm1DebtMaturity";#N/A,#N/A,FALSE,"ZM2DebtMaturity";#N/A,#N/A,FALSE,"ZM3DebtMaturity";#N/A,#N/A,FALSE,"FCDebtMaturity";#N/A,#N/A,FALSE,"ZLDebtMaturity";#N/A,#N/A,FALSE,"Corporate";#N/A,#N/A,FALSE,"SALEDATA";#N/A,#N/A,FALSE,"Pending deals";#N/A,#N/A,FALSE,"zm III";#N/A,#N/A,FALSE,"deal flow";#N/A,#N/A,FALSE,"96Tran";#N/A,#N/A,FALSE,"z4Sources &amp; Uses";#N/A,#N/A,FALSE,"z3 Sources &amp; Uses";#N/A,#N/A,FALSE,"z2 Sources and Uses";#N/A,#N/A,FALSE,"z1 Sources &amp; Uses"}</definedName>
    <definedName name="wrn.Bob." hidden="1">{#N/A,#N/A,TRUE,"33_Cover";#N/A,#N/A,TRUE,"1_Exec_Summ";#N/A,#N/A,TRUE,"2_Assump_Genl";#N/A,#N/A,TRUE,"5_Cash_Flow";#N/A,#N/A,TRUE,"11_Exp_Dtl";#N/A,#N/A,TRUE,"10_Exp_Recov_Dtl";#N/A,#N/A,TRUE,"12_Residual";#N/A,#N/A,TRUE,"14_Pricing_Mtx";#N/A,#N/A,TRUE,"29_Residual_Mtx";#N/A,#N/A,TRUE,"18_Expirations"}</definedName>
    <definedName name="wrn.BofA." hidden="1">{"BofA-Investor",#N/A,FALSE,"BofA Tower";"BofA-Property",#N/A,FALSE,"BofA Tower"}</definedName>
    <definedName name="wrn.Bonds." hidden="1">{#N/A,#N/A,FALSE,"Bonds - Consol";#N/A,#N/A,FALSE,"Bonds - Lakes";#N/A,#N/A,FALSE,"Bonds - Chabot";#N/A,#N/A,FALSE,"Bonds - Diablo"}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_.Reports." hidden="1">{"Current Month",#N/A,FALSE,"Current Compar.";"Year-To-Date",#N/A,FALSE,"Year Comparison";"Forecast",#N/A,FALSE,"Comparison NOI";"Actual Input",#N/A,FALSE,"Act...Ratios"}</definedName>
    <definedName name="wrn.Boston._.1.4.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1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2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ston._.1.4._3" hidden="1">{"Coversheet",#N/A,TRUE,"Sheet1";"Sensitivity",#N/A,TRUE,"Sheet1";"Value",#N/A,TRUE,"Sheet1";"Asset",#N/A,TRUE,"Sheet1";"Cash+Equity",#N/A,TRUE,"Sheet1";"DCF",#N/A,TRUE,"Sheet1";"Partnership Distribution",#N/A,TRUE,"Sheet1";"Promote1",#N/A,TRUE,"Sheet1";"Promote2",#N/A,TRUE,"Sheet1";"Promote3",#N/A,TRUE,"Sheet1";"Assumptions",#N/A,TRUE,"Sheet1"}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rookfield._.Notes." hidden="1">{#N/A,#N/A,FALSE,"Note 2";#N/A,#N/A,FALSE,"Note 3";#N/A,#N/A,FALSE,"Note 4";#N/A,#N/A,FALSE,"Note 5";#N/A,#N/A,FALSE,"Note 6";#N/A,#N/A,FALSE,"Note 10"}</definedName>
    <definedName name="wrn.Budget." hidden="1">{"Spread Dollars",#N/A,FALSE,"Budget";"Spread Ratios",#N/A,FALSE,"Budget";"Target Comparison",#N/A,FALSE,"Summary"}</definedName>
    <definedName name="wrn.Budget._.1997._.Analysis." hidden="1">{#N/A,#N/A,TRUE,"Budget 1997 Class A";#N/A,#N/A,TRUE,"Budgets 1997 Class B &amp; C"}</definedName>
    <definedName name="wrn.Budget._.Report." hidden="1">{#N/A,#N/A,FALSE,"Cover Page";#N/A,#N/A,FALSE,"Brookfield Consolidated";#N/A,#N/A,FALSE,"Marketable Sec.";#N/A,#N/A,FALSE,"Acct. &amp; Loans Rec.";#N/A,#N/A,FALSE,"Brookfield Homes";#N/A,#N/A,FALSE,"Carma Developers";#N/A,#N/A,FALSE,"Brookfield CP";#N/A,#N/A,FALSE,"World Financial Center Props.";#N/A,#N/A,FALSE,"Other Assets";#N/A,#N/A,FALSE,"Accounts Payable";#N/A,#N/A,FALSE,"Liabilities";#N/A,#N/A,FALSE,"Minority Interests";#N/A,#N/A,FALSE,"Conv Debs";#N/A,#N/A,FALSE,"Preferred Shares";#N/A,#N/A,FALSE,"Assumptions"}</definedName>
    <definedName name="wrn.BUDGET97." hidden="1">{"FIXVARIANCE",#N/A,FALSE,"COSTPHSE";"SOURCING",#N/A,FALSE,"COSTPHSE"}</definedName>
    <definedName name="wrn.Buildings._.10._.and._.12." hidden="1">{"B10&amp;12 Summary",#N/A,TRUE,"10 &amp; 12 - CF";"B10&amp;12 Budget",#N/A,TRUE,"10 &amp; 12 - CF";"B10&amp;12 Dev. Costs",#N/A,TRUE,"10 &amp; 12 - CF";"B10&amp;12 CF1",#N/A,TRUE,"10 &amp; 12 - CF";"B10&amp;12 CF2",#N/A,TRUE,"10 &amp; 12 - CF"}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isse._.Report.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wrn.Capital._.Projections.Base._.Case." hidden="1">{"CapContr.",#N/A,FALSE,"Capital Projections-Base";"LOC Fundings",#N/A,FALSE,"Capital Projections";"LOC Repayments",#N/A,FALSE,"Capital Projections";"LOC 1",#N/A,FALSE,"Capital Projections";"LOC 2",#N/A,FALSE,"Capital Projections";"LOC 3",#N/A,FALSE,"Capital Projections";"Cap.Dis",#N/A,FALSE,"Capital Projections"}</definedName>
    <definedName name="wrn.Capital_Increm.." hidden="1">{#N/A,#N/A,FALSE,"Capital-Incremental"}</definedName>
    <definedName name="wrn.Capital_Nonincre.." hidden="1">{#N/A,#N/A,FALSE,"Capital-Nonincremental"}</definedName>
    <definedName name="wrn.CapitalProjections.WorseCase." hidden="1">{"Cap.Contr.WorseCase",#N/A,FALSE,"Capital Projections-WorseCase"}</definedName>
    <definedName name="wrn.CAPREIT." hidden="1">{#N/A,#N/A,FALSE,"CAPREIT"}</definedName>
    <definedName name="wrn.CAPREIT._.II." hidden="1">{#N/A,#N/A,FALSE,"Consolidate II";#N/A,#N/A,FALSE,"Atrium";#N/A,#N/A,FALSE,"DoverFarms";#N/A,#N/A,FALSE,"GreenwayChase";#N/A,#N/A,FALSE,"Island Club 1";#N/A,#N/A,FALSE,"IslesGateway";#N/A,#N/A,FALSE,"MadisonPark";#N/A,#N/A,FALSE,"PacesRun";#N/A,#N/A,FALSE,"Park";#N/A,#N/A,FALSE,"Sunbrook";#N/A,#N/A,FALSE,"TownPlace";#N/A,#N/A,FALSE,"WatPark";#N/A,#N/A,FALSE,"WatPlace";#N/A,#N/A,FALSE,"WatCastleton"}</definedName>
    <definedName name="wrn.CAPREIT._.II._.and._.IV." hidden="1">{#N/A,#N/A,FALSE,"Consolidate II &amp; IV";#N/A,#N/A,FALSE,"Atrium";#N/A,#N/A,FALSE,"Chasewood";#N/A,#N/A,FALSE,"ClubNorthHills";#N/A,#N/A,FALSE,"DoverFarms";#N/A,#N/A,FALSE,"GreenwayChase";#N/A,#N/A,FALSE,"Island Club 1";#N/A,#N/A,FALSE,"IslesGateway";#N/A,#N/A,FALSE,"Kensington";#N/A,#N/A,FALSE,"LakeFront";#N/A,#N/A,FALSE,"MadisonPark";#N/A,#N/A,FALSE,"Oaks";#N/A,#N/A,FALSE,"PacesRun";#N/A,#N/A,FALSE,"Park";#N/A,#N/A,FALSE,"PointeWest";#N/A,#N/A,FALSE,"Sunbrook";#N/A,#N/A,FALSE,"Sundance";#N/A,#N/A,FALSE,"TownPlace";#N/A,#N/A,FALSE,"WatPark";#N/A,#N/A,FALSE,"WatPlace";#N/A,#N/A,FALSE,"WatCastleton";#N/A,#N/A,FALSE,"Wellington"}</definedName>
    <definedName name="wrn.CAPREIT._.IV." hidden="1">{#N/A,#N/A,FALSE,"Consolidate IV";#N/A,#N/A,FALSE,"Chasewood";#N/A,#N/A,FALSE,"ClubNorthHills";#N/A,#N/A,FALSE,"Kensington";#N/A,#N/A,FALSE,"LakeFront";#N/A,#N/A,FALSE,"Oaks";#N/A,#N/A,FALSE,"PointeWest";#N/A,#N/A,FALSE,"Sundance";#N/A,#N/A,FALSE,"Wellington"}</definedName>
    <definedName name="wrn.CAPREIT._.TERA." hidden="1">{#N/A,#N/A,FALSE,"Consolidate TERA";#N/A,#N/A,FALSE,"Boulder";#N/A,#N/A,FALSE,"Braden";#N/A,#N/A,FALSE,"Cambridge";#N/A,#N/A,FALSE,"Charleston";#N/A,#N/A,FALSE,"Cornerstone";#N/A,#N/A,FALSE,"Courtyard";#N/A,#N/A,FALSE,"LakeMayport";#N/A,#N/A,FALSE,"Paces River 1";#N/A,#N/A,FALSE,"Paces River 2";#N/A,#N/A,FALSE,"Paddock ";#N/A,#N/A,FALSE,"Summer";#N/A,#N/A,FALSE,"Sutton"}</definedName>
    <definedName name="wrn.CAPREIT._.V." hidden="1">{#N/A,#N/A,FALSE,"Consolidate V";#N/A,#N/A,FALSE,"Ashley";#N/A,#N/A,FALSE,"Biscayne";#N/A,#N/A,FALSE,"Carnegie";#N/A,#N/A,FALSE,"Culpeper ";#N/A,#N/A,FALSE,"Island Club 2";#N/A,#N/A,FALSE,"MadisonRidge";#N/A,#N/A,FALSE,"Magnolia";#N/A,#N/A,FALSE,"Royal";#N/A,#N/A,FALSE,"Valle"}</definedName>
    <definedName name="wrn.CAPREIT2" hidden="1">{#N/A,#N/A,FALSE,"CAPREIT"}</definedName>
    <definedName name="wrn.Capx." hidden="1">{"Capx/exp",#N/A,FALSE,"CapX"}</definedName>
    <definedName name="wrn.cash" hidden="1">{#N/A,#N/A,FALSE,"Matrix";#N/A,#N/A,FALSE,"Cash Flow";#N/A,#N/A,FALSE,"10 Year Cost Analysis"}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_1" hidden="1">{"CF",#N/A,FALSE,"Cash Flow";"RET",#N/A,FALSE,"Returns";"NPV",#N/A,FALSE,"Values";"ASMPT",#N/A,FALSE,"Assumptions"}</definedName>
    <definedName name="wrn.Cash._.Flow._.Analysis._2" hidden="1">{"CF",#N/A,FALSE,"Cash Flow";"RET",#N/A,FALSE,"Returns";"NPV",#N/A,FALSE,"Values";"ASMPT",#N/A,FALSE,"Assumptions"}</definedName>
    <definedName name="wrn.Cash._.Flow._.Analysis._3" hidden="1">{"CF",#N/A,FALSE,"Cash Flow";"RET",#N/A,FALSE,"Returns";"NPV",#N/A,FALSE,"Values";"ASMPT",#N/A,FALSE,"Assumptions"}</definedName>
    <definedName name="wrn.Cash._.Flow._.Analysis._4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Report." hidden="1">{#N/A,#N/A,FALSE,"Title Page";#N/A,#N/A,FALSE,"Canada - C$";#N/A,#N/A,FALSE,"Canada - US$";#N/A,#N/A,FALSE,"Available Credit"}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hidden="1">{#N/A,#N/A,FALSE,"Cash Flow"}</definedName>
    <definedName name="wrn.Cashflow._.Reconciliation." hidden="1">{"cashflow reconciliation",#N/A,FALSE,"cashflow rec"}</definedName>
    <definedName name="wrn.Cashflow._.Rolls." hidden="1">{"investment roll for cashflow",#N/A,FALSE,"detail investment sched";"fixed asset roll for cashflow",#N/A,FALSE,"other schedules";"goodwill roll for cashflow",#N/A,FALSE,"other schedules";"long term debt roll for cashflow",#N/A,FALSE,"other schedules";"minority interest roll for cashflow",#N/A,FALSE,"other schedules";"other long term obligations roll",#N/A,FALSE,"other schedules"}</definedName>
    <definedName name="wrn.Casino." hidden="1">{"Casino (Summary)",#N/A,FALSE,"Casino";"Casino (Budget Sum)",#N/A,FALSE,"Casino";"Casino (Cash Flow)",#N/A,FALSE,"Casino";"Casino (Costs and Sales)",#N/A,FALSE,"Casino";"Casino (Debt)",#N/A,FALSE,"Casino";"Casino (Partner CF)",#N/A,FALSE,"Casino";"Casino (Cost Detail)",#N/A,FALSE,"Casino";"Casino ( Budget Detail)",#N/A,FALSE,"Casino Budget"}</definedName>
    <definedName name="wrn.CCC." hidden="1">{#N/A,#N/A,FALSE,"A";#N/A,#N/A,FALSE,"B"}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B._.150." hidden="1">{"Summary",#N/A,TRUE,"Summary";"Sensitivity",#N/A,TRUE,"Summary";"Valuation",#N/A,TRUE,"Summary";"Cash Flows",#N/A,TRUE,"Summary";"Partnership NCF",#N/A,TRUE,"Summary";"Partnership Equity Value",#N/A,TRUE,"Summary";"Waterfall",#N/A,TRUE,"Summary";"MIR Fund Structure",#N/A,TRUE,"Summary";"Assumptions",#N/A,TRUE,"Summary";"Argus Assumptions",#N/A,TRUE,"Summary"}</definedName>
    <definedName name="wrn.CFD." hidden="1">{"CFD 1",#N/A,FALSE,"CFD";"CFD 2",#N/A,FALSE,"CFD";"CFD 3",#N/A,FALSE,"CFD";"CFD 4",#N/A,FALSE,"CFD"}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_old" hidden="1">{"CHART",#N/A,FALSE,"Arch Communications"}</definedName>
    <definedName name="wrn.CHART2._.detail." hidden="1">{#N/A,#N/A,FALSE,"Chart 2 by Prop Type"}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osing._.BW." hidden="1">{#N/A,#N/A,FALSE,"Closing Bentley Wynde";#N/A,#N/A,FALSE,"Closing Bantley Wynde (1)"}</definedName>
    <definedName name="wrn.closing._.statement." hidden="1">{"page1",#N/A,FALSE,"CTT_CLO";"page2",#N/A,FALSE,"CTT_CLO"}</definedName>
    <definedName name="wrn.clp_detail_doc." hidden="1">{"clp_ltd_doc",#N/A,FALSE,"CLP";"clp_om_doc",#N/A,FALSE,"CLP";"clp_ra_doc",#N/A,FALSE,"CLP";"clp_rb_doc",#N/A,FALSE,"CLP";"clp_rev_doc",#N/A,FALSE,"CLP";"clp_tax_doc",#N/A,FALSE,"CLP";"clp_wc_doc",#N/A,FALSE,"CLP";"clp_power_doc",#N/A,FALSE,"CLP"}</definedName>
    <definedName name="wrn.clp_fs_doc." hidden="1">{"clp_bs_doc",#N/A,FALSE,"CLP";"clp_is_doc",#N/A,FALSE,"CLP";"clp_cf_doc",#N/A,FALSE,"CLP";"clp_fr_doc",#N/A,FALSE,"CLP"}</definedName>
    <definedName name="wrn.Co._.Invest." hidden="1">{"Summary - Coinvest",#N/A,FALSE,"Summary";"Sensitivity - Coinvest",#N/A,FALSE,"Summary";"Partnership Value",#N/A,FALSE,"Summary";"Cash Flows",#N/A,FALSE,"Summary";"Partnership Equity Value",#N/A,FALSE,"Summary";"Waterfall - Coinvest",#N/A,FALSE,"Summary";"MIR Fund Structure - Coinvest",#N/A,FALSE,"Summary";"Assumptions - Coinvest",#N/A,FALSE,"Summary"}</definedName>
    <definedName name="wrn.coII._.I." hidden="1">{#N/A,#N/A,FALSE,"Fund-I"}</definedName>
    <definedName name="wrn.CoIV._.II." hidden="1">{#N/A,#N/A,FALSE,"Fund-II"}</definedName>
    <definedName name="wrn.COM." hidden="1">{"COM",#N/A,FALSE,"800 10th"}</definedName>
    <definedName name="wrn.COM._1" hidden="1">{"COM",#N/A,FALSE,"800 10th"}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LAWTC." hidden="1">{"Commish",#N/A,FALSE,"LAWTC"}</definedName>
    <definedName name="wrn.COMLAWTC._1" hidden="1">{"Commish",#N/A,FALSE,"LAWTC"}</definedName>
    <definedName name="wrn.Comp." hidden="1">{"Comp",#N/A,FALSE,"Spreadsheet"}</definedName>
    <definedName name="wrn.Compare._.Hawaiki." hidden="1">{"Divsum Compare Hawaiki",#N/A,FALSE,"Divsum"}</definedName>
    <definedName name="wrn.COMPCO." hidden="1">{"Page1",#N/A,FALSE,"CompCo";"Page2",#N/A,FALSE,"CompCo"}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etition._1" hidden="1">{#N/A,#N/A,FALSE,"CompSummary";#N/A,#N/A,FALSE,"Comp1";#N/A,#N/A,FALSE,"Comp2";#N/A,#N/A,FALSE,"Comp3";#N/A,#N/A,FALSE,"Comp4";#N/A,#N/A,FALSE,"Comp5";#N/A,#N/A,FALSE,"Our Prop";#N/A,#N/A,FALSE,"Projection Sheet"}</definedName>
    <definedName name="wrn.COMPLETE.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wrn.Complete._.Budget." hidden="1">{#N/A,#N/A,FALSE,"PropInfo";#N/A,#N/A,FALSE,"Summary";#N/A,#N/A,FALSE,"Comparitive";#N/A,#N/A,FALSE,"RevSummary";#N/A,#N/A,FALSE,"Rooms";#N/A,#N/A,FALSE,"Van";#N/A,#N/A,FALSE,"F&amp;B Rev";#N/A,#N/A,FALSE,"Food";#N/A,#N/A,FALSE,"Bev";#N/A,#N/A,FALSE,"PBX";#N/A,#N/A,FALSE,"Fitness";#N/A,#N/A,FALSE,"Golf #1";#N/A,#N/A,FALSE,"Golf #2 ";#N/A,#N/A,FALSE,"Tennis";#N/A,#N/A,FALSE,"BusCtr";#N/A,#N/A,FALSE,"InRoomVend";#N/A,#N/A,FALSE,"Retail #1";#N/A,#N/A,FALSE,"Retail #2";#N/A,#N/A,FALSE,"Parking";#N/A,#N/A,FALSE,"Rents&amp;Other";#N/A,#N/A,FALSE,"A&amp;G";#N/A,#N/A,FALSE,"A&amp;P";#N/A,#N/A,FALSE,"Comp";#N/A,#N/A,FALSE,"R&amp;M";#N/A,#N/A,FALSE,"Energy";#N/A,#N/A,FALSE,"Capital";#N/A,#N/A,FALSE,"Laundry";#N/A,#N/A,FALSE,"EmpCafe";#N/A,#N/A,FALSE,"PTEB";#N/A,#N/A,FALSE,"Rent Calc"}</definedName>
    <definedName name="wrn.Complete._.Budget.1" hidden="1">{#N/A,#N/A,TRUE,"Budget";#N/A,#N/A,TRUE,"Revenue &amp; COGS"}</definedName>
    <definedName name="wrn.Complete._.Fortress." hidden="1">{"Summary",#N/A,TRUE,"Fund";"Value",#N/A,TRUE,"Fund";"Sensitivity",#N/A,TRUE,"Fund";"Cash_Flows",#N/A,TRUE,"Fund";"Cash/Equity",#N/A,TRUE,"Fund";"DCF/Yield",#N/A,TRUE,"Fund";"Splits 1",#N/A,TRUE,"Fund";"Promote IA",#N/A,TRUE,"Fund";"Assumptions",#N/A,TRUE,"Fund"}</definedName>
    <definedName name="wrn.Complete._.II.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1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2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II._3" hidden="1">{"Summary",#N/A,TRUE,"Fund";"Value",#N/A,TRUE,"Fund";"Sensitivity",#N/A,TRUE,"Fund";"Cash_Flows",#N/A,TRUE,"Fund";"Cash/Equity",#N/A,TRUE,"Fund";"DCF/Yield",#N/A,TRUE,"Fund";"Splits 1",#N/A,TRUE,"Fund";"Promote I",#N/A,TRUE,"Fund";"Promote II",#N/A,TRUE,"Fund";"Promote III",#N/A,TRUE,"Fund";"Assumptions",#N/A,TRUE,"Fund"}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port." hidden="1">{"Plant Parameters",#N/A,FALSE,"Total Project Economics";"summary1",#N/A,FALSE,"Total Project Economics";"Tariffs_Unit Prices_Costs",#N/A,FALSE,"Total Project Economics";"Financials",#N/A,FALSE,"Total Project Economics"}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_1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2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_3" hidden="1">{"Summary",#N/A,TRUE,"Sheet1";"Sensitivity",#N/A,TRUE,"Sheet1";"Value",#N/A,TRUE,"Sheet1";"Asset",#N/A,TRUE,"Sheet1";"Cash",#N/A,TRUE,"Sheet1";"Equity",#N/A,TRUE,"Sheet1";"DCF",#N/A,TRUE,"Sheet1";"Splits",#N/A,TRUE,"Sheet1";"Promote1",#N/A,TRUE,"Sheet1";"Promote2",#N/A,TRUE,"Sheet1";"Promote3",#N/A,TRUE,"Sheet1";"Assumptions",#N/A,TRUE,"Sheet1";"Debt",#N/A,TRUE,"Sheet1";"Cash_Flows",#N/A,TRUE,"Sheet3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_2.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1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2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lete_2._3" hidden="1">{"Summary",#N/A,TRUE,"Model";"Value",#N/A,TRUE,"Model";"Sensitivity",#N/A,TRUE,"Model";"Asset",#N/A,TRUE,"Model";"Cash_Flows",#N/A,TRUE,"Cash Flow";"Cash",#N/A,TRUE,"Model";"Equity",#N/A,TRUE,"Model";"DCF",#N/A,TRUE,"Model";"Splits 1",#N/A,TRUE,"Model";"Splits 2",#N/A,TRUE,"Model";"Promote1",#N/A,TRUE,"Model";"Promote2",#N/A,TRUE,"Model";"Promote3",#N/A,TRUE,"Model";"Debt",#N/A,TRUE,"Debt";"Assumptions",#N/A,TRUE,"Model"}</definedName>
    <definedName name="wrn.Comps." hidden="1">{#N/A,#N/A,FALSE,"Comps"}</definedName>
    <definedName name="wrn.Const_Monthly." hidden="1">{"Const_Monthly",#N/A,FALSE,"Construction"}</definedName>
    <definedName name="wrn.Construction._.Costs." hidden="1">{"Construction Costs",#N/A,FALSE,"Total Costs"}</definedName>
    <definedName name="wrn.Construction_Summary." hidden="1">{#N/A,#N/A,FALSE,"Construction"}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ntrol_A." hidden="1">{#N/A,#N/A,FALSE,"Notes";#N/A,#N/A,FALSE,"CFD Summary";#N/A,#N/A,FALSE,"Loan Value";#N/A,#N/A,FALSE,"CashFlowSummary";#N/A,#N/A,FALSE,"InvestorSummary";#N/A,#N/A,FALSE,"RevenueAssumptions";#N/A,#N/A,FALSE,"MasterCostAssmp";#N/A,#N/A,FALSE,"InTractCstAssmp";#N/A,#N/A,FALSE,"LotTakedowns"}</definedName>
    <definedName name="wrn.Control_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FlowSummary";#N/A,#N/A,FALSE,"SourcesAndUses";#N/A,#N/A,FALSE,"CashDistribute";#N/A,#N/A,FALSE,"InvestorSummary";#N/A,#N/A,FALSE,"AcqDev Loan";#N/A,#N/A,FALSE,"Finance Summary";#N/A,#N/A,FALSE,"Valuation"}</definedName>
    <definedName name="wrn.Converse.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1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2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nverse._3" hidden="1">{"Cover",#N/A,TRUE,"Sheet1";"Valuation",#N/A,TRUE,"Sheet1";"Sensitivity",#N/A,TRUE,"Sheet1";"Portfolio CF",#N/A,TRUE,"Sheet1";"Pship NCF",#N/A,TRUE,"Sheet1";"Equity &amp; DCF",#N/A,TRUE,"Sheet1";"Pship Dist 1",#N/A,TRUE,"Sheet1";"Pship Dist 2",#N/A,TRUE,"Sheet1";"Pship Dist 3",#N/A,TRUE,"Sheet1";"MIR Splits 1",#N/A,TRUE,"Sheet1";"MIR Splits 2",#N/A,TRUE,"Sheet1";"MIR Splits 3",#N/A,TRUE,"Sheet1";"Assumptions",#N/A,TRUE,"Sheet1"}</definedName>
    <definedName name="wrn.Core." hidden="1">{#N/A,#N/A,FALSE,"Summary (Oblg)";#N/A,#N/A,FALSE,"41 Mad (41)";#N/A,#N/A,FALSE,"41 Mad (27&amp;28)";#N/A,#N/A,FALSE,"41 Mad (29-1)";#N/A,#N/A,FALSE,"41 Mad (29-2A)";#N/A,#N/A,FALSE,"41 Mad (29-2B)";#N/A,#N/A,FALSE,"41 Mad (30)";#N/A,#N/A,FALSE,"41 Mad (42)";#N/A,#N/A,FALSE,"Blend"}</definedName>
    <definedName name="wrn.Core._.Fund." hidden="1">{"Core Assumptions",#N/A,TRUE,"SA1 Quarterly";"Core Annual",#N/A,TRUE,"SA1 Quarterly";"Core Quarterly",#N/A,TRUE,"SA1 Quarterly"}</definedName>
    <definedName name="wrn.CORNELL._.ANALYSIS." hidden="1">{#N/A,#N/A,FALSE,"CORNELL SCENARIO COMPARISON";#N/A,#N/A,FALSE,"SUMMARY";#N/A,#N/A,FALSE,"Returns";#N/A,#N/A,FALSE,"Cash Flow";#N/A,#N/A,FALSE,"Pro-Forma";#N/A,#N/A,FALSE,"Rent Roll"}</definedName>
    <definedName name="wrn.Corporate." hidden="1">{"Corporate",#N/A,FALSE,"Corporate Profile"}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top." hidden="1">{"ReportTop",#N/A,FALSE,"report top"}</definedName>
    <definedName name="wrn.cotop2." hidden="1">{"ReportTop",#N/A,FALSE,"report top"}</definedName>
    <definedName name="wrn.Cottage._.Summary." hidden="1">{"cot1",#N/A,FALSE,"Cottages";"cot2",#N/A,FALSE,"Cottages";"cot3",#N/A,FALSE,"Cottages"}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{#N/A,#N/A,FALSE,"CREDIT"}</definedName>
    <definedName name="wrn.Crossings." hidden="1">{"One",#N/A,FALSE,"Crossings";"Two",#N/A,FALSE,"Crossings";"Three",#N/A,FALSE,"Crossings";"Fous",#N/A,FALSE,"Crossings";"Five",#N/A,FALSE,"Crossings"}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CSSF._.ex._.USGAAP." hidden="1">{#N/A,#N/A,FALSE,"Cover &amp; Contents ex USGAAP";#N/A,#N/A,FALSE,"Mgr";#N/A,#N/A,FALSE,"Audit ex USGAAP";#N/A,#N/A,FALSE,"Net Assets &amp; Ops &amp; #Units";#N/A,#N/A,FALSE,"NAV per unit";#N/A,#N/A,FALSE,"Cashflow &amp; RE";#N/A,#N/A,FALSE,"Notes 1-2";#N/A,#N/A,FALSE,"Notes 3-10";#N/A,#N/A,FALSE,"Notes 10-12";#N/A,#N/A,FALSE,"Notes 13-19";#N/A,#N/A,FALSE,"Notes 20-21";#N/A,#N/A,FALSE,"Note 22 Cos 1";#N/A,#N/A,FALSE,"Cos 2";#N/A,#N/A,FALSE,"App I";#N/A,#N/A,FALSE,"App II"}</definedName>
    <definedName name="wrn.Ctrl._.A._.Annual." hidden="1">{#N/A,#N/A,FALSE,"Sensitivity";#N/A,#N/A,FALSE,"Residual";#N/A,#N/A,FALSE,"RevenueAssumptions";#N/A,#N/A,FALSE,"CFD Summary";#N/A,#N/A,FALSE,"Annual CF";#N/A,#N/A,FALSE,"Annual Delivery";#N/A,#N/A,FALSE,"Annual IS"}</definedName>
    <definedName name="wrn.Ctrl._.A._.Annually." hidden="1">{#N/A,#N/A,FALSE,"Notes";"CashFlowSummary Annually",#N/A,FALSE,"CashFlowSummary";"InvestorSummary Annually",#N/A,FALSE,"InvestorSummary";#N/A,#N/A,FALSE,"RevenueAssumptions";"MasterCostAssmp Annually",#N/A,FALSE,"MasterCostAssmp";#N/A,#N/A,FALSE,"InTractCstAssmp";"LotTakedowns Annually",#N/A,FALSE,"LotTakedowns"}</definedName>
    <definedName name="wrn.Ctrl._.A._.Monthly." hidden="1">{#N/A,#N/A,FALSE,"Sensitivity";#N/A,#N/A,FALSE,"Residual";#N/A,#N/A,FALSE,"RevenueAssumptions";#N/A,#N/A,FALSE,"CFD Summary";#N/A,#N/A,FALSE,"CashFlow";#N/A,#N/A,FALSE,"Lot Take";#N/A,#N/A,FALSE,"MasterCostAssmp";#N/A,#N/A,FALSE,"InTractCstAssmp";#N/A,#N/A,FALSE,"InvestorSummary"}</definedName>
    <definedName name="wrn.Ctrl._.A._.Quarterly." hidden="1">{#N/A,#N/A,FALSE,"Notes";#N/A,#N/A,FALSE,"Loan Value";"CashFlowSummary Quarterly",#N/A,FALSE,"CashFlowSummary";"InvestorSummary Quarterly",#N/A,FALSE,"InvestorSummary";#N/A,#N/A,FALSE,"RevenueAssumptions";"MasterCostAssmp Quarterly",#N/A,FALSE,"MasterCostAssmp";#N/A,#N/A,FALSE,"InTractCstAssmp";"Lot Takedowns Quarterly",#N/A,FALSE,"LotTakedowns"}</definedName>
    <definedName name="wrn.Ctrl._.M." hidden="1">{#N/A,#N/A,FALSE,"Notes";#N/A,#N/A,FALSE,"CFD Summary";#N/A,#N/A,FALSE,"BaseAssumptions";#N/A,#N/A,FALSE,"RevenueAssumptions";#N/A,#N/A,FALSE,"MasterCostAssmp";#N/A,#N/A,FALSE,"InTractCstAssmp";#N/A,#N/A,FALSE,"LotTakedowns";#N/A,#N/A,FALSE,"CashFlowSummary";#N/A,#N/A,FALSE,"Loan #2";#N/A,#N/A,FALSE,"Loan Value";#N/A,#N/A,FALSE,"FlowSummary";#N/A,#N/A,FALSE,"SourcesAndUses";#N/A,#N/A,FALSE,"CashDistribute";#N/A,#N/A,FALSE,"InvestorSummary";#N/A,#N/A,FALSE,"Finance Summary";#N/A,#N/A,FALSE,"SourceAndUse";#N/A,#N/A,FALSE,"Valuation"}</definedName>
    <definedName name="wrn.Ctrl._.M._.Annually." hidden="1">{#N/A,#N/A,FALSE,"Notes";#N/A,#N/A,FALSE,"BaseAssumptions";#N/A,#N/A,FALSE,"CFD";#N/A,#N/A,FALSE,"RevenueAssumptions";"MasterCostAssmp Annually",#N/A,FALSE,"MasterCostAssmp";#N/A,#N/A,FALSE,"InTractCstAssmp";"LotTakedowns Annually",#N/A,FALSE,"LotTakedowns";"CashFlowSummary Annually",#N/A,FALSE,"CashFlowSummary";#N/A,#N/A,FALSE,"Loan Value";"AcqDev Loan Annually",#N/A,FALSE,"AcqDev Loan";"Loan #1 Annually",#N/A,FALSE,"Loan #1";"Loan #2 Annually",#N/A,FALSE,"Loan #2";"Loan #3 Annually",#N/A,FALSE,"Loan #3";"Consolidated Loan Annually",#N/A,FALSE,"Consolidated Loan";"FlowSummary Annually",#N/A,FALSE,"FlowSummary";"SourcesAndUses Annually",#N/A,FALSE,"SourcesAndUses";"CashDistribute Annually",#N/A,FALSE,"CashDistribute";"InvestorSummary Annually",#N/A,FALSE,"InvestorSummary";#N/A,#N/A,FALSE,"Finance Summary";#N/A,#N/A,FALSE,"Valuation"}</definedName>
    <definedName name="wrn.Ctrl._.M._.Quarterly." hidden="1">{#N/A,#N/A,FALSE,"Notes";#N/A,#N/A,FALSE,"BaseAssumptions";#N/A,#N/A,FALSE,"CFD";#N/A,#N/A,FALSE,"RevenueAssumptions";"MasterCostAssmp Quarterly",#N/A,FALSE,"MasterCostAssmp";"Lot Takedowns Quarterly",#N/A,FALSE,"LotTakedowns";#N/A,#N/A,FALSE,"InTractCstAssmp";"CashFlowSummary Quarterly",#N/A,FALSE,"CashFlowSummary";#N/A,#N/A,FALSE,"Loan Value";"AcqDev Loan Quarterly",#N/A,FALSE,"AcqDev Loan";"Loan #1 Quarterly",#N/A,FALSE,"Loan #1";"Loan #2 Quarterly",#N/A,FALSE,"Loan #2";"Loan #3 Quarterly",#N/A,FALSE,"Loan #3";"Consolidated Loan Quarterly",#N/A,FALSE,"Consolidated Loan";"FlowSummary Quarterly",#N/A,FALSE,"FlowSummary";"SourcesAndUses Quarterly",#N/A,FALSE,"SourcesAndUses";"CashDistribute Quarterly",#N/A,FALSE,"CashDistribute";"InvestorSummary Quarterly",#N/A,FALSE,"InvestorSummary";#N/A,#N/A,FALSE,"Finance Summary";#N/A,#N/A,FALSE,"Valuation"}</definedName>
    <definedName name="wrn.Currency._.Analysis." hidden="1">{"Analysis of Assets_Liabilities",#N/A,FALSE,"ccy_anal";"Analysis of Investments",#N/A,FALSE,"ccy_anal"}</definedName>
    <definedName name="wrn.Current.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rrent._1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2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Current._3" hidden="1">{"Coversheet",#N/A,TRUE,"Sheet1";"Valuation Summary",#N/A,TRUE,"Sheet1";"Cash Flow Projection",#N/A,TRUE,"Sheet1";"Pship Cash &amp; Equity Value",#N/A,TRUE,"Sheet1";"DCF",#N/A,TRUE,"Sheet1";"Partnership Distributions",#N/A,TRUE,"Sheet1";"MIR/Capital Partner Splits",#N/A,TRUE,"Sheet1";"MIR ROC &amp; Pref (3)",#N/A,TRUE,"Sheet1";"MIR Catchup &amp; Promote (4)",#N/A,TRUE,"Sheet1";"Assumptions",#N/A,TRUE,"Sheet1";"Sensitivity",#N/A,TRUE,"Sheet1";"PropertyPage 1",#N/A,TRUE,"Properties";"PropertyPage 2",#N/A,TRUE,"Properties";"PropertyPage 3",#N/A,TRUE,"Properties"}</definedName>
    <definedName name="wrn.daily." hidden="1">{#N/A,#N/A,FALSE,"Major v. River";#N/A,#N/A,FALSE,"Large Operators";#N/A,#N/A,FALSE,"Smaller Operators";#N/A,#N/A,FALSE,"Equip. Supply";#N/A,#N/A,FALSE,"EBITDA"}</definedName>
    <definedName name="wrn.data." hidden="1">{"data",#N/A,FALSE,"INPUT"}</definedName>
    <definedName name="wrn.data1" hidden="1">{"data",#N/A,FALSE,"INPUT"}</definedName>
    <definedName name="wrn.data5" hidden="1">{"data",#N/A,FALSE,"INPUT"}</definedName>
    <definedName name="wrn.DATABASE." hidden="1">{"DBINPUT1",#N/A,FALSE,"Database";"DBINPUT2",#N/A,FALSE,"Database"}</definedName>
    <definedName name="wrn.Days._.in._.AR." hidden="1">{"Normal",#N/A,TRUE,"Days";"Sold",#N/A,TRUE,"Days"}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{#N/A,#N/A,FALSE,"DCF-COM";#N/A,#N/A,FALSE,"VAC-COM"}</definedName>
    <definedName name="wrn.DCF._.Valuation." hidden="1">{"value box",#N/A,TRUE,"DPL Inc. Fin Statements";"unlevered free cash flows",#N/A,TRUE,"DPL Inc. Fin Statements"}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R._.Output." hidden="1">{"DCR Output",#N/A,FALSE,"Output"}</definedName>
    <definedName name="wrn.Debt._.Maturity." hidden="1">{#N/A,#N/A,FALSE,"ZLDebtMaturity";#N/A,#N/A,FALSE,"FCDebtMaturity";#N/A,#N/A,FALSE,"ZM3DebtMaturity";#N/A,#N/A,FALSE,"ZM2DebtMaturity";#N/A,#N/A,FALSE,"zm1DebtMaturity";#N/A,#N/A,FALSE,"ConsZM123DebtMaturity"}</definedName>
    <definedName name="wrn.Dec._.Forecast." hidden="1">{"Dec",#N/A,FALSE,"Manager Report"}</definedName>
    <definedName name="wrn.Demand._.Calcs." hidden="1">{#N/A,#N/A,FALSE,"Demand Calcs"}</definedName>
    <definedName name="wrn.Demand._.Inputs." hidden="1">{#N/A,#N/A,FALSE,"Demand Inputs"}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._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ed." hidden="1">{"Detailed",#N/A,FALSE,"Schedule4"}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_.Budget." hidden="1">{"Year 1",#N/A,FALSE,"Budget";"Year 2",#N/A,FALSE,"Budget";"Year 3",#N/A,FALSE,"Budget";"Year 4",#N/A,FALSE,"Budget"}</definedName>
    <definedName name="wrn.Dexter._.Nov._.Fund._.Mtg." hidden="1">{"Venture Summary",#N/A,FALSE,"Summary";"Development Budget",#N/A,FALSE,"Summary";"Annual",#N/A,FALSE,"Annual";"Timeline - Quarterly",#N/A,FALSE,"Timeline - Quarterly";"Argus Assumptions",#N/A,FALSE,"Argus Assumptions"}</definedName>
    <definedName name="wrn.Display." hidden="1">{"Summary",#N/A,TRUE,"Sheet1";"Sens",#N/A,TRUE,"Sheet1";"Summary2",#N/A,TRUE,"Sheet1";"Balance",#N/A,TRUE,"Sheet1";"Partner",#N/A,TRUE,"Sheet1";"Yield",#N/A,TRUE,"Sheet1";"Structure",#N/A,TRUE,"Sheet1";"Split",#N/A,TRUE,"Sheet1"}</definedName>
    <definedName name="wrn.Distribution._.Economics." hidden="1">{#N/A,#N/A,FALSE,"Draw";#N/A,#N/A,FALSE,"PROFORMA";#N/A,#N/A,FALSE,"Assumptions";#N/A,#N/A,FALSE,"Costs"}</definedName>
    <definedName name="wrn.Divsum._.All._.Sections." hidden="1">{"Divsum Complete Divsum",#N/A,FALSE,"Divsum"}</definedName>
    <definedName name="wrn.Downside." hidden="1">{"Downside",#N/A,FALSE,"Downside"}</definedName>
    <definedName name="wrn.dtl.schedules" hidden="1">{"ACCOUNT DETAIL",#N/A,FALSE,"SCHEDULE E";"ACCOUNT DETAIL",#N/A,FALSE,"SCHEDULE G";"ACCOUNT DETAIL",#N/A,FALSE,"SCHEDULE H";"ACCOUNT DETAIL",#N/A,FALSE,"SCHEDULE I"}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Dummy." hidden="1">{"Dummy",#N/A,FALSE,"Summary"}</definedName>
    <definedName name="wrn.Dwight._.print." hidden="1">{"Venture Summary",#N/A,TRUE,"Summary";"Sensitivity Tabels",#N/A,TRUE,"Summary";"Operating Assumptions",#N/A,TRUE,"Summary";#N/A,#N/A,TRUE,"IRR Changes"}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gineering." hidden="1">{#N/A,#N/A,FALSE,"ENGINEERING"}</definedName>
    <definedName name="wrn.Englese._.Report._.1st._.half." hidden="1">{"CoverSheet",#N/A,FALSE,"Cover Sheet";"AreaSum",#N/A,FALSE,"Master Area Summary";"Exclusions",#N/A,FALSE,"Exclusions";"EngEXsum",#N/A,FALSE,"Executive Summary";"Eng A sum",#N/A,FALSE,"Bldg A Summary";"EngAest",#N/A,FALSE,"BLDG.A";"EngCsum",#N/A,FALSE,"Bldg C Summary";"EngCest",#N/A,FALSE,"BLDG.C";"EngSTsum",#N/A,FALSE,"Site Summary";"Engsite",#N/A,FALSE,"Site work"}</definedName>
    <definedName name="wrn.Englese._.Report._.2nd._.half." hidden="1">{"EngSWsum",#N/A,FALSE,"Sewer Summary";"EngSWest",#N/A,FALSE,"Sewer Estimate";"Eng GRsum",#N/A,FALSE,"Garage Summary";"EngGRest",#N/A,FALSE,"Garage Estimate";"EngPLsum",#N/A,FALSE,"Pool Summary";"EngPLest",#N/A,FALSE,"Pool";"EngPHsum",#N/A,FALSE,"Pool House Summary";"EngPHest",#N/A,FALSE,"Pool House Estimate";"EngMAsum",#N/A,FALSE,"Marina Summary";"EngMAest",#N/A,FALSE,"Marina Estimate"}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hidden="1">{#N/A,#N/A,FALSE,"Smry1";#N/A,#N/A,FALSE,"Smry2";#N/A,#N/A,FALSE,"Finance Cash Flow";#N/A,#N/A,FALSE,"ProForma_Input";#N/A,#N/A,FALSE,"prop_input";#N/A,#N/A,FALSE,"regional_input";#N/A,#N/A,FALSE,"LT Cost of Capital_Input";#N/A,#N/A,FALSE,"Debt_Input";#N/A,#N/A,FALSE,"Yr 6 Rent";#N/A,#N/A,FALSE,"Accr_Dil Cmpd"}</definedName>
    <definedName name="wrn.ENTIRE._1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2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3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4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tlements." hidden="1">{"EB (Summary)",#N/A,FALSE,"Ent Budget";"EB (Budget Detail)",#N/A,FALSE,"Ent Budget";"EB (Budget CF)",#N/A,FALSE,"Ent Budget"}</definedName>
    <definedName name="wrn.Entries." hidden="1">{"entries",#N/A,FALSE,"entries"}</definedName>
    <definedName name="wrn.Environmental." hidden="1">{#N/A,#N/A,FALSE,"ENVIRONMENTAL"}</definedName>
    <definedName name="wrn.Error._.Report." hidden="1">{"Error Report",#N/A,FALSE,"Report"}</definedName>
    <definedName name="wrn.Estimate._.Backup." hidden="1">{"Estimate Backup",#N/A,FALSE,"Divsum"}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ple." hidden="1">{"Assumption Summary",#N/A,TRUE,"FIII Asset CF";"FIII Portfolio CF",#N/A,TRUE,"FIII Asset CF";"FIII Asset CF",#N/A,TRUE,"Rollup CF"}</definedName>
    <definedName name="wrn.Excavation." hidden="1">{"excavation",#N/A,FALSE,"DETAIL.XLS"}</definedName>
    <definedName name="wrn.Exception._.Report." hidden="1">{#N/A,#N/A,FALSE,"Exception Report"}</definedName>
    <definedName name="wrn.Exec._.Summary." hidden="1">{#N/A,#N/A,FALSE,"Index"}</definedName>
    <definedName name="wrn.ExecMgt._.Reports." hidden="1">{#N/A,#N/A,FALSE,"PropInfo";#N/A,#N/A,FALSE,"Summary";#N/A,#N/A,FALSE,"Comparitive";#N/A,#N/A,FALSE,"RevSummary"}</definedName>
    <definedName name="wrn.Executive._.Summary._.Reports." hidden="1">{"Estimated Proforma (Prelim. Proforma)",#N/A,TRUE,"Prelim. Proforma";"Summary Cash Flow Grid",#N/A,TRUE,"Cash Flow Grid";"Final Proforma (Final Proforma)",#N/A,TRUE,"Final Proforma";"Cash Flow Graph (Cash Flow Graphic)",#N/A,TRUE,"Cash Flow Graphic"}</definedName>
    <definedName name="wrn.Exhibits." hidden="1">{#N/A,#N/A,FALSE,"Historical";#N/A,#N/A,FALSE,"Adjusted";#N/A,#N/A,FALSE,"CAM Alloc.";#N/A,#N/A,FALSE,"Projected CAM"}</definedName>
    <definedName name="wrn.ExitAndSalesAssumptions." hidden="1">{#N/A,#N/A,FALSE,"ExitStratigy"}</definedName>
    <definedName name="wrn.ExitAndSalesAssumptions._1" hidden="1">{#N/A,#N/A,FALSE,"ExitStratigy"}</definedName>
    <definedName name="wrn.ExitAndSalesAssumptions._2" hidden="1">{#N/A,#N/A,FALSE,"ExitStratigy"}</definedName>
    <definedName name="wrn.ExitAndSalesAssumptions._3" hidden="1">{#N/A,#N/A,FALSE,"ExitStratigy"}</definedName>
    <definedName name="wrn.ExitAndSalesAssumptions._4" hidden="1">{#N/A,#N/A,FALSE,"ExitStratigy"}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Input." hidden="1">{#N/A,#N/A,FALSE,"Expense Input"}</definedName>
    <definedName name="wrn.Exterior._.Wall." hidden="1">{#N/A,#N/A,FALSE,"Paramters";"print range",#N/A,FALSE,"GSF.XLS";"exterior wall",#N/A,FALSE,"DETAIL.XLS"}</definedName>
    <definedName name="wrn.F97._.QTR._.2._.Rate." hidden="1">{#N/A,#N/A,FALSE,"F98 Q2";#N/A,#N/A,FALSE,"Worksheet";#N/A,#N/A,FALSE,"Reconciliation";#N/A,#N/A,FALSE,"Minority Interest"}</definedName>
    <definedName name="wrn.Fair._.Share._.Calcs." hidden="1">{#N/A,#N/A,FALSE,"Fair Share"}</definedName>
    <definedName name="wrn.Fairfield._.Business._.Center." hidden="1">{#N/A,#N/A,FALSE,"SUMMARY";#N/A,#N/A,FALSE,"Returns";#N/A,#N/A,FALSE,"Pro-Forma";#N/A,#N/A,FALSE,"Cash Flow";#N/A,#N/A,FALSE,"Rent Roll"}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_1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_1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1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2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db1_Imprime_Print." hidden="1">{"fdb1_Rapport_Report",#N/A,FALSE,"Report"}</definedName>
    <definedName name="wrn.fdb2_print_rpt." hidden="1">{"fdb2_print",#N/A,FALSE,"Report"}</definedName>
    <definedName name="wrn.Feb._.09._.Model._.Review." hidden="1">{"Venture Summary",#N/A,FALSE,"Summary";"Development Budget",#N/A,FALSE,"Summary";"Development Proforma",#N/A,FALSE,"Dev PF";"Argus Assumptions",#N/A,FALSE,"Argus Assumptions";"Project Costs",#N/A,FALSE,"Summary"}</definedName>
    <definedName name="wrn.Feb._.2009._.Model._.Review." hidden="1">{"Venture Summary",#N/A,FALSE,"Summary";"Argus Assumptions",#N/A,FALSE,"Argus Assumptions";"Development Budget",#N/A,FALSE,"Summary";"Dev PF",#N/A,FALSE,"Dev PF";"Monthly Venture CFs",#N/A,FALSE,"Summary";"Monthly Project Costs",#N/A,FALSE,"Summary"}</definedName>
    <definedName name="wrn.Feb._.Forecast." hidden="1">{"Feb",#N/A,FALSE,"Manager Report"}</definedName>
    <definedName name="wrn.Feb98." hidden="1">{"sheet a",#N/A,FALSE,"A";"2 9 casflow",#N/A,FALSE,"B"}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" hidden="1">{#N/A,#N/A,FALSE,"Total Sum";#N/A,#N/A,FALSE,"NA Summary";#N/A,#N/A,FALSE,"Junior Summary";#N/A,#N/A,FALSE,"FMC -NA Summary";#N/A,#N/A,FALSE,"Pacif Summary";#N/A,#N/A,FALSE,"NAV";#N/A,#N/A,FALSE,"Asset Summary";#N/A,#N/A,FALSE,"Bulawan";#N/A,#N/A,FALSE,"Sibutad";#N/A,#N/A,FALSE,"Prodn &amp; Reserves"}</definedName>
    <definedName name="wrn.Final._.Output." hidden="1">{#N/A,#N/A,FALSE,"Final Output"}</definedName>
    <definedName name="wrn.Finance." hidden="1">{#N/A,#N/A,TRUE,"97 FINANCING";#N/A,#N/A,TRUE,"97 Indirect &amp; Operating Costs";#N/A,#N/A,TRUE,"97 Master Dev. Cost Wksht"}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Model._1" hidden="1">{#N/A,#N/A,TRUE,"Input Sheet Model";#N/A,#N/A,TRUE,"Project Proforma Detail";#N/A,#N/A,TRUE,"Signoff Summary";#N/A,#N/A,TRUE,"Assumptions";#N/A,#N/A,TRUE,"Constr. Int. Inc.";#N/A,#N/A,TRUE,"Cashflow Projection"}</definedName>
    <definedName name="wrn.Financial._.Pack." hidden="1">{#N/A,#N/A,FALSE,"pension";#N/A,#N/A,FALSE,"Cover Page";#N/A,#N/A,FALSE,"Index";#N/A,#N/A,FALSE,"Certificate";#N/A,#N/A,FALSE,"Audit Report";#N/A,#N/A,FALSE,"Capital";#N/A,#N/A,FALSE,"Incomestat";#N/A,#N/A,FALSE,"Istatedetail";#N/A,#N/A,FALSE,"interestdividend";#N/A,#N/A,FALSE,"Tax";#N/A,#N/A,FALSE,"taxcomp";#N/A,#N/A,FALSE,"Incometaxac";#N/A,#N/A,FALSE,"Exitem";#N/A,#N/A,FALSE,"sharecap";#N/A,#N/A,FALSE,"distrprofit";#N/A,#N/A,FALSE,"amortis";#N/A,#N/A,FALSE,"deferredtax";#N/A,#N/A,FALSE,"Loans";#N/A,#N/A,FALSE,"fiassets";#N/A,#N/A,FALSE,"Fixedassets";#N/A,#N/A,FALSE,"reval";#N/A,#N/A,FALSE,"deprec";#N/A,#N/A,FALSE,"intercotr";#N/A,#N/A,FALSE,"plossassets";#N/A,#N/A,FALSE,"taxassets";#N/A,#N/A,FALSE,"notes";#N/A,#N/A,FALSE,"otherfixedass";#N/A,#N/A,FALSE,"sharessub";#N/A,#N/A,FALSE,"investments";#N/A,#N/A,FALSE,"STOCKS";#N/A,#N/A,FALSE,"DEBTORS";#N/A,#N/A,FALSE,"CREDITORS";#N/A,#N/A,FALSE,"BANKS&amp;LOANS";#N/A,#N/A,FALSE,"INTRACOMPANY";#N/A,#N/A,FALSE,"DIRECTORS";#N/A,#N/A,FALSE,"CASHFLOW";#N/A,#N/A,FALSE,"conliab"}</definedName>
    <definedName name="wrn.Financial._.Reports." hidden="1">{#N/A,#N/A,FALSE,"Overview";#N/A,#N/A,FALSE,"santafe";#N/A,#N/A,FALSE,"noble";#N/A,#N/A,FALSE,"Combined Results";#N/A,#N/A,FALSE,"Earnings"}</definedName>
    <definedName name="wrn.Financial._.Results." hidden="1">{"Financial Results",#N/A,FALSE,"Total Project Economics"}</definedName>
    <definedName name="wrn.Financial._.Statements." hidden="1">{"balance sheet",#N/A,FALSE,"balance sheet";#N/A,#N/A,FALSE,"income stmt (YTD)";"income stmt",#N/A,FALSE,"income stmt ";"cash flow YTD",#N/A,FALSE,"cash flow (YTD)";"cash flow",#N/A,FALSE,"cash flow "}</definedName>
    <definedName name="wrn.Financials." hidden="1">{#N/A,#N/A,TRUE,"Income Statement";#N/A,#N/A,TRUE,"Balance Sheet";#N/A,#N/A,TRUE,"Cash Flow"}</definedName>
    <definedName name="wrn.Financing." hidden="1">{"One",#N/A,FALSE,"Financing";"Two",#N/A,FALSE,"Financing";"Three",#N/A,FALSE,"Financing";"Four",#N/A,FALSE,"Financing"}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summ." hidden="1">{"Finsumm",#N/A,FALSE,"Summary Analysis"}</definedName>
    <definedName name="wrn.First._.3._.Years._.All._.Sheets." hidden="1">{#N/A,#N/A,FALSE,"BaseAssumptions";"MasterCostAssmp_3 Yrs",#N/A,FALSE,"MasterCostAssmp";#N/A,#N/A,FALSE,"InTractCstAssmp";"LotTakedowns_3 Yrs",#N/A,FALSE,"LotTakedowns";"CashFlowSummary_3 Yrs",#N/A,FALSE,"CashFlowSummary";"FlowSummary_3 Yrs",#N/A,FALSE,"FlowSummary";"SourcesAndUses_3 Yrs",#N/A,FALSE,"SourcesAndUses";"CashDistribute_3 Yrs",#N/A,FALSE,"CashDistribute";"InvestorSummary_3 Yrs",#N/A,FALSE,"InvestorSummary";"AcqDev Loan_3 Yrs",#N/A,FALSE,"AcqDev Loan";#N/A,#N/A,FALSE,"Finance Summary";#N/A,#N/A,FALSE,"Valuation"}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leet." hidden="1">{"FleetDetailsNE",#N/A,FALSE,"NEForecast"}</definedName>
    <definedName name="wrn.Fmgmtfee." hidden="1">{#N/A,#N/A,FALSE,"Fmgmtfee"}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otnotes." hidden="1">{"Footnotes",#N/A,FALSE,"Foot_Notes"}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RMULAS." hidden="1">{"FORMULAS",#N/A,FALSE,"ESTIMATE"}</definedName>
    <definedName name="wrn.Fortress.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1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2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rtress._3" hidden="1">{"Summary",#N/A,TRUE,"Sheet1";"Sens",#N/A,TRUE,"Sheet1";"Valuation Summary",#N/A,TRUE,"Sheet1";"Cash Flows and Value",#N/A,TRUE,"Sheet1";"DCF and Yield",#N/A,TRUE,"Sheet1";"JV Structure",#N/A,TRUE,"Sheet1";"Partnership Summary and Cash",#N/A,TRUE,"Sheet1";"Partnership Distributions 1",#N/A,TRUE,"Sheet1";"Partnership Distributions 2",#N/A,TRUE,"Sheet1";"CP Investment Return",#N/A,TRUE,"Sheet1";"Cash Flows Full",#N/A,TRUE,"Sheet2";"Assumptions",#N/A,TRUE,"Sheet1";"RR 1",#N/A,TRUE,"Rent Roll";"RR 2",#N/A,TRUE,"Rent Roll";"RR 3",#N/A,TRUE,"Rent Roll";"RR 4",#N/A,TRUE,"Rent Roll";"RR 5",#N/A,TRUE,"Rent Roll";"RR 6",#N/A,TRUE,"Rent Roll"}</definedName>
    <definedName name="wrn.FOschedules." hidden="1">{"FOschedule1",#N/A,FALSE,"Sheet1";"FOschedule2",#N/A,FALSE,"Sheet1";"FOschedule3",#N/A,FALSE,"Sheet1"}</definedName>
    <definedName name="wrn.FOschedules._1" hidden="1">{"FOschedule1",#N/A,FALSE,"Sheet1";"FOschedule2",#N/A,FALSE,"Sheet1";"FOschedule3",#N/A,FALSE,"Sheet1"}</definedName>
    <definedName name="wrn.FOschedules._2" hidden="1">{"FOschedule1",#N/A,FALSE,"Sheet1";"FOschedule2",#N/A,FALSE,"Sheet1";"FOschedule3",#N/A,FALSE,"Sheet1"}</definedName>
    <definedName name="wrn.FOschedules._3" hidden="1">{"FOschedule1",#N/A,FALSE,"Sheet1";"FOschedule2",#N/A,FALSE,"Sheet1";"FOschedule3",#N/A,FALSE,"Sheet1"}</definedName>
    <definedName name="wrn.FOschedules._4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xmeyer." hidden="1">{#N/A,#N/A,FALSE,"FOXMEYER SCENARIO COMPARISON";#N/A,#N/A,FALSE,"SUMMARY";#N/A,#N/A,FALSE,"Returns";#N/A,#N/A,FALSE,"Cash Flow";#N/A,#N/A,FALSE,"Pro-Forma";#N/A,#N/A,FALSE,"Rent Roll"}</definedName>
    <definedName name="wrn.Freq_Res." hidden="1">{#N/A,#N/A,TRUE,"FR_HC";#N/A,#N/A,TRUE,"FR_REST";#N/A,#N/A,TRUE,"FR_RETA";#N/A,#N/A,TRUE,"FR_TECSOF";#N/A,#N/A,TRUE,"FR_NETTEC";#N/A,#N/A,TRUE,"FR_CLISER"}</definedName>
    <definedName name="wrn.FRI.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1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2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I._3" hidden="1">{"Cover",#N/A,TRUE,"Sheet1";"2. Value",#N/A,TRUE,"Sheet1";"Sensitivities",#N/A,TRUE,"Sheet1";"3. Porfolio CF",#N/A,TRUE,"Sheet1";"4. NCF",#N/A,TRUE,"Sheet1";"5. DCF",#N/A,TRUE,"Sheet1";"6. Partnership Dist",#N/A,TRUE,"Sheet1";"7. MIR Splits",#N/A,TRUE,"Sheet1";"Assumptions",#N/A,TRUE,"Sheet1"}</definedName>
    <definedName name="wrn.Front._.2." hidden="1">{"Summary",#N/A,TRUE,"Sheet1";"Summary2",#N/A,TRUE,"Sheet1"}</definedName>
    <definedName name="wrn.Front._.3." hidden="1">{"Summary",#N/A,TRUE,"Sheet1";"Summary2",#N/A,TRUE,"Sheet1";"Sens",#N/A,TRUE,"Sheet1"}</definedName>
    <definedName name="wrn.FS._.Notes." hidden="1">{#N/A,#N/A,FALSE,"Note 2";#N/A,#N/A,FALSE,"Note 3";#N/A,#N/A,FALSE,"Note 4";#N/A,#N/A,FALSE,"Note 5";#N/A,#N/A,FALSE,"Note 6";#N/A,#N/A,FALSE,"Note 10"}</definedName>
    <definedName name="wrn.FS_2005." hidden="1">{"BS-Yearly",#N/A,TRUE,"BS-Year";"BS-Monthly-2005",#N/A,TRUE,"BS"}</definedName>
    <definedName name="wrn.Full." hidden="1">{#N/A,#N/A,FALSE,"ExecutiveSummary";#N/A,#N/A,FALSE,"CostDetail";#N/A,#N/A,FALSE,"IncomeDetail";#N/A,#N/A,FALSE,"InterestCalculation"}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COMPARISON." hidden="1">{"Full Sheet",#N/A,FALSE,"Expense Comparison"}</definedName>
    <definedName name="wrn.FULL._.COMPARISON._1" hidden="1">{"Full Sheet",#N/A,FALSE,"Expense Comparison"}</definedName>
    <definedName name="wrn.FULL._.COMPARISON._2" hidden="1">{"Full Sheet",#N/A,FALSE,"Expense Comparison"}</definedName>
    <definedName name="wrn.FULL._.COMPARISON._3" hidden="1">{"Full Sheet",#N/A,FALSE,"Expense Comparison"}</definedName>
    <definedName name="wrn.FULL._.COMPARISON._4" hidden="1">{"Full Sheet",#N/A,FALSE,"Expense Comparison"}</definedName>
    <definedName name="wrn.Full._.Model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Summary";"EB (Summary)",#N/A,FALSE,"Ent Budget";"CFD 1",#N/A,FALSE,"CFD";"CFD 2",#N/A,FALSE,"CFD";"CFD 3",#N/A,FALSE,"CFD";"CFD 4",#N/A,FALSE,"CFD";"Infra (Summary)",#N/A,FALSE,"Infrastructrue";"Infra (Budget)",#N/A,FALSE,"Infrastructrue";"Res (Summary)",#N/A,FALSE,"Res Phasing Summary";"Res (Tables)",#N/A,FALSE,"Res Phasing Summary";"Retail (Summary)",#N/A,FALSE,"Retail Summary";"Retail (Budget Sum - Cons)",#N/A,FALSE,"Retail Summary";"Retail (Budget Sum - Retail)",#N/A,FALSE,"Retail Summary";"Retail (Budget Sum - Res)",#N/A,FALSE,"Retail Summary";"Retail (Cash Flow)",#N/A,FALSE,"Retail Summary";"Retail (Costs)",#N/A,FALSE,"Retail Summary";"Retail (Sales)",#N/A,FALSE,"Retail Summary";"Retail (Debt)",#N/A,FALSE,"Retail Summary";"Retail (Cost Detail)",#N/A,FALSE,"Retail Summary";"Retail (Budget Detail)",#N/A,FALSE,"Retail Budget";"Retail (Tenant Summary)",#N/A,FALSE,"Retail Tenant Summary";"Casino (Summary)",#N/A,FALSE,"Casino";"Casino (Cash Flow)",#N/A,FALSE,"Casino";"Casino (Budget Sum)",#N/A,FALSE,"Casino";"Casino (Costs and Sales)",#N/A,FALSE,"Casino";"Casino (Debt)",#N/A,FALSE,"Casino";"Casino (Partner CF)",#N/A,FALSE,"Casino";"Casino (Cost Detail)",#N/A,FALSE,"Casino";"Casino ( Budget Detail)",#N/A,FALSE,"Casino Budget";"Overhead",#N/A,FALSE,"Overhead";"Project TL",#N/A,FALSE,"Project Timeline";"Fin TL",#N/A,FALSE,"Financing Timeline"}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{"Office Properties",#N/A,FALSE,"Consolidation";"Residential Summary",#N/A,FALSE,"Consolidation";"Retail Properties",#N/A,FALSE,"Consolidation";"Pru Loan",#N/A,FALSE,"Pru Loan";"One_Clear",#N/A,FALSE,"One Clearlake";"Comm_Corp",#N/A,FALSE,"Comm Corp Ctr";"San_Jac",#N/A,FALSE,"San Jacinto";"Wilshire",#N/A,FALSE,"8383 Wilshire";"Denver_Corp",#N/A,FALSE,"Denver Corp Center";"san_fel",#N/A,FALSE,"San Felipe";"Preston Bend",#N/A,FALSE,"Preston Bend";"The Willows",#N/A,FALSE,"The Willows";"Windemere",#N/A,FALSE,"Windemere";"Concorde",#N/A,FALSE,"Concorde";"Wyndridge",#N/A,FALSE,"Wyndridge 2 &amp; 3";"Spinnaker",#N/A,FALSE,"Spinnaker Cove";"Sedona",#N/A,FALSE,"Sedona Ridge";"Summer_Tree",#N/A,FALSE,"Summer Tree";"Ridge_Mtn",#N/A,FALSE,"Mountbrook_Ridgemont";"Highline",#N/A,FALSE,"Highline Oaks";"South_Towne",#N/A,FALSE,"South Towne";"Swansea",#N/A,FALSE,"Swansea"}</definedName>
    <definedName name="wrn.Full._.Report._1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2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eport._3" hidden="1">{"Summary",#N/A,TRUE,"Debt Model";"Sensitivity",#N/A,TRUE,"Debt Model";"Valuation/Asset Cash Flow",#N/A,TRUE,"Debt Model";"Partnership Cash Flow",#N/A,TRUE,"Debt Model";"Equity Value/DCF",#N/A,TRUE,"Debt Model";"Debt Summary",#N/A,TRUE,"Debt Model";"Madison Cash Flow/FX",#N/A,TRUE,"Debt Model";"Promote 1 - Diez",#N/A,TRUE,"Debt Model";"Promote 2 - Diez",#N/A,TRUE,"Debt Model";"Promote 3 - Diez",#N/A,TRUE,"Debt Model"}</definedName>
    <definedName name="wrn.Full._.Run." hidden="1">{#N/A,#N/A,FALSE,"Master Summary";#N/A,#N/A,FALSE,"Summary";#N/A,#N/A,FALSE,"245 Park Ave - Remaing Obl.";#N/A,#N/A,FALSE,"245 Park Ave - Sublease";#N/A,#N/A,FALSE,"Sublease Commission";#N/A,#N/A,FALSE,"245 Park Avenue-New Lease";#N/A,#N/A,FALSE,"Blend";#N/A,#N/A,FALSE,"30 Rock.";#N/A,#N/A,FALSE,"320 Park";#N/A,#N/A,FALSE,"250 Park-Existing Law Firm"}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ll_Template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MC._.Dev._.Model._.Nov._.Fund._.Mtg." hidden="1">{"Venture Summary",#N/A,FALSE,"Summary";"Development Budget",#N/A,FALSE,"Summary";"Timeline - Quarterly",#N/A,FALSE,"Timeline - Quarterly";"Argus Assumptions",#N/A,FALSE,"Argus Assumptions";"Annual",#N/A,FALSE,"Annual"}</definedName>
    <definedName name="wrn.FUMC._.Land._.Sale." hidden="1">{"Venture Summary",#N/A,FALSE,"Summary";"Timeline - Quarterly",#N/A,FALSE,"Timeline - Quarterly";"Development Proforma",#N/A,FALSE,"Dev PF";"Development Budget",#N/A,FALSE,"Summary";"Development Proforma",#N/A,FALSE,"Dev PF"}</definedName>
    <definedName name="wrn.FUMC._.Sale._.Model._.Nov._.Fund._.Mtg." hidden="1">{"Venture Summary",#N/A,FALSE,"Summary";"Development Budget",#N/A,FALSE,"Summary";"Sale Model Annual Costs and CFs",#N/A,FALSE,"Annual"}</definedName>
    <definedName name="wrn.Fundus._.33.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1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2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undus._.33._3" hidden="1">{"Summary",#N/A,TRUE,"Fond 33";"Sensitivity",#N/A,TRUE,"Fond 33";"Discount Metrics",#N/A,TRUE,"Fond 33";"Partnership Valuation Summary",#N/A,TRUE,"Fond 33";"Cash Flows",#N/A,TRUE,"Fond 33";"Partnership Net Cash Balance",#N/A,TRUE,"Fond 33";"Equity, DCF &amp; Yield",#N/A,TRUE,"Fond 33";"Partnership Distributions",#N/A,TRUE,"Fond 33";"Splits",#N/A,TRUE,"Fond 33";"MIR Distributions",#N/A,TRUE,"Fond 33";"Assumptions",#N/A,TRUE,"Fond 33"}</definedName>
    <definedName name="wrn.FY97SBP." hidden="1">{#N/A,#N/A,FALSE,"FY97";#N/A,#N/A,FALSE,"FY98";#N/A,#N/A,FALSE,"FY99";#N/A,#N/A,FALSE,"FY00";#N/A,#N/A,FALSE,"FY01"}</definedName>
    <definedName name="wrn.Garage." hidden="1">{#N/A,#N/A,FALSE,"Garage Assumpt 1";#N/A,#N/A,FALSE,"Garage Op Proj";#N/A,#N/A,FALSE,"Hist I&amp;E";#N/A,#N/A,FALSE,"Garage Lease"}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SPACK." hidden="1">{"Page1",#N/A,TRUE,"PERIOD 1  POWERPLAY";"Page 2",#N/A,TRUE,"PERIOD 1  POWERPLAY";"Page 3",#N/A,TRUE,"PERIOD 1  POWERPLAY";"Page 4",#N/A,TRUE,"PERIOD 1  POWERPLAY"}</definedName>
    <definedName name="wrn.GEER_report." hidden="1">{#N/A,#N/A,FALSE,"Table_Ass.";#N/A,#N/A,FALSE,"# of cust";#N/A,#N/A,FALSE,"Res_Report";#N/A,#N/A,FALSE,"Income Statement";"Qtr Cust",#N/A,FALSE,"Qtrly Proj"}</definedName>
    <definedName name="wrn.General." hidden="1">{"Balance",#N/A,FALSE,"General Assumptions";"Cost",#N/A,FALSE,"General Assumptions";"Working",#N/A,FALSE,"General Assumptions"}</definedName>
    <definedName name="wrn.General._.Information." hidden="1">{#N/A,#N/A,FALSE,"Input 2 - Sources of Funds"}</definedName>
    <definedName name="wrn.GIS." hidden="1">{#N/A,#N/A,FALSE,"GIS"}</definedName>
    <definedName name="wrn.GOG." hidden="1">{#N/A,#N/A,TRUE,"CES";#N/A,#N/A,TRUE,"DCS";#N/A,#N/A,TRUE,"GCs";#N/A,#N/A,TRUE,"Clubhouse";#N/A,#N/A,TRUE,"Guestrooms"}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eg." hidden="1">{"three",#N/A,FALSE,"Capital";"four",#N/A,FALSE,"Capital"}</definedName>
    <definedName name="wrn.gros." hidden="1">{#N/A,#N/A,FALSE,"Sch01";#N/A,#N/A,FALSE,"Sch02";#N/A,#N/A,FALSE,"Sch04";#N/A,#N/A,FALSE,"Sch05";#N/A,#N/A,FALSE,"Sch05a";#N/A,#N/A,FALSE,"Sch06";#N/A,#N/A,FALSE,"Sch07";#N/A,#N/A,FALSE,"Sch08";#N/A,#N/A,FALSE,"Sch09";#N/A,#N/A,FALSE,"Sch10";#N/A,#N/A,FALSE,"Sch11";#N/A,#N/A,FALSE,"Sch12";#N/A,#N/A,FALSE,"Sch-C";#N/A,#N/A,FALSE,"Sch-E"}</definedName>
    <definedName name="wrn.Gross._.to._.Net._.Reconciliations." hidden="1">{"Full Gross to Net",#N/A,TRUE,"GtoN";"R_I Accepted from Group Coys",#N/A,TRUE,"GtoN";"R_I Ceded to Group Coys",#N/A,TRUE,"GtoN";"Closing Loss Reserves and Gross Claims Incurred",#N/A,TRUE,"GtoN"}</definedName>
    <definedName name="wrn.Gross._.up." hidden="1">{#N/A,#N/A,FALSE,"Gross-Up"}</definedName>
    <definedName name="wrn.Group._.B._.Report." hidden="1">{"Both Reports Group B",#N/A,FALSE,"Group B";"Both Reports S33",#N/A,FALSE,"S33 Weymouth";"Both Reports S35",#N/A,FALSE,"S35 Woodcrest";"Both Reports S36",#N/A,FALSE,"S36 Cheshire";"Both Reports S38",#N/A,FALSE,"S38 Newton"}</definedName>
    <definedName name="wrn.Group._.C._.Report." hidden="1">{"Group C",#N/A,FALSE,"Group C";"Total Bev",#N/A,FALSE,"S01 Beverly";"Total S15",#N/A,FALSE,"S15 Lexington";"Both Reports S26",#N/A,FALSE,"S26 Peabody";"Both Reports S27",#N/A,FALSE,"S27 Randolph";"Both Reports S31",#N/A,FALSE,"S31 Westport";"Both Reports S34",#N/A,FALSE,"S34 Wilmington Woods"}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gth." hidden="1">{#N/A,#N/A,FALSE,"Title Page";#N/A,#N/A,FALSE,"Summary Sheet"}</definedName>
    <definedName name="wrn.Gund._.Arena._.PCD." hidden="1">{#N/A,#N/A,TRUE,"Gund Arena PCD";#N/A,#N/A,TRUE,"Gund Arena IOR"}</definedName>
    <definedName name="wrn.H_and_V." hidden="1">{"Summary",#N/A,FALSE,"Summary";"Sensitivity Chart",#N/A,FALSE,"Sensitivity Chart ";"Rent Detail",#N/A,FALSE,"Rent Detail";"Opex Detail",#N/A,FALSE,"Operating"}</definedName>
    <definedName name="wrn.HEAT." hidden="1">{#N/A,#N/A,FALSE,"Heat";#N/A,#N/A,FALSE,"DCF";#N/A,#N/A,FALSE,"LBO";#N/A,#N/A,FALSE,"A";#N/A,#N/A,FALSE,"C";#N/A,#N/A,FALSE,"impd";#N/A,#N/A,FALSE,"Accr-Dilu"}</definedName>
    <definedName name="wrn.heathrow." hidden="1">{#N/A,#N/A,FALSE,"Summary";#N/A,#N/A,FALSE,"Sales";#N/A,#N/A,FALSE,"Costs";#N/A,#N/A,FALSE,"1996";#N/A,#N/A,FALSE,"1997";#N/A,#N/A,FALSE,"1998";#N/A,#N/A,FALSE,"1999";#N/A,#N/A,FALSE,"2000";#N/A,#N/A,FALSE,"2001";#N/A,#N/A,FALSE,"2002";#N/A,#N/A,FALSE,"2003";#N/A,#N/A,FALSE,"2004";#N/A,#N/A,FALSE,"2005";#N/A,#N/A,FALSE,"2006"}</definedName>
    <definedName name="wrn.Hightower." hidden="1">{"Hightower-Investor",#N/A,FALSE,"Hightower";"Hightower-Property",#N/A,FALSE,"Hightower"}</definedName>
    <definedName name="wrn.Hingham." hidden="1">{"Hingham Summary",#N/A,TRUE,"Hingham - CF";"Hinham Budget",#N/A,TRUE,"Hingham - CF";"Hingham Dev. Costs",#N/A,TRUE,"Hingham - CF";"Hingham CF1",#N/A,TRUE,"Hingham - CF";"Hingh CF2",#N/A,TRUE,"Hingham - CF"}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hidden="1">{"History &amp; Projection",#N/A,FALSE,"History - Proforma"}</definedName>
    <definedName name="wrn.HNZ." hidden="1">{#N/A,#N/A,FALSE,"HNZ"}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1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2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_4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tal._.Summary." hidden="1">{"VS (Summary 1)",#N/A,FALSE,"Venture Summary";"VS (Summary 2)",#N/A,FALSE,"Venture Summary";"VS (Project CF)",#N/A,FALSE,"Venture Summary";"VS (NOI and Sales)",#N/A,FALSE,"Venture Summary";"VS (Debt)",#N/A,FALSE,"Venture Summary";"VS (Project Cost Detail)",#N/A,FALSE,"Venture Summary"}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C._.PKF._.Financials." hidden="1">{"Operations",#N/A,TRUE,"PKF";"Departments",#N/A,TRUE,"PKF"}</definedName>
    <definedName name="wrn.IC._.Memo._.Dexter." hidden="1">{"Venture Summary",#N/A,TRUE,"Summary";"Development Budget",#N/A,TRUE,"Summary";"Annual",#N/A,TRUE,"Summary"}</definedName>
    <definedName name="wrn.IC._.Memo._.Emerald." hidden="1">{"Venture Summary",#N/A,TRUE,"Retail Summary";"Dev Budget",#N/A,TRUE,"Retail Summary";"Annual",#N/A,TRUE,"Retail Summary"}</definedName>
    <definedName name="wrn.IC._.Memo._.FUMC." hidden="1">{"Venture Summary",#N/A,TRUE,"Summary";"Development Budget",#N/A,TRUE,"Summary";"Annual",#N/A,TRUE,"Summary"}</definedName>
    <definedName name="wrn.IGT._.Model." hidden="1">{#N/A,#N/A,TRUE,"IGT";#N/A,#N/A,TRUE,"IGTSLOT"}</definedName>
    <definedName name="wrn.III." hidden="1">{"CASHFLOW",#N/A,FALSE,"Northpointe"}</definedName>
    <definedName name="wrn.III1." hidden="1">{"CASHFLOW",#N/A,FALSE,"Northpointe"}</definedName>
    <definedName name="wrn.III1._1" hidden="1">{"CASHFLOW",#N/A,FALSE,"Northpointe"}</definedName>
    <definedName name="wrn.IIII" hidden="1">{"CASHFLOW",#N/A,FALSE,"Northpointe"}</definedName>
    <definedName name="wrn.IIII_1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come._.Input." hidden="1">{#N/A,#N/A,FALSE,"Income Input"}</definedName>
    <definedName name="wrn.Income._.Statements." hidden="1">{"Summary_Annual",#N/A,FALSE,"Summary";"Summary__Quarterly",#N/A,FALSE,"Summary";"Summary__Current Year",#N/A,FALSE,"Summary";"Summary__Next Year",#N/A,FALSE,"Summary"}</definedName>
    <definedName name="wrn.Income._.Statements.1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hidden="1">{#N/A,#N/A,FALSE,"Summary";#N/A,#N/A,FALSE,"AIME";#N/A,#N/A,FALSE,"Asia (2)";#N/A,#N/A,FALSE,"Europe";#N/A,#N/A,FALSE,"LA"}</definedName>
    <definedName name="wrn.Infrastructure." hidden="1">{"Inf1",#N/A,TRUE,"Ent &amp; Inf";"Inf2",#N/A,TRUE,"Ent &amp; Inf";"Inf3",#N/A,TRUE,"Ent &amp; Inf";"InfCF",#N/A,TRUE,"Ent &amp; Inf"}</definedName>
    <definedName name="wrn.Infrastructure._.2." hidden="1">{"Land Dev Budget 1",#N/A,TRUE,"Ent &amp; Inf";"Land Dev Budget 2",#N/A,TRUE,"Ent &amp; Inf";"Inf1",#N/A,TRUE,"Ent &amp; Inf";"Inf2",#N/A,TRUE,"Ent &amp; Inf";"Inf3",#N/A,TRUE,"Ent &amp; Inf"}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INFO." hidden="1">{"Input",#N/A,FALSE,"INPUT"}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Print._.Area." hidden="1">{#N/A,#N/A,FALSE,"inputs";#N/A,#N/A,FALSE,"inputs"}</definedName>
    <definedName name="wrn.Inputs." hidden="1">{"Inflation-BaseYear",#N/A,FALSE,"Inputs"}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" hidden="1">{#N/A,#N/A,FALSE,"SPacific";#N/A,#N/A,FALSE,"Hanover";#N/A,#N/A,FALSE,"Fairbanks";#N/A,#N/A,FALSE,"Life Savings";#N/A,#N/A,FALSE,"Ocwen";#N/A,#N/A,FALSE,"EMACC";#N/A,#N/A,FALSE,"CREC";#N/A,#N/A,FALSE,"SPTL";#N/A,#N/A,FALSE,"Thornberg";#N/A,#N/A,FALSE,"Conti Res";#N/A,#N/A,FALSE,"Conti Com";#N/A,#N/A,FALSE,"EMAQ";#N/A,#N/A,FALSE,"Fair1"}</definedName>
    <definedName name="wrn.Interior._.finishes." hidden="1">{"interior finishes",#N/A,FALSE,"DETAIL.XLS"}</definedName>
    <definedName name="wrn.internal." hidden="1">{#N/A,#N/A,FALSE,"Rent Roll";#N/A,#N/A,FALSE,"Sales History";#N/A,#N/A,FALSE,"Square Footage Calculations";#N/A,#N/A,FALSE,"Spec Pool";#N/A,#N/A,FALSE,"P &amp; L Detail";#N/A,#N/A,FALSE,"Expense Detail";#N/A,#N/A,FALSE,"Recovery Tables";#N/A,#N/A,FALSE,"Class. &amp; Rent";#N/A,#N/A,FALSE,"Expiration Detail";#N/A,#N/A,FALSE,"2nd Assump."}</definedName>
    <definedName name="wrn.INV._.Distribution." hidden="1">{"INV AUM",#N/A,TRUE,"AUM";"InvEBITDA",#N/A,TRUE,"Net Cash Flow";"INV Annual CF",#N/A,TRUE,"Waterfall";"INV S&amp;U",#N/A,TRUE,"S&amp;U";"INV EV",#N/A,TRUE,"Total EV";"Inv Sr. Pref.",#N/A,TRUE,"Sr. Pref."}</definedName>
    <definedName name="wrn.Investment._.Committee." hidden="1">{"Venture Summary",#N/A,TRUE,"Annual CF";"Project Summary",#N/A,TRUE,"Annual CF";"Detailed Project Summary",#N/A,TRUE,"Annual CF";"Timeline - Quarterly",#N/A,TRUE,"Annual CF";"Development Budget",#N/A,TRUE,"Annual CF";"Project Cash Flow",#N/A,TRUE,"Annual CF";"Sales Proceeds",#N/A,TRUE,"Annual CF";"Construction Loan",#N/A,TRUE,"Annual CF";"Partnership Calculation",#N/A,TRUE,"Annual CF";"Phase I Summary",#N/A,TRUE,"Annual CF";"Phase I Dev budget",#N/A,TRUE,"Phase I CF";"Phase I Detailed Dev Budget",#N/A,TRUE,"Phase I DB";"Phase II Summary",#N/A,TRUE,"Phase II CF";"Phase II Dev Budget",#N/A,TRUE,"Phase II CF";"Phase II Detailed Dev Budget",#N/A,TRUE,"Phase II DB"}</definedName>
    <definedName name="wrn.Investment._.Review." hidden="1">{#N/A,#N/A,FALSE,"Proforma Five Yr";#N/A,#N/A,FALSE,"Capital Input";#N/A,#N/A,FALSE,"Calculations";#N/A,#N/A,FALSE,"Transaction Summary-DTW"}</definedName>
    <definedName name="wrn.Investment._.Schedule." hidden="1">{"detailed investment schedule",#N/A,FALSE,"detail investment sched"}</definedName>
    <definedName name="wrn.Investor._.Package." hidden="1">{#N/A,#N/A,FALSE,"Valuation";#N/A,#N/A,FALSE,"PeakChart";#N/A,#N/A,FALSE,"CashFlowSummary";#N/A,#N/A,FALSE,"RevenueAssumptions";#N/A,#N/A,FALSE,"InTractCstAssmp";#N/A,#N/A,FALSE,"LotTakedowns"}</definedName>
    <definedName name="wrn.Investor._.Terms." hidden="1">{"Term Sheet",#N/A,FALSE,"Term Sheet";"Value Summary",#N/A,FALSE,"Value Sum";"Debt Coverage",#N/A,FALSE,"Debt Coverage"}</definedName>
    <definedName name="wrn.Investors._.II." hidden="1">{#N/A,#N/A,FALSE,"Fund-II"}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RR." hidden="1">{"IRR Benefits",#N/A,FALSE,"IRR";"Tax Credits",#N/A,FALSE,"IRR"}</definedName>
    <definedName name="wrn.IRR._.CORP._.7." hidden="1">{"IRR",#N/A,FALSE,"Corp 7 IRR";"Input",#N/A,FALSE,"Corp 7 IRR"}</definedName>
    <definedName name="wrn.irving._.report." hidden="1">{#N/A,#N/A,FALSE,"Summary";#N/A,#N/A,FALSE,"Total Project Economics"}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._.98." hidden="1">{"sheet a",#N/A,FALSE,"A";"sheet b 1",#N/A,FALSE,"B";"sheet b 2",#N/A,FALSE,"B"}</definedName>
    <definedName name="wrn.Jan._.Forecast." hidden="1">{"Jan",#N/A,FALSE,"Manager Report"}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._.Forecast." hidden="1">{"Jul",#N/A,FALSE,"Manager Report"}</definedName>
    <definedName name="wrn.July._.5." hidden="1">{#N/A,#N/A,TRUE,"Summary";#N/A,#N/A,TRUE,"Timeline";#N/A,#N/A,TRUE,"Cost Summary (uninflated)";#N/A,#N/A,TRUE,"Assumptions";#N/A,#N/A,TRUE,"Residential";#N/A,#N/A,TRUE,"Retail";#N/A,#N/A,TRUE,"Hotel";#N/A,#N/A,TRUE,"Office";#N/A,#N/A,TRUE,"Dev Expense Detail";#N/A,#N/A,TRUE,"Webster Hotel Model";#N/A,#N/A,TRUE,"Tax Credits";#N/A,#N/A,TRUE,"Garage"}</definedName>
    <definedName name="wrn.Jun._.Forecast." hidden="1">{"Jun",#N/A,FALSE,"Manager Report"}</definedName>
    <definedName name="wrn.JV." hidden="1">{"One",#N/A,FALSE,"JV"}</definedName>
    <definedName name="wrn.K." hidden="1">{#N/A,#N/A,FALSE,"K"}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öln._.Model.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1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2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öln._.Model._3" hidden="1">{"Summary",#N/A,TRUE,"Model";"Discount Metrics",#N/A,TRUE,"Model";"Partnership Valuation Summary",#N/A,TRUE,"Model";"Sensitivity",#N/A,TRUE,"Model";"Cash Flows",#N/A,TRUE,"Model";"Partnership Equity Value",#N/A,TRUE,"Model";"Equity/DCF/Yield",#N/A,TRUE,"Model";"Distributions/Interest Leverage",#N/A,TRUE,"Model";"Splits",#N/A,TRUE,"Model";"Assumptions",#N/A,TRUE,"Model"}</definedName>
    <definedName name="wrn.Kontrolní._.rozpočet." hidden="1">{#N/A,#N/A,TRUE,"Krycí list"}</definedName>
    <definedName name="wrn.Kontrolní._.rozpoeet." hidden="1">{#N/A,#N/A,TRUE,"Krycí list"}</definedName>
    <definedName name="wrn.kpI." hidden="1">{#N/A,#N/A,FALSE,"Top page";#N/A,#N/A,FALSE,"Weekly KPI";#N/A,#N/A,FALSE,"Customer Count Growth";#N/A,#N/A,FALSE,"Customer Spending Growth";#N/A,#N/A,FALSE,"Sales Growth";#N/A,#N/A,FALSE,"Customer Spending";#N/A,#N/A,FALSE,"Credit Card % to Sales"}</definedName>
    <definedName name="wrn.Kuwait._.1." hidden="1">{#N/A,#N/A,FALSE,"Fund-I"}</definedName>
    <definedName name="wrn.Land._.Sale." hidden="1">{"Venture Summary",#N/A,FALSE,"Summary";"Development Budget",#N/A,FALSE,"Summary";"Development Proforma",#N/A,FALSE,"Dev PF";"Annual",#N/A,FALSE,"Annual"}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hidden="1">{"LBO Summary",#N/A,FALSE,"Summary"}</definedName>
    <definedName name="wrn.Lease._.Rollover." hidden="1">{#N/A,#N/A,FALSE,"Lease Rollover"}</definedName>
    <definedName name="wrn.Leases." hidden="1">{#N/A,#N/A,FALSE,"Leases"}</definedName>
    <definedName name="wrn.Leasing._.Variance." hidden="1">{#N/A,#N/A,FALSE,"Leasing 6A"}</definedName>
    <definedName name="wrn.Leasing._.Variance._1" hidden="1">{#N/A,#N/A,FALSE,"Leasing 6A"}</definedName>
    <definedName name="wrn.Leasing._.Variance._2" hidden="1">{#N/A,#N/A,FALSE,"Leasing 6A"}</definedName>
    <definedName name="wrn.Leasing._.Variance._3" hidden="1">{#N/A,#N/A,FALSE,"Leasing 6A"}</definedName>
    <definedName name="wrn.Leasing._.Variance._4" hidden="1">{#N/A,#N/A,FALSE,"Leasing 6A"}</definedName>
    <definedName name="wrn.LeasingResults." hidden="1">{#N/A,#N/A,FALSE,"Retention";#N/A,#N/A,FALSE,"ZL Roll";#N/A,#N/A,FALSE,"FC Roll";#N/A,#N/A,FALSE,"zmlConsildated";#N/A,#N/A,FALSE,"ZM ROll SbyS";#N/A,#N/A,FALSE,"ZL";#N/A,#N/A,FALSE,"FCOccy";#N/A,#N/A,FALSE,"ZM123";#N/A,#N/A,FALSE,"portfolio"}</definedName>
    <definedName name="wrn.Legal._.Sized._.Internal." hidden="1">{"Legal Internal",#N/A,FALSE,"Cash Flow Proforma";#N/A,#N/A,FALSE,"Scenario Variable Cells";"Legal",#N/A,FALSE,"Proforma Assumptions";"Legal",#N/A,FALSE,"Rolling Option Sales";"Legal",#N/A,FALSE,"Bulk Pad and Finished Sales"}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ichtin._.Summary." hidden="1">{"Summary for Lichtin",#N/A,FALSE,"Value Summary"}</definedName>
    <definedName name="wrn.Lichtin._.Summary._1" hidden="1">{"Summary for Lichtin",#N/A,FALSE,"Value Summary"}</definedName>
    <definedName name="wrn.Lichtin._.Summary._2" hidden="1">{"Summary for Lichtin",#N/A,FALSE,"Value Summary"}</definedName>
    <definedName name="wrn.Lichtin._.Summary._3" hidden="1">{"Summary for Lichtin",#N/A,FALSE,"Value Summary"}</definedName>
    <definedName name="wrn.Line._.Item._.Summary." hidden="1">{#N/A,#N/A,FALSE,"Line Item Summ."}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anInformation." hidden="1">{#N/A,#N/A,FALSE,"LoanAssumptions"}</definedName>
    <definedName name="wrn.LoanInformation._1" hidden="1">{#N/A,#N/A,FALSE,"LoanAssumptions"}</definedName>
    <definedName name="wrn.LoanInformation._2" hidden="1">{#N/A,#N/A,FALSE,"LoanAssumptions"}</definedName>
    <definedName name="wrn.LoanInformation._3" hidden="1">{#N/A,#N/A,FALSE,"LoanAssumptions"}</definedName>
    <definedName name="wrn.LoanInformation._4" hidden="1">{#N/A,#N/A,FALSE,"LoanAssumptions"}</definedName>
    <definedName name="wrn.Loanrecap." hidden="1">{"Loanrecap",#N/A,FALSE,"Construction"}</definedName>
    <definedName name="wrn.Lodging." hidden="1">{#N/A,#N/A,FALSE,"EPS";#N/A,#N/A,FALSE,"EBITDA"}</definedName>
    <definedName name="wrn.Logo._.Exchange._.and._.Overview." hidden="1">{"Logo",#N/A,FALSE,"Logo";"Exchange",#N/A,FALSE,"Logo";#N/A,#N/A,FALSE,"overview"}</definedName>
    <definedName name="wrn.Long._.Ridge." hidden="1">{"Long Ridge Summary",#N/A,FALSE,"Long Ridge Summary";"Long Ridge Sensitivity",#N/A,FALSE,"Long Ridge Summary";"Long Ridge Partnership Valuation",#N/A,FALSE,"Long Ridge Summary";"Long Ridge Cash Flow",#N/A,FALSE,"Long Ridge Summary";"Long Ridge Partnership Equity Value",#N/A,FALSE,"Long Ridge Summary";"Long Ridge Distributions",#N/A,FALSE,"Long Ridge Summary";"Long Ridge Assumptions",#N/A,FALSE,"Long Ridge Summary"}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d._.Service._.Budget." hidden="1">{#N/A,#N/A,FALSE,"PropInfo";#N/A,#N/A,FALSE,"Summary";#N/A,#N/A,FALSE,"Comparitive";#N/A,#N/A,FALSE,"RevSummary";#N/A,#N/A,FALSE,"Rooms";#N/A,#N/A,FALSE,"PBX";#N/A,#N/A,FALSE,"Rents&amp;Other";#N/A,#N/A,FALSE,"A&amp;G";#N/A,#N/A,FALSE,"A&amp;P";#N/A,#N/A,FALSE,"Comp";#N/A,#N/A,FALSE,"R&amp;M";#N/A,#N/A,FALSE,"Energy";#N/A,#N/A,FALSE,"Capital";#N/A,#N/A,FALSE,"Laundry";#N/A,#N/A,FALSE,"PTEB";#N/A,#N/A,FALSE,"Rent Calc"}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Package." hidden="1">{#N/A,#N/A,FALSE,"Title";#N/A,#N/A,FALSE,"Summary";#N/A,#N/A,FALSE,"Tower V";#N/A,#N/A,FALSE,"Steeles Phase I";#N/A,#N/A,FALSE,"IBM - Bldg A";#N/A,#N/A,FALSE,"IBM - Bldg B";#N/A,#N/A,FALSE,"YVR Lands";#N/A,#N/A,FALSE,"Delf Project";#N/A,#N/A,FALSE,"Maycrest";#N/A,#N/A,FALSE,"Guildford Bldg 1";#N/A,#N/A,FALSE,"Guildford Bldg 2";#N/A,#N/A,FALSE,"Guildford Bldg 3";#N/A,#N/A,FALSE,"Summit Ridge";#N/A,#N/A,FALSE,"Millennium G";#N/A,#N/A,FALSE,"Virginia Phase I (CB)";#N/A,#N/A,FALSE,"Ballard";#N/A,#N/A,FALSE,"Westlake"}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" hidden="1">{#N/A,#N/A,FALSE,"Title Page - Mgmt";#N/A,#N/A,FALSE,"Index - Mgmt";#N/A,#N/A,FALSE,"Stmt of Income";#N/A,#N/A,FALSE,"Balance Sheet";#N/A,#N/A,FALSE,"Stmt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Debt";#N/A,#N/A,FALSE,"Bank Operating Lines";#N/A,#N/A,FALSE,"Share Capital";#N/A,#N/A,FALSE,"Rental Operating Results";#N/A,#N/A,FALSE,"G. &amp;  A.(1)";#N/A,#N/A,FALSE,"G. &amp;  A. (2)";#N/A,#N/A,FALSE,"INT";#N/A,#N/A,FALSE,"Other Inc";#N/A,#N/A,FALSE,"Property Sales";#N/A,#N/A,FALSE,"Accounts receivable ";#N/A,#N/A,FALSE,"Accounts payable";#N/A,#N/A,FALSE,"Other assets";#N/A,#N/A,FALSE,"Budget Analysis"}</definedName>
    <definedName name="wrn.Management._.Report.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wrn.March._.Report." hidden="1">{"Mar",#N/A,FALSE,"Manager Report"}</definedName>
    <definedName name="wrn.market." hidden="1">{#N/A,#N/A,FALSE,"SUBMKT";#N/A,#N/A,FALSE,"MARKET";#N/A,#N/A,FALSE,"VACANCY";#N/A,#N/A,FALSE,"ABSORB";#N/A,#N/A,FALSE,"SUBLEASE";#N/A,#N/A,FALSE,"CONSTRCT"}</definedName>
    <definedName name="wrn.Market._.Review._.File." hidden="1">{"Venture Sum Large Print",#N/A,FALSE,"Mkt Summary";"Development Budget",#N/A,FALSE,"Mkt Summary";"Operating Assumptions",#N/A,FALSE,"Mkt Summary";"Financing Summary",#N/A,FALSE,"Mkt Summary";"Rent Growth Assumptions",#N/A,FALSE,"Mkt Summary";"Mkt Rent Detail",#N/A,FALSE,"Mkt Rent&amp;Exp";"Mkt Expense Detail",#N/A,FALSE,"Mkt Rent&amp;Exp";"Mkt DevPF Landscape",#N/A,FALSE,"Mkt DevPF";"Mkt Annual",#N/A,FALSE,"Mkt Annual"}</definedName>
    <definedName name="wrn.Market._.Values." hidden="1">{#N/A,#N/A,TRUE,"10 Yr Hold";#N/A,#N/A,TRUE,"7 Yr Hold";#N/A,#N/A,TRUE,"5 Yr Hold";#N/A,#N/A,TRUE,"3 Yr Hold"}</definedName>
    <definedName name="wrn.Market._.Values._1" hidden="1">{#N/A,#N/A,TRUE,"10 Yr Hold";#N/A,#N/A,TRUE,"7 Yr Hold";#N/A,#N/A,TRUE,"5 Yr Hold";#N/A,#N/A,TRUE,"3 Yr Hold"}</definedName>
    <definedName name="wrn.Market._.Values._2" hidden="1">{#N/A,#N/A,TRUE,"10 Yr Hold";#N/A,#N/A,TRUE,"7 Yr Hold";#N/A,#N/A,TRUE,"5 Yr Hold";#N/A,#N/A,TRUE,"3 Yr Hold"}</definedName>
    <definedName name="wrn.Market._.Values._3" hidden="1">{#N/A,#N/A,TRUE,"10 Yr Hold";#N/A,#N/A,TRUE,"7 Yr Hold";#N/A,#N/A,TRUE,"5 Yr Hold";#N/A,#N/A,TRUE,"3 Yr Hold"}</definedName>
    <definedName name="wrn.Market._.Values._4" hidden="1">{#N/A,#N/A,TRUE,"10 Yr Hold";#N/A,#N/A,TRUE,"7 Yr Hold";#N/A,#N/A,TRUE,"5 Yr Hold";#N/A,#N/A,TRUE,"3 Yr Hold"}</definedName>
    <definedName name="wrn.Marketing." hidden="1">{#N/A,#N/A,FALSE,"2Assumptions";#N/A,#N/A,FALSE,"3Cash Flow";#N/A,#N/A,FALSE,"I&amp;E";#N/A,#N/A,FALSE,"I&amp;E (2)";#N/A,#N/A,FALSE,"10Vacancy Matrix";#N/A,#N/A,FALSE,"11Expiration Schedule"}</definedName>
    <definedName name="wrn.Marketing._1" hidden="1">{#N/A,#N/A,FALSE,"2Assumptions";#N/A,#N/A,FALSE,"3Cash Flow";#N/A,#N/A,FALSE,"I&amp;E";#N/A,#N/A,FALSE,"I&amp;E (2)";#N/A,#N/A,FALSE,"10Vacancy Matrix";#N/A,#N/A,FALSE,"11Expiration Schedule"}</definedName>
    <definedName name="wrn.Marketing._2" hidden="1">{#N/A,#N/A,FALSE,"2Assumptions";#N/A,#N/A,FALSE,"3Cash Flow";#N/A,#N/A,FALSE,"I&amp;E";#N/A,#N/A,FALSE,"I&amp;E (2)";#N/A,#N/A,FALSE,"10Vacancy Matrix";#N/A,#N/A,FALSE,"11Expiration Schedule"}</definedName>
    <definedName name="wrn.Marketing._3" hidden="1">{#N/A,#N/A,FALSE,"2Assumptions";#N/A,#N/A,FALSE,"3Cash Flow";#N/A,#N/A,FALSE,"I&amp;E";#N/A,#N/A,FALSE,"I&amp;E (2)";#N/A,#N/A,FALSE,"10Vacancy Matrix";#N/A,#N/A,FALSE,"11Expiration Schedule"}</definedName>
    <definedName name="wrn.Marketing._4" hidden="1">{#N/A,#N/A,FALSE,"2Assumptions";#N/A,#N/A,FALSE,"3Cash Flow";#N/A,#N/A,FALSE,"I&amp;E";#N/A,#N/A,FALSE,"I&amp;E (2)";#N/A,#N/A,FALSE,"10Vacancy Matrix";#N/A,#N/A,FALSE,"11Expiration Schedule"}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ay._.Forecast." hidden="1">{"May",#N/A,FALSE,"Manager Report"}</definedName>
    <definedName name="wrn.May._.Strategic._.Update." hidden="1">{#N/A,#N/A,FALSE,"Part A - Strategy";#N/A,#N/A,FALSE,"A.1 Vision - Trends";#N/A,#N/A,FALSE,"A.2 Vision - Strategies";#N/A,#N/A,FALSE,"A.3 Fin. Targets (Prelim.)";#N/A,#N/A,FALSE,"A.4 Competition";#N/A,#N/A,FALSE,"A.5 Geographic Segments"}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zz._.Package." hidden="1">{#N/A,#N/A,FALSE,"CashFlowSummary";#N/A,#N/A,FALSE,"InvestorSummary";#N/A,#N/A,FALSE,"RevenueAssumptions";#N/A,#N/A,FALSE,"MasterCostAssmp";#N/A,#N/A,FALSE,"InTractCstAssmp";#N/A,#N/A,FALSE,"LotTakedowns"}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gnt._.Report._.for._.Net._.Income._.adjustment." hidden="1">{"SITQ view of BCLP 4 months income statement",#N/A,TRUE,"BCLP 4 MO IS";#N/A,#N/A,TRUE,"Comparison to March Fcst";#N/A,#N/A,TRUE,"BCLP Forecast";"Mgnt view of BCLP 4 month income statement",#N/A,TRUE,"BCLP 4 MO IS";#N/A,#N/A,TRUE,"Closing Adjustments";#N/A,#N/A,TRUE,"Accounting entry"}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irBellagio." hidden="1">{#N/A,#N/A,FALSE,"MIR";#N/A,#N/A,FALSE,"NYNY"}</definedName>
    <definedName name="wrn.MIRELF._.III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1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2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RELF._.III._3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Structure",#N/A,TRUE,"Summary";"Assumptions",#N/A,TRUE,"Summary"}</definedName>
    <definedName name="wrn.misc." hidden="1">{#N/A,#N/A,FALSE,"Sheet10"}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.Print." hidden="1">{"Summary",#N/A,TRUE,"Summary";"Sensitivity",#N/A,TRUE,"Summary";"Partnership Value",#N/A,TRUE,"Summary";"Cash Flows",#N/A,TRUE,"Summary";"Partnership Equity Value",#N/A,TRUE,"Summary";"Waterfall",#N/A,TRUE,"Summary";"MIR Fund Structure",#N/A,TRUE,"Summary";"Assumptions",#N/A,TRUE,"Summary";"Argus Assumptions",#N/A,TRUE,"Summary"}</definedName>
    <definedName name="wrn.MODEL._.PRINT._.ALL." hidden="1">{"Summary1",#N/A,FALSE,"Summary";"Program",#N/A,FALSE,"Summary";"SumCF 2",#N/A,FALSE,"Summary";"VentureMonthlyCF",#N/A,FALSE,"Summary";"VentureMonthlyCF2",#N/A,FALSE,"Summary";"VentureMonthyCF3",#N/A,FALSE,"Summary";"ResSum 1",#N/A,FALSE,"Summary";"ResCF 1",#N/A,FALSE,"Summary";"ResMonthlyCF1",#N/A,FALSE,"Residential";"ResMonthlyCF2",#N/A,FALSE,"Residential";"DSSum1",#N/A,FALSE,"Delaware St.";"DSSum2",#N/A,FALSE,"Summary";"DSMonthlyCF1",#N/A,FALSE,"Summary";"DSMonthlyCF2",#N/A,FALSE,"Summary";"DSMonthlyCF3",#N/A,FALSE,"Summary";"DSDebt",#N/A,FALSE,"Summary";"DS Sales",#N/A,FALSE,"Summary";"OffSum1",#N/A,FALSE,"Summary";"OffSumCF",#N/A,FALSE,"Summary";"Land Dev Budget 1",#N/A,FALSE,"Summary";"Land Dev Budget 2",#N/A,FALSE,"Summary";"InfCF",#N/A,FALSE,"Summary";"Inf1",#N/A,FALSE,"Summary";"Inf2",#N/A,FALSE,"Summary";"Inf3",#N/A,FALSE,"Summary";"BMR",#N/A,FALSE,"Summary";"Timeline",#N/A,FALSE,"Summary"}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lster._.Print." hidden="1">{"Venture Summary",#N/A,FALSE,"Summary";"Development Budget",#N/A,FALSE,"Summary";"Annual",#N/A,FALSE,"Annual"}</definedName>
    <definedName name="wrn.Monthly." hidden="1">{"MONTHLY",#N/A,FALSE,"Pro Forma";"MONTHLY",#N/A,FALSE,"Equity"}</definedName>
    <definedName name="wrn.Monthly._.Detail._.Reports." hidden="1">{"Detail Project Cash Flow",#N/A,TRUE,"Cash Flow Grid";"Financing Calculation",#N/A,TRUE,"Cash Flow Grid"}</definedName>
    <definedName name="wrn.monthly._.financial." hidden="1">{#N/A,#N/A,FALSE,"SUMMARY 4a";#N/A,#N/A,FALSE,"GBA 4b";#N/A,#N/A,FALSE,"TENANT 4c";#N/A,#N/A,FALSE,"BUDGET DETAIL";#N/A,#N/A,FALSE,"PRO FORMA"}</definedName>
    <definedName name="wrn.monthly._.financial._1" hidden="1">{#N/A,#N/A,FALSE,"SUMMARY 4a";#N/A,#N/A,FALSE,"GBA 4b";#N/A,#N/A,FALSE,"TENANT 4c";#N/A,#N/A,FALSE,"BUDGET DETAIL";#N/A,#N/A,FALSE,"PRO FORMA"}</definedName>
    <definedName name="wrn.monthly._.financial._2" hidden="1">{#N/A,#N/A,FALSE,"SUMMARY 4a";#N/A,#N/A,FALSE,"GBA 4b";#N/A,#N/A,FALSE,"TENANT 4c";#N/A,#N/A,FALSE,"BUDGET DETAIL";#N/A,#N/A,FALSE,"PRO FORMA"}</definedName>
    <definedName name="wrn.monthly._.financial._3" hidden="1">{#N/A,#N/A,FALSE,"SUMMARY 4a";#N/A,#N/A,FALSE,"GBA 4b";#N/A,#N/A,FALSE,"TENANT 4c";#N/A,#N/A,FALSE,"BUDGET DETAIL";#N/A,#N/A,FALSE,"PRO FORMA"}</definedName>
    <definedName name="wrn.monthly._.financial._4" hidden="1">{#N/A,#N/A,FALSE,"SUMMARY 4a";#N/A,#N/A,FALSE,"GBA 4b";#N/A,#N/A,FALSE,"TENANT 4c";#N/A,#N/A,FALSE,"BUDGET DETAIL";#N/A,#N/A,FALSE,"PRO FORMA"}</definedName>
    <definedName name="wrn.Monthly._.Fund." hidden="1">{#N/A,#N/A,FALSE,"Monthly Fund"}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MonthlyRentRoll._1" hidden="1">{"MonthlyRentRoll",#N/A,FALSE,"RentRoll"}</definedName>
    <definedName name="wrn.MonthlyRentRoll._2" hidden="1">{"MonthlyRentRoll",#N/A,FALSE,"RentRoll"}</definedName>
    <definedName name="wrn.MonthlyRentRoll._3" hidden="1">{"MonthlyRentRoll",#N/A,FALSE,"RentRoll"}</definedName>
    <definedName name="wrn.MonthlyRentRoll._4" hidden="1">{"MonthlyRentRoll",#N/A,FALSE,"RentRoll"}</definedName>
    <definedName name="wrn.Months._.98._.to._.01." hidden="1">{"98",#N/A,FALSE,"Month";"99",#N/A,FALSE,"Month";"00",#N/A,FALSE,"Month";"01",#N/A,FALSE,"Month"}</definedName>
    <definedName name="wrn.Mortgage._.Loan._.Sch." hidden="1">{#N/A,#N/A,FALSE,"Mortgage Loan Sch"}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tbacks." hidden="1">{"Netbacks",#N/A,FALSE,"Netbacks"}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ew._.Forms.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ew._.Report." hidden="1">{"Summary",#N/A,TRUE,"Fund";"Sensitivity",#N/A,TRUE,"Fund";"Gelsenkirchen Asset",#N/A,TRUE,"Fund";"Langenfeld Asset",#N/A,TRUE,"Fund";"Value",#N/A,TRUE,"Fund";"Cash Flow",#N/A,TRUE,"Fund";"NCF",#N/A,TRUE,"Fund";"DCF &amp; Yield",#N/A,TRUE,"Fund";"Waterfall",#N/A,TRUE,"Fund";"MILF Structure",#N/A,TRUE,"Fund";"Assumptions",#N/A,TRUE,"Fund"}</definedName>
    <definedName name="wrn.New._.Summary." hidden="1">{"Summary Page 1",#N/A,TRUE,"Annual";"Summary Page 2",#N/A,TRUE,"Annual";"Annual Page 1",#N/A,TRUE,"Annual"}</definedName>
    <definedName name="wrn.New_Business." hidden="1">{"One",#N/A,FALSE,"New Business"}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orth._.America." hidden="1">{#N/A,#N/A,FALSE,"NA All";#N/A,#N/A,FALSE,"Joe Champ";#N/A,#N/A,FALSE,"Joe Long"}</definedName>
    <definedName name="wrn.Northborough._.Station." hidden="1">{#N/A,#N/A,FALSE,"Total Acquisition and Rehab ";#N/A,#N/A,FALSE,"Summary of Hard Costs"}</definedName>
    <definedName name="wrn.Notes._.2." hidden="1">{"Notes 2",#N/A,FALSE,"Sheet1"}</definedName>
    <definedName name="wrn.Nov._.Forecast." hidden="1">{"Nov",#N/A,FALSE,"Manager Report"}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S." hidden="1">{"NS #1",#N/A,TRUE,"Model";"NS #2",#N/A,TRUE,"Model";"NS #3",#N/A,TRUE,"Model"}</definedName>
    <definedName name="wrn.NS._1" hidden="1">{"NS #1",#N/A,TRUE,"Model";"NS #2",#N/A,TRUE,"Model";"NS #3",#N/A,TRUE,"Model"}</definedName>
    <definedName name="wrn.NS._2" hidden="1">{"NS #1",#N/A,TRUE,"Model";"NS #2",#N/A,TRUE,"Model";"NS #3",#N/A,TRUE,"Model"}</definedName>
    <definedName name="wrn.NS._3" hidden="1">{"NS #1",#N/A,TRUE,"Model";"NS #2",#N/A,TRUE,"Model";"NS #3",#N/A,TRUE,"Model"}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._.and._.M._.and._.Fuel." hidden="1">{"Fuel",#N/A,FALSE,"O and M and Fuel Incremental";"O and M",#N/A,FALSE,"O and M and Fuel Incremental"}</definedName>
    <definedName name="wrn.Occupancy._.Calcs." hidden="1">{#N/A,#N/A,FALSE,"Occ. Calcs"}</definedName>
    <definedName name="wrn.Oct._.Forecast." hidden="1">{"Oct",#N/A,FALSE,"Manager Report"}</definedName>
    <definedName name="wrn.ODB." hidden="1">{"ODB",#N/A,FALSE,"Hold Scenario"}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hidden="1">{#N/A,#N/A,FALSE,"LP Exp";#N/A,#N/A,FALSE,"Salary";#N/A,#N/A,FALSE,"Admin Exp";#N/A,#N/A,FALSE,"QTS Bud";#N/A,#N/A,FALSE,"Marketing"}</definedName>
    <definedName name="wrn.Old._.Format." hidden="1">{#N/A,#N/A,FALSE,"Old Format"}</definedName>
    <definedName name="wrn.One._.Partner.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tario." hidden="1">{"page1",#N/A,FALSE,"sheet 1";"Page2",#N/A,FALSE,"sheet 1";"page3",#N/A,FALSE,"sheet 1";"page4",#N/A,FALSE,"sheet 1"}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Assumtions." hidden="1">{#N/A,#N/A,FALSE,"OperatingAssumptions"}</definedName>
    <definedName name="wrn.OperatingAssumtions._1" hidden="1">{#N/A,#N/A,FALSE,"OperatingAssumptions"}</definedName>
    <definedName name="wrn.OperatingAssumtions._2" hidden="1">{#N/A,#N/A,FALSE,"OperatingAssumptions"}</definedName>
    <definedName name="wrn.OperatingAssumtions._3" hidden="1">{#N/A,#N/A,FALSE,"OperatingAssumptions"}</definedName>
    <definedName name="wrn.OperatingAssumtions._4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ps._.Charlie._.Packet." hidden="1">{#N/A,#N/A,FALSE,"Proforma Five Yr";#N/A,#N/A,FALSE,"Occ and Rate";#N/A,#N/A,FALSE,"PF Input";#N/A,#N/A,FALSE,"Ops Summary";#N/A,#N/A,FALSE,"Hotcomps"}</definedName>
    <definedName name="wrn.Ops_S.Holders._.Assets_Income." hidden="1">{"Ops_S.Holders Assets and Income",#N/A,FALSE,"ops_shf"}</definedName>
    <definedName name="wrn.Other._.Schedules." hidden="1">{"Other",#N/A,FALSE,"Other";"Rental Revenue",#N/A,FALSE,"Rental Revenue";"Monthly Draw",#N/A,FALSE,"Monthly"}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head." hidden="1">{"Overhead",#N/A,FALSE,"Overhead"}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Owner._.Area._.Report._.2._.Areas." hidden="1">{"Line Item Estimate - Owner Area 1 View",#N/A,FALSE,"Line Item Estimate";"Line Item Estimate - Owner Area 2 View",#N/A,FALSE,"Line Item Estimate";"Line Item Estimate - Owner Total View",#N/A,FALSE,"Line Item Estimate"}</definedName>
    <definedName name="wrn.Owner._.Area._.Report._.3._.Areas." hidden="1">{"Line Item Estimate - Owner Area 1 View",#N/A,FALSE,"Line Item Estimate";"Line Item Estimate - Owner Area 2 View",#N/A,FALSE,"Line Item Estimate";"Line Item Estimate - Owner Area 3 View",#N/A,FALSE,"Line Item Estimate";"Line Item Estimate - Owner Total View",#N/A,FALSE,"Line Item Estimate"}</definedName>
    <definedName name="wrn.Owner._.Area._.Report._.4._.Areas." hidden="1">{"Line Item Estimate - Owner Area 1 View",#N/A,FALSE,"Line Item Estimate";"Line Item Estimate - Owner Area 2 View",#N/A,FALSE,"Line Item Estimate";"Line Item Estimate - Owner Area 3 View",#N/A,FALSE,"Line Item Estimate";"Line Item Estimate - Owner Area 4 View",#N/A,FALSE,"Line Item Estimate";"Line Item Estimate - Owner Total View",#N/A,FALSE,"Line Item Estimate"}</definedName>
    <definedName name="wrn.Owner._.Area._.Report._.5._.Areas." hidden="1">{"Line Item Estimate - Owner Area 1 View",#N/A,FALSE,"Line Item Estimate";"Line Item Estimate - Owner Area 2 View",#N/A,FALSE,"Line Item Estimate";"Line Item Estimate - Owner Area 4 View",#N/A,FALSE,"Line Item Estimate";"Line Item Estimate - Owner Area 3 View",#N/A,FALSE,"Line Item Estimate";"Line Item Estimate - Owner Area 5 View",#N/A,FALSE,"Line Item Estimate";"Line Item Estimate - Review Total View",#N/A,FALSE,"Line Item Estimate"}</definedName>
    <definedName name="wrn.Owner._.Total._.Report." hidden="1">{"Line Item Estimate - Review Total View",#N/A,FALSE,"Line Item Estimate"}</definedName>
    <definedName name="wrn.Owner._.Variance._.Report." hidden="1">{"Line Item Estimate - Owner Variance View",#N/A,FALSE,"Line Item Estimate"}</definedName>
    <definedName name="wrn.P_L._.and._.Bal.._.Sheet." hidden="1">{"P_L Account",#N/A,FALSE,"Prime";"Assets",#N/A,FALSE,"Prime";"Liabilities",#N/A,FALSE,"Prime";"Capital and Reserves",#N/A,FALSE,"Prime";"Rec. of S_Holders Funds",#N/A,FALSE,"Prime";"Rec. of Pre and Post Tax Result",#N/A,FALSE,"Prime"}</definedName>
    <definedName name="wrn.p3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acakage." hidden="1">{#N/A,#N/A,FALSE,"Data Entry";#N/A,#N/A,FALSE,"RE Mgmt Fees";#N/A,#N/A,FALSE,"Auto";#N/A,#N/A,FALSE,"Bus &amp; Corp Dev";#N/A,#N/A,FALSE,"Communication";#N/A,#N/A,FALSE,"Comp &amp; Equip";#N/A,#N/A,FALSE,"Office";#N/A,#N/A,FALSE,"Prof &amp; Consult";#N/A,#N/A,FALSE,"Rent";#N/A,#N/A,FALSE,"Non-Recov Sal &amp; Ben";#N/A,#N/A,FALSE,"Travel";#N/A,#N/A,FALSE,"Interco"}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1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2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3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age._4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lms._.at._.South._.Shore." hidden="1">{#N/A,#N/A,FALSE,"loananalysis";#N/A,#N/A,FALSE,"proforma";#N/A,#N/A,FALSE,"unitmix"}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1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2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3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._4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rtial_Template." hidden="1">{#N/A,#N/A,FALSE,"1Summary";#N/A,#N/A,FALSE,"2Assumptions";#N/A,#N/A,FALSE,"3Cash Flow";#N/A,#N/A,FALSE,"6Residual";#N/A,#N/A,FALSE,"AExpiration Schedule"}</definedName>
    <definedName name="wrn.Pavilion." hidden="1">{"Pavilion-Investor",#N/A,FALSE,"Pavilion";"Pavilion-Property",#N/A,FALSE,"Pavilion"}</definedName>
    <definedName name="wrn.Payroll._.Assumption._.1." hidden="1">{"Payroll_Assumption1",#N/A,FALSE,"Sheet1"}</definedName>
    <definedName name="wrn.Payroll._.Assumptions." hidden="1">{"Payroll_Assuptions",#N/A,FALSE,"Sheet1"}</definedName>
    <definedName name="wrn.Payroll._.Assumptions._.Summary." hidden="1">{"Payroll Assumption Summary",#N/A,FALSE,"Sheet1"}</definedName>
    <definedName name="wrn.Payroll._.Assumptions2." hidden="1">{"Payroll_Assumption2",#N/A,FALSE,"Sheet1"}</definedName>
    <definedName name="wrn.Pegasus." hidden="1">{#N/A,#N/A,FALSE,"Proforma NAV";#N/A,#N/A,FALSE,"P NAV";#N/A,#N/A,FALSE,"Prodn &amp; Reserves";#N/A,#N/A,FALSE,"Asset Summary";#N/A,#N/A,FALSE,"Mt.Todd";#N/A,#N/A,FALSE,"Zortman";#N/A,#N/A,FALSE,"Pullalli";#N/A,#N/A,FALSE,"Black Pine";#N/A,#N/A,FALSE,"Beal Mtn.";#N/A,#N/A,FALSE,"Florida";#N/A,#N/A,FALSE,"Montana";#N/A,#N/A,FALSE,"Diamond Hill";#N/A,#N/A,FALSE,"K_SUMM"}</definedName>
    <definedName name="wrn.Penetration." hidden="1">{#N/A,#N/A,FALSE,"Mkt Pen"}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._.Unit." hidden="1">{#N/A,#N/A,FALSE,"Budget 1997 Class A (2)";#N/A,#N/A,FALSE,"Budgets 1997 Class B &amp; C (2)"}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edmont._.model." hidden="1">{"Summary",#N/A,TRUE,"Summary";"Sensitivities",#N/A,TRUE,"Summary";"Partnership Value",#N/A,TRUE,"Summary";"Cash Flows",#N/A,TRUE,"Summary";"Partnership Equity Value",#N/A,TRUE,"Summary";"MIR Fund Structure",#N/A,TRUE,"Summary";"Assumptions",#N/A,TRUE,"Summary"}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hidden="1">{#N/A,#N/A,FALSE,"399 Park Var";#N/A,#N/A,FALSE,"PK NOTES"}</definedName>
    <definedName name="wrn.pl." hidden="1">{#N/A,#N/A,FALSE,"Cons PL-Accrual"}</definedName>
    <definedName name="wrn.Place._.Vendome." hidden="1">{"Venture Summary",#N/A,FALSE,"Summary";"Summary 2",#N/A,FALSE,"Summary";"Rent Detail",#N/A,FALSE,"Summary";"Expense Detail",#N/A,FALSE,"Summary";"Budget Reconciliation",#N/A,FALSE,"Summary";"Sensitivity Tables",#N/A,FALSE,"Summary"}</definedName>
    <definedName name="wrn.Placer._.NAV." hidden="1">{#N/A,#N/A,FALSE,"PDG NAV";#N/A,#N/A,FALSE,"Campbell";#N/A,#N/A,FALSE,"Camp Reserve";#N/A,#N/A,FALSE,"Camp DCF";#N/A,#N/A,FALSE,"Detour";#N/A,#N/A,FALSE,"Detour Reserves";#N/A,#N/A,FALSE,"Detour DCF";#N/A,#N/A,FALSE,"Dome Reserve";#N/A,#N/A,FALSE,"Dome";#N/A,#N/A,FALSE,"Dome DCF";#N/A,#N/A,FALSE,"Musselwhite";#N/A,#N/A,FALSE,"Musselwhite Reserve";#N/A,#N/A,FALSE,"Musselwhite DCF";#N/A,#N/A,FALSE,"La Coipa";#N/A,#N/A,FALSE,"La Coipa Reserve";#N/A,#N/A,FALSE,"La Coipa DCF";#N/A,#N/A,FALSE,"Las Cristinas";#N/A,#N/A,FALSE,"Las Cristinas Reserve";#N/A,#N/A,FALSE,"Las Cristinas DCF";#N/A,#N/A,FALSE,"Granny";#N/A,#N/A,FALSE,"Granny Reserve";#N/A,#N/A,FALSE,"Granny DCF";#N/A,#N/A,FALSE,"Kidston";#N/A,#N/A,FALSE,"Kidston Reserve";#N/A,#N/A,FALSE,"Kidston DCF";#N/A,#N/A,FALSE,"Misima";#N/A,#N/A,FALSE,"Misima Reserves";#N/A,#N/A,FALSE,"Misima DCF";#N/A,#N/A,FALSE,"Osborne";#N/A,#N/A,FALSE,"Osborne Reserves";#N/A,#N/A,FALSE,"Osborne CF SUMMARY";#N/A,#N/A,FALSE,"Osborne CF";#N/A,#N/A,FALSE,"Porgera";#N/A,#N/A,FALSE,"Porgera Reserve";#N/A,#N/A,FALSE,"Porgera DCF";#N/A,#N/A,FALSE,"Bald Mtn";#N/A,#N/A,FALSE,"Bald Mtn Reserve";#N/A,#N/A,FALSE,"Bald Mtn DCF";#N/A,#N/A,FALSE,"Cortez";#N/A,#N/A,FALSE,"Cortez Reserve";#N/A,#N/A,FALSE,"Cortez DCF";#N/A,#N/A,FALSE,"Gold Sun";#N/A,#N/A,FALSE,"Gold Sun Reserves";#N/A,#N/A,FALSE,"Gold Sun DCF";#N/A,#N/A,FALSE,"Crucitas";#N/A,#N/A,FALSE,"Mt Rawdon";#N/A,#N/A,FALSE,"Donlin";#N/A,#N/A,FALSE,"Mulatos";#N/A,#N/A,FALSE,"other Assumptions"}</definedName>
    <definedName name="wrn.Plan." hidden="1">{#N/A,#N/A,FALSE,"Highridge Return Analysis";#N/A,#N/A,FALSE,"Sale @ end of year 3 (4yr Plan)";#N/A,#N/A,FALSE,"Highridge Assumption Page"}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folioFinancialSummary." hidden="1">{#N/A,#N/A,FALSE,"ZellLurieFinSummary";#N/A,#N/A,FALSE,"FirstCapFinSummary";#N/A,#N/A,FALSE,"ZM I-III Consol FinSummary"}</definedName>
    <definedName name="wrn.Portfolio." hidden="1">{#N/A,#N/A,FALSE,"Portfolio Summary";#N/A,#N/A,FALSE,"Portfolio Operating Stmt";#N/A,#N/A,FALSE,"Portfolio Cash Flow"}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hidden="1">{"PERCENTAGE RENT",#N/A,TRUE,"SCHEDULE B"}</definedName>
    <definedName name="wrn.Preliminary._.Plan." hidden="1">{#N/A,#N/A,FALSE,"Part E";#N/A,#N/A,FALSE,"E.1 Prelim Earnings Plan"}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list._1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.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paid_Recov.." hidden="1">{#N/A,#N/A,FALSE,"Prepaid Recoverable"}</definedName>
    <definedName name="wrn.Prepaid2" hidden="1">{#N/A,#N/A,FALSE,"0125-10";#N/A,#N/A,FALSE,"0125-12";#N/A,#N/A,FALSE,"0140-12";#N/A,#N/A,FALSE,"0140-14";#N/A,#N/A,FALSE,"0160-12";#N/A,#N/A,FALSE,"0180-12";#N/A,#N/A,FALSE,"0180-14";#N/A,#N/A,FALSE,"0180-16";#N/A,#N/A,FALSE,"0180-18";#N/A,#N/A,FALSE,"0185-20";#N/A,#N/A,FALSE,"0185-22";#N/A,#N/A,FALSE,"0190-10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_OUT." hidden="1">{"page1",#N/A,FALSE,"PRESENTATION";"page2",#N/A,FALSE,"PRESENTATION";#N/A,#N/A,FALSE,"Valuation Summary"}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esentation." hidden="1">{#N/A,#N/A,TRUE,"Summary";"AnnualRentRoll",#N/A,TRUE,"RentRoll";#N/A,#N/A,TRUE,"ExitStratigy";#N/A,#N/A,TRUE,"OperatingAssumptions"}</definedName>
    <definedName name="wrn.Presentation._.Summary." hidden="1">{"Cover Page",#N/A,FALSE,"Print Summary";"Acq Summary",#N/A,FALSE,"Print Summary";"Financing Assumptions",#N/A,FALSE,"Print Summary";"CF Summary - Print",#N/A,FALSE,"Print Summary";"General Information",#N/A,FALSE,"Print Summary";"CF Summary",#N/A,FALSE,"Print Summary";"Sensitivity Analysis",#N/A,FALSE,"Print Summary";"Capex",#N/A,FALSE,"Print Summary"}</definedName>
    <definedName name="wrn.Presentation._1" hidden="1">{#N/A,#N/A,TRUE,"Summary";"AnnualRentRoll",#N/A,TRUE,"RentRoll";#N/A,#N/A,TRUE,"ExitStratigy";#N/A,#N/A,TRUE,"OperatingAssumptions"}</definedName>
    <definedName name="wrn.Presentation._2" hidden="1">{#N/A,#N/A,TRUE,"Summary";"AnnualRentRoll",#N/A,TRUE,"RentRoll";#N/A,#N/A,TRUE,"ExitStratigy";#N/A,#N/A,TRUE,"OperatingAssumptions"}</definedName>
    <definedName name="wrn.Presentation._3" hidden="1">{#N/A,#N/A,TRUE,"Summary";"AnnualRentRoll",#N/A,TRUE,"RentRoll";#N/A,#N/A,TRUE,"ExitStratigy";#N/A,#N/A,TRUE,"OperatingAssumptions"}</definedName>
    <definedName name="wrn.Presentation._4" hidden="1">{#N/A,#N/A,TRUE,"Summary";"AnnualRentRoll",#N/A,TRUE,"RentRoll";#N/A,#N/A,TRUE,"ExitStratigy";#N/A,#N/A,TRUE,"OperatingAssumptions"}</definedName>
    <definedName name="wrn.Presentation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wrn.President._.Report." hidden="1">{#N/A,#N/A,FALSE,"President's Cover";#N/A,#N/A,FALSE,"A.1 1998 Objectives";#N/A,#N/A,FALSE,"A.2 President's Measures";#N/A,#N/A,FALSE,"A.3 Commentary"}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1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2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_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4._2" hidden="1">{"Outflow 1",#N/A,FALSE,"Outflows-Inflows";"Outflow 2",#N/A,FALSE,"Outflows-Inflows";"Inflow 1",#N/A,FALSE,"Outflows-Inflows";"Inflow 2",#N/A,FALSE,"Outflows-Inflows"}</definedName>
    <definedName name="wrn.Print._.4._3" hidden="1">{"Outflow 1",#N/A,FALSE,"Outflows-Inflows";"Outflow 2",#N/A,FALSE,"Outflows-Inflows";"Inflow 1",#N/A,FALSE,"Outflows-Inflows";"Inflow 2",#N/A,FALSE,"Outflows-Inflows"}</definedName>
    <definedName name="wrn.Print._.4._4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6._2" hidden="1">{"print 1.6",#N/A,FALSE,"Sheet1";"print 2.6",#N/A,FALSE,"Sheet1";"print 3.6",#N/A,FALSE,"Sheet1";"print 4.6",#N/A,FALSE,"Sheet1";"print 5.6",#N/A,FALSE,"Sheet1";"print 6.6",#N/A,FALSE,"Sheet1"}</definedName>
    <definedName name="wrn.Print._.6._3" hidden="1">{"print 1.6",#N/A,FALSE,"Sheet1";"print 2.6",#N/A,FALSE,"Sheet1";"print 3.6",#N/A,FALSE,"Sheet1";"print 4.6",#N/A,FALSE,"Sheet1";"print 5.6",#N/A,FALSE,"Sheet1";"print 6.6",#N/A,FALSE,"Sheet1"}</definedName>
    <definedName name="wrn.Print._.6._4" hidden="1">{"print 1.6",#N/A,FALSE,"Sheet1";"print 2.6",#N/A,FALSE,"Sheet1";"print 3.6",#N/A,FALSE,"Sheet1";"print 4.6",#N/A,FALSE,"Sheet1";"print 5.6",#N/A,FALSE,"Sheet1";"print 6.6",#N/A,FALSE,"Sheet1"}</definedName>
    <definedName name="wrn.Print._.Accounts." hidden="1">{#N/A,#N/A,FALSE,"Balance sheet";#N/A,#N/A,FALSE,"FAD";#N/A,#N/A,FALSE,"Cashflow";#N/A,#N/A,FALSE,"NAV";#N/A,#N/A,FALSE,"Notes 1-5";#N/A,#N/A,FALSE,"Notes 6-"}</definedName>
    <definedName name="wrn.Print._.ALL." hidden="1">{"Venture Summary",#N/A,FALSE,"Summary";"Development Budget",#N/A,FALSE,"Summary";"Annual Cash Flow",#N/A,FALSE,"Annual";"Project Costs",#N/A,FALSE,"Annual";"NOI &amp; Sale Proceeds",#N/A,FALSE,"Annual"}</definedName>
    <definedName name="wrn.Print._.All._.Dexter." hidden="1">{"Venture Summary",#N/A,TRUE,"Summary";"Timeline - Monthly",#N/A,TRUE,"Summary";"Timeline - Quarterly",#N/A,TRUE,"Summary";"Development Budget",#N/A,TRUE,"Summary";"Development Proforma",#N/A,TRUE,"Summary";"Argus Assumptions",#N/A,TRUE,"Summary";"Project Cash Flows",#N/A,TRUE,"Summary";"Project Costs",#N/A,TRUE,"Summary";"NOI &amp; Sales",#N/A,TRUE,"Summary";"Debt Summary CF",#N/A,TRUE,"Summary";"Uninflated Project Costs",#N/A,TRUE,"Summary"}</definedName>
    <definedName name="wrn.Print._.All._.Emerald." hidden="1">{"Venture Summary",#N/A,TRUE,"Retail Summary";"Dev Budget",#N/A,TRUE,"Retail Summary";"Detailed Dev Budget",#N/A,TRUE,"Retail Summary";"Timeline - Monthly",#N/A,TRUE,"Retail Summary";"Timeline - Quarterly",#N/A,TRUE,"Retail Summary";"Tenant Summary",#N/A,TRUE,"Retail Summary";"Annual",#N/A,TRUE,"Retail Summary";"Project Cash Flow",#N/A,TRUE,"Retail Summary";"Costs &amp; Sales",#N/A,TRUE,"Retail Summary";"Leasing &amp; Rent",#N/A,TRUE,"Retail Summary";"Debt Summary",#N/A,TRUE,"Retail Summary"}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FUMC." hidden="1">{"Venture Summary",#N/A,TRUE,"Summary";"Annual",#N/A,TRUE,"Summary";"Development Budget",#N/A,TRUE,"Summary";"Argus Assumptions",#N/A,TRUE,"Summary";"Timeline - Quarterly",#N/A,TRUE,"Timeline - Quarterly";"Timeline - Monthly",#N/A,TRUE,"Summary";"FAR Analysis",#N/A,TRUE,"FAR Analysis";"Development Proforma",#N/A,TRUE,"Dev PF";"Project Cash Flows",#N/A,TRUE,"Summary";"Project Costs",#N/A,TRUE,"Summary";"Sales &amp; NOI",#N/A,TRUE,"Summary";"Debt Summary CF",#N/A,TRUE,"Summary";"Uninflated Project Costs",#N/A,TRUE,"Summary"}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JAS._.No._.JV." hidden="1">{"Assumptions",#N/A,FALSE,"CF Model";"Deal CF",#N/A,FALSE,"CF Model";"Debt Summary",#N/A,FALSE,"CF Model";"Pro Forma",#N/A,FALSE,"CF Model";"Pro Forma $PSF",#N/A,FALSE,"CF Model"}</definedName>
    <definedName name="wrn.Print._.All._.NPV._.Analysis." hidden="1">{"Scen 1 v 2 Summary",#N/A,FALSE,"Scenario 1 v 2  Summary";"Summary",#N/A,FALSE,"Summary";"Debt Sizing Reduced Vacancy",#N/A,FALSE,"10 Yr CF";"Scenario 1",#N/A,FALSE,"10 Yr CF";"Scenario 2 CF",#N/A,FALSE,"10 Yr CF";"Scenario 2 Assumptions",#N/A,FALSE,"10 Yr CF";"Scenario 3 CF",#N/A,FALSE,"10 Yr CF";"Scenario 3 Assumptions",#N/A,FALSE,"10 Yr CF";"10 Yr CF",#N/A,FALSE,"10 Yr CF"}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All._1" hidden="1">{#N/A,#N/A,FALSE,"I&amp;E";#N/A,#N/A,FALSE,"rent roll";#N/A,#N/A,FALSE,"96noleaseup";#N/A,#N/A,FALSE,"96noleaseup matrix";#N/A,#N/A,FALSE,"leaseup 96";#N/A,#N/A,FALSE,"leaseup 96 matrix";#N/A,#N/A,FALSE,"Leaseup and Exp."}</definedName>
    <definedName name="wrn.Print._.All.1" hidden="1">{"Print_Summary Letter",#N/A,FALSE,"A-ProjDevAnalysis";"Print_HmBldrBgt Letter",#N/A,FALSE,"A-ProjDevAnalysis";"Print_LoanCommit Letter",#N/A,FALSE,"A-ProjDevAnalysis";"Print_CF_Stmt Letter",#N/A,FALSE,"A-ProjDevAnalysis";"Print_DevSch Letter",#N/A,FALSE,"A-ProjDevAnalysis";"Print_Debt Letter",#N/A,FALSE,"A-ProjDevAnalysis";"Print_Equity Letter",#N/A,FALSE,"A-ProjDevAnalysis"}</definedName>
    <definedName name="wrn.Print._.Annual." hidden="1">{"Venture Summary",#N/A,TRUE,"Summary";"Development Budget",#N/A,TRUE,"Summary";"Leasing Assumptions",#N/A,TRUE,"Leasing Assumptions";"Project CF Annual",#N/A,TRUE,"Annual";"Proj Costs Annual",#N/A,TRUE,"Annual";"Constr. Loan Annual",#N/A,TRUE,"Annual";"Sales Annual",#N/A,TRUE,"Annual";"MDPA Contr Schedule",#N/A,TRUE,"Annual";"CF Split Annual",#N/A,TRUE,"Annual";"Phase I Development Proforma",#N/A,TRUE,"Phase I Dev PF"}</definedName>
    <definedName name="wrn.Print._.Annual._.Dexter." hidden="1">{"Venture Summary",#N/A,TRUE,"Summary";"Timeline - Quarterly",#N/A,TRUE,"Summary";"Development Budget",#N/A,TRUE,"Summary";"Argus Assumptions",#N/A,TRUE,"Summary";"Development Proforma",#N/A,TRUE,"Summary";"Capstone Comparison",#N/A,TRUE,"Summary";"Annual",#N/A,TRUE,"Summary"}</definedName>
    <definedName name="wrn.Print._.Annual._.FUMC." hidden="1">{"Venture Summary",#N/A,TRUE,"Timeline - Quarterly";"Timeline - Quarterly",#N/A,TRUE,"Timeline - Quarterly";"Argus Assumptions",#N/A,TRUE,"Timeline - Quarterly";"Development Budget",#N/A,TRUE,"Timeline - Quarterly";"Development Proforma",#N/A,TRUE,"Timeline - Quarterly";"Annual",#N/A,TRUE,"Timeline - Quarterly"}</definedName>
    <definedName name="wrn.Print._.BaseCamp." hidden="1">{"Summary - BaseCamp",#N/A,TRUE,"Summary - Sent to BaseCamp";"Annual Portfolio NOI - BaseCamp",#N/A,TRUE,"Annual - Sent to BaseCamp";"Annual Home Rent Rev - BaseCamp",#N/A,TRUE,"Summary - Sent to BaseCamp";"Annual Property NOI - BaseCamp",#N/A,TRUE,"Summary - Sent to BaseCamp";"Annual Lease Rev &amp; NOI - BaseCamp",#N/A,TRUE,"Summary - Sent to BaseCamp";"Annual Sales NOI - BaseCamp",#N/A,TRUE,"Annual - Sent to BaseCamp";"Annual Loan Rev &amp; NOI - BaseCamp",#N/A,TRUE,"Summary - Sent to BaseCamp"}</definedName>
    <definedName name="wrn.Print._.CashFlow." hidden="1">{"Print_CF_Stmt Letter",#N/A,FALSE,"A-ProjDevAnalysis"}</definedName>
    <definedName name="wrn.Print._.CashFlow.1" hidden="1">{"Print_CF_Stmt Letter",#N/A,FALSE,"A-ProjDevAnalysis"}</definedName>
    <definedName name="wrn.Print._.Compare._.and._.Divsum." hidden="1">{"Divsum Compare Hawaiki",#N/A,TRUE,"Divsum";"Divsum Complete Divsum",#N/A,TRUE,"Divsum"}</definedName>
    <definedName name="wrn.Print._.CRXLAND._.Openings." hidden="1">{"Print CRXLAND Assumptions",#N/A,FALSE,"CRXLAND Openings";"Print CRXLAND Openings",#N/A,FALSE,"CRXLAND Openings"}</definedName>
    <definedName name="wrn.Print._.CSI._.and._.Estimate._.Backup." hidden="1">{"Divsum Compare Hawaiki",#N/A,FALSE,"Divsum";"Divsum Complete Divsum",#N/A,FALSE,"Divsum";"Estimate Backup",#N/A,FALSE,"Divsum"}</definedName>
    <definedName name="wrn.Print._.Debt._.Sch." hidden="1">{"Print_Debt Letter",#N/A,FALSE,"A-ProjDevAnalysis"}</definedName>
    <definedName name="wrn.Print._.Debt._Sch.1" hidden="1">{"Print_Debt Letter",#N/A,FALSE,"A-ProjDevAnalysis"}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quity._.Sch." hidden="1">{"Print_Equity Letter",#N/A,FALSE,"A-ProjDevAnalysis"}</definedName>
    <definedName name="wrn.Print._.Equity._.Sch.1" hidden="1">{"Print_Equity Letter",#N/A,FALSE,"A-ProjDevAnalysis"}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Everything." hidden="1">{"print annual inc. statement",#N/A,FALSE,"Summary";"print annual stats",#N/A,FALSE,"Summary";"print quarterly inc. statement",#N/A,FALSE,"Summary";"print quarterly stats",#N/A,FALSE,"Summary";"print STAY opening assumptions",#N/A,FALSE,"STAY Openings";"print STAY openings",#N/A,FALSE,"STAY Openings";"Print SPHI Assumptions",#N/A,FALSE,"SPHI Openings";"Print SPHI Openings",#N/A,FALSE,"SPHI Openings";"Print CRXLAND Assumptions",#N/A,FALSE,"CRXLAND Openings";"Print CRXLAND Openings",#N/A,FALSE,"CRXLAND Openings"}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._.graphs." hidden="1">{"cap_structure",#N/A,FALSE,"Graph-Mkt Cap";"price",#N/A,FALSE,"Graph-Price";"ebit",#N/A,FALSE,"Graph-EBITDA";"ebitda",#N/A,FALSE,"Graph-EBITDA"}</definedName>
    <definedName name="wrn.Print._.HomeConstrStarts." hidden="1">{"Print_HomeStarts Letter",#N/A,FALSE,"A-ProjDevAnalysis"}</definedName>
    <definedName name="wrn.Print._.HomeConstrStarts.1" hidden="1">{"Print_HomeStarts Letter",#N/A,FALSE,"A-ProjDevAnalysis"}</definedName>
    <definedName name="wrn.Print._.IC._.Memo." hidden="1">{"Summary",#N/A,TRUE,"Summary";"Annual Project Cash Flow",#N/A,TRUE,"Summary";"Annual Property NOI",#N/A,TRUE,"Summary";"Annual Lease Ops NOI",#N/A,TRUE,"Summary";"Annual Sales NOI",#N/A,TRUE,"Summary";"Annual Loan NOI",#N/A,TRUE,"Summary";"Annual Net Sales Proceeds",#N/A,TRUE,"Summary";"Annual Debt",#N/A,TRUE,"Summary"}</definedName>
    <definedName name="wrn.Print._.Inc.._.Statement._.and._.Stats.." hidden="1">{"print annual inc. statement",#N/A,FALSE,"Summary";"print annual stats",#N/A,FALSE,"Summary";"print quarterly inc. statement",#N/A,FALSE,"Summary";"print quarterly stats",#N/A,FALSE,"Summary"}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1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2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_4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and._.Sale." hidden="1">{"Land Sale Summary",#N/A,TRUE,"Land Sale";"Land Sale Cash Flow",#N/A,TRUE,"Land Sale"}</definedName>
    <definedName name="wrn.Print._.Loan._.Commit." hidden="1">{"Print_LoanCommit Letter",#N/A,FALSE,"A-ProjDevAnalysis"}</definedName>
    <definedName name="wrn.Print._.Loan._.Commit.1" hidden="1">{"Print_LoanCommit Letter",#N/A,FALSE,"A-ProjDevAnalysis"}</definedName>
    <definedName name="wrn.Print._.Ltd._.Ptr._.Heller." hidden="1">{#N/A,#N/A,FALSE,"Summary Schedule Heller Ltd";#N/A,#N/A,FALSE,"Qtrly  heller Page 1";#N/A,#N/A,FALSE,"Qtrly heller Page 3"}</definedName>
    <definedName name="wrn.Print._.Monthly." hidden="1">{"Summary",#N/A,TRUE,"Summary";"Monthly Project Cash Flows",#N/A,TRUE,"Summary";"Monthly Site Rent Revenue",#N/A,TRUE,"Summary";"Monthly Home Rent Revenue",#N/A,TRUE,"Summary";"Monthly Loan Revenue",#N/A,TRUE,"Summary";"Monthly Loan Balance Calculation",#N/A,TRUE,"Summary";"Monthly Property NOI",#N/A,TRUE,"Summary";"Monthly Lease Ops NOI",#N/A,TRUE,"Summary";"Monthly Loan NOI",#N/A,TRUE,"Summary";"Monthly Sales NOI",#N/A,TRUE,"Summary";"Monthly Sales Proceeds",#N/A,TRUE,"Summary";"Monthly Debt Summary",#N/A,TRUE,"Summary"}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Package._1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" hidden="1">{"annual",#N/A,FALSE,"Sheet2";"quarters",#N/A,FALSE,"Sheet2"}</definedName>
    <definedName name="wrn.Print._.Residential." hidden="1">{"Res Summary",#N/A,TRUE,"Residential";"Res DevBudget",#N/A,TRUE,"Residential";"Res CF Yr1&amp;2",#N/A,TRUE,"Residential";"Res CF Yr3",#N/A,TRUE,"Residential";"Res CF Yr4",#N/A,TRUE,"Residential";"Res CF Yr5",#N/A,TRUE,"Residential";"Res CF Yr6",#N/A,TRUE,"Residential";"Res CF Yr7",#N/A,TRUE,"Residential";"Res CF Yr8",#N/A,TRUE,"Residential";"Res CF Yr9",#N/A,TRUE,"Residential";"Res Detailed Yr1&amp;2",#N/A,TRUE,"Residential";"Res Detailed Yr3",#N/A,TRUE,"Residential";"Res Detailed Yr4",#N/A,TRUE,"Residential";"Res Detailed Yr5",#N/A,TRUE,"Residential";"Res Detailed Yr6",#N/A,TRUE,"Residential";"Res Detailed Yr7",#N/A,TRUE,"Residential";"Res Detailed Yr8",#N/A,TRUE,"Residential";"Res Detailed Yr9",#N/A,TRUE,"Residential";"Res D&amp;S Yr1&amp;2",#N/A,TRUE,"Residential";"Res D&amp;S Yr3",#N/A,TRUE,"Residential";"Res D&amp;S Yr4",#N/A,TRUE,"Residential";"Res D&amp;S Yr5",#N/A,TRUE,"Residential";"Res D&amp;S Yr6",#N/A,TRUE,"Residential";"Res D&amp;S Yr7",#N/A,TRUE,"Residential";"Res D&amp;S Yr8",#N/A,TRUE,"Residential"}</definedName>
    <definedName name="wrn.Print._.Retail._.Hotel._.CFD." hidden="1">{"Retail Summary",#N/A,TRUE,"Retail";"Retail Budget",#N/A,TRUE,"Retail";"Retail CF Yr1&amp;2",#N/A,TRUE,"Retail";"Retail CF Yr3",#N/A,TRUE,"Retail";"Retail CF Yr4",#N/A,TRUE,"Retail";"Retail CF Yr5",#N/A,TRUE,"Retail";"Retail CF Yr6",#N/A,TRUE,"Retail";"Retail CF Yr7",#N/A,TRUE,"Retail";"Retail CF Yr8",#N/A,TRUE,"Retail";"Retail Detailed Yr1&amp;2",#N/A,TRUE,"Retail";"Retail Detailed Yr3",#N/A,TRUE,"Retail";"Retail Detailed Yr4",#N/A,TRUE,"Retail";"Retail Detailed Yr5",#N/A,TRUE,"Retail";"Retail Detailed Yr6",#N/A,TRUE,"Retail";"Retail Detailed Yr7",#N/A,TRUE,"Retail";"Retail Detailed Yr8",#N/A,TRUE,"Retail";"Retail D&amp;S Yr1&amp;2",#N/A,TRUE,"Retail";"Retail D&amp;S Yr3",#N/A,TRUE,"Retail";"Retail D&amp;S Yr4",#N/A,TRUE,"Retail";"Retail D&amp;S Yr5",#N/A,TRUE,"Retail";"Retail D&amp;S Yr6",#N/A,TRUE,"Retail";"Retail D&amp;S Yr7",#N/A,TRUE,"Retail";"Retail D&amp;S Yr8",#N/A,TRUE,"Retail";"Hotel Yr1&amp;2",#N/A,TRUE,"Hotel";"Hotel Yr3",#N/A,TRUE,"Hotel";"Hotel Yr4",#N/A,TRUE,"Hotel";"Hotel Yr5",#N/A,TRUE,"Hotel";"CFD Yr1&amp;2",#N/A,TRUE,"CFD";"CFD Yr3",#N/A,TRUE,"CFD";"CFD Yr4",#N/A,TRUE,"CFD";"CFD Yr5",#N/A,TRUE,"CFD";"CFD Yr6",#N/A,TRUE,"CFD";"CFD Yr7",#N/A,TRUE,"CFD";"CFD Yr8",#N/A,TRUE,"CFD";"CFD Yr9",#N/A,TRUE,"CFD"}</definedName>
    <definedName name="wrn.Print._.SPHI._.Openings." hidden="1">{"Print SPHI Assumptions",#N/A,FALSE,"SPHI Openings";"Print SPHI Openings",#N/A,FALSE,"SPHI Openings"}</definedName>
    <definedName name="wrn.print._.standalone." hidden="1">{"standalone1",#N/A,FALSE,"DCFBase";"standalone2",#N/A,FALSE,"DCFBase"}</definedName>
    <definedName name="wrn.Print._.STAY._.Openings." hidden="1">{"print STAY opening assumptions",#N/A,FALSE,"STAY Openings";"print STAY openings",#N/A,FALSE,"STAY Openings"}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" hidden="1">{"One",#N/A,FALSE,"Summary ";"Two",#N/A,FALSE,"Summary "}</definedName>
    <definedName name="wrn.Print._.Summary._.2." hidden="1">{"JVSummary",#N/A,TRUE,"10 &amp; 12 - CF";"B10&amp;12 Summary",#N/A,TRUE,"10 &amp; 12 - CF";"Hingham Summary",#N/A,TRUE,"10 &amp; 12 - CF"}</definedName>
    <definedName name="wrn.Print._.Summary._.CF._.DevSch._.Loan.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CF._.DevSch._.Loan.1" hidden="1">{"Print_Summary Letter",#N/A,FALSE,"A-ProjDevAnalysis";"Print_CF_Stmt Letter",#N/A,FALSE,"A-ProjDevAnalysis";"Print_DevSch Letter",#N/A,FALSE,"A-ProjDevAnalysis";"Print_LoanCommit Letter",#N/A,FALSE,"A-ProjDevAnalysis"}</definedName>
    <definedName name="wrn.Print._.Summary._.Equity._.First." hidden="1">{"JVSummary",#N/A,TRUE,"Annual CF";"JV Dev Budget",#N/A,TRUE,"Annual CF";"JV Cash Flow",#N/A,TRUE,"Annual CF";"JV Net Sale Proceeds",#N/A,TRUE,"Annual CF";"JV Debt",#N/A,TRUE,"Annual CF";"B10&amp;12 Summary",#N/A,TRUE,"10 &amp; 12 - CF";"B10&amp;12 Budget",#N/A,TRUE,"Annual CF";"B10&amp;12 Dev. Costs",#N/A,TRUE,"Annual CF";"B10&amp;12 CF1",#N/A,TRUE,"Annual CF";"B10&amp;12 CF2",#N/A,TRUE,"Annual CF";"B10&amp;12 Equity First",#N/A,TRUE,"Annual CF";"Hingham Summary",#N/A,TRUE,"Annual CF";"Hinham Budget",#N/A,TRUE,"Annual CF";"Hingham Dev. Costs",#N/A,TRUE,"Annual CF";"Hingham CF1",#N/A,TRUE,"Annual CF";"Hingh CF2",#N/A,TRUE,"Annual CF";"Hingham Debt",#N/A,TRUE,"Hingham - CF"}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ree._.Page._.Model." hidden="1">{"Page One",#N/A,FALSE,"Model";"Page 2",#N/A,FALSE,"Model";"Page 3",#N/A,FALSE,"Model"}</definedName>
    <definedName name="wrn.Print._.Title._.and._.Contents." hidden="1">{#N/A,#N/A,FALSE,"Title";#N/A,#N/A,FALSE,"Table"}</definedName>
    <definedName name="wrn.Print._.Venture." hidden="1">{"Venture #1",#N/A,TRUE,"Venture";"Venture #2",#N/A,TRUE,"Venture";"Budget",#N/A,TRUE,"Venture";"Venture Cash Flow",#N/A,TRUE,"Venture";"Debt Summary",#N/A,TRUE,"Venture";"Sales Proceeds",#N/A,TRUE,"Venture";"Cash Flow Split",#N/A,TRUE,"Venture"}</definedName>
    <definedName name="wrn.Print._.without._.Promote." hidden="1">{"Summary",#N/A,TRUE,"Summary";"Summary #1",#N/A,TRUE,"Summary";"Summary #2",#N/A,TRUE,"Summary";"CF",#N/A,TRUE,"Summary"}</definedName>
    <definedName name="wrn.print_all." hidden="1">{#N/A,#N/A,FALSE,"property";#N/A,#N/A,FALSE,"tenants";#N/A,#N/A,FALSE,"capital";#N/A,#N/A,FALSE,"summary"}</definedName>
    <definedName name="wrn.Print_Annual_Schedules." hidden="1">{"Print_Assumptions",#N/A,FALSE,"Assumptions";"Print_Allocations",#N/A,FALSE,"EOP JV";"Print_FAD",#N/A,FALSE,"EOP JV";"Print_Other",#N/A,FALSE,"Other";"Print_Annual_Revenue",#N/A,FALSE,"Revenue";"Print_Lease_Rollovers",#N/A,FALSE,"Revenue"}</definedName>
    <definedName name="wrn.Print_Assumptions." hidden="1">{"Print_Assumptions",#N/A,FALSE,"Assumptions";#N/A,#N/A,FALSE,"Rental Rate"}</definedName>
    <definedName name="wrn.Print_Budget." hidden="1">{"Print_Dev_Budget",#N/A,FALSE,"Budget";"Print_Dev_Budget_Footnotes",#N/A,FALSE,"Budget"}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DM_Report." hidden="1">{"Print_View_1",#N/A,FALSE,"Asset Template";"Print_View_2",#N/A,FALSE,"Asset Template"}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nthly_Schedules." hidden="1">{"Print_Monthly_Operations_CF",#N/A,FALSE,"Monthly";"Print_Monthly_Revenues",#N/A,FALSE,"Monthly";"Print_Monthly_Draws",#N/A,FALSE,"Monthly";"Print_Monthly_Costs",#N/A,FALSE,"Monthly"}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Unwind." hidden="1">{"Print_Unwind_Summary",#N/A,FALSE,"Unwind Value";"Print_Unwind_Monthly",#N/A,FALSE,"Unwind Value"}</definedName>
    <definedName name="wrn.Print1" hidden="1">{"View1",#N/A,FALSE,"Sheet1";"View2",#N/A,FALSE,"Sheet1"}</definedName>
    <definedName name="wrn.Print1." hidden="1">{"Page1",#N/A,TRUE,"Sheet1";"Page2",#N/A,TRUE,"Sheet1";"Page3",#N/A,TRUE,"Sheet1"}</definedName>
    <definedName name="wrn.print2." hidden="1">{"Assump",#N/A,TRUE,"Proforma";"first",#N/A,TRUE,"Proforma";"second",#N/A,TRUE,"Proforma";"lease1",#N/A,TRUE,"Proforma";"lease2",#N/A,TRUE,"Proforma"}</definedName>
    <definedName name="wrn.Print4" hidden="1">{"View1",#N/A,FALSE,"Sheet1";"View2",#N/A,FALSE,"Sheet1"}</definedName>
    <definedName name="wrn.print5" hidden="1">{"Assump",#N/A,TRUE,"Proforma";"first",#N/A,TRUE,"Proforma";"second",#N/A,TRUE,"Proforma";"lease1",#N/A,TRUE,"Proforma";"lease2",#N/A,TRUE,"Proforma"}</definedName>
    <definedName name="wrn.PrintAll." hidden="1">{#N/A,#N/A,FALSE,"Broker Sheet";#N/A,#N/A,FALSE,"Exec.Summary";#N/A,#N/A,FALSE,"Argus Cash Flow";#N/A,#N/A,FALSE,"SPF";#N/A,#N/A,FALSE,"RentRoll"}</definedName>
    <definedName name="wrn.PrintAll._1" hidden="1">{#N/A,#N/A,FALSE,"Broker Sheet";#N/A,#N/A,FALSE,"Exec.Summary";#N/A,#N/A,FALSE,"Argus Cash Flow";#N/A,#N/A,FALSE,"SPF";#N/A,#N/A,FALSE,"RentRoll"}</definedName>
    <definedName name="wrn.PrintAll._2" hidden="1">{#N/A,#N/A,FALSE,"Broker Sheet";#N/A,#N/A,FALSE,"Exec.Summary";#N/A,#N/A,FALSE,"Argus Cash Flow";#N/A,#N/A,FALSE,"SPF";#N/A,#N/A,FALSE,"RentRoll"}</definedName>
    <definedName name="wrn.PrintAll._3" hidden="1">{#N/A,#N/A,FALSE,"Broker Sheet";#N/A,#N/A,FALSE,"Exec.Summary";#N/A,#N/A,FALSE,"Argus Cash Flow";#N/A,#N/A,FALSE,"SPF";#N/A,#N/A,FALSE,"RentRoll"}</definedName>
    <definedName name="wrn.PrintAll._4" hidden="1">{#N/A,#N/A,FALSE,"Broker Sheet";#N/A,#N/A,FALSE,"Exec.Summary";#N/A,#N/A,FALSE,"Argus Cash Flow";#N/A,#N/A,FALSE,"SPF";#N/A,#N/A,FALSE,"RentRoll"}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{"Zone1",#N/A,FALSE,"Parameters";"Zone2",#N/A,FALSE,"Parameters"}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1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" hidden="1">{#N/A,#N/A,FALSE,"COVER";#N/A,#N/A,FALSE,"Construction CF";#N/A,#N/A,FALSE,"PROFORMA";#N/A,#N/A,FALSE,"CASHFLOW"}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it_and_Loss." hidden="1">{"Profit_Summary",#N/A,FALSE,"Monthly";"Profit_P2",#N/A,FALSE,"Monthly";"Profit_P3",#N/A,FALSE,"Monthly";"Profit_P4",#N/A,FALSE,"Monthly";"Profit_P5",#N/A,FALSE,"Monthly";"Profit_P6",#N/A,FALSE,"Monthly";"Profit_P7",#N/A,FALSE,"Monthly";"Profit_P8",#N/A,FALSE,"Monthly";"Profit_P9",#N/A,FALSE,"Monthly";"Profit_P10",#N/A,FALSE,"Monthly";"Profit_P11",#N/A,FALSE,"Monthly";"Profit_P12",#N/A,FALSE,"Monthly";"Profit_P13",#N/A,FALSE,"Monthly";"Profit_P14",#N/A,FALSE,"Monthly";"pROFIT_p15",#N/A,FALSE,"Monthly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2." hidden="1">{#N/A,#N/A,TRUE,"Cash Flow Proforma";#N/A,#N/A,TRUE,"Scenario Variable Cells";#N/A,#N/A,TRUE,"Proforma Assumptions";#N/A,#N/A,TRUE,"Bulk Pad and Finished Sales";#N/A,#N/A,TRUE,"Rolling Option Sales"}</definedName>
    <definedName name="wrn.Proforma._.Review." hidden="1">{#N/A,#N/A,FALSE,"Occ and Rate";#N/A,#N/A,FALSE,"PF Input";#N/A,#N/A,FALSE,"Proforma Five Yr";#N/A,#N/A,FALSE,"Hotcomps"}</definedName>
    <definedName name="wrn.Proforma._.Year._.1." hidden="1">{"Plan Information",#N/A,FALSE,"Plans"}</definedName>
    <definedName name="wrn.Proforma._1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2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4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gram._.Compliance." hidden="1">{#N/A,#N/A,FALSE,"COMPLIANCE"}</definedName>
    <definedName name="wrn.Project." hidden="1">{#N/A,#N/A,TRUE,"A-site";#N/A,#N/A,TRUE,"B-Buildings";#N/A,#N/A,TRUE,"c-out-of-fence";#N/A,#N/A,TRUE,"d-proj.infr.";#N/A,#N/A,TRUE,"e- land"}</definedName>
    <definedName name="wrn.Project._.Cost._.Estimate." hidden="1">{#N/A,#N/A,FALSE,"cost";#N/A,#N/A,FALSE,"draw sched.";#N/A,#N/A,FALSE,"spread";#N/A,#N/A,FALSE,"Assumptions"}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.new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ions." hidden="1">{#N/A,#N/A,FALSE,"Release Price";#N/A,#N/A,FALSE,"Cash flow for 50 Unit";#N/A,#N/A,FALSE,"Cash Flow for 3 Models"}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Information." hidden="1">{#N/A,#N/A,FALSE,"PropertyInfo"}</definedName>
    <definedName name="wrn.PropertyInformation._1" hidden="1">{#N/A,#N/A,FALSE,"PropertyInfo"}</definedName>
    <definedName name="wrn.PropertyInformation._2" hidden="1">{#N/A,#N/A,FALSE,"PropertyInfo"}</definedName>
    <definedName name="wrn.PropertyInformation._3" hidden="1">{#N/A,#N/A,FALSE,"PropertyInfo"}</definedName>
    <definedName name="wrn.PropertyInformation._4" hidden="1">{#N/A,#N/A,FALSE,"PropertyInfo"}</definedName>
    <definedName name="wrn.Proposal." hidden="1">{"Bid",#N/A,FALSE,"Estimate";"Breakdowm",#N/A,FALSE,"Estimate"}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ly." hidden="1">{"Summary Page 1",#N/A,TRUE,"Quarterly";"Annual Page 1",#N/A,TRUE,"Quarterly";"Quarterly 1",#N/A,TRUE,"Quarterly";"Quarterly 2",#N/A,TRUE,"Quarterly"}</definedName>
    <definedName name="wrn.Quarterly._.Cash._.Flows." hidden="1">{"CF Waterfall",#N/A,TRUE,"CF Waterfall";"CombinedBiz CF",#N/A,TRUE,"CombinedBiz";"ExistingBiz CF",#N/A,TRUE,"ExistingBiz";"NewBiz CF",#N/A,TRUE,"NewBiz"}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Fund._.Model." hidden="1">{#N/A,#N/A,FALSE,"Quarterly Fund"}</definedName>
    <definedName name="wrn.Quarterly._.Reporting._.Package._.Exec." hidden="1">{#N/A,#N/A,FALSE,"RP - Titlepage Exec";#N/A,#N/A,FALSE,"balance sheet";#N/A,#N/A,FALSE,"income statement";#N/A,#N/A,FALSE,"statement of cashflows";#N/A,#N/A,FALSE,"statement of ret earnings";#N/A,#N/A,FALSE,"RP - MBSF";#N/A,#N/A,FALSE,"RP - EPS Calc";#N/A,#N/A,FALSE,"RP - EPS Comp";#N/A,#N/A,FALSE,"RP - Goodwill";#N/A,#N/A,FALSE,"RP - Minority Interest";#N/A,#N/A,FALSE,"RP - Revenues";#N/A,#N/A,FALSE,"RP - Rev and OI";#N/A,#N/A,FALSE,"RP - Debt and Cash";#N/A,#N/A,FALSE,"RP - Corp Measures";#N/A,#N/A,FALSE,"RP - Investment Board"}</definedName>
    <definedName name="wrn.Quarterly._.Reporting._.Package._.File." hidden="1">{#N/A,#N/A,FALSE,"balance sheet";#N/A,#N/A,FALSE,"income statement";#N/A,#N/A,FALSE,"statement of cashflows";#N/A,#N/A,FALSE,"statement of ret earnings";#N/A,#N/A,FALSE,"RP - Titlepage";#N/A,#N/A,FALSE,"RP - MBSF";#N/A,#N/A,FALSE,"RP - EPS Calc";#N/A,#N/A,FALSE,"RP - EPS Comp";#N/A,#N/A,FALSE,"RP - Invest Income";#N/A,#N/A,FALSE,"RP - Interest";#N/A,#N/A,FALSE,"RP - Goodwill";#N/A,#N/A,FALSE,"RP - Minority Interest";#N/A,#N/A,FALSE,"RP - Revenues";#N/A,#N/A,FALSE,"RP - Rev and OI";#N/A,#N/A,FALSE,"RP - Debt and Cash";#N/A,#N/A,FALSE,"RP - Corp Measures";#N/A,#N/A,FALSE,"RP - Corp Meas Data";#N/A,#N/A,FALSE,"RP - Investment Board";#N/A,#N/A,FALSE,"RP - Investment Exec Equity";#N/A,#N/A,FALSE,"RP - Investment Exec Cost"}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Quick._.Print." hidden="1">{#N/A,#N/A,TRUE,"Summary";#N/A,#N/A,TRUE,"Cost Summary (inflated)";#N/A,#N/A,TRUE,"Timeline";#N/A,#N/A,TRUE,"Res. Summary";#N/A,#N/A,TRUE,"Residential";#N/A,#N/A,TRUE,"Retail Summary";#N/A,#N/A,TRUE,"Retail ";#N/A,#N/A,TRUE,"Dev Expense Detail";#N/A,#N/A,TRUE,"Promote"}</definedName>
    <definedName name="wrn.Rani." hidden="1">{"Venture Summary",#N/A,FALSE,"Summary";"PI Summary",#N/A,FALSE,"PI Summary";#N/A,#N/A,FALSE,"BI Leasing";"PII Summary",#N/A,FALSE,"PII Summary";#N/A,#N/A,FALSE,"BII Leasing"}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alis.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1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2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alis._3" hidden="1">{"Realis Cover",#N/A,TRUE,"Sheet1";"R Value",#N/A,TRUE,"Sheet1";"R Sensitivity",#N/A,TRUE,"Sheet1";"R Prop Cash Flow",#N/A,TRUE,"Property Summary";"R Pship CF",#N/A,TRUE,"Sheet1";"R Equity DCF",#N/A,TRUE,"Sheet1";"R Pship Distributions",#N/A,TRUE,"Sheet1";"R MIR Splits",#N/A,TRUE,"Sheet1";"R Assumptions",#N/A,TRUE,"Sheet1"}</definedName>
    <definedName name="wrn.Recovery._.Calcs." hidden="1">{#N/A,#N/A,FALSE,"Recovery Calcs"}</definedName>
    <definedName name="wrn.RECURRING." hidden="1">{#N/A,#N/A,FALSE,"Summary"}</definedName>
    <definedName name="wrn.Rehab." hidden="1">{#N/A,#N/A,TRUE,"Total Acquisition and Rehab ";#N/A,#N/A,TRUE,"Summary of Hard Costs";#N/A,#N/A,TRUE,"Summary-Interior Scope of Work";#N/A,#N/A,TRUE,"Cementious Decks";#N/A,#N/A,TRUE,"Finish Trim";#N/A,#N/A,TRUE,"Balcony Waterproofing";#N/A,#N/A,TRUE,"Doors and Hardware";#N/A,#N/A,TRUE,"Drywall";#N/A,#N/A,TRUE,"Tile";#N/A,#N/A,TRUE,"Flooring";#N/A,#N/A,TRUE,"Painting";#N/A,#N/A,TRUE,"Identifying, Shelving &amp; Mirrors";#N/A,#N/A,TRUE,"Appliances";#N/A,#N/A,TRUE,"Cabinets and Countertops";#N/A,#N/A,TRUE,"Window Treatments";#N/A,#N/A,TRUE,"Plumbing";#N/A,#N/A,TRUE,"HVAC";#N/A,#N/A,TRUE,"Electrical"}</definedName>
    <definedName name="wrn.Rehab._.Projects." hidden="1">{#N/A,#N/A,FALSE,"Bankside Village Apartments";#N/A,#N/A,FALSE,"Stoneridge Apartments"}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1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2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3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._.Sections._4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ovation." hidden="1">{#N/A,#N/A,FALSE,"loan analysis";#N/A,#N/A,FALSE,"Draw Schedule";#N/A,#N/A,FALSE,"Cost";#N/A,#N/A,FALSE,"unit mix";#N/A,#N/A,FALSE,"proforma";#N/A,#N/A,FALSE,"Spread";#N/A,#N/A,FALSE,"Assumptions";#N/A,#N/A,FALSE,"Summary"}</definedName>
    <definedName name="wrn.Rent._.Assumptions." hidden="1">{"Rent_Assumptions",#N/A,FALSE,"Sheet1"}</definedName>
    <definedName name="wrn.Rent._.Changes._.Per._.Unit." hidden="1">{"Rent_ChangesPerUnit",#N/A,FALSE,"Sheet1"}</definedName>
    <definedName name="wrn.Rent._.Changes._.Total." hidden="1">{"Rent_ChangesTotal",#N/A,FALSE,"Sheet1"}</definedName>
    <definedName name="wrn.Rent._.Roll." hidden="1">{#N/A,#N/A,FALSE,"Rent Roll"}</definedName>
    <definedName name="wrn.Rent._.Totals." hidden="1">{"Rent_Totals",#N/A,FALSE,"Sheet1"}</definedName>
    <definedName name="wrn.Rental._.Scenario." hidden="1">{#N/A,#N/A,TRUE,"Summary";#N/A,#N/A,TRUE,"Rental Summary";#N/A,#N/A,TRUE,"Budget";#N/A,#N/A,TRUE,"Assumptions";#N/A,#N/A,TRUE,"Financing"}</definedName>
    <definedName name="wrn.RentRoll." hidden="1">{"CurrentRentRoll",#N/A,FALSE,"Graph &amp; Rent Roll"}</definedName>
    <definedName name="wrn.Repayments." hidden="1">{"One",#N/A,FALSE,"Repayments";"Two",#N/A,FALSE,"Repayments"}</definedName>
    <definedName name="wrn.report" hidden="1">{#N/A,#N/A,FALSE,"Loan Summary";#N/A,#N/A,FALSE,"NOI";"RR and Expir",#N/A,FALSE,"Rental";"Sales History",#N/A,FALSE,"Rental";#N/A,#N/A,FALSE,"Reserves"}</definedName>
    <definedName name="wrn.Report.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FOR._.CCA." hidden="1">{"CCA",#N/A,FALSE,"INPUT";"Pricing","CCA",FALSE,"Pricing";"Rent","CCA",FALSE,"Rent,Exp";"Fund Flow",#N/A,FALSE,"Fund Flow"}</definedName>
    <definedName name="wrn.REPORT._.FOR._.FA." hidden="1">{"Report for FA","FA",FALSE,"Benefits"}</definedName>
    <definedName name="wrn.REPORT._.FOR._.LUS." hidden="1">{#N/A,#N/A,FALSE,"LeaseData";"Rent",#N/A,FALSE,"Rent,Exp"}</definedName>
    <definedName name="wrn.Report._.I." hidden="1">{#N/A,#N/A,FALSE,"Assumptions";#N/A,#N/A,FALSE,"Promote Assumptions";#N/A,#N/A,FALSE,"Residual Analysis";#N/A,#N/A,FALSE,"ROC";#N/A,#N/A,FALSE,"Project Costs";#N/A,#N/A,FALSE,"Annual CF";#N/A,#N/A,FALSE,"Stab Proforma"}</definedName>
    <definedName name="wrn.Report._.Package." hidden="1">{#N/A,#N/A,FALSE,"RESIDENTIAL";#N/A,#N/A,FALSE,"DEVMT_is";#N/A,#N/A,FALSE,"DEVELOPMENT";#N/A,#N/A,FALSE,"CAPITALIZED"}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._1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2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3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_4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.Irr" hidden="1">{#N/A,#N/A,FALSE,"Loan Summary";#N/A,#N/A,FALSE,"NOI";"RR and Expir",#N/A,FALSE,"Rental";"Sales History",#N/A,FALSE,"Rental";#N/A,#N/A,FALSE,"Reserves"}</definedName>
    <definedName name="wrn.REPORT_1." hidden="1">{"SIMPLIFD_P1",#N/A,FALSE,"SIMPLIFD"}</definedName>
    <definedName name="wrn.REPORT_1._1" hidden="1">{"SIMPLIFD_P1",#N/A,FALSE,"SIMPLIFD"}</definedName>
    <definedName name="wrn.REPORT_1._2" hidden="1">{"SIMPLIFD_P1",#N/A,FALSE,"SIMPLIFD"}</definedName>
    <definedName name="wrn.REPORT_1._3" hidden="1">{"SIMPLIFD_P1",#N/A,FALSE,"SIMPLIFD"}</definedName>
    <definedName name="wrn.REPORT_1._4" hidden="1">{"SIMPLIFD_P1",#N/A,FALSE,"SIMPLIFD"}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2" hidden="1">{#N/A,#N/A,FALSE,"Loan Summary";#N/A,#N/A,FALSE,"NOI";"RR and Expir",#N/A,FALSE,"Rental";"Sales History",#N/A,FALSE,"Rental";#N/A,#N/A,FALSE,"Reserves"}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hidden="1">{#N/A,#N/A,FALSE,"Project Summary";#N/A,#N/A,FALSE,"Parameter Summary";#N/A,#N/A,FALSE,"Budget Control Report";#N/A,#N/A,FALSE,"DETAIL.XLS"}</definedName>
    <definedName name="wrn.Residential." hidden="1">{"ResSum1",#N/A,TRUE,"Ent &amp; Inf";"ResSum2",#N/A,TRUE,"Ent &amp; Inf";"ResCF1",#N/A,TRUE,"Ent &amp; Inf";"Res Monthly CF1",#N/A,TRUE,"Ent &amp; Inf";"Res MonthlyCF2",#N/A,TRUE,"Ent &amp; Inf"}</definedName>
    <definedName name="wrn.Residential._.Summary." hidden="1">{"Residential Summary",#N/A,TRUE,"Summary";"Residential Budget",#N/A,TRUE,"Summary";"Residential Cash Flow",#N/A,TRUE,"Summary";"Residential Project Costs",#N/A,TRUE,"Summary"}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tail." hidden="1">{"DSSum1",#N/A,TRUE,"Ent &amp; Inf";"DSSum2",#N/A,TRUE,"Ent &amp; Inf";"DSSales",#N/A,TRUE,"Ent &amp; Inf";"DSDebt",#N/A,TRUE,"Ent &amp; Inf";"DS Monthly CF1",#N/A,TRUE,"Ent &amp; Inf";"DS MonthlyCF2",#N/A,TRUE,"Ent &amp; Inf";"DS MonthlyCF3",#N/A,TRUE,"Ent &amp; Inf"}</definedName>
    <definedName name="wrn.Retail._.Summary." hidden="1">{"Retail Summary",#N/A,TRUE,"Summary";"Retail Development Budget",#N/A,TRUE,"Summary";"Retail Cash Flow",#N/A,TRUE,"Summary";"Retail Development Costs and NOI",#N/A,TRUE,"Summary";"Retail Detailed Project Costs",#N/A,TRUE,"Summary"}</definedName>
    <definedName name="wrn.Review._.Area._.Report._.2._.Areas." hidden="1">{"Line Item Estimate - Review Area 2 View",#N/A,FALSE,"Line Item Estimate";"Line Item Estimate - Review Area 1 View",#N/A,FALSE,"Line Item Estimate";"Line Item Estimate - Review Total View",#N/A,FALSE,"Line Item Estimate"}</definedName>
    <definedName name="wrn.Review._.Area._.Report._.3._.Areas." hidden="1">{"Line Item Estimate - Review Area 1 View",#N/A,FALSE,"Line Item Estimate";"Line Item Estimate - Review Area 2 View",#N/A,FALSE,"Line Item Estimate";"Line Item Estimate - Review Area 3 View",#N/A,FALSE,"Line Item Estimate";"Line Item Estimate - Review Total View",#N/A,FALSE,"Line Item Estimate"}</definedName>
    <definedName name="wrn.Review._.Area._.Report._.4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Total View",#N/A,FALSE,"Line Item Estimate"}</definedName>
    <definedName name="wrn.Review._.Area._.Report._.5._.Areas." hidden="1">{"Line Item Estimate - Review Area 1 View",#N/A,FALSE,"Line Item Estimate";"Line Item Estimate - Review Area 2 View",#N/A,FALSE,"Line Item Estimate";"Line Item Estimate - Review Area 3 View",#N/A,FALSE,"Line Item Estimate";"Line Item Estimate - Review Area 4 View",#N/A,FALSE,"Line Item Estimate";"Line Item Estimate - Review Area 5 View",#N/A,FALSE,"Line Item Estimate";"Line Item Estimate - Review Total View",#N/A,FALSE,"Line Item Estimate"}</definedName>
    <definedName name="wrn.Review._.File." hidden="1">{"Venture Summary",#N/A,FALSE,"Summary";"Operating Assumptions",#N/A,FALSE,"Summary";"Development Budget",#N/A,FALSE,"Summary";"Annual",#N/A,FALSE,"Annual";"DevPF",#N/A,FALSE,"DevPF"}</definedName>
    <definedName name="wrn.Review._.Total._.Report." hidden="1">{"Line Item Estimate - Review Total View",#N/A,FALSE,"Line Item Estimate"}</definedName>
    <definedName name="wrn.RFP." hidden="1">{"RFP 1",#N/A,FALSE,"Summary (RFP)";"RFP 2",#N/A,FALSE,"Summary (RFP)";"RFP 3",#N/A,FALSE,"Summary (RFP)";"RFP 4",#N/A,FALSE,"Summary (RFP)";"RFP 5",#N/A,FALSE,"Summary (RFP)";"RFP 6",#N/A,FALSE,"Budget"}</definedName>
    <definedName name="wrn.Rmgmtfee." hidden="1">{#N/A,#N/A,FALSE,"Rmgmtfee"}</definedName>
    <definedName name="wrn.Roll._.Up._.Fields." hidden="1">{"Total",#N/A,FALSE,"Six Fields";"PDP",#N/A,FALSE,"Six Fields";"PNP",#N/A,FALSE,"Six Fields";"PUD",#N/A,FALSE,"Six Fields";"Prob",#N/A,FALSE,"Six Fields"}</definedName>
    <definedName name="wrn.Roll_Out." hidden="1">{"One",#N/A,FALSE,"Roll-out";"Two",#N/A,FALSE,"Roll-out";"Three",#N/A,FALSE,"Roll-out";"Four",#N/A,FALSE,"Roll-out";"Five",#N/A,FALSE,"Roll-out"}</definedName>
    <definedName name="wrn.rollup." hidden="1">{"page1",#N/A,FALSE,"rollup"}</definedName>
    <definedName name="wrn.Roof._.Report." hidden="1">{"Roofs Page 1",#N/A,FALSE,"Roof Outline";"Roofs Page 2",#N/A,FALSE,"Roof Outline"}</definedName>
    <definedName name="wrn.rpt96." hidden="1">{"rmrev1",#N/A,FALSE,"Forecast96";"rmrev2",#N/A,FALSE,"Forecast96";"rmrev3",#N/A,FALSE,"Forecast96"}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V._.SAR." hidden="1">{#N/A,#N/A,FALSE,"COVER";#N/A,#N/A,FALSE,"WEEKLY SUMMARY";"RiverView I",#N/A,FALSE,"EAST TOWER";#N/A,#N/A,FALSE,"WEST TOWER";"Parking",#N/A,FALSE,"EAST TOWER"}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MPLE." hidden="1">{"JPM1",#N/A,FALSE,"TI_All Projects"}</definedName>
    <definedName name="wrn.Savannah._.Place." hidden="1">{#N/A,#N/A,FALSE,"Investment Analysis ";#N/A,#N/A,FALSE,"Savannah Place"}</definedName>
    <definedName name="wrn.SB_PRES." hidden="1">{#N/A,#N/A,TRUE,"Sheet16"}</definedName>
    <definedName name="wrn.SBU._.STEERIN." hidden="1">{"TOTALS",#N/A,FALSE,"Consolidating Income Statement";"MONTHS",#N/A,FALSE,"Ag";"QTRS",#N/A,FALSE,"Ag";"MONTHS",#N/A,FALSE,"Turf";"QTRS",#N/A,FALSE,"Turf";"MONTHS",#N/A,FALSE,"Industrial";"QTRS",#N/A,FALSE,"Industrial";"MONTHS",#N/A,FALSE,"Parts";"QTRS",#N/A,FALSE,"Parts"}</definedName>
    <definedName name="wrn.Scenario." hidden="1">{"scen1",#N/A,FALSE,"Scenarios";"scen2",#N/A,FALSE,"Scenarios"}</definedName>
    <definedName name="wrn.Scenario._.Summary._.Comparisons." hidden="1">{#N/A,"Rolling Option",FALSE,"Scenario Variable Cells";"Legal Internal",#N/A,FALSE,"Cash Flow Proforma";#N/A,"Pad &amp; Roll",FALSE,"Scenario Variable Cells";"Legal Internal",#N/A,FALSE,"Cash Flow Proforma";#N/A,"SuperPads",FALSE,"Scenario Variable Cells";"Legal Internal",#N/A,FALSE,"Cash Flow Proforma";#N/A,"Finished",FALSE,"Scenario Variable Cells";"Legal Internal",#N/A,FALSE,"Cash Flow Proforma"}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hidden="1">{"SCHEDULE",#N/A,FALSE,"Fin_sched"}</definedName>
    <definedName name="wrn.SCHEDULE." hidden="1">{"SCHEDULE",#N/A,FALSE,"Fin_sched"}</definedName>
    <definedName name="wrn.Schedule._.A." hidden="1">{"Schedule A",#N/A,FALSE,"Schedule A"}</definedName>
    <definedName name="wrn.Schedule._.B." hidden="1">{"Schedule B",#N/A,FALSE,"Schedule B"}</definedName>
    <definedName name="wrn.Schedule._.C." hidden="1">{"Schedule C",#N/A,FALSE,"Schedule C"}</definedName>
    <definedName name="wrn.Schedule._.D." hidden="1">{"Schedule D",#N/A,FALSE,"Schedule C-D"}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chedules._1" hidden="1">{"schedule1",#N/A,FALSE,"Sheet1";"schedule2",#N/A,FALSE,"Sheet1";"schedule3",#N/A,FALSE,"Sheet1";"schedule4",#N/A,FALSE,"Sheet1";"schedule5",#N/A,FALSE,"Sheet1";"schedule6",#N/A,FALSE,"Sheet1"}</definedName>
    <definedName name="wrn.schedules._2" hidden="1">{"schedule1",#N/A,FALSE,"Sheet1";"schedule2",#N/A,FALSE,"Sheet1";"schedule3",#N/A,FALSE,"Sheet1";"schedule4",#N/A,FALSE,"Sheet1";"schedule5",#N/A,FALSE,"Sheet1";"schedule6",#N/A,FALSE,"Sheet1"}</definedName>
    <definedName name="wrn.schedules._3" hidden="1">{"schedule1",#N/A,FALSE,"Sheet1";"schedule2",#N/A,FALSE,"Sheet1";"schedule3",#N/A,FALSE,"Sheet1";"schedule4",#N/A,FALSE,"Sheet1";"schedule5",#N/A,FALSE,"Sheet1";"schedule6",#N/A,FALSE,"Sheet1"}</definedName>
    <definedName name="wrn.schedules._4" hidden="1">{"schedule1",#N/A,FALSE,"Sheet1";"schedule2",#N/A,FALSE,"Sheet1";"schedule3",#N/A,FALSE,"Sheet1";"schedule4",#N/A,FALSE,"Sheet1";"schedule5",#N/A,FALSE,"Sheet1";"schedule6",#N/A,FALSE,"Sheet1"}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ensitivities." hidden="1">{"Sensitivities",#N/A,FALSE,"Consolidated"}</definedName>
    <definedName name="wrn.Sensitivity." hidden="1">{"sen cf",#N/A,FALSE,"MODEL";"sen earn",#N/A,FALSE,"MODEL";"sen debt",#N/A,FALSE,"MODEL";"sen nav",#N/A,FALSE,"MODEL"}</definedName>
    <definedName name="wrn.Sep._.Forecast." hidden="1">{"Sep",#N/A,FALSE,"Manager Report"}</definedName>
    <definedName name="wrn.Seperate._.Account._.1." hidden="1">{"S/A1 Assumptions",#N/A,TRUE,"SA1 Quarterly";"S/A1 Annual",#N/A,TRUE,"SA1 Quarterly";"S/A1 Quarterly",#N/A,TRUE,"SA1 Quarterly"}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eet._.Rock." hidden="1">{"Sheet Rock MIR Fund Structure",#N/A,FALSE,"Sheet Rock Summary";"Sheet Rock Summary",#N/A,FALSE,"Sheet Rock Summary";"Sheet Rock Assumptions",#N/A,FALSE,"Sheet Rock Summary"}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hidden="1">{"Side 99",#N/A,FALSE,"S&amp;U Side by Side"}</definedName>
    <definedName name="wrn.Site._.Development._.Package." hidden="1">{#N/A,#N/A,TRUE,"Site Dev P1";#N/A,#N/A,TRUE,"SD P2";#N/A,#N/A,TRUE,"SD P3"}</definedName>
    <definedName name="wrn.sitq." hidden="1">{#N/A,#N/A,FALSE,"Title Page - Sitq";#N/A,#N/A,FALSE,"Index - Sitq";#N/A,#N/A,FALSE,"Stmt of Income";#N/A,#N/A,FALSE,"Balance Sheet - Audit Comm";#N/A,#N/A,FALSE,"Stmt of Retained Earnings";#N/A,#N/A,FALSE,"Total Cash Flow";#N/A,#N/A,FALSE,"S.C.F.P.";#N/A,#N/A,FALSE,"Budget to Actual";#N/A,#N/A,FALSE,"Appraisal surplus";#N/A,#N/A,FALSE,"FMV";#N/A,#N/A,FALSE,"Ratios";#N/A,#N/A,FALSE,"Properties";#N/A,#N/A,FALSE,"Secured Debt";#N/A,#N/A,FALSE,"Mortgage Bonds";#N/A,#N/A,FALSE,"Bank Operating Lines";#N/A,#N/A,FALSE,"Share Capital";#N/A,#N/A,FALSE,"Rental Operating Results";#N/A,#N/A,FALSE,"G. &amp;  A.";#N/A,#N/A,FALSE,"Property Sales";#N/A,#N/A,FALSE,"Accounts receivable ";#N/A,#N/A,FALSE,"Accounts payable";#N/A,#N/A,FALSE,"Budget Analysis";#N/A,#N/A,FALSE,"Mezzanine"}</definedName>
    <definedName name="wrn.SITQ._.Net._.Income._.Adjustment." hidden="1">{"SITQ view of BCLP 4 months income statement",#N/A,TRUE,"BCLP 4 MO IS";#N/A,#N/A,TRUE,"Comparison to March Fcst";#N/A,#N/A,TRUE,"BCLP Forecast"}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uthTrust." hidden="1">{"SouthTrust-Investor",#N/A,FALSE,"SouthTrust";"SouthTrust-Property",#N/A,FALSE,"SouthTrust"}</definedName>
    <definedName name="wrn.Special._.Project." hidden="1">{#N/A,#N/A,TRUE,"Cedar Branch Apartments";#N/A,#N/A,TRUE,"Creekbend Apartments";#N/A,#N/A,TRUE,"Heatherwood Apartments";#N/A,#N/A,TRUE,"Rockport Apartments";#N/A,#N/A,TRUE,"Sale on 30-Sep-96";#N/A,#N/A,TRUE,"Sale on 30-Sep-97";#N/A,#N/A,TRUE,"Sale on 30-Sep-98"}</definedName>
    <definedName name="wrn.SPG._.Estimate." hidden="1">{#N/A,#N/A,FALSE,"Detail";#N/A,#N/A,FALSE,"Totals"}</definedName>
    <definedName name="wrn.Spread._.Sheet." hidden="1">{#N/A,#N/A,FALSE,"spread"}</definedName>
    <definedName name="wrn.Spreadsheet." hidden="1">{"Spreadsheet",#N/A,FALSE,"Spreadsheet"}</definedName>
    <definedName name="wrn.Stadium._.PCD." hidden="1">{#N/A,#N/A,TRUE,"Ericsson Stadium PCD ";#N/A,#N/A,TRUE,"Ericsson Stadium IOR"}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_.Report." hidden="1">{#N/A,#N/A,FALSE,"Summary";#N/A,#N/A,FALSE,"Construction";#N/A,#N/A,FALSE,"Cash Flow"}</definedName>
    <definedName name="wrn.Standard._.Reports." hidden="1">{"Const_Monthly",#N/A,FALSE,"Construction";"Construction_Summary",#N/A,FALSE,"Construction";"Cash_Flow",#N/A,FALSE,"Cash Flow";"Summary",#N/A,FALSE,"Summary";"Finsumm",#N/A,FALSE,"Summary Analysis";"Loanrecap",#N/A,FALSE,"Construction"}</definedName>
    <definedName name="wrn.Standard._1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2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ndard._3" hidden="1">{"Summary",#N/A,TRUE,"Model";"Value",#N/A,TRUE,"Model";"Sensitivity",#N/A,TRUE,"Model";"Discount",#N/A,TRUE,"Model";"Cash Flows",#N/A,TRUE,"Model";"Equity/DCF/Yield",#N/A,TRUE,"Model";"Splits",#N/A,TRUE,"Model";"Promote I",#N/A,TRUE,"Model";"Promote II",#N/A,TRUE,"Model";"Assumptions",#N/A,TRUE,"Model"}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1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etson2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rengths._.Weaknesses." hidden="1">{#N/A,#N/A,FALSE,"Strengths &amp; Weaknesses"}</definedName>
    <definedName name="wrn.Structural._.Frame." hidden="1">{"structural",#N/A,FALSE,"DETAIL.XLS"}</definedName>
    <definedName name="wrn.Submittal._.Reconciliation._.Schedule." hidden="1">{"Submittable Reconciliation Schedule",#N/A,FALSE,"Reconciliation";"GSCP2 PCS 30 Day",#N/A,FALSE,"GSCP2 PCS 30 Day Activity List"}</definedName>
    <definedName name="wrn.Sugar." hidden="1">{"Sugar-Investor",#N/A,FALSE,"Sugar";"Sugar-Property",#N/A,FALSE,"Sugar"}</definedName>
    <definedName name="wrn.SUM._.ONLY." hidden="1">{"SUMMARY",#N/A,FALSE,"BIDSUM"}</definedName>
    <definedName name="wrn.SUM._.WITH._.GC." hidden="1">{"SUMMARY",#N/A,FALSE,"BIDSUM";"SUMALTS",#N/A,FALSE,"BIDSUM";#N/A,#N/A,FALSE,"GCOND"}</definedName>
    <definedName name="wrn.Summaries." hidden="1">{#N/A,#N/A,FALSE,"Summaries &amp; NOI Compare";#N/A,#N/A,FALSE,"Consolidate Portfolio";#N/A,#N/A,FALSE,"Consolidate TERA";#N/A,#N/A,FALSE,"Consolidate II";#N/A,#N/A,FALSE,"Consolidate IV";#N/A,#N/A,FALSE,"Consolidate II &amp; IV";#N/A,#N/A,FALSE,"Consolidate V";#N/A,#N/A,FALSE,"2001 PortSum";#N/A,#N/A,FALSE,"2001 Summary";#N/A,#N/A,FALSE,"2002 PortSum";#N/A,#N/A,FALSE,"2002 Summary";#N/A,#N/A,FALSE,"2003 PortSum";#N/A,#N/A,FALSE,"2003 Summary";#N/A,#N/A,FALSE,"2004 Budg PortSum";#N/A,#N/A,FALSE,"2004 Budg Summ";#N/A,#N/A,FALSE,"Econ Occupancy"}</definedName>
    <definedName name="wrn.Summary." hidden="1">{#N/A,#N/A,FALSE,"Summary"}</definedName>
    <definedName name="wrn.Summary._._NEW." hidden="1">{"Summary1",#N/A,FALSE,"Summary";"Land Dev. Budget",#N/A,FALSE,"Summary";"Program1",#N/A,FALSE,"Summary";"Summary1",#N/A,FALSE,"Office &amp; Retail-Summary";"Residential Summary",#N/A,FALSE,"Summary";"Project CF - Annual New",#N/A,FALSE,"Summary";"Debt - Annual New",#N/A,FALSE,"Summary";"Project Revenues - Annual - New",#N/A,FALSE,"Summary";"Infrastructure Budget - Annual",#N/A,FALSE,"Infrastructure Budget"}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ComboBiz." hidden="1">{"EnterpriseValue",#N/A,TRUE,"Total EV";"CombinedBiz CF",#N/A,TRUE,"Combined Biz CF";"Overhead&amp;Expenses",#N/A,TRUE,"Full Budget";"StaffingBudget",#N/A,TRUE,"Staff"}</definedName>
    <definedName name="wrn.Summary._.Excluding._.DHC." hidden="1">{"Summary Excluding DHC",#N/A,FALSE,"SUMMARY"}</definedName>
    <definedName name="wrn.Summary._.incl._.Monthly._.CF." hidden="1">{"Summary1",#N/A,FALSE,"Summary";"Land Dev. Budget",#N/A,FALSE,"Summary";"Program1",#N/A,FALSE,"Summary";"SumCF 1",#N/A,FALSE,"Summary";"SumCF 2",#N/A,FALSE,"Summary";"VentureMonthlyCF",#N/A,FALSE,"Monthly Cash Flow";"VentureMonthlyCF2",#N/A,FALSE,"Monthly Cash Flow";"VentureMonthlyCF3",#N/A,FALSE,"Monthly Cash Flow";"Debt Summary",#N/A,FALSE,"Summary";"DebtMonthlyCF1",#N/A,FALSE,"Monthly Cash Flow";"DebtMonthlyCF2",#N/A,FALSE,"Monthly Cash Flow";"DebtMonthlyCF3",#N/A,FALSE,"Monthly Cash Flow";"Residential Summary",#N/A,FALSE,"Summary";"Res Neighborhood Monthly CF",#N/A,FALSE,"Residential - Monthly";"Office &amp; Retail Dev. Schedule",#N/A,FALSE,"Summary";"Office &amp; Retail CF",#N/A,FALSE,"Summary";"Office &amp; Retail Monthly1",#N/A,FALSE,"Summary";"Office &amp; Retail Monthly2",#N/A,FALSE,"Summary";"Office &amp; Retail Monthly3",#N/A,FALSE,"Summary";"Timeline",#N/A,FALSE,"Summary";"Res Constr &amp; Sales Timeline",#N/A,FALSE,"Summary";"Loan Timeline",#N/A,FALSE,"Summary"}</definedName>
    <definedName name="wrn.Summary._.Including._.DHC." hidden="1">{"Summary Including DHC",#N/A,FALSE,"SUMMARY"}</definedName>
    <definedName name="wrn.Summary._.New." hidden="1">{"Venture Summary",#N/A,FALSE,"Summary";"Annual Cash Flows",#N/A,FALSE,"Summary";"Development Budget",#N/A,FALSE,"Summary";"Argus Assumptions",#N/A,FALSE,"Argus Assumptions";"Development Budget Detail",#N/A,FALSE,"Dev PF"}</definedName>
    <definedName name="wrn.Summary._.No._.Footer." hidden="1">{"Budget No Footer",#N/A,FALSE,"Budget";"Assumptions No Footer",#N/A,FALSE,"Assumptions";"Pro Forma No Footer",#N/A,FALSE,"Pro Forma";"Investment No Footer",#N/A,FALSE,"Investment"}</definedName>
    <definedName name="wrn.Summary._.Overview." hidden="1">{#N/A,#N/A,FALSE,"OVERVIEW"}</definedName>
    <definedName name="wrn.Summary._.Pages." hidden="1">{"Summary",#N/A,TRUE,"Summary";"Venture Cash Flow",#N/A,TRUE,"Summary";"Venture Costs &amp; Income Summary",#N/A,TRUE,"Summary";"Timeline",#N/A,TRUE,"Summary";"Development Budget",#N/A,TRUE,"Summary"}</definedName>
    <definedName name="wrn.Summary._.Print." hidden="1">{"Summary",#N/A,FALSE,"Mkt Summary";"Development Budget",#N/A,FALSE,"Mkt Summary";"Sensitivity Tables",#N/A,FALSE,"Mkt Summary";"Mkt Rent Detail",#N/A,FALSE,"Mkt Rent&amp;Exp";"Mkt Expense Detail",#N/A,FALSE,"Mkt Rent&amp;Exp";"Operating Assumptions",#N/A,FALSE,"Mkt Rent&amp;Exp";"Mkt DevPF",#N/A,FALSE,"Mkt DevPF";"Mkt Annual - New",#N/A,FALSE,"Mkt Annual"}</definedName>
    <definedName name="wrn.Summary._.Schedule." hidden="1">{#N/A,#N/A,FALSE,"Smry1";#N/A,#N/A,FALSE,"Smry2";#N/A,#N/A,FALSE,"Finance Cash Flow"}</definedName>
    <definedName name="wrn.Summary._.Schedules." hidden="1">{"Budget",#N/A,FALSE,"Budget";"Assumptions",#N/A,FALSE,"Assumptions";"Financing",#N/A,FALSE,"Financing";"Pro Forma",#N/A,FALSE,"Pro Forma";"Project Returns",#N/A,FALSE,"Pro Forma";"Investment",#N/A,FALSE,"Investment"}</definedName>
    <definedName name="wrn.Summary._.w._.Quarterly." hidden="1">{"Summary Page 1",#N/A,TRUE,"Assumptions";"Annual Page 1",#N/A,TRUE,"Assumptions";"Annual Page 2",#N/A,TRUE,"Assumptions";"Annual Page 3",#N/A,TRUE,"Assumptions";"Annual Page 4",#N/A,TRUE,"Assumptions";"Annual Page 5",#N/A,TRUE,"Assumptions";"Annual Page 6",#N/A,TRUE,"Assumptions";"Quarterly PAge 1",#N/A,TRUE,"Assumptions";"Quarterly PAge 2",#N/A,TRUE,"Assumptions";"Quarterly Page 3",#N/A,TRUE,"Assumptions";"Quarterly Page 4",#N/A,TRUE,"Assumptions";"Quarterly Page 5",#N/A,TRUE,"Assumptions";"Quarterly Page 6",#N/A,TRUE,"Assumptions";"Quarterly Page 7",#N/A,TRUE,"Assumptions";"Quarterly Page 8",#N/A,TRUE,"Assumptions"}</definedName>
    <definedName name="wrn.Summary._.with._.Page._.Number." hidden="1">{"Budget with page #",#N/A,FALSE,"Budget";"Assumptions with page #",#N/A,FALSE,"Assumptions";"Financing with page #",#N/A,FALSE,"Financing";"Pro Forma with page #",#N/A,FALSE,"Pro Forma";"Project Returns with page #",#N/A,FALSE,"Pro Forma"}</definedName>
    <definedName name="wrn.Summary._1" hidden="1">{#N/A,#N/A,FALSE,"Summary"}</definedName>
    <definedName name="wrn.Summary._2" hidden="1">{#N/A,#N/A,FALSE,"Summary"}</definedName>
    <definedName name="wrn.Summary._3" hidden="1">{#N/A,#N/A,FALSE,"Summary"}</definedName>
    <definedName name="wrn.Summary._4" hidden="1">{#N/A,#N/A,FALSE,"Summary"}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SPREAD." hidden="1">{#N/A,#N/A,FALSE,"Master Summary";#N/A,#N/A,FALSE,"30 Irving Pl - Rem Obl";#N/A,#N/A,FALSE,"30 Irving Pl - Sublease";#N/A,#N/A,FALSE,"597 Fifth"}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ry._.Info." hidden="1">{"Audit and Pension Costs",#N/A,FALSE,"Supp";"Interest Paid and Loans",#N/A,FALSE,"Supp";"Details of Assoc. Coys.",#N/A,FALSE,"Supp"}</definedName>
    <definedName name="wrn.Supply._.Additions." hidden="1">{#N/A,#N/A,FALSE,"Supply Addn"}</definedName>
    <definedName name="wrn.Support._.Data." hidden="1">{"Analysis of Non Group Investments",#N/A,TRUE,"Support";"Income And Gains",#N/A,TRUE,"Support";"Inter Coy Interest and Divs",#N/A,TRUE,"Support";"Divs paid and payable",#N/A,TRUE,"Support";"Amounts due to Group Coys",#N/A,TRUE,"Support";"Amounts due from Group Coys.",#N/A,TRUE,"Support";"Holdings In Group Coys",#N/A,TRUE,"Support";"Cash Flow",#N/A,TRUE,"Support";"Staff Nos.",#N/A,TRUE,"Support"}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hidden="1">{#N/A,#N/A,FALSE,"Expense Comparison"}</definedName>
    <definedName name="wrn.TANASBOURNE._.ONLY._1" hidden="1">{#N/A,#N/A,FALSE,"Expense Comparison"}</definedName>
    <definedName name="wrn.TANASBOURNE._.ONLY._2" hidden="1">{#N/A,#N/A,FALSE,"Expense Comparison"}</definedName>
    <definedName name="wrn.TANASBOURNE._.ONLY._3" hidden="1">{#N/A,#N/A,FALSE,"Expense Comparison"}</definedName>
    <definedName name="wrn.TANASBOURNE._.ONLY._4" hidden="1">{#N/A,#N/A,FALSE,"Expense Comparison"}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Comparison." hidden="1">{"Target Comparison",#N/A,FALSE,"Summary"}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es." hidden="1">{"taxes",#N/A,FALSE,"CTT_CLO"}</definedName>
    <definedName name="wrn.Taxes._.Title._.Insurance." hidden="1">{#N/A,#N/A,FALSE,"Taxes, Insurance, Title"}</definedName>
    <definedName name="wrn.Tear._.Sheets." hidden="1">{#N/A,#N/A,FALSE,"ATW";#N/A,#N/A,FALSE,"DO";#N/A,#N/A,FALSE,"ESV";#N/A,#N/A,FALSE,"GLM";#N/A,#N/A,FALSE,"MRL";#N/A,#N/A,FALSE,"NE";#N/A,#N/A,FALSE,"PDE";#N/A,#N/A,FALSE,"FLC";#N/A,#N/A,FALSE,"RDC";#N/A,#N/A,FALSE,"SDC";#N/A,#N/A,FALSE,"RIG"}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_1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{"test2",#N/A,TRUE,"Prices"}</definedName>
    <definedName name="wrn.test._1" hidden="1">{"coverpage",#N/A,TRUE,"Sheet1";"valuation",#N/A,TRUE,"Sheet1"}</definedName>
    <definedName name="wrn.test._2" hidden="1">{"coverpage",#N/A,TRUE,"Sheet1";"valuation",#N/A,TRUE,"Sheet1"}</definedName>
    <definedName name="wrn.test._3" hidden="1">{"coverpage",#N/A,TRUE,"Sheet1";"valuation",#N/A,TRUE,"Sheet1"}</definedName>
    <definedName name="wrn.TEST1." hidden="1">{"TEST1",#N/A,FALSE,"SIMPLIFD"}</definedName>
    <definedName name="wrn.TEST1._1" hidden="1">{"TEST1",#N/A,FALSE,"SIMPLIFD"}</definedName>
    <definedName name="wrn.TEST1._2" hidden="1">{"TEST1",#N/A,FALSE,"SIMPLIFD"}</definedName>
    <definedName name="wrn.TEST1._3" hidden="1">{"TEST1",#N/A,FALSE,"SIMPLIFD"}</definedName>
    <definedName name="wrn.TEST1._4" hidden="1">{"TEST1",#N/A,FALSE,"SIMPLIFD"}</definedName>
    <definedName name="wrn.Test2." hidden="1">{"CoverSheet 97",#N/A,TRUE,"97CoverPage";"CY 1997",#N/A,TRUE,"97TableOfContents";"CY 1997",#N/A,TRUE,"97CashFlowBeforeFinancing"}</definedName>
    <definedName name="wrn.Texas._.All." hidden="1">{"Texas Sub_Consolidation",#N/A,TRUE,"Texas";"Texas Trial Balances",#N/A,TRUE,"Texas";"Texas Investment Analysis",#N/A,TRUE,"Texas";"Texas AJEs",#N/A,TRUE,"Texas";"Texas AJE Summary",#N/A,TRUE,"Texas";"Texas_P_L_Minority",#N/A,TRUE,"Texas"}</definedName>
    <definedName name="wrn.TheWholeEnchilada." hidden="1">{"CSheet",#N/A,FALSE,"C";"SmCap",#N/A,FALSE,"VAL1";"GulfCoast",#N/A,FALSE,"VAL1";"nav",#N/A,FALSE,"NAV";"Summary",#N/A,FALSE,"NAV"}</definedName>
    <definedName name="wrn.THR._.Budget." hidden="1">{"7-Year Pro Forma",#N/A,FALSE,"Prof";"Statistics",#N/A,FALSE,"Stats"}</definedName>
    <definedName name="wrn.TICKSHEETS." hidden="1">{#N/A,#N/A,FALSE,"Unit &amp; Plot Summary";#N/A,#N/A,FALSE,"House - RG4";#N/A,#N/A,FALSE,"D";#N/A,#N/A,FALSE,"House - S";#N/A,#N/A,FALSE,"House -W";#N/A,#N/A,FALSE,"House -LA";#N/A,#N/A,FALSE,"LAE";#N/A,#N/A,FALSE,"A";#N/A,#N/A,FALSE,"AE";#N/A,#N/A,FALSE,"AG2";#N/A,#N/A,FALSE,"AEU"}</definedName>
    <definedName name="wrn.Timelines." hidden="1">{"Project TL",#N/A,FALSE,"Project Timeline";"Fin TL",#N/A,FALSE,"Financing Timeline"}</definedName>
    <definedName name="wrn.to._.print._.corp._.overhead._.report." hidden="1">{"corp profit summary",#N/A,TRUE,"CORPOPS";"corp - profit detailed",#N/A,TRUE,"CORPOPS";"Corp - Overhead detail",#N/A,TRUE,"CORPOPS";"int other - profit summary",#N/A,TRUE,"Internat - Other";"int other - profit detail",#N/A,TRUE,"Internat - Other";"int other - overhead detail",#N/A,TRUE,"Internat - Other";"Malaysia - profit summary",#N/A,TRUE,"Internat - Asia";"Malaysia - profit detailed",#N/A,TRUE,"Internat - Asia";"Malaysia - Overhead detail",#N/A,TRUE,"Internat - Asia"}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Total._.Model." hidden="1">{#N/A,#N/A,TRUE,"Comparison";#N/A,#N/A,TRUE,"toc";#N/A,#N/A,TRUE,"data1";#N/A,#N/A,TRUE,"financing";#N/A,#N/A,TRUE,"source";#N/A,#N/A,TRUE,"cash";#N/A,#N/A,TRUE,"tax";#N/A,#N/A,TRUE,"ln2";#N/A,#N/A,TRUE,"ln4";#N/A,#N/A,TRUE,"rep";#N/A,#N/A,TRUE,"opres";#N/A,#N/A,TRUE,"depr";#N/A,#N/A,TRUE,"funded";#N/A,#N/A,TRUE,"fedtc";#N/A,#N/A,TRUE,"statetc";#N/A,#N/A,TRUE,"mingain";#N/A,#N/A,TRUE,"mtdata1";#N/A,#N/A,TRUE,"base";#N/A,#N/A,TRUE,"mtsource";#N/A,#N/A,TRUE,"mtcash";#N/A,#N/A,TRUE,"mttax";#N/A,#N/A,TRUE,"mtben";#N/A,#N/A,TRUE,"sale";#N/A,#N/A,TRUE,"put";#N/A,#N/A,TRUE,"ResidualVal";#N/A,#N/A,TRUE,"tcamort";#N/A,#N/A,TRUE,"MT3%";#N/A,#N/A,TRUE,"Qirr";#N/A,#N/A,TRUE,"mingainMT";#N/A,#N/A,TRUE,"MTBalSheet";#N/A,#N/A,TRUE,"bstes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s." hidden="1">{"Total Conn",#N/A,FALSE,"Sun CT Properties";"Total Sun",#N/A,FALSE,"Sun Portfolio";"Total SNF",#N/A,FALSE,"Sun SNFs";"Total Hospitals",#N/A,FALSE,"Sun Hospitals";"Total Bev",#N/A,FALSE,"S01 Beverly";"Total S02",#N/A,FALSE,"S02 Boston";"Total S03",#N/A,FALSE,"S03 Bowling Green";"Total S04",#N/A,FALSE,"S04 Bradenton";"Total S05",#N/A,FALSE,"S05 Bristol";"Total S06",#N/A,FALSE,"S06 Brookline";"Total S07",#N/A,FALSE,"S07 Camden";"Total S08",#N/A,FALSE,"S08 Concord";"Total S09",#N/A,FALSE,"S09 South Conn";"Total S10",#N/A,FALSE,"S10 Danbury";"Total S11",#N/A,FALSE,"S11 Darien";"Total S12",#N/A,FALSE,"S12 Denver";"Total S13",#N/A,FALSE,"S13 East Longmeadow";"Total S14",#N/A,FALSE,"S14 Holyoke";"Total S15",#N/A,FALSE,"S15 Lexington";"Total S16",#N/A,FALSE,"S16 Lowell";"Total S17",#N/A,FALSE,"S17 Marlton";"Total S18",#N/A,FALSE,"S18 Milford";"Total S19",#N/A,FALSE,"S19 Millbury";"Total S20",#N/A,FALSE,"S20 Montgomery";"Total S21",#N/A,FALSE,"S21 New Bedford";"Total S22",#N/A,FALSE,"S22 Newington";"Total S23",#N/A,FALSE,"S23 Northshore";"Total S24",#N/A,FALSE,"S24 Northampton";"Total S25",#N/A,FALSE,"S25 Oradell";"Total S26",#N/A,FALSE,"S26 Peabody";"Total S27",#N/A,FALSE,"S27 Randolph";"Total S28",#N/A,FALSE,"S28 San Joaquin";"Total S29",#N/A,FALSE,"S29 Southbury";"Total S30",#N/A,FALSE,"S30 Stamford";"Total S31",#N/A,FALSE,"S31 Westport";"Total S32",#N/A,FALSE,"S32 Wethersfield";"Total S33",#N/A,FALSE,"S33 Weymouth";"Total S34",#N/A,FALSE,"S34 Wilmington Woods";"Total S35",#N/A,FALSE,"S35 Woodcrest";"Total S36",#N/A,FALSE,"S36 Cheshire";"Total S37",#N/A,FALSE,"S37 Kentfield";"Total S38",#N/A,FALSE,"S38 Newton"}</definedName>
    <definedName name="wrn.TownPoint." hidden="1">{"Townpoint-Investor",#N/A,FALSE,"TownPoint";"Townpoint-Property",#N/A,FALSE,"TownPoint"}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SO._.Model." hidden="1">{"01_Summary",#N/A,TRUE,"Summary";"02_Ssensitivity",#N/A,TRUE,"Summary";"03_Valuation Summary",#N/A,TRUE,"Summary";"04_Prime Plus",#N/A,TRUE,"Summary";"05_Empire Hawkeye",#N/A,TRUE,"Summary";"06_US REIT",#N/A,TRUE,"Summary";"07_US REIT 2",#N/A,TRUE,"Summary";"08_TSO",#N/A,TRUE,"Summary";"08_TSO 2",#N/A,TRUE,"Summary";"09_Madison",#N/A,TRUE,"Summary";"10_Madison2",#N/A,TRUE,"Summary";"Assumptions &amp; Input Panel",#N/A,TRUE,"Summary"}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con._.Model._2" hidden="1">{"rtn",#N/A,FALSE,"RTN";"tables",#N/A,FALSE,"RTN";"cf",#N/A,FALSE,"CF";"stats",#N/A,FALSE,"Stats";"prop",#N/A,FALSE,"Prop"}</definedName>
    <definedName name="wrn.Tycon._.Model._3" hidden="1">{"rtn",#N/A,FALSE,"RTN";"tables",#N/A,FALSE,"RTN";"cf",#N/A,FALSE,"CF";"stats",#N/A,FALSE,"Stats";"prop",#N/A,FALSE,"Prop"}</definedName>
    <definedName name="wrn.Tycon._.Model._4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nit._.Information." hidden="1">{#N/A,#N/A,FALSE,"Unit Info";#N/A,#N/A,FALSE,"Unit Info"}</definedName>
    <definedName name="wrn.Univ.._.Office._.Plaza." hidden="1">{"Summary",#N/A,TRUE,"Univ. Office Plaza";"Sensitivity",#N/A,TRUE,"Univ. Office Plaza";"Discount Metrics",#N/A,TRUE,"Univ. Office Plaza";"Partnership Valuation Summary",#N/A,TRUE,"Univ. Office Plaza";"Cash Flows",#N/A,TRUE,"Univ. Office Plaza";"Partnership Net Cash Flow",#N/A,TRUE,"Univ. Office Plaza";"Partnership Equity Value",#N/A,TRUE,"Univ. Office Plaza";"Equity/DCF/Yield",#N/A,TRUE,"Univ. Office Plaza";"JV Structure",#N/A,TRUE,"Univ. Office Plaza";"Split to First Hurdle",#N/A,TRUE,"Univ. Office Plaza";"Splits",#N/A,TRUE,"Univ. Office Plaza";"Distributions",#N/A,TRUE,"Univ. Office Plaza";"Assumptions",#N/A,TRUE,"Univ. Office Plaza";"Bellevue Cash Flows",#N/A,TRUE,"Bellevue";"Bellevue Partnership Value",#N/A,TRUE,"Bellevue";"Cambridge Cash Flows",#N/A,TRUE,"Cambridge";"Cambridge Partnership Value",#N/A,TRUE,"Cambridge";"Chopin Cash Flows",#N/A,TRUE,"Chopin";"Chopin Partnership Value",#N/A,TRUE,"Chopin";"Commonwealth Cash Flows",#N/A,TRUE,"Commonwealth";"Commonwealth Partnership Value",#N/A,TRUE,"Commonwealth";"Oxford Cash Flows",#N/A,TRUE,"Oxford";"Oxford Partnership Value",#N/A,TRUE,"Oxford";"Stockton Cash Flows",#N/A,TRUE,"Stockton";"Stockton Partnership Value",#N/A,TRUE,"Stockton"}</definedName>
    <definedName name="wrn.Upstate._.NY.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1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2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pstate._.NY._3" hidden="1">{"Summary",#N/A,TRUE,"Main Model";"Sensitivity",#N/A,TRUE,"Main Model";"Partnership Valuation Summary",#N/A,TRUE,"Main Model";"Distributions",#N/A,TRUE,"Main Model";"Cash Flows",#N/A,TRUE,"Main Model";"Partnership Net Cash Flow",#N/A,TRUE,"Main Model";"Partnership Equity Value",#N/A,TRUE,"Main Model";"DCF/Yield",#N/A,TRUE,"Main Model";"JV Structure",#N/A,TRUE,"Main Model";"Splits",#N/A,TRUE,"Main Model";"Discount Metrics",#N/A,TRUE,"Main Model";"Assumptions",#N/A,TRUE,"Main Model";"James Court Cash Flows",#N/A,TRUE,"Main Model";"Maple Manor Cash Flows",#N/A,TRUE,"Main Model";"Timberlane Cash Flows",#N/A,TRUE,"Main Model";"Barbara Manor Cash Flows",#N/A,TRUE,"Main Model";"Chili Gardens Cash Flows",#N/A,TRUE,"Main Model";"Grecian Gardens Cash Flows",#N/A,TRUE,"Main Model";"Northgate Cash Flows",#N/A,TRUE,"Main Model";"Tudor Lane Cash Flows",#N/A,TRUE,"Main Model";"Walden Estates Cash Flows",#N/A,TRUE,"Main Model";"Carriage House Cash Flow",#N/A,TRUE,"Main Model";"Westside Cash Flows",#N/A,TRUE,"Main Model"}</definedName>
    <definedName name="wrn.USPACKAGE." hidden="1">{#N/A,#N/A,FALSE,"US Summary";#N/A,#N/A,FALSE,"BEC";#N/A,#N/A,FALSE,"OPP";#N/A,#N/A,FALSE,"Crestview";#N/A,#N/A,FALSE,"Kent";#N/A,#N/A,FALSE,"Somerset";#N/A,#N/A,FALSE,"Stadium"}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1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2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_4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_.Fund." hidden="1">{"VF Assumptions",#N/A,TRUE,"SA1 Quarterly";"VF Annual",#N/A,TRUE,"SA1 Quarterly";"VF Quartely Example P1",#N/A,TRUE,"VF Quarterly";"VF Quarterly Example P2",#N/A,TRUE,"VF Quarterly"}</definedName>
    <definedName name="wrn.Value.2" hidden="1">{#N/A,#N/A,FALSE,"Cashflow Analysis";#N/A,#N/A,FALSE,"Sensitivity Analysis";#N/A,#N/A,FALSE,"PV";#N/A,#N/A,FALSE,"Pro Forma"}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ANALYSIS." hidden="1">{#N/A,#N/A,FALSE," VAR ANA FULL YR summ";#N/A,#N/A,FALSE,"YTD VAR";#N/A,#N/A,FALSE,"Var last mth to curr mth"}</definedName>
    <definedName name="wrn.Variance._.Worksheet." hidden="1">{#N/A,#N/A,FALSE,"VARSTRIP"}</definedName>
    <definedName name="wrn.ventana." hidden="1">{#N/A,#N/A,FALSE,"Cash Flow";#N/A,#N/A,FALSE,"scenario 1"}</definedName>
    <definedName name="wrn.Venture." hidden="1">{"Summary1",#N/A,TRUE,"Summary";"Program",#N/A,TRUE,"Summary";"Timeline",#N/A,TRUE,"Summary";"Land Dev Budget 1",#N/A,TRUE,"Summary";"Land Dev Budget 2",#N/A,TRUE,"Summary";"SumCF1",#N/A,TRUE,"Summary";"SumCF2",#N/A,TRUE,"Summary";"Venture CF3",#N/A,TRUE,"Summary";"Venture MonthlyCF",#N/A,TRUE,"Summary";"Venture Monthly CF2",#N/A,TRUE,"Summary"}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hidden="1">{"Area1",#N/A,FALSE,"OREWACC";"Area2",#N/A,FALSE,"OREWACC"}</definedName>
    <definedName name="wrn.WAGE._.RATES." hidden="1">{#N/A,#N/A,FALSE,"WAGE FORM - UNION";#N/A,#N/A,FALSE,"EST. WAGE RATES - UNION";#N/A,#N/A,FALSE,"WAGE RATE DETAILS - UNION"}</definedName>
    <definedName name="wrn.weekly." hidden="1">{#N/A,#N/A,FALSE,"Large Operators";#N/A,#N/A,FALSE,"Smaller Operators";#N/A,#N/A,FALSE,"Equip. Supply";#N/A,#N/A,FALSE,"EBITDA";#N/A,#N/A,FALSE,"perform"}</definedName>
    <definedName name="wrn.wicor." hidden="1">{#N/A,#N/A,FALSE,"FACTSHEETS";#N/A,#N/A,FALSE,"pump";#N/A,#N/A,FALSE,"filter"}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rkout._.Committee._.Package." hidden="1">{#N/A,#N/A,TRUE,"Sources and Uses";#N/A,#N/A,TRUE,"Annual Projection";#N/A,#N/A,TRUE,"Balance Sheet";#N/A,#N/A,TRUE,"Comparative Income Statement";#N/A,#N/A,TRUE,"Comparative Inc Stmt Per Unit";#N/A,#N/A,TRUE,"Capital Improvement Budget";#N/A,#N/A,TRUE,"Growth Assumptions";#N/A,#N/A,TRUE,"Base Year Unit Mix";#N/A,#N/A,TRUE,"Annual Financing";#N/A,#N/A,TRUE,"Residual Analysis"}</definedName>
    <definedName name="wrn.Worksheet." hidden="1">{"Worksheet",#N/A,FALSE,"Worksheet"}</definedName>
    <definedName name="wrn.Wovenhearts." hidden="1">{"One",#N/A,FALSE,"Wovenhearts";"Two",#N/A,FALSE,"Wovenhearts";"Three",#N/A,FALSE,"Wovenhearts";"Four",#N/A,FALSE,"Wovenhearts";"Five",#N/A,FALSE,"Wovenhearts"}</definedName>
    <definedName name="wrn.wpoall." hidden="1">{"wpocash",#N/A,FALSE,"WPOALLT";"wpoinc",#N/A,FALSE,"WPOALLT";"wpobroad",#N/A,FALSE,"WPOALLT";"wpocable",#N/A,FALSE,"WPOALLT";"wpoexcl",#N/A,FALSE,"WPOALLT";"wponwsweek",#N/A,FALSE,"WPOALLT";"wpopost",#N/A,FALSE,"WPOALLT"}</definedName>
    <definedName name="wrn.WWY." hidden="1">{#N/A,#N/A,FALSE,"WWY"}</definedName>
    <definedName name="wrn.Wynwood." hidden="1">{"One",#N/A,FALSE,"Wynwood";"Two",#N/A,FALSE,"Wynwood";"Three",#N/A,FALSE,"Wynwood";"Four",#N/A,FALSE,"Wynwood";"Five",#N/A,FALSE,"Wynwood"}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1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2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3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APF._.reports._4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early." hidden="1">{"One",#N/A,FALSE,"Yearly"}</definedName>
    <definedName name="wrn.yeild._.graph.1" hidden="1">{#N/A,#N/A,FALSE,"Yield Graph"}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.Zaxon._.Report._.1st._.half." hidden="1">{"CoverSheet",#N/A,FALSE,"Cover Sheet";"AreaSum",#N/A,FALSE,"Master Area Summary";"Exclusions",#N/A,FALSE,"Exclusions";"ZaxEXsum",#N/A,FALSE,"Executive Summary";"Zax A sum",#N/A,FALSE,"Bldg A Summary";"ZaxAest",#N/A,FALSE,"BLDG.A";"zaxCsum",#N/A,FALSE,"Bldg C Summary";"ZaxCest",#N/A,FALSE,"BLDG.C";"ZaxSTsum",#N/A,FALSE,"Site Summary";"zaxsite",#N/A,FALSE,"Site work"}</definedName>
    <definedName name="wrn.Zaxon._.Report._.2._.half." hidden="1">{"ZaxSWsum",#N/A,FALSE,"Sewer Summary";"ZaxSWest",#N/A,FALSE,"Sewer Estimate";"ZaxGRsum",#N/A,FALSE,"Garage Summary";"ZaxGRest",#N/A,FALSE,"Garage Estimate";"ZaxPLsum",#N/A,FALSE,"Pool Summary";"ZaxPLest",#N/A,FALSE,"Pool";"ZaxPHsum",#N/A,FALSE,"Pool House Summary";"ZaxMAsum",#N/A,FALSE,"Marina Summary";"ZaxMAest",#N/A,FALSE,"Marina Estimate"}</definedName>
    <definedName name="wrn.ZML123._.Financial._.Summaries." hidden="1">{#N/A,#N/A,FALSE,"ZM3 FinSummary";#N/A,#N/A,FALSE,"ZM2 FinSummary";#N/A,#N/A,FALSE,"ZM1 FinSummary"}</definedName>
    <definedName name="wrn_suite" hidden="1">{"2001 Accum",#N/A,FALSE,"ACCUM SUM"}</definedName>
    <definedName name="wrn2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g" hidden="1">{"Output-BaseYear",#N/A,FALSE,"Output"}</definedName>
    <definedName name="wrnh" hidden="1">{"Output-All",#N/A,FALSE,"Output"}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rnprint1" hidden="1">{#N/A,#N/A,FALSE,"Financial";#N/A,#N/A,FALSE,"Balance Sheet";#N/A,#N/A,FALSE,"Income stmt";#N/A,#N/A,FALSE,"Ratio"}</definedName>
    <definedName name="ws" hidden="1">{#N/A,#N/A,FALSE,"Chart 2 by Prop Type"}</definedName>
    <definedName name="wscott">#REF!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verhead._.detail." hidden="1">{TRUE,TRUE,-2,-15.2,616.8,379.8,FALSE,TRUE,TRUE,TRUE,15,4,#N/A,22,#N/A,12.3176470588235,29,1,FALSE,FALSE,3,TRUE,1,FALSE,67,"Swvu.Overhead._.detail.","ACwvu.Overhead._.detail.",#N/A,FALSE,FALSE,0.669291338582677,0.275590551181102,0.236220472440945,0.236220472440945,1,"","",FALSE,FALSE,FALSE,FALSE,1,#N/A,1,#N/A,"=R194C4:R674C19","=R45:R49","Rwvu.Overhead._.detail.",#N/A,FALSE,FALSE,FALSE,9,600,600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Profit._.report._.detailed." hidden="1">{TRUE,TRUE,-2,-15.2,616.8,379.8,FALSE,TRUE,TRUE,TRUE,15,4,#N/A,50,#N/A,12.3176470588235,70.7586206896552,1,FALSE,FALSE,3,TRUE,1,FALSE,67,"Swvu.Profit._.report._.detailed.","ACwvu.Profit._.report._.detailed.",#N/A,FALSE,FALSE,0.669291338582677,0.275590551181102,0.236220472440945,0.236220472440945,1,"","",FALSE,FALSE,FALSE,FALSE,1,#N/A,1,#N/A,"=R54C4:R191C19","=R45:R53","Rwvu.Profit._.report._.detailed.","Cwvu.Profit._.report._.detailed.",FALSE,FALSE,FALSE,9,600,600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" hidden="1">{#N/A,#N/A,FALSE,"Chart 2 by Prop Type"}</definedName>
    <definedName name="wwas" hidden="1">{#N/A,#N/A,FALSE,"Chart 2 by Prop Type"}</definedName>
    <definedName name="wwass" hidden="1">{#N/A,#N/A,FALSE,"Chart 2 by Prop Type"}</definedName>
    <definedName name="wwc" hidden="1">{#N/A,#N/A,FALSE,"Aging Summary";#N/A,#N/A,FALSE,"Ratio Analysis";#N/A,#N/A,FALSE,"Test 120 Day Accts";#N/A,#N/A,FALSE,"Tickmarks"}</definedName>
    <definedName name="www" hidden="1">{"data",#N/A,FALSE,"INPUT"}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e" hidden="1">{"land1",#N/A,FALSE,"Land";"land2",#N/A,FALSE,"Land";"land3",#N/A,FALSE,"Land"}</definedName>
    <definedName name="wwww" hidden="1">{#N/A,#N/A,TRUE,"10 Yr Hold";#N/A,#N/A,TRUE,"7 Yr Hold";#N/A,#N/A,TRUE,"5 Yr Hold";#N/A,#N/A,TRUE,"3 Yr Hold"}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wwwwwwwww" hidden="1">{#N/A,#N/A,TRUE,"A-site";#N/A,#N/A,TRUE,"B-Buildings";#N/A,#N/A,TRUE,"c-out-of-fence";#N/A,#N/A,TRUE,"d-proj.infr.";#N/A,#N/A,TRUE,"e- land"}</definedName>
    <definedName name="wwwwwwwwwww" hidden="1">{#N/A,#N/A,TRUE,"Title - Caisse";#N/A,#N/A,TRUE,"Schedule 1a";#N/A,#N/A,TRUE,"Schedule 2 - 2001";#N/A,#N/A,TRUE,"Schedule 2 - 2002";#N/A,#N/A,TRUE,"Schedule 2 - 2003";#N/A,#N/A,TRUE,"Schedule 3";#N/A,#N/A,TRUE,"Schedule 4";#N/A,#N/A,TRUE,"Schedule 5";#N/A,#N/A,TRUE,"Schedule 5a";#N/A,#N/A,TRUE,"Schedule 6";#N/A,#N/A,TRUE,"Schedule 6a";#N/A,#N/A,TRUE,"Schedule 6b";#N/A,#N/A,TRUE,"Schedule 6c";#N/A,#N/A,TRUE,"Schedule 6d";#N/A,#N/A,TRUE,"Schedule 6e";#N/A,#N/A,TRUE,"Schedule 7";#N/A,#N/A,TRUE,"Schedule 8"}</definedName>
    <definedName name="x" hidden="1">{#N/A,#N/A,FALSE,"LoanAssumptions"}</definedName>
    <definedName name="xcvxv" hidden="1">{#N/A,#N/A,FALSE,"COVER";#N/A,#N/A,FALSE,"PROFORMA";#N/A,#N/A,FALSE,"Construction CF";#N/A,#N/A,FALSE,"CASHFLOW";#N/A,#N/A,FALSE,"Sale &amp; IRR Analysis";#N/A,#N/A,FALSE,"Amortization Table";#N/A,#N/A,FALSE,"Amortization FEMA";#N/A,#N/A,FALSE,"INCOME"}</definedName>
    <definedName name="xdrtuyxftgu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xdxdy" hidden="1">{#N/A,#N/A,FALSE,"A";#N/A,#N/A,FALSE,"B"}</definedName>
    <definedName name="xfgjxcfgj" hidden="1">{#N/A,#N/A,FALSE,"LP Exp";#N/A,#N/A,FALSE,"Salary";#N/A,#N/A,FALSE,"Admin Exp";#N/A,#N/A,FALSE,"QTS Bud";#N/A,#N/A,FALSE,"Marketing"}</definedName>
    <definedName name="xfgujxcfgj" hidden="1">{#N/A,#N/A,FALSE,"Common Area Accrual";#N/A,#N/A,FALSE,"Unit One LaSalle";#N/A,#N/A,FALSE,"Unit One CW";#N/A,#N/A,FALSE,"Unit One LaSallle + C &amp; W";#N/A,#N/A,FALSE,"Consolidated Accrual"}</definedName>
    <definedName name="xfgxcfgj" hidden="1">{#N/A,#N/A,FALSE,"399 Park Var";#N/A,#N/A,FALSE,"PK NOTES"}</definedName>
    <definedName name="xftxft" hidden="1">{#N/A,#N/A,FALSE,"A";#N/A,#N/A,FALSE,"C"}</definedName>
    <definedName name="XLDW_UID" hidden="1">"us262150"</definedName>
    <definedName name="XLDW_VER" hidden="1">"Office 2000 2.0 with Query Builder"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p" hidden="1">#REF!</definedName>
    <definedName name="XREF_COLUMN_1" hidden="1">#REF!</definedName>
    <definedName name="XREF_COLUMN_10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Row" hidden="1">#REF!</definedName>
    <definedName name="XRefCopy2" hidden="1">#REF!</definedName>
    <definedName name="XRefCopy27" hidden="1">#REF!</definedName>
    <definedName name="XRefCopy28" hidden="1">#REF!</definedName>
    <definedName name="XRefCopy29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5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yjxtjnx" hidden="1">{"Investor",#N/A,FALSE,"Model";"Property",#N/A,FALSE,"Model";"Incentive Taxes",#N/A,FALSE,"Model"}</definedName>
    <definedName name="xs" hidden="1">#REF!</definedName>
    <definedName name="xvc" hidden="1">{"FCB_ALL",#N/A,FALSE,"FCB"}</definedName>
    <definedName name="XVCWXV" hidden="1">#REF!</definedName>
    <definedName name="xx" hidden="1">#REF!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{#N/A,#N/A,TRUE,"10 Yr Hold";#N/A,#N/A,TRUE,"7 Yr Hold";#N/A,#N/A,TRUE,"5 Yr Hold";#N/A,#N/A,TRUE,"3 Yr Hold"}</definedName>
    <definedName name="xxx.detail" hidden="1">{"detail305",#N/A,FALSE,"BI-305"}</definedName>
    <definedName name="xxx.directory" hidden="1">{"summary",#N/A,FALSE,"PCR DIRECTORY"}</definedName>
    <definedName name="xxx.statements." hidden="1">{#N/A,#N/A,FALSE,"Income Statement";#N/A,#N/A,FALSE,"Cash Flow";#N/A,#N/A,FALSE,"Balance Sheet";#N/A,#N/A,FALSE,"Ratios"}</definedName>
    <definedName name="xxx_1" hidden="1">{"COM",#N/A,FALSE,"800 10th"}</definedName>
    <definedName name="xxx3" hidden="1">{"AnnualRentRoll",#N/A,FALSE,"RentRoll"}</definedName>
    <definedName name="xxx3_1" hidden="1">{"AnnualRentRoll",#N/A,FALSE,"RentRoll"}</definedName>
    <definedName name="xxx3_2" hidden="1">{"AnnualRentRoll",#N/A,FALSE,"RentRoll"}</definedName>
    <definedName name="xxx3_3" hidden="1">{"AnnualRentRoll",#N/A,FALSE,"RentRoll"}</definedName>
    <definedName name="xxx3_4" hidden="1">{"AnnualRentRoll",#N/A,FALSE,"RentRoll"}</definedName>
    <definedName name="xxx4" hidden="1">{#N/A,#N/A,FALSE,"ExitStratigy"}</definedName>
    <definedName name="xxx4_1" hidden="1">{#N/A,#N/A,FALSE,"ExitStratigy"}</definedName>
    <definedName name="xxx4_2" hidden="1">{#N/A,#N/A,FALSE,"ExitStratigy"}</definedName>
    <definedName name="xxx4_3" hidden="1">{#N/A,#N/A,FALSE,"ExitStratigy"}</definedName>
    <definedName name="xxx4_4" hidden="1">{#N/A,#N/A,FALSE,"ExitStratigy"}</definedName>
    <definedName name="xxxx" hidden="1">#REF!</definedName>
    <definedName name="xxxxx" hidden="1">{#N/A,#N/A,FALSE,"Aging Summary";#N/A,#N/A,FALSE,"Ratio Analysis";#N/A,#N/A,FALSE,"Test 120 Day Accts";#N/A,#N/A,FALSE,"Tickmarks"}</definedName>
    <definedName name="XXXXXX" hidden="1">#REF!</definedName>
    <definedName name="XYZ">#REF!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{"clp_bs_doc",#N/A,FALSE,"CLP";"clp_is_doc",#N/A,FALSE,"CLP";"clp_cf_doc",#N/A,FALSE,"CLP";"clp_fr_doc",#N/A,FALSE,"CLP"}</definedName>
    <definedName name="ydfbgeartg" hidden="1">#REF!</definedName>
    <definedName name="year">#REF!</definedName>
    <definedName name="Year_01">#REF!</definedName>
    <definedName name="YEAR_END">#REF!</definedName>
    <definedName name="YearLabel02">#REF!</definedName>
    <definedName name="years">#REF!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dyh" hidden="1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ield">#REF!</definedName>
    <definedName name="yield_graph" hidden="1">{#N/A,#N/A,FALSE,"Yield Graph"}</definedName>
    <definedName name="YIELD_WITH">#REF!</definedName>
    <definedName name="YIELD_WITHOUT">#REF!</definedName>
    <definedName name="YIELDS">#REF!</definedName>
    <definedName name="YOSLAND">#REF!</definedName>
    <definedName name="you" hidden="1">{"Financials",#N/A,FALSE,"Financials";"AVP",#N/A,FALSE,"AVP";"DCF",#N/A,FALSE,"DCF";"CSC",#N/A,FALSE,"CSC";"Deal_Comp",#N/A,FALSE,"DealComp"}</definedName>
    <definedName name="YoY_SS_Array">#REF!</definedName>
    <definedName name="YoY_SS_Offset">#REF!</definedName>
    <definedName name="yr10cashFLOWafterDEBT">#REF!</definedName>
    <definedName name="yr1a" hidden="1">#REF!</definedName>
    <definedName name="yr1cashFLOWafterDEBT">#REF!</definedName>
    <definedName name="yr1NOI">#REF!</definedName>
    <definedName name="YR1NonreimbOpexPSF">#REF!</definedName>
    <definedName name="YR1OpexPSF">#REF!</definedName>
    <definedName name="YR1ReimbOpexPSF">#REF!</definedName>
    <definedName name="yr2a" hidden="1">#REF!</definedName>
    <definedName name="yr2cashFLOWafterDEBT">#REF!</definedName>
    <definedName name="yr3a" hidden="1">#REF!</definedName>
    <definedName name="yr3cashFLOWafterDEBT">#REF!</definedName>
    <definedName name="yr4a" hidden="1">#REF!</definedName>
    <definedName name="yr4cashFLOWafterDEBT">#REF!</definedName>
    <definedName name="yr5cashFLOWafterDEBT">#REF!</definedName>
    <definedName name="yr6cashFLOWafterDEBT">#REF!</definedName>
    <definedName name="yr7cashFLOWafterDEBT">#REF!</definedName>
    <definedName name="yr8cashFLOWafterDEBT">#REF!</definedName>
    <definedName name="yr9cashFLOWafterDEBT">#REF!</definedName>
    <definedName name="ytjh" hidden="1">#REF!</definedName>
    <definedName name="ytsrt" hidden="1">#REF!</definedName>
    <definedName name="yui" hidden="1">{#N/A,#N/A,FALSE,"Chart 2 by Prop Type"}</definedName>
    <definedName name="yuiy" hidden="1">{#N/A,#N/A,FALSE,"COVER";#N/A,#N/A,FALSE,"Construction CF";#N/A,#N/A,FALSE,"PROFORMA";#N/A,#N/A,FALSE,"CASHFLOW"}</definedName>
    <definedName name="yyy" hidden="1">#REF!</definedName>
    <definedName name="yyy.detail" hidden="1">{"detail305",#N/A,FALSE,"BI-305"}</definedName>
    <definedName name="yyyyyyy" hidden="1">{#N/A,#N/A,FALSE,"Title - Management";#N/A,#N/A,FALSE,"Schedule 1a";#N/A,#N/A,FALSE,"Schedule 2 - 2001";#N/A,#N/A,FALSE,"Schedule 2 - 2002";#N/A,#N/A,FALSE,"Schedule 2 - 2003";#N/A,#N/A,FALSE,"Schedule 3 - Mgnt ";#N/A,#N/A,FALSE,"Schedule 3";#N/A,#N/A,FALSE,"Schedule 4";#N/A,#N/A,FALSE,"Schedule 4a - Mgnt";#N/A,#N/A,FALSE,"Schedule 5";#N/A,#N/A,FALSE,"Schedule 5a";#N/A,#N/A,FALSE,"Schedule 6";#N/A,#N/A,FALSE,"Schedule 6a";#N/A,#N/A,FALSE,"Schedule 6b";#N/A,#N/A,FALSE,"Schedule 6c";#N/A,#N/A,FALSE,"Schedule 6d";#N/A,#N/A,FALSE,"Schedule 6e";#N/A,#N/A,FALSE,"Schedule 7";#N/A,#N/A,FALSE,"Schedule 8";#N/A,#N/A,FALSE,"Schedule 9- Mgnt";#N/A,#N/A,FALSE,"Schedule 10 - Mgmt Fees - Mgnt";#N/A,#N/A,FALSE,"Schedule 10- Leasing Fees- Mgnt";#N/A,#N/A,FALSE,"Schedule 10 - Devel Fees- Mgnt"}</definedName>
    <definedName name="z" hidden="1">{"CSheet",#N/A,FALSE,"C";"SmCap",#N/A,FALSE,"VAL1";"GulfCoast",#N/A,FALSE,"VAL1";"nav",#N/A,FALSE,"NAV";"Summary",#N/A,FALSE,"NAV"}</definedName>
    <definedName name="Z_0DF4CCD5_BD29_11D2_B943_0050040AC21C_.wvu.FilterData" hidden="1">#REF!</definedName>
    <definedName name="Z_103EF461_8E0C_11D4_BD19_00C04F7ADBB0_.wvu.PrintTitles" hidden="1">#REF!</definedName>
    <definedName name="Z_1906290E_BC61_11D2_B941_0050040AC21C_.wvu.FilterData" hidden="1">#REF!</definedName>
    <definedName name="Z_19062910_BC61_11D2_B941_0050040AC21C_.wvu.FilterData" hidden="1">#REF!</definedName>
    <definedName name="Z_1C8A8291_48BB_11D3_BD19_00C04F7ADBB0_.wvu.PrintTitles" hidden="1">#REF!</definedName>
    <definedName name="Z_22616A05_83D1_11D4_BD19_00C04F7ADBB0_.wvu.PrintTitles" hidden="1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293F9608_6186_11D1_8188_004C06C10000_.wvu.Cols" hidden="1">#REF!</definedName>
    <definedName name="Z_2DF11753_B84B_11D2_B93A_0050040AC227_.wvu.PrintArea" hidden="1">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D69700F_3E5A_11D2_B93D_00C04F7ADD59_.wvu.Cols" hidden="1">#REF!,#REF!</definedName>
    <definedName name="Z_4D697010_3E5A_11D2_B93D_00C04F7ADD59_.wvu.Cols" hidden="1">#REF!,#REF!</definedName>
    <definedName name="Z_4D697010_3E5A_11D2_B93D_00C04F7ADD59_.wvu.Rows" hidden="1">#REF!,#REF!,#REF!,#REF!,#REF!,#REF!</definedName>
    <definedName name="Z_4D697011_3E5A_11D2_B93D_00C04F7ADD59_.wvu.Cols" hidden="1">#REF!,#REF!</definedName>
    <definedName name="Z_4D697011_3E5A_11D2_B93D_00C04F7ADD59_.wvu.Rows" hidden="1">#REF!,#REF!,#REF!,#REF!,#REF!,#REF!,#REF!,#REF!,#REF!</definedName>
    <definedName name="Z_4D697012_3E5A_11D2_B93D_00C04F7ADD59_.wvu.Cols" hidden="1">#REF!,#REF!</definedName>
    <definedName name="Z_4D697012_3E5A_11D2_B93D_00C04F7ADD59_.wvu.Rows" hidden="1">#REF!,#REF!,#REF!,#REF!,#REF!,#REF!,#REF!,#REF!,#REF!</definedName>
    <definedName name="Z_4D697013_3E5A_11D2_B93D_00C04F7ADD59_.wvu.Cols" hidden="1">#REF!,#REF!</definedName>
    <definedName name="Z_4D697013_3E5A_11D2_B93D_00C04F7ADD59_.wvu.Rows" hidden="1">#REF!,#REF!,#REF!,#REF!,#REF!</definedName>
    <definedName name="Z_4D697014_3E5A_11D2_B93D_00C04F7ADD59_.wvu.Cols" hidden="1">#REF!,#REF!</definedName>
    <definedName name="Z_4D697014_3E5A_11D2_B93D_00C04F7ADD59_.wvu.Rows" hidden="1">#REF!,#REF!,#REF!,#REF!,#REF!,#REF!,#REF!,#REF!,#REF!,#REF!</definedName>
    <definedName name="Z_4D697015_3E5A_11D2_B93D_00C04F7ADD59_.wvu.Cols" hidden="1">#REF!,#REF!</definedName>
    <definedName name="Z_4D697016_3E5A_11D2_B93D_00C04F7ADD59_.wvu.Cols" hidden="1">#REF!,#REF!</definedName>
    <definedName name="Z_4D697016_3E5A_11D2_B93D_00C04F7ADD59_.wvu.Rows" hidden="1">#REF!,#REF!</definedName>
    <definedName name="Z_4D697017_3E5A_11D2_B93D_00C04F7ADD59_.wvu.Cols" hidden="1">#REF!,#REF!</definedName>
    <definedName name="Z_4D697067_3E5A_11D2_B93D_00C04F7ADD59_.wvu.Cols" hidden="1">#REF!,#REF!</definedName>
    <definedName name="Z_4D697068_3E5A_11D2_B93D_00C04F7ADD59_.wvu.Cols" hidden="1">#REF!,#REF!</definedName>
    <definedName name="Z_4D697068_3E5A_11D2_B93D_00C04F7ADD59_.wvu.Rows" hidden="1">#REF!,#REF!,#REF!,#REF!,#REF!,#REF!</definedName>
    <definedName name="Z_4D697069_3E5A_11D2_B93D_00C04F7ADD59_.wvu.Cols" hidden="1">#REF!,#REF!</definedName>
    <definedName name="Z_4D697069_3E5A_11D2_B93D_00C04F7ADD59_.wvu.Rows" hidden="1">#REF!,#REF!,#REF!,#REF!,#REF!,#REF!,#REF!,#REF!,#REF!</definedName>
    <definedName name="Z_4D69706A_3E5A_11D2_B93D_00C04F7ADD59_.wvu.Cols" hidden="1">#REF!,#REF!</definedName>
    <definedName name="Z_4D69706A_3E5A_11D2_B93D_00C04F7ADD59_.wvu.Rows" hidden="1">#REF!,#REF!,#REF!,#REF!,#REF!,#REF!,#REF!,#REF!,#REF!</definedName>
    <definedName name="Z_4D69706B_3E5A_11D2_B93D_00C04F7ADD59_.wvu.Cols" hidden="1">#REF!,#REF!</definedName>
    <definedName name="Z_4D69706B_3E5A_11D2_B93D_00C04F7ADD59_.wvu.Rows" hidden="1">#REF!,#REF!,#REF!,#REF!,#REF!</definedName>
    <definedName name="Z_4D69706C_3E5A_11D2_B93D_00C04F7ADD59_.wvu.Cols" hidden="1">#REF!,#REF!</definedName>
    <definedName name="Z_4D69706C_3E5A_11D2_B93D_00C04F7ADD59_.wvu.Rows" hidden="1">#REF!,#REF!,#REF!,#REF!,#REF!,#REF!,#REF!,#REF!,#REF!,#REF!</definedName>
    <definedName name="Z_4D69706D_3E5A_11D2_B93D_00C04F7ADD59_.wvu.Cols" hidden="1">#REF!,#REF!</definedName>
    <definedName name="Z_4D69706E_3E5A_11D2_B93D_00C04F7ADD59_.wvu.Cols" hidden="1">#REF!,#REF!</definedName>
    <definedName name="Z_4D69706E_3E5A_11D2_B93D_00C04F7ADD59_.wvu.Rows" hidden="1">#REF!,#REF!</definedName>
    <definedName name="Z_4D69706F_3E5A_11D2_B93D_00C04F7ADD59_.wvu.Cols" hidden="1">#REF!,#REF!</definedName>
    <definedName name="Z_56741B30_9E05_11D4_BE09_0050040BF713_.wvu.Cols" hidden="1">#REF!</definedName>
    <definedName name="Z_56741B30_9E05_11D4_BE09_0050040BF713_.wvu.PrintTitles" hidden="1">#REF!</definedName>
    <definedName name="Z_6188BF32_9D6B_402D_B864_7A1178662966_.wvu.Col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6231A85_C0F1_11D2_B93B_0050040AC227_.wvu.FilterData" hidden="1">#REF!</definedName>
    <definedName name="Z_66231A86_C0F1_11D2_B93B_0050040AC227_.wvu.FilterData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78846D24_6B2D_11D1_8188_004C06C10000_.wvu.Cols" hidden="1">#REF!</definedName>
    <definedName name="Z_7A335D06_3E2B_11D5_982F_00B0D0A6BCF2_.wvu.PrintArea" hidden="1">#REF!</definedName>
    <definedName name="Z_7DE7B4CF_4CBE_11D2_B93D_00C04F7ADD59_.wvu.Cols" hidden="1">#REF!,#REF!</definedName>
    <definedName name="Z_7DE7B4D0_4CBE_11D2_B93D_00C04F7ADD59_.wvu.Cols" hidden="1">#REF!,#REF!</definedName>
    <definedName name="Z_7DE7B4D0_4CBE_11D2_B93D_00C04F7ADD59_.wvu.Rows" hidden="1">#REF!,#REF!,#REF!,#REF!,#REF!,#REF!</definedName>
    <definedName name="Z_7DE7B4D1_4CBE_11D2_B93D_00C04F7ADD59_.wvu.Cols" hidden="1">#REF!,#REF!</definedName>
    <definedName name="Z_7DE7B4D1_4CBE_11D2_B93D_00C04F7ADD59_.wvu.Rows" hidden="1">#REF!,#REF!,#REF!,#REF!,#REF!,#REF!,#REF!,#REF!,#REF!</definedName>
    <definedName name="Z_7DE7B4D2_4CBE_11D2_B93D_00C04F7ADD59_.wvu.Cols" hidden="1">#REF!,#REF!</definedName>
    <definedName name="Z_7DE7B4D2_4CBE_11D2_B93D_00C04F7ADD59_.wvu.Rows" hidden="1">#REF!,#REF!,#REF!,#REF!,#REF!,#REF!,#REF!,#REF!,#REF!</definedName>
    <definedName name="Z_7DE7B4D3_4CBE_11D2_B93D_00C04F7ADD59_.wvu.Cols" hidden="1">#REF!,#REF!</definedName>
    <definedName name="Z_7DE7B4D3_4CBE_11D2_B93D_00C04F7ADD59_.wvu.Rows" hidden="1">#REF!,#REF!,#REF!,#REF!,#REF!</definedName>
    <definedName name="Z_7DE7B4D4_4CBE_11D2_B93D_00C04F7ADD59_.wvu.Cols" hidden="1">#REF!,#REF!</definedName>
    <definedName name="Z_7DE7B4D4_4CBE_11D2_B93D_00C04F7ADD59_.wvu.Rows" hidden="1">#REF!,#REF!,#REF!,#REF!,#REF!,#REF!,#REF!,#REF!,#REF!,#REF!</definedName>
    <definedName name="Z_7DE7B4D5_4CBE_11D2_B93D_00C04F7ADD59_.wvu.Cols" hidden="1">#REF!,#REF!</definedName>
    <definedName name="Z_7DE7B4D6_4CBE_11D2_B93D_00C04F7ADD59_.wvu.Cols" hidden="1">#REF!,#REF!</definedName>
    <definedName name="Z_7DE7B4D6_4CBE_11D2_B93D_00C04F7ADD59_.wvu.Rows" hidden="1">#REF!,#REF!</definedName>
    <definedName name="Z_7DE7B4D7_4CBE_11D2_B93D_00C04F7ADD59_.wvu.Cols" hidden="1">#REF!,#REF!</definedName>
    <definedName name="Z_8723E284_6CA3_11D1_8188_004C06C10000_.wvu.Cols" hidden="1">#REF!</definedName>
    <definedName name="Z_9823FC40_2CCD_11D4_96C6_00C0F02765DE_.wvu.PrintArea" hidden="1">#REF!</definedName>
    <definedName name="Z_9823FC40_2CCD_11D4_96C6_00C0F02765DE_.wvu.PrintTitles" hidden="1">#REF!</definedName>
    <definedName name="Z_9823FC40_2CCD_11D4_96C6_00C0F02765DE_.wvu.Rows" hidden="1">#REF!,#REF!,#REF!,#REF!,#REF!,#REF!,#REF!,#REF!,#REF!,#REF!,#REF!,#REF!,#REF!,#REF!,#REF!,#REF!,#REF!,#REF!,#REF!,#REF!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9C764411_CC6B_11D4_A50D_00010277FBAA_.wvu.PrintArea" hidden="1">#REF!</definedName>
    <definedName name="Z_A2426FEA_B812_466E_AD56_91907F9FA6F0_.wvu.PrintArea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AD027187_6CF8_4425_9630_861DCEA3DE65_.wvu.Rows" hidden="1">#REF!,#REF!,#REF!,#REF!,#REF!,#REF!</definedName>
    <definedName name="Z_B3F6EA45_C4B0_11D6_A93C_F3538214D62E_.wvu.Cols" hidden="1">#REF!</definedName>
    <definedName name="Z_B3F6EA45_C4B0_11D6_A93C_F3538214D62E_.wvu.PrintArea" hidden="1">#REF!</definedName>
    <definedName name="Z_B3F6EA45_C4B0_11D6_A93C_F3538214D62E_.wvu.PrintTitles" hidden="1">#REF!</definedName>
    <definedName name="Z_B3F6EA45_C4B0_11D6_A93C_F3538214D62E_.wvu.Row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C207A48F_3DC8_11D2_B93D_00C04F7ADD59_.wvu.Cols" hidden="1">#REF!,#REF!</definedName>
    <definedName name="Z_C207A490_3DC8_11D2_B93D_00C04F7ADD59_.wvu.Cols" hidden="1">#REF!,#REF!</definedName>
    <definedName name="Z_C207A490_3DC8_11D2_B93D_00C04F7ADD59_.wvu.Rows" hidden="1">#REF!,#REF!,#REF!,#REF!,#REF!,#REF!</definedName>
    <definedName name="Z_C207A491_3DC8_11D2_B93D_00C04F7ADD59_.wvu.Cols" hidden="1">#REF!,#REF!</definedName>
    <definedName name="Z_C207A491_3DC8_11D2_B93D_00C04F7ADD59_.wvu.Rows" hidden="1">#REF!,#REF!,#REF!,#REF!,#REF!,#REF!,#REF!,#REF!,#REF!</definedName>
    <definedName name="Z_C207A493_3DC8_11D2_B93D_00C04F7ADD59_.wvu.Cols" hidden="1">#REF!,#REF!</definedName>
    <definedName name="Z_C207A493_3DC8_11D2_B93D_00C04F7ADD59_.wvu.Rows" hidden="1">#REF!,#REF!,#REF!,#REF!,#REF!</definedName>
    <definedName name="Z_C207A494_3DC8_11D2_B93D_00C04F7ADD59_.wvu.Cols" hidden="1">#REF!,#REF!</definedName>
    <definedName name="Z_C207A494_3DC8_11D2_B93D_00C04F7ADD59_.wvu.Rows" hidden="1">#REF!,#REF!,#REF!,#REF!,#REF!,#REF!,#REF!,#REF!,#REF!,#REF!</definedName>
    <definedName name="Z_C207A495_3DC8_11D2_B93D_00C04F7ADD59_.wvu.Cols" hidden="1">#REF!,#REF!</definedName>
    <definedName name="Z_C207A496_3DC8_11D2_B93D_00C04F7ADD59_.wvu.Cols" hidden="1">#REF!,#REF!</definedName>
    <definedName name="Z_C207A496_3DC8_11D2_B93D_00C04F7ADD59_.wvu.Rows" hidden="1">#REF!,#REF!</definedName>
    <definedName name="Z_C207A497_3DC8_11D2_B93D_00C04F7ADD59_.wvu.Cols" hidden="1">#REF!,#REF!</definedName>
    <definedName name="Z_C313B3E8_4D4B_11D2_B93D_00C04F7ADD59_.wvu.Cols" hidden="1">#REF!,#REF!</definedName>
    <definedName name="Z_C313B3E9_4D4B_11D2_B93D_00C04F7ADD59_.wvu.Cols" hidden="1">#REF!,#REF!</definedName>
    <definedName name="Z_C313B3E9_4D4B_11D2_B93D_00C04F7ADD59_.wvu.Rows" hidden="1">#REF!,#REF!,#REF!,#REF!,#REF!,#REF!</definedName>
    <definedName name="Z_C313B3EA_4D4B_11D2_B93D_00C04F7ADD59_.wvu.Cols" hidden="1">#REF!,#REF!</definedName>
    <definedName name="Z_C313B3EA_4D4B_11D2_B93D_00C04F7ADD59_.wvu.Rows" hidden="1">#REF!,#REF!,#REF!,#REF!,#REF!,#REF!,#REF!,#REF!,#REF!</definedName>
    <definedName name="Z_C313B3EB_4D4B_11D2_B93D_00C04F7ADD59_.wvu.Cols" hidden="1">#REF!,#REF!</definedName>
    <definedName name="Z_C313B3EB_4D4B_11D2_B93D_00C04F7ADD59_.wvu.Rows" hidden="1">#REF!,#REF!,#REF!,#REF!,#REF!,#REF!,#REF!,#REF!,#REF!</definedName>
    <definedName name="Z_C313B3EC_4D4B_11D2_B93D_00C04F7ADD59_.wvu.Cols" hidden="1">#REF!,#REF!</definedName>
    <definedName name="Z_C313B3EC_4D4B_11D2_B93D_00C04F7ADD59_.wvu.Rows" hidden="1">#REF!,#REF!,#REF!,#REF!,#REF!</definedName>
    <definedName name="Z_C313B3ED_4D4B_11D2_B93D_00C04F7ADD59_.wvu.Cols" hidden="1">#REF!,#REF!</definedName>
    <definedName name="Z_C313B3ED_4D4B_11D2_B93D_00C04F7ADD59_.wvu.Rows" hidden="1">#REF!,#REF!,#REF!,#REF!,#REF!,#REF!,#REF!,#REF!,#REF!,#REF!</definedName>
    <definedName name="Z_C313B3EE_4D4B_11D2_B93D_00C04F7ADD59_.wvu.Cols" hidden="1">#REF!,#REF!</definedName>
    <definedName name="Z_C313B3EF_4D4B_11D2_B93D_00C04F7ADD59_.wvu.Cols" hidden="1">#REF!,#REF!</definedName>
    <definedName name="Z_C313B3EF_4D4B_11D2_B93D_00C04F7ADD59_.wvu.Rows" hidden="1">#REF!,#REF!</definedName>
    <definedName name="Z_C313B3F0_4D4B_11D2_B93D_00C04F7ADD59_.wvu.Cols" hidden="1">#REF!,#REF!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4D26AD1_3E1A_11D5_A9C5_00A0C91596F2_.wvu.PrintArea" hidden="1">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hlung_an_Eigent.">#REF!</definedName>
    <definedName name="zdfgxzdfg" hidden="1">{"ReportTop",#N/A,FALSE,"report top"}</definedName>
    <definedName name="ZERTRET" hidden="1">#REF!</definedName>
    <definedName name="znzcv" hidden="1">{#VALUE!,#N/A,FALSE,0}</definedName>
    <definedName name="Zortnew" hidden="1">{"p1TOC",#N/A,FALSE,"DCF_Summary";"p23summary",#N/A,FALSE,"DCF_Summary";"p4contact",#N/A,FALSE,"Contact Lake";"p5kumtor",#N/A,FALSE,"Kumtor";#N/A,#N/A,FALSE,"CCAU_NAV";"p8compdata",#N/A,FALSE,"Gold_Comps";#N/A,#N/A,FALSE,"Comp_Valuation"}</definedName>
    <definedName name="ZPRINT">#REF!</definedName>
    <definedName name="ZPRINT01">#REF!</definedName>
    <definedName name="ZPRINTCHOICE">#REF!</definedName>
    <definedName name="zs" hidden="1">{"FCB_ALL",#N/A,FALSE,"FCB"}</definedName>
    <definedName name="zsdas" hidden="1">{"FCB_ALL",#N/A,FALSE,"FCB"}</definedName>
    <definedName name="zv" hidden="1">{#VALUE!,#N/A,FALSE,0}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xc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zxczz" hidden="1">{"FCB_ALL",#N/A,FALSE,"FCB"}</definedName>
    <definedName name="zz" hidden="1">{#N/A,#N/A,FALSE,"Project Properties";#N/A,#N/A,FALSE,"Eng %";#N/A,#N/A,FALSE,"ENGFORM";#N/A,#N/A,FALSE,"staffing";#N/A,#N/A,FALSE,"spending"}</definedName>
    <definedName name="zzz" hidden="1">{#N/A,#N/A,FALSE,"ZellLurieFinSummary";#N/A,#N/A,FALSE,"FirstCapFinSummary";#N/A,#N/A,FALSE,"ZM I-III Consol FinSummary"}</definedName>
    <definedName name="zzzz" hidden="1">{"Commish",#N/A,FALSE,"LAWTC"}</definedName>
    <definedName name="zzzz_1" hidden="1">{"Commish",#N/A,FALSE,"LAWTC"}</definedName>
    <definedName name="着¤op_13">#REF!</definedName>
    <definedName name="鶰¤op_13">#REF!</definedName>
    <definedName name="_______wrn1" localSheetId="0" hidden="1">{"schedule1",#N/A,FALSE,"Sheet1";"schedule2",#N/A,FALSE,"Sheet1";"schedule3",#N/A,FALSE,"Sheet1";"schedule4",#N/A,FALSE,"Sheet1";"schedule5",#N/A,FALSE,"Sheet1";"schedule6",#N/A,FALSE,"Sheet1"}</definedName>
    <definedName name="______wrn1" localSheetId="0" hidden="1">{"schedule1",#N/A,FALSE,"Sheet1";"schedule2",#N/A,FALSE,"Sheet1";"schedule3",#N/A,FALSE,"Sheet1";"schedule4",#N/A,FALSE,"Sheet1";"schedule5",#N/A,FALSE,"Sheet1";"schedule6",#N/A,FALSE,"Sheet1"}</definedName>
    <definedName name="____wrn1" localSheetId="0" hidden="1">{"schedule1",#N/A,FALSE,"Sheet1";"schedule2",#N/A,FALSE,"Sheet1";"schedule3",#N/A,FALSE,"Sheet1";"schedule4",#N/A,FALSE,"Sheet1";"schedule5",#N/A,FALSE,"Sheet1";"schedule6",#N/A,FALSE,"Sheet1"}</definedName>
    <definedName name="___wrn1" localSheetId="0" hidden="1">{"schedule1",#N/A,FALSE,"Sheet1";"schedule2",#N/A,FALSE,"Sheet1";"schedule3",#N/A,FALSE,"Sheet1";"schedule4",#N/A,FALSE,"Sheet1";"schedule5",#N/A,FALSE,"Sheet1";"schedule6",#N/A,FALSE,"Sheet1"}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1" localSheetId="0" hidden="1">{"Outflow 1",#N/A,FALSE,"Outflows-Inflows";"Outflow 2",#N/A,FALSE,"Outflows-Inflows";"Inflow 1",#N/A,FALSE,"Outflows-Inflows";"Inflow 2",#N/A,FALSE,"Outflows-Inflows"}</definedName>
    <definedName name="aasdfa" localSheetId="0" hidden="1">{"rtn",#N/A,FALSE,"RTN";"tables",#N/A,FALSE,"RTN";"cf",#N/A,FALSE,"CF";"stats",#N/A,FALSE,"Stats";"prop",#N/A,FALSE,"Prop"}</definedName>
    <definedName name="as" localSheetId="0" hidden="1">{"Outflow 1",#N/A,FALSE,"Outflows-Inflows";"Outflow 2",#N/A,FALSE,"Outflows-Inflows";"Inflow 1",#N/A,FALSE,"Outflows-Inflows";"Inflow 2",#N/A,FALSE,"Outflows-Inflows"}</definedName>
    <definedName name="asa" localSheetId="0" hidden="1">{"Outflow 1",#N/A,FALSE,"Outflows-Inflows";"Outflow 2",#N/A,FALSE,"Outflows-Inflows";"Inflow 1",#N/A,FALSE,"Outflows-Inflows";"Inflow 2",#N/A,FALSE,"Outflows-Inflows"}</definedName>
    <definedName name="asdf2" localSheetId="0" hidden="1">{#N/A,#N/A,FALSE,"OperatingAssumptions"}</definedName>
    <definedName name="asdf3" localSheetId="0" hidden="1">{#N/A,#N/A,FALSE,"LoanAssumptions"}</definedName>
    <definedName name="asdf5" localSheetId="0" hidden="1">{"MonthlyRentRoll",#N/A,FALSE,"RentRoll"}</definedName>
    <definedName name="asdf7" localSheetId="0" hidden="1">{#N/A,#N/A,TRUE,"Summary";"AnnualRentRoll",#N/A,TRUE,"RentRoll";#N/A,#N/A,TRUE,"ExitStratigy";#N/A,#N/A,TRUE,"OperatingAssumptions"}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df" localSheetId="0" hidden="1">{"rtn",#N/A,FALSE,"RTN";"tables",#N/A,FALSE,"RTN";"cf",#N/A,FALSE,"CF";"stats",#N/A,FALSE,"Stats";"prop",#N/A,FALSE,"Prop"}</definedName>
    <definedName name="asdfasdfasdfa" localSheetId="0" hidden="1">binary</definedName>
    <definedName name="asdfasfsa" localSheetId="0" hidden="1">binary</definedName>
    <definedName name="asdfsd" localSheetId="0" hidden="1">binary</definedName>
    <definedName name="asfsaf" localSheetId="0" hidden="1">binary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s" localSheetId="0" hidden="1">{"rtn",#N/A,FALSE,"RTN";"tables",#N/A,FALSE,"RTN";"cf",#N/A,FALSE,"CF";"stats",#N/A,FALSE,"Stats";"prop",#N/A,FALSE,"Prop"}</definedName>
    <definedName name="BellGlobeMedia" localSheetId="0">Word</definedName>
    <definedName name="Bond" localSheetId="0">Facility</definedName>
    <definedName name="DocType" localSheetId="0">Word</definedName>
    <definedName name="DocType2" localSheetId="0">Word</definedName>
    <definedName name="name1" localSheetId="0" hidden="1">{"SIMPLIFD_P1",#N/A,FALSE,"SIMPLIFD"}</definedName>
    <definedName name="Nane2" localSheetId="0" hidden="1">{"TEST1",#N/A,FALSE,"SIMPLIFD"}</definedName>
    <definedName name="New_Parking_Stalls" localSheetId="0">#REF!</definedName>
    <definedName name="NLTradingChart" localSheetId="0">Word</definedName>
    <definedName name="proxy1" localSheetId="0" hidden="1">{"Full Sheet",#N/A,FALSE,"Expense Comparison"}</definedName>
    <definedName name="proxy2" localSheetId="0" hidden="1">{#N/A,#N/A,FALSE,"Expense Comparison"}</definedName>
    <definedName name="proxy3" localSheetId="0" hidden="1">{"Full Sheet",#N/A,FALSE,"Expense Comparison"}</definedName>
    <definedName name="proxy4" localSheetId="0" hidden="1">{#N/A,#N/A,FALSE,"Expense Comparison"}</definedName>
    <definedName name="qq" localSheetId="0" hidden="1">{"SIMPLIFD_P1",#N/A,FALSE,"SIMPLIFD"}</definedName>
    <definedName name="qqq" localSheetId="0" hidden="1">{"TEST1",#N/A,FALSE,"SIMPLIFD"}</definedName>
    <definedName name="Radnor" localSheetId="0" hidden="1">binary</definedName>
    <definedName name="saa" localSheetId="0" hidden="1">{"rtn",#N/A,FALSE,"RTN";"tables",#N/A,FALSE,"RTN";"cf",#N/A,FALSE,"CF";"stats",#N/A,FALSE,"Stats";"prop",#N/A,FALSE,"Prop"}</definedName>
    <definedName name="sadd" localSheetId="0" hidden="1">{"MonthlyRentRoll",#N/A,FALSE,"RentRoll"}</definedName>
    <definedName name="sadd2" localSheetId="0" hidden="1">{"MonthlyRentRoll",#N/A,FALSE,"RentRoll"}</definedName>
    <definedName name="saddd" localSheetId="0" hidden="1">{"AnnualRentRoll",#N/A,FALSE,"RentRoll"}</definedName>
    <definedName name="saddd2" localSheetId="0" hidden="1">{"AnnualRentRoll",#N/A,FALSE,"RentRoll"}</definedName>
    <definedName name="sadddd2" localSheetId="0" hidden="1">{"AnnualRentRoll",#N/A,FALSE,"RentRoll"}</definedName>
    <definedName name="saddddd" localSheetId="0" hidden="1">{"AnnualRentRoll",#N/A,FALSE,"RentRoll"}</definedName>
    <definedName name="saddddddd2" localSheetId="0" hidden="1">{#N/A,#N/A,FALSE,"ExitStratigy"}</definedName>
    <definedName name="sadddddddd" localSheetId="0" hidden="1">{#N/A,#N/A,FALSE,"ExitStratigy"}</definedName>
    <definedName name="saddddddddd2" localSheetId="0" hidden="1">{#N/A,#N/A,FALSE,"LoanAssumptions"}</definedName>
    <definedName name="sadddddddddd" localSheetId="0" hidden="1">{#N/A,#N/A,FALSE,"LoanAssumptions"}</definedName>
    <definedName name="saddddddddddd2" localSheetId="0" hidden="1">{#N/A,#N/A,FALSE,"OperatingAssumptions"}</definedName>
    <definedName name="saddddddddddddd" localSheetId="0" hidden="1">{#N/A,#N/A,FALSE,"OperatingAssumptions"}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olver_rhs10" localSheetId="0" hidden="1">binary</definedName>
    <definedName name="solver_rhs11" localSheetId="0" hidden="1">binary</definedName>
    <definedName name="solver_rhs12" localSheetId="0" hidden="1">binary</definedName>
    <definedName name="solver_rhs13" localSheetId="0" hidden="1">binary</definedName>
    <definedName name="solver_rhs14" localSheetId="0" hidden="1">binary</definedName>
    <definedName name="solver_rhs15" localSheetId="0" hidden="1">binary</definedName>
    <definedName name="solver_rhs16" localSheetId="0" hidden="1">binary</definedName>
    <definedName name="solver_rhs17" localSheetId="0" hidden="1">binary</definedName>
    <definedName name="solver_rhs18" localSheetId="0" hidden="1">binary</definedName>
    <definedName name="solver_rhs19" localSheetId="0" hidden="1">binary</definedName>
    <definedName name="solver_rhs2" localSheetId="0" hidden="1">binary</definedName>
    <definedName name="solver_rhs20" localSheetId="0" hidden="1">binary</definedName>
    <definedName name="solver_rhs21" localSheetId="0" hidden="1">binary</definedName>
    <definedName name="solver_rhs22" localSheetId="0" hidden="1">binary</definedName>
    <definedName name="solver_rhs24" localSheetId="0" hidden="1">binary</definedName>
    <definedName name="solver_rhs25" localSheetId="0" hidden="1">binary</definedName>
    <definedName name="solver_rhs26" localSheetId="0" hidden="1">binary</definedName>
    <definedName name="solver_rhs27" localSheetId="0" hidden="1">binary</definedName>
    <definedName name="solver_rhs28" localSheetId="0" hidden="1">binary</definedName>
    <definedName name="solver_rhs29" localSheetId="0" hidden="1">binary</definedName>
    <definedName name="solver_rhs3" localSheetId="0" hidden="1">binary</definedName>
    <definedName name="solver_rhs30" localSheetId="0" hidden="1">binary</definedName>
    <definedName name="solver_rhs31" localSheetId="0" hidden="1">binary</definedName>
    <definedName name="solver_rhs32" localSheetId="0" hidden="1">binary</definedName>
    <definedName name="solver_rhs33" localSheetId="0" hidden="1">binary</definedName>
    <definedName name="solver_rhs34" localSheetId="0" hidden="1">binary</definedName>
    <definedName name="solver_rhs35" localSheetId="0" hidden="1">binary</definedName>
    <definedName name="solver_rhs36" localSheetId="0" hidden="1">binary</definedName>
    <definedName name="solver_rhs37" localSheetId="0" hidden="1">binary</definedName>
    <definedName name="solver_rhs38" localSheetId="0" hidden="1">binary</definedName>
    <definedName name="solver_rhs39" localSheetId="0" hidden="1">binary</definedName>
    <definedName name="solver_rhs4" localSheetId="0" hidden="1">binary</definedName>
    <definedName name="solver_rhs40" localSheetId="0" hidden="1">binary</definedName>
    <definedName name="solver_rhs41" localSheetId="0" hidden="1">binary</definedName>
    <definedName name="solver_rhs42" localSheetId="0" hidden="1">binary</definedName>
    <definedName name="solver_rhs43" localSheetId="0" hidden="1">binary</definedName>
    <definedName name="solver_rhs44" localSheetId="0" hidden="1">binary</definedName>
    <definedName name="solver_rhs46" localSheetId="0" hidden="1">binary</definedName>
    <definedName name="solver_rhs47" localSheetId="0" hidden="1">binary</definedName>
    <definedName name="solver_rhs48" localSheetId="0" hidden="1">binary</definedName>
    <definedName name="solver_rhs49" localSheetId="0" hidden="1">binary</definedName>
    <definedName name="solver_rhs5" localSheetId="0" hidden="1">binary</definedName>
    <definedName name="solver_rhs50" localSheetId="0" hidden="1">binary</definedName>
    <definedName name="solver_rhs51" localSheetId="0" hidden="1">binary</definedName>
    <definedName name="solver_rhs52" localSheetId="0" hidden="1">binary</definedName>
    <definedName name="solver_rhs53" localSheetId="0" hidden="1">binary</definedName>
    <definedName name="solver_rhs54" localSheetId="0" hidden="1">binary</definedName>
    <definedName name="solver_rhs55" localSheetId="0" hidden="1">binary</definedName>
    <definedName name="solver_rhs56" localSheetId="0" hidden="1">binary</definedName>
    <definedName name="solver_rhs57" localSheetId="0" hidden="1">binary</definedName>
    <definedName name="solver_rhs58" localSheetId="0" hidden="1">binary</definedName>
    <definedName name="solver_rhs59" localSheetId="0" hidden="1">binary</definedName>
    <definedName name="solver_rhs6" localSheetId="0" hidden="1">binary</definedName>
    <definedName name="solver_rhs60" localSheetId="0" hidden="1">binary</definedName>
    <definedName name="solver_rhs61" localSheetId="0" hidden="1">binary</definedName>
    <definedName name="solver_rhs62" localSheetId="0" hidden="1">binary</definedName>
    <definedName name="solver_rhs63" localSheetId="0" hidden="1">binary</definedName>
    <definedName name="solver_rhs64" localSheetId="0" hidden="1">binary</definedName>
    <definedName name="solver_rhs65" localSheetId="0" hidden="1">binary</definedName>
    <definedName name="solver_rhs66" localSheetId="0" hidden="1">binary</definedName>
    <definedName name="solver_rhs68" localSheetId="0" hidden="1">binary</definedName>
    <definedName name="solver_rhs69" localSheetId="0" hidden="1">binary</definedName>
    <definedName name="solver_rhs7" localSheetId="0" hidden="1">binary</definedName>
    <definedName name="solver_rhs70" localSheetId="0" hidden="1">binary</definedName>
    <definedName name="solver_rhs71" localSheetId="0" hidden="1">binary</definedName>
    <definedName name="solver_rhs72" localSheetId="0" hidden="1">binary</definedName>
    <definedName name="solver_rhs73" localSheetId="0" hidden="1">binary</definedName>
    <definedName name="solver_rhs74" localSheetId="0" hidden="1">binary</definedName>
    <definedName name="solver_rhs75" localSheetId="0" hidden="1">binary</definedName>
    <definedName name="solver_rhs76" localSheetId="0" hidden="1">binary</definedName>
    <definedName name="solver_rhs77" localSheetId="0" hidden="1">binary</definedName>
    <definedName name="solver_rhs78" localSheetId="0" hidden="1">binary</definedName>
    <definedName name="solver_rhs79" localSheetId="0" hidden="1">binary</definedName>
    <definedName name="solver_rhs8" localSheetId="0" hidden="1">binary</definedName>
    <definedName name="solver_rhs80" localSheetId="0" hidden="1">binary</definedName>
    <definedName name="solver_rhs81" localSheetId="0" hidden="1">binary</definedName>
    <definedName name="solver_rhs82" localSheetId="0" hidden="1">binary</definedName>
    <definedName name="solver_rhs83" localSheetId="0" hidden="1">binary</definedName>
    <definedName name="solver_rhs84" localSheetId="0" hidden="1">binary</definedName>
    <definedName name="solver_rhs85" localSheetId="0" hidden="1">binary</definedName>
    <definedName name="solver_rhs86" localSheetId="0" hidden="1">binary</definedName>
    <definedName name="solver_rhs87" localSheetId="0" hidden="1">binary</definedName>
    <definedName name="solver_rhs88" localSheetId="0" hidden="1">binary</definedName>
    <definedName name="solver_rhs9" localSheetId="0" hidden="1">binary</definedName>
    <definedName name="Total_Payment" localSheetId="0">SCHEDULED_PAYMENT+EXTRA_PAYMENT</definedName>
    <definedName name="what_asdf2" localSheetId="0" hidden="1">{#N/A,#N/A,FALSE,"OperatingAssumptions"}</definedName>
    <definedName name="wrn.12._.MONTH._.SPREAD." localSheetId="0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3yr.CF." localSheetId="0" hidden="1">{"assume",#N/A,FALSE,"K&amp;20th Month CF";"MoCF",#N/A,FALSE,"K&amp;20th Month CF";"AnCF",#N/A,FALSE,"K&amp;20th Month CF"}</definedName>
    <definedName name="wrn.Aging._.and._.Trend._.Analysis." localSheetId="0" hidden="1">{#N/A,#N/A,FALSE,"Aging Summary";#N/A,#N/A,FALSE,"Ratio Analysis";#N/A,#N/A,FALSE,"Test 120 Day Accts";#N/A,#N/A,FALSE,"Tickmarks"}</definedName>
    <definedName name="wrn.AnnualRentRoll" localSheetId="0" hidden="1">{"AnnualRentRoll",#N/A,FALSE,"RentRoll"}</definedName>
    <definedName name="wrn.AnnualRentRoll." localSheetId="0" hidden="1">{"AnnualRentRoll",#N/A,FALSE,"RentRoll"}</definedName>
    <definedName name="wrn.annualrentroll2" localSheetId="0" hidden="1">{"AnnualRentRoll",#N/A,FALSE,"RentRoll"}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Cash._.Flow._.Analysis." localSheetId="0" hidden="1">{"CF",#N/A,FALSE,"Cash Flow";"RET",#N/A,FALSE,"Returns";"NPV",#N/A,FALSE,"Values";"ASMPT",#N/A,FALSE,"Assumptions"}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NTIRE." localSheetId="0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xitAndSalesAssumptions." localSheetId="0" hidden="1">{#N/A,#N/A,FALSE,"ExitStratigy"}</definedName>
    <definedName name="wrn.FOschedules." localSheetId="0" hidden="1">{"FOschedule1",#N/A,FALSE,"Sheet1";"FOschedule2",#N/A,FALSE,"Sheet1";"FOschedule3",#N/A,FALSE,"Sheet1"}</definedName>
    <definedName name="wrn.FULL._.COMPARISON." localSheetId="0" hidden="1">{"Full Sheet",#N/A,FALSE,"Expense Comparison"}</definedName>
    <definedName name="wrn.Full_Template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Leasing._.Variance." localSheetId="0" hidden="1">{#N/A,#N/A,FALSE,"Leasing 6A"}</definedName>
    <definedName name="wrn.LoanInformation." localSheetId="0" hidden="1">{#N/A,#N/A,FALSE,"LoanAssumptions"}</definedName>
    <definedName name="wrn.Market._.Values." localSheetId="0" hidden="1">{#N/A,#N/A,TRUE,"10 Yr Hold";#N/A,#N/A,TRUE,"7 Yr Hold";#N/A,#N/A,TRUE,"5 Yr Hold";#N/A,#N/A,TRUE,"3 Yr Hold"}</definedName>
    <definedName name="wrn.Marketing." localSheetId="0" hidden="1">{#N/A,#N/A,FALSE,"2Assumptions";#N/A,#N/A,FALSE,"3Cash Flow";#N/A,#N/A,FALSE,"I&amp;E";#N/A,#N/A,FALSE,"I&amp;E (2)";#N/A,#N/A,FALSE,"10Vacancy Matrix";#N/A,#N/A,FALSE,"11Expiration Schedule"}</definedName>
    <definedName name="wrn.monthly._.financial." localSheetId="0" hidden="1">{#N/A,#N/A,FALSE,"SUMMARY 4a";#N/A,#N/A,FALSE,"GBA 4b";#N/A,#N/A,FALSE,"TENANT 4c";#N/A,#N/A,FALSE,"BUDGET DETAIL";#N/A,#N/A,FALSE,"PRO FORMA"}</definedName>
    <definedName name="wrn.MonthlyRentRoll." localSheetId="0" hidden="1">{"MonthlyRentRoll",#N/A,FALSE,"RentRoll"}</definedName>
    <definedName name="wrn.OperatingAssumtions." localSheetId="0" hidden="1">{#N/A,#N/A,FALSE,"OperatingAssumptions"}</definedName>
    <definedName name="wrn.Package." localSheetId="0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rtial." localSheetId="0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resentation." localSheetId="0" hidden="1">{#N/A,#N/A,TRUE,"Summary";"AnnualRentRoll",#N/A,TRUE,"RentRoll";#N/A,#N/A,TRUE,"ExitStratigy";#N/A,#N/A,TRUE,"OperatingAssumptions"}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All." localSheetId="0" hidden="1">{#N/A,#N/A,FALSE,"Broker Sheet";#N/A,#N/A,FALSE,"Exec.Summary";#N/A,#N/A,FALSE,"Argus Cash Flow";#N/A,#N/A,FALSE,"SPF";#N/A,#N/A,FALSE,"RentRoll"}</definedName>
    <definedName name="wrn.Proforma.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pertyInformation." localSheetId="0" hidden="1">{#N/A,#N/A,FALSE,"PropertyInfo"}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." localSheetId="0" hidden="1">{#N/A,#N/A,FALSE,"Summary";#N/A,#N/A,FALSE,"Assumptions";#N/A,#N/A,FALSE,"Notes";#N/A,#N/A,FALSE,"Cash Flow";#N/A,#N/A,FALSE,"Eff. Rent Detail";#N/A,#N/A,FALSE,"Residual";#N/A,#N/A,FALSE,"Value Matrix";#N/A,#N/A,FALSE,"Pro Forma";#N/A,#N/A,FALSE,"Historical Op";#N/A,#N/A,FALSE,"Value Comp";#N/A,#N/A,FALSE,"Matrices"}</definedName>
    <definedName name="wrn.REPORT_1." localSheetId="0" hidden="1">{"SIMPLIFD_P1",#N/A,FALSE,"SIMPLIFD"}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ummary." localSheetId="0" hidden="1">{#N/A,#N/A,FALSE,"Summary"}</definedName>
    <definedName name="wrn.TANASBOURNE._.ONLY." localSheetId="0" hidden="1">{#N/A,#N/A,FALSE,"Expense Comparison"}</definedName>
    <definedName name="wrn.TEST1." localSheetId="0" hidden="1">{"TEST1",#N/A,FALSE,"SIMPLIFD"}</definedName>
    <definedName name="wrn.Tycon._.Model." localSheetId="0" hidden="1">{"rtn",#N/A,FALSE,"RTN";"tables",#N/A,FALSE,"RTN";"cf",#N/A,FALSE,"CF";"stats",#N/A,FALSE,"Stats";"prop",#N/A,FALSE,"Prop"}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Year._.End._.APF._.reports." localSheetId="0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xxx3" localSheetId="0" hidden="1">{"AnnualRentRoll",#N/A,FALSE,"RentRoll"}</definedName>
    <definedName name="xxx4" localSheetId="0" hidden="1">{#N/A,#N/A,FALSE,"ExitStratigy"}</definedName>
  </definedNames>
  <calcPr calcId="191029" fullCalcOnLoad="1" iterate="1" iterateCount="200"/>
</workbook>
</file>

<file path=xl/styles.xml><?xml version="1.0" encoding="utf-8"?>
<styleSheet xmlns="http://schemas.openxmlformats.org/spreadsheetml/2006/main">
  <numFmts count="27">
    <numFmt numFmtId="164" formatCode="[$-409]mmm\-yy;@"/>
    <numFmt numFmtId="165" formatCode="#,##0.00&quot;x&quot;"/>
    <numFmt numFmtId="166" formatCode="&quot;$&quot;#,##0"/>
    <numFmt numFmtId="167" formatCode="_(* #,##0_);_(* \(#,##0\);_(* &quot;-&quot;_)"/>
    <numFmt numFmtId="168" formatCode="_(* #,##0.00%_);_(* \(#,##0\);_(* &quot;-&quot;_);_(@_)"/>
    <numFmt numFmtId="169" formatCode="0.00%&quot; of EGI&quot;"/>
    <numFmt numFmtId="170" formatCode="0.00\x\ &quot;Min DSCR&quot;"/>
    <numFmt numFmtId="171" formatCode="#,###\ &quot;Month Max&quot;"/>
    <numFmt numFmtId="172" formatCode="#,###\ &quot;Months&quot;"/>
    <numFmt numFmtId="173" formatCode="0.0%"/>
    <numFmt numFmtId="174" formatCode="&quot;Mgmt Fee &quot;0%&quot; of EGI&quot;"/>
    <numFmt numFmtId="175" formatCode="&quot;$&quot;#,##0.00"/>
    <numFmt numFmtId="176" formatCode="_(* #,##0%_);_(* \(#,##0\);_(* &quot;-&quot;_);_(@_)"/>
    <numFmt numFmtId="177" formatCode="General&quot;+&quot;"/>
    <numFmt numFmtId="178" formatCode="#&quot; Unit&quot;"/>
    <numFmt numFmtId="179" formatCode="&quot;$&quot;#,##0&quot;/Unit&quot;"/>
    <numFmt numFmtId="180" formatCode="0.00000"/>
    <numFmt numFmtId="181" formatCode="0\ &quot;Yrs&quot;"/>
    <numFmt numFmtId="182" formatCode="0.0\ &quot;Yrs&quot;"/>
    <numFmt numFmtId="183" formatCode="&quot;Hold Period: &quot;#&quot; Yrs&quot;"/>
    <numFmt numFmtId="184" formatCode="&quot;Closing Costs&quot;\ #%"/>
    <numFmt numFmtId="185" formatCode="&quot;GP &quot;00%"/>
    <numFmt numFmtId="186" formatCode="&quot;Aequitas &quot;00%"/>
    <numFmt numFmtId="187" formatCode="&quot;Total Sales Cost &quot;0.00%"/>
    <numFmt numFmtId="188" formatCode="0\ &quot;Months&quot;"/>
    <numFmt numFmtId="189" formatCode="0.00%\ &quot;of GPR&quot;"/>
    <numFmt numFmtId="190" formatCode="&quot;Floating&quot;;;&quot;Fixed&quot;"/>
  </numFmts>
  <fonts count="26">
    <font>
      <name val="Euphemia"/>
      <family val="2"/>
      <color theme="1"/>
      <sz val="11"/>
      <scheme val="minor"/>
    </font>
    <font>
      <name val="Euphemia"/>
      <family val="2"/>
      <color theme="1"/>
      <sz val="11"/>
      <scheme val="minor"/>
    </font>
    <font>
      <name val="Segoe UI"/>
      <family val="2"/>
      <color rgb="FF000000"/>
      <sz val="8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FF"/>
      <sz val="11"/>
    </font>
    <font>
      <name val="Calibri"/>
      <family val="2"/>
      <i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b val="1"/>
      <color theme="1"/>
      <sz val="11"/>
      <u val="single"/>
    </font>
    <font>
      <name val="Times New Roman"/>
      <family val="1"/>
      <sz val="10"/>
    </font>
    <font>
      <name val="Calibri"/>
      <family val="2"/>
      <color rgb="FF006600"/>
      <sz val="11"/>
    </font>
    <font>
      <name val="Calibri"/>
      <family val="2"/>
      <color indexed="12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Calibri"/>
      <family val="2"/>
      <b val="1"/>
      <i val="1"/>
      <color theme="1"/>
      <sz val="11"/>
    </font>
    <font>
      <name val="Lato"/>
      <family val="2"/>
      <b val="1"/>
      <color theme="1"/>
      <sz val="10"/>
    </font>
    <font>
      <name val="Lato"/>
      <family val="2"/>
      <color theme="1"/>
      <sz val="10"/>
    </font>
    <font>
      <name val="Euphemia"/>
      <family val="2"/>
      <b val="1"/>
      <color theme="1"/>
      <sz val="12"/>
      <scheme val="minor"/>
    </font>
    <font>
      <name val="Calibri"/>
      <family val="2"/>
      <color theme="0"/>
      <sz val="11"/>
    </font>
    <font>
      <name val="Arial"/>
      <family val="2"/>
      <sz val="10"/>
    </font>
    <font>
      <name val="Arial"/>
      <family val="2"/>
      <color theme="1"/>
      <sz val="11"/>
    </font>
    <font>
      <name val="Arial"/>
      <family val="2"/>
      <sz val="8"/>
    </font>
    <font>
      <name val="Lato"/>
      <family val="2"/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899990844447157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10">
    <xf numFmtId="0" fontId="1" fillId="0" borderId="0"/>
    <xf numFmtId="43" fontId="1" fillId="0" borderId="0"/>
    <xf numFmtId="9" fontId="1" fillId="0" borderId="0"/>
    <xf numFmtId="9" fontId="12" fillId="0" borderId="0"/>
    <xf numFmtId="0" fontId="1" fillId="0" borderId="0"/>
    <xf numFmtId="9" fontId="22" fillId="0" borderId="0"/>
    <xf numFmtId="0" fontId="22" fillId="0" borderId="0"/>
    <xf numFmtId="0" fontId="22" fillId="0" borderId="0"/>
    <xf numFmtId="0" fontId="23" fillId="0" borderId="0"/>
    <xf numFmtId="43" fontId="24" fillId="0" borderId="0"/>
  </cellStyleXfs>
  <cellXfs count="363">
    <xf numFmtId="0" fontId="0" fillId="0" borderId="0" pivotButton="0" quotePrefix="0" xfId="0"/>
    <xf numFmtId="0" fontId="3" fillId="0" borderId="0" pivotButton="0" quotePrefix="0" xfId="0"/>
    <xf numFmtId="14" fontId="3" fillId="0" borderId="0" applyAlignment="1" pivotButton="0" quotePrefix="0" xfId="0">
      <alignment horizontal="right"/>
    </xf>
    <xf numFmtId="3" fontId="3" fillId="0" borderId="0" pivotButton="0" quotePrefix="0" xfId="0"/>
    <xf numFmtId="3" fontId="3" fillId="2" borderId="0" pivotButton="0" quotePrefix="0" xfId="0"/>
    <xf numFmtId="164" fontId="3" fillId="0" borderId="0" pivotButton="0" quotePrefix="0" xfId="0"/>
    <xf numFmtId="164" fontId="3" fillId="2" borderId="0" pivotButton="0" quotePrefix="0" xfId="0"/>
    <xf numFmtId="0" fontId="4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Continuous"/>
    </xf>
    <xf numFmtId="14" fontId="4" fillId="3" borderId="0" applyAlignment="1" pivotButton="0" quotePrefix="0" xfId="0">
      <alignment horizontal="right"/>
    </xf>
    <xf numFmtId="14" fontId="4" fillId="2" borderId="0" applyAlignment="1" pivotButton="0" quotePrefix="0" xfId="0">
      <alignment horizontal="right"/>
    </xf>
    <xf numFmtId="3" fontId="4" fillId="3" borderId="0" pivotButton="0" quotePrefix="0" xfId="0"/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center"/>
    </xf>
    <xf numFmtId="0" fontId="6" fillId="4" borderId="2" applyAlignment="1" pivotButton="0" quotePrefix="0" xfId="0">
      <alignment horizontal="left"/>
    </xf>
    <xf numFmtId="3" fontId="5" fillId="0" borderId="0" pivotButton="0" quotePrefix="0" xfId="0"/>
    <xf numFmtId="0" fontId="6" fillId="0" borderId="2" pivotButton="0" quotePrefix="0" xfId="0"/>
    <xf numFmtId="14" fontId="4" fillId="3" borderId="0" pivotButton="0" quotePrefix="0" xfId="0"/>
    <xf numFmtId="10" fontId="6" fillId="0" borderId="0" pivotButton="0" quotePrefix="0" xfId="2"/>
    <xf numFmtId="0" fontId="6" fillId="4" borderId="3" pivotButton="0" quotePrefix="0" xfId="0"/>
    <xf numFmtId="0" fontId="5" fillId="4" borderId="3" pivotButton="0" quotePrefix="0" xfId="0"/>
    <xf numFmtId="165" fontId="6" fillId="0" borderId="0" pivotButton="0" quotePrefix="0" xfId="0"/>
    <xf numFmtId="10" fontId="5" fillId="0" borderId="0" pivotButton="0" quotePrefix="0" xfId="2"/>
    <xf numFmtId="0" fontId="8" fillId="0" borderId="0" pivotButton="0" quotePrefix="0" xfId="0"/>
    <xf numFmtId="0" fontId="8" fillId="2" borderId="0" pivotButton="0" quotePrefix="0" xfId="0"/>
    <xf numFmtId="10" fontId="8" fillId="0" borderId="0" pivotButton="0" quotePrefix="0" xfId="2"/>
    <xf numFmtId="0" fontId="6" fillId="4" borderId="0" pivotButton="0" quotePrefix="0" xfId="0"/>
    <xf numFmtId="0" fontId="6" fillId="4" borderId="0" applyAlignment="1" pivotButton="0" quotePrefix="0" xfId="0">
      <alignment horizontal="centerContinuous"/>
    </xf>
    <xf numFmtId="0" fontId="3" fillId="4" borderId="0" applyAlignment="1" pivotButton="0" quotePrefix="0" xfId="0">
      <alignment horizontal="center"/>
    </xf>
    <xf numFmtId="14" fontId="9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5" fillId="2" borderId="0" applyAlignment="1" pivotButton="0" quotePrefix="0" xfId="0">
      <alignment horizontal="center"/>
    </xf>
    <xf numFmtId="14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right"/>
    </xf>
    <xf numFmtId="166" fontId="6" fillId="0" borderId="0" pivotButton="0" quotePrefix="0" xfId="0"/>
    <xf numFmtId="0" fontId="6" fillId="4" borderId="0" applyAlignment="1" pivotButton="0" quotePrefix="0" xfId="0">
      <alignment horizontal="right"/>
    </xf>
    <xf numFmtId="166" fontId="5" fillId="0" borderId="0" pivotButton="0" quotePrefix="0" xfId="0"/>
    <xf numFmtId="0" fontId="5" fillId="2" borderId="2" pivotButton="0" quotePrefix="0" xfId="0"/>
    <xf numFmtId="166" fontId="10" fillId="0" borderId="0" applyAlignment="1" pivotButton="0" quotePrefix="0" xfId="0">
      <alignment horizontal="right"/>
    </xf>
    <xf numFmtId="10" fontId="10" fillId="0" borderId="0" pivotButton="0" quotePrefix="0" xfId="2"/>
    <xf numFmtId="10" fontId="7" fillId="0" borderId="0" pivotButton="0" quotePrefix="0" xfId="2"/>
    <xf numFmtId="166" fontId="3" fillId="2" borderId="0" pivotButton="0" quotePrefix="0" xfId="0"/>
    <xf numFmtId="166" fontId="3" fillId="0" borderId="0" pivotButton="0" quotePrefix="0" xfId="0"/>
    <xf numFmtId="0" fontId="11" fillId="0" borderId="0" pivotButton="0" quotePrefix="0" xfId="0"/>
    <xf numFmtId="0" fontId="5" fillId="0" borderId="2" pivotButton="0" quotePrefix="0" xfId="0"/>
    <xf numFmtId="3" fontId="5" fillId="2" borderId="0" pivotButton="0" quotePrefix="0" xfId="0"/>
    <xf numFmtId="3" fontId="5" fillId="0" borderId="0" pivotButton="0" quotePrefix="0" xfId="2"/>
    <xf numFmtId="166" fontId="6" fillId="0" borderId="1" pivotButton="0" quotePrefix="0" xfId="0"/>
    <xf numFmtId="166" fontId="6" fillId="2" borderId="0" pivotButton="0" quotePrefix="0" xfId="0"/>
    <xf numFmtId="0" fontId="6" fillId="4" borderId="2" applyAlignment="1" pivotButton="0" quotePrefix="0" xfId="0">
      <alignment horizontal="centerContinuous"/>
    </xf>
    <xf numFmtId="9" fontId="5" fillId="0" borderId="0" pivotButton="0" quotePrefix="0" xfId="0"/>
    <xf numFmtId="167" fontId="5" fillId="0" borderId="0" pivotButton="0" quotePrefix="0" xfId="0"/>
    <xf numFmtId="167" fontId="5" fillId="2" borderId="0" pivotButton="0" quotePrefix="0" xfId="0"/>
    <xf numFmtId="10" fontId="5" fillId="0" borderId="0" pivotButton="0" quotePrefix="0" xfId="2"/>
    <xf numFmtId="166" fontId="5" fillId="2" borderId="0" pivotButton="0" quotePrefix="0" xfId="0"/>
    <xf numFmtId="167" fontId="5" fillId="0" borderId="4" pivotButton="0" quotePrefix="0" xfId="0"/>
    <xf numFmtId="0" fontId="5" fillId="0" borderId="4" pivotButton="0" quotePrefix="0" xfId="0"/>
    <xf numFmtId="166" fontId="5" fillId="0" borderId="4" pivotButton="0" quotePrefix="0" xfId="0"/>
    <xf numFmtId="168" fontId="5" fillId="0" borderId="0" pivotButton="0" quotePrefix="0" xfId="0"/>
    <xf numFmtId="168" fontId="5" fillId="2" borderId="0" pivotButton="0" quotePrefix="0" xfId="0"/>
    <xf numFmtId="168" fontId="5" fillId="0" borderId="0" pivotButton="0" quotePrefix="0" xfId="3"/>
    <xf numFmtId="169" fontId="5" fillId="0" borderId="0" pivotButton="0" quotePrefix="0" xfId="0"/>
    <xf numFmtId="166" fontId="6" fillId="2" borderId="3" pivotButton="0" quotePrefix="0" xfId="0"/>
    <xf numFmtId="166" fontId="5" fillId="2" borderId="3" pivotButton="0" quotePrefix="0" xfId="0"/>
    <xf numFmtId="0" fontId="11" fillId="0" borderId="0" applyAlignment="1" pivotButton="0" quotePrefix="0" xfId="0">
      <alignment horizontal="right"/>
    </xf>
    <xf numFmtId="0" fontId="11" fillId="2" borderId="0" applyAlignment="1" pivotButton="0" quotePrefix="0" xfId="0">
      <alignment horizontal="right"/>
    </xf>
    <xf numFmtId="0" fontId="6" fillId="4" borderId="2" pivotButton="0" quotePrefix="0" xfId="0"/>
    <xf numFmtId="0" fontId="10" fillId="0" borderId="0" applyAlignment="1" pivotButton="0" quotePrefix="0" xfId="0">
      <alignment vertical="center"/>
    </xf>
    <xf numFmtId="0" fontId="10" fillId="2" borderId="0" applyAlignment="1" pivotButton="0" quotePrefix="0" xfId="0">
      <alignment horizontal="right" vertical="center" indent="1"/>
    </xf>
    <xf numFmtId="0" fontId="9" fillId="2" borderId="0" applyAlignment="1" pivotButton="0" quotePrefix="0" xfId="0">
      <alignment horizontal="right" vertical="center"/>
    </xf>
    <xf numFmtId="0" fontId="10" fillId="0" borderId="2" applyAlignment="1" pivotButton="0" quotePrefix="0" xfId="0">
      <alignment vertical="center"/>
    </xf>
    <xf numFmtId="170" fontId="13" fillId="2" borderId="0" applyAlignment="1" pivotButton="0" quotePrefix="0" xfId="0">
      <alignment vertical="center"/>
    </xf>
    <xf numFmtId="166" fontId="10" fillId="2" borderId="0" applyAlignment="1" pivotButton="0" quotePrefix="0" xfId="0">
      <alignment vertical="center"/>
    </xf>
    <xf numFmtId="166" fontId="6" fillId="2" borderId="0" applyAlignment="1" pivotButton="0" quotePrefix="0" xfId="0">
      <alignment horizontal="right"/>
    </xf>
    <xf numFmtId="171" fontId="13" fillId="2" borderId="0" applyAlignment="1" pivotButton="0" quotePrefix="0" xfId="0">
      <alignment vertical="center"/>
    </xf>
    <xf numFmtId="14" fontId="10" fillId="2" borderId="0" applyAlignment="1" pivotButton="0" quotePrefix="0" xfId="0">
      <alignment vertical="center"/>
    </xf>
    <xf numFmtId="172" fontId="10" fillId="2" borderId="0" applyAlignment="1" pivotButton="0" quotePrefix="0" xfId="0">
      <alignment vertical="center"/>
    </xf>
    <xf numFmtId="166" fontId="11" fillId="0" borderId="1" pivotButton="0" quotePrefix="0" xfId="0"/>
    <xf numFmtId="172" fontId="9" fillId="2" borderId="0" applyAlignment="1" pivotButton="0" quotePrefix="0" xfId="0">
      <alignment vertical="center"/>
    </xf>
    <xf numFmtId="0" fontId="6" fillId="4" borderId="0" pivotButton="0" quotePrefix="1" xfId="0"/>
    <xf numFmtId="165" fontId="5" fillId="0" borderId="0" pivotButton="0" quotePrefix="0" xfId="0"/>
    <xf numFmtId="165" fontId="9" fillId="0" borderId="0" applyAlignment="1" pivotButton="0" quotePrefix="0" xfId="0">
      <alignment horizontal="right"/>
    </xf>
    <xf numFmtId="10" fontId="13" fillId="2" borderId="0" applyAlignment="1" pivotButton="0" quotePrefix="0" xfId="0">
      <alignment vertical="center"/>
    </xf>
    <xf numFmtId="9" fontId="10" fillId="2" borderId="0" applyAlignment="1" pivotButton="0" quotePrefix="0" xfId="2">
      <alignment vertical="center"/>
    </xf>
    <xf numFmtId="173" fontId="9" fillId="0" borderId="0" applyAlignment="1" pivotButton="0" quotePrefix="0" xfId="0">
      <alignment horizontal="right"/>
    </xf>
    <xf numFmtId="9" fontId="9" fillId="0" borderId="0" applyAlignment="1" pivotButton="0" quotePrefix="0" xfId="0">
      <alignment horizontal="right"/>
    </xf>
    <xf numFmtId="174" fontId="9" fillId="0" borderId="0" applyAlignment="1" pivotButton="0" quotePrefix="0" xfId="0">
      <alignment horizontal="left"/>
    </xf>
    <xf numFmtId="166" fontId="9" fillId="0" borderId="4" pivotButton="0" quotePrefix="0" xfId="0"/>
    <xf numFmtId="166" fontId="11" fillId="0" borderId="0" pivotButton="0" quotePrefix="0" xfId="0"/>
    <xf numFmtId="0" fontId="9" fillId="2" borderId="0" applyAlignment="1" pivotButton="0" quotePrefix="0" xfId="0">
      <alignment horizontal="right"/>
    </xf>
    <xf numFmtId="166" fontId="14" fillId="2" borderId="0" applyAlignment="1" pivotButton="0" quotePrefix="0" xfId="0">
      <alignment horizontal="right"/>
    </xf>
    <xf numFmtId="3" fontId="9" fillId="2" borderId="0" applyAlignment="1" pivotButton="0" quotePrefix="0" xfId="0">
      <alignment horizontal="right"/>
    </xf>
    <xf numFmtId="175" fontId="10" fillId="2" borderId="0" applyAlignment="1" pivotButton="0" quotePrefix="0" xfId="0">
      <alignment horizontal="right"/>
    </xf>
    <xf numFmtId="176" fontId="8" fillId="0" borderId="0" pivotButton="0" quotePrefix="0" xfId="3"/>
    <xf numFmtId="9" fontId="8" fillId="0" borderId="0" pivotButton="0" quotePrefix="0" xfId="2"/>
    <xf numFmtId="0" fontId="6" fillId="2" borderId="1" pivotButton="0" quotePrefix="0" xfId="0"/>
    <xf numFmtId="3" fontId="3" fillId="2" borderId="1" applyAlignment="1" pivotButton="0" quotePrefix="0" xfId="0">
      <alignment horizontal="right"/>
    </xf>
    <xf numFmtId="166" fontId="3" fillId="2" borderId="1" applyAlignment="1" pivotButton="0" quotePrefix="0" xfId="0">
      <alignment horizontal="right"/>
    </xf>
    <xf numFmtId="175" fontId="3" fillId="2" borderId="1" applyAlignment="1" pivotButton="0" quotePrefix="0" xfId="0">
      <alignment horizontal="right"/>
    </xf>
    <xf numFmtId="3" fontId="6" fillId="2" borderId="0" applyAlignment="1" pivotButton="0" quotePrefix="0" xfId="0">
      <alignment horizontal="center"/>
    </xf>
    <xf numFmtId="175" fontId="6" fillId="2" borderId="0" applyAlignment="1" pivotButton="0" quotePrefix="0" xfId="0">
      <alignment horizontal="center"/>
    </xf>
    <xf numFmtId="166" fontId="6" fillId="2" borderId="0" applyAlignment="1" pivotButton="0" quotePrefix="0" xfId="0">
      <alignment horizontal="center"/>
    </xf>
    <xf numFmtId="166" fontId="9" fillId="0" borderId="0" pivotButton="0" quotePrefix="0" xfId="0"/>
    <xf numFmtId="166" fontId="16" fillId="0" borderId="1" pivotButton="0" quotePrefix="0" xfId="0"/>
    <xf numFmtId="166" fontId="16" fillId="2" borderId="0" pivotButton="0" quotePrefix="0" xfId="0"/>
    <xf numFmtId="3" fontId="9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3" fontId="9" fillId="2" borderId="0" applyAlignment="1" pivotButton="0" quotePrefix="0" xfId="1">
      <alignment horizontal="right"/>
    </xf>
    <xf numFmtId="166" fontId="9" fillId="2" borderId="0" applyAlignment="1" pivotButton="0" quotePrefix="0" xfId="1">
      <alignment horizontal="right"/>
    </xf>
    <xf numFmtId="166" fontId="5" fillId="0" borderId="0" applyAlignment="1" pivotButton="0" quotePrefix="0" xfId="0">
      <alignment horizontal="right"/>
    </xf>
    <xf numFmtId="0" fontId="10" fillId="2" borderId="0" pivotButton="0" quotePrefix="0" xfId="0"/>
    <xf numFmtId="166" fontId="9" fillId="2" borderId="0" applyAlignment="1" pivotButton="0" quotePrefix="0" xfId="0">
      <alignment horizontal="right"/>
    </xf>
    <xf numFmtId="166" fontId="5" fillId="2" borderId="0" applyAlignment="1" pivotButton="0" quotePrefix="0" xfId="0">
      <alignment horizontal="right"/>
    </xf>
    <xf numFmtId="177" fontId="6" fillId="4" borderId="0" applyAlignment="1" pivotButton="0" quotePrefix="0" xfId="0">
      <alignment horizontal="right"/>
    </xf>
    <xf numFmtId="167" fontId="6" fillId="0" borderId="0" pivotButton="0" quotePrefix="0" xfId="0"/>
    <xf numFmtId="10" fontId="9" fillId="2" borderId="0" applyAlignment="1" pivotButton="0" quotePrefix="0" xfId="2">
      <alignment horizontal="right"/>
    </xf>
    <xf numFmtId="10" fontId="5" fillId="2" borderId="0" pivotButton="0" quotePrefix="0" xfId="2"/>
    <xf numFmtId="167" fontId="8" fillId="0" borderId="0" pivotButton="0" quotePrefix="0" xfId="0"/>
    <xf numFmtId="167" fontId="8" fillId="2" borderId="0" pivotButton="0" quotePrefix="0" xfId="0"/>
    <xf numFmtId="167" fontId="6" fillId="2" borderId="0" pivotButton="0" quotePrefix="0" xfId="0"/>
    <xf numFmtId="178" fontId="9" fillId="2" borderId="0" applyAlignment="1" pivotButton="0" quotePrefix="0" xfId="0">
      <alignment horizontal="right"/>
    </xf>
    <xf numFmtId="167" fontId="6" fillId="0" borderId="4" pivotButton="0" quotePrefix="0" xfId="0"/>
    <xf numFmtId="0" fontId="5" fillId="4" borderId="0" pivotButton="0" quotePrefix="0" xfId="0"/>
    <xf numFmtId="166" fontId="9" fillId="2" borderId="0" applyAlignment="1" pivotButton="0" quotePrefix="0" xfId="0">
      <alignment horizontal="center"/>
    </xf>
    <xf numFmtId="179" fontId="9" fillId="2" borderId="0" applyAlignment="1" pivotButton="0" quotePrefix="0" xfId="0">
      <alignment horizontal="center"/>
    </xf>
    <xf numFmtId="9" fontId="9" fillId="2" borderId="0" applyAlignment="1" pivotButton="0" quotePrefix="0" xfId="2">
      <alignment horizontal="center"/>
    </xf>
    <xf numFmtId="180" fontId="5" fillId="2" borderId="0" applyAlignment="1" pivotButton="0" quotePrefix="0" xfId="0">
      <alignment horizontal="center"/>
    </xf>
    <xf numFmtId="166" fontId="5" fillId="2" borderId="0" applyAlignment="1" pivotButton="0" quotePrefix="0" xfId="0">
      <alignment horizontal="center"/>
    </xf>
    <xf numFmtId="4" fontId="6" fillId="0" borderId="0" pivotButton="0" quotePrefix="0" xfId="0"/>
    <xf numFmtId="4" fontId="6" fillId="2" borderId="0" pivotButton="0" quotePrefix="0" xfId="0"/>
    <xf numFmtId="175" fontId="5" fillId="0" borderId="0" pivotButton="0" quotePrefix="0" xfId="0"/>
    <xf numFmtId="0" fontId="18" fillId="2" borderId="0" pivotButton="0" quotePrefix="0" xfId="4"/>
    <xf numFmtId="0" fontId="19" fillId="2" borderId="0" pivotButton="0" quotePrefix="0" xfId="4"/>
    <xf numFmtId="3" fontId="19" fillId="0" borderId="0" pivotButton="0" quotePrefix="0" xfId="4"/>
    <xf numFmtId="3" fontId="0" fillId="0" borderId="0" pivotButton="0" quotePrefix="0" xfId="0"/>
    <xf numFmtId="3" fontId="0" fillId="2" borderId="0" pivotButton="0" quotePrefix="0" xfId="0"/>
    <xf numFmtId="3" fontId="19" fillId="2" borderId="0" pivotButton="0" quotePrefix="0" xfId="4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66" fontId="18" fillId="0" borderId="1" pivotButton="0" quotePrefix="0" xfId="4"/>
    <xf numFmtId="166" fontId="20" fillId="0" borderId="1" pivotButton="0" quotePrefix="0" xfId="0"/>
    <xf numFmtId="166" fontId="18" fillId="2" borderId="0" pivotButton="0" quotePrefix="0" xfId="4"/>
    <xf numFmtId="166" fontId="18" fillId="2" borderId="1" pivotButton="0" quotePrefix="0" xfId="4"/>
    <xf numFmtId="10" fontId="6" fillId="4" borderId="0" applyAlignment="1" pivotButton="0" quotePrefix="0" xfId="2">
      <alignment horizontal="center"/>
    </xf>
    <xf numFmtId="0" fontId="0" fillId="2" borderId="0" pivotButton="0" quotePrefix="0" xfId="0"/>
    <xf numFmtId="0" fontId="5" fillId="5" borderId="0" applyAlignment="1" pivotButton="0" quotePrefix="0" xfId="0">
      <alignment horizontal="center"/>
    </xf>
    <xf numFmtId="10" fontId="18" fillId="2" borderId="0" pivotButton="0" quotePrefix="0" xfId="2"/>
    <xf numFmtId="3" fontId="6" fillId="4" borderId="0" applyAlignment="1" pivotButton="0" quotePrefix="0" xfId="2">
      <alignment horizontal="center"/>
    </xf>
    <xf numFmtId="10" fontId="6" fillId="2" borderId="0" pivotButton="0" quotePrefix="0" xfId="2"/>
    <xf numFmtId="166" fontId="18" fillId="0" borderId="0" pivotButton="0" quotePrefix="0" xfId="4"/>
    <xf numFmtId="165" fontId="6" fillId="0" borderId="0" pivotButton="0" quotePrefix="0" xfId="2"/>
    <xf numFmtId="165" fontId="6" fillId="2" borderId="0" pivotButton="0" quotePrefix="0" xfId="2"/>
    <xf numFmtId="9" fontId="9" fillId="0" borderId="0" applyAlignment="1" pivotButton="0" quotePrefix="0" xfId="0">
      <alignment horizontal="center"/>
    </xf>
    <xf numFmtId="10" fontId="5" fillId="0" borderId="0" pivotButton="0" quotePrefix="0" xfId="2"/>
    <xf numFmtId="0" fontId="9" fillId="0" borderId="0" applyAlignment="1" pivotButton="0" quotePrefix="0" xfId="0">
      <alignment horizontal="center"/>
    </xf>
    <xf numFmtId="0" fontId="6" fillId="0" borderId="1" pivotButton="0" quotePrefix="0" xfId="0"/>
    <xf numFmtId="10" fontId="6" fillId="0" borderId="1" pivotButton="0" quotePrefix="0" xfId="2"/>
    <xf numFmtId="166" fontId="20" fillId="0" borderId="0" pivotButton="0" quotePrefix="0" xfId="0"/>
    <xf numFmtId="9" fontId="9" fillId="0" borderId="0" pivotButton="0" quotePrefix="0" xfId="0"/>
    <xf numFmtId="166" fontId="17" fillId="0" borderId="0" pivotButton="0" quotePrefix="0" xfId="0"/>
    <xf numFmtId="166" fontId="17" fillId="2" borderId="0" pivotButton="0" quotePrefix="0" xfId="0"/>
    <xf numFmtId="181" fontId="9" fillId="2" borderId="0" applyAlignment="1" pivotButton="0" quotePrefix="0" xfId="0">
      <alignment horizontal="right"/>
    </xf>
    <xf numFmtId="182" fontId="9" fillId="2" borderId="0" applyAlignment="1" pivotButton="0" quotePrefix="0" xfId="0">
      <alignment horizontal="right"/>
    </xf>
    <xf numFmtId="166" fontId="8" fillId="0" borderId="0" pivotButton="0" quotePrefix="0" xfId="0"/>
    <xf numFmtId="166" fontId="8" fillId="2" borderId="0" pivotButton="0" quotePrefix="0" xfId="0"/>
    <xf numFmtId="175" fontId="8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right"/>
    </xf>
    <xf numFmtId="166" fontId="3" fillId="0" borderId="1" pivotButton="0" quotePrefix="0" xfId="0"/>
    <xf numFmtId="9" fontId="0" fillId="0" borderId="0" pivotButton="0" quotePrefix="0" xfId="0"/>
    <xf numFmtId="0" fontId="21" fillId="0" borderId="0" pivotButton="0" quotePrefix="0" xfId="0"/>
    <xf numFmtId="3" fontId="9" fillId="2" borderId="0" applyAlignment="1" pivotButton="0" quotePrefix="0" xfId="0">
      <alignment horizontal="centerContinuous"/>
    </xf>
    <xf numFmtId="3" fontId="10" fillId="2" borderId="0" applyAlignment="1" pivotButton="0" quotePrefix="0" xfId="0">
      <alignment horizontal="centerContinuous"/>
    </xf>
    <xf numFmtId="3" fontId="10" fillId="2" borderId="0" applyAlignment="1" pivotButton="0" quotePrefix="0" xfId="0">
      <alignment horizontal="center"/>
    </xf>
    <xf numFmtId="14" fontId="6" fillId="0" borderId="0" pivotButton="0" quotePrefix="0" xfId="0"/>
    <xf numFmtId="183" fontId="9" fillId="2" borderId="0" applyAlignment="1" pivotButton="0" quotePrefix="0" xfId="0">
      <alignment horizontal="left"/>
    </xf>
    <xf numFmtId="0" fontId="8" fillId="0" borderId="2" pivotButton="0" quotePrefix="0" xfId="0"/>
    <xf numFmtId="166" fontId="5" fillId="0" borderId="0" applyAlignment="1" pivotButton="0" quotePrefix="0" xfId="2">
      <alignment horizontal="right"/>
    </xf>
    <xf numFmtId="9" fontId="5" fillId="2" borderId="0" pivotButton="0" quotePrefix="0" xfId="0"/>
    <xf numFmtId="169" fontId="5" fillId="2" borderId="0" pivotButton="0" quotePrefix="0" xfId="0"/>
    <xf numFmtId="0" fontId="11" fillId="2" borderId="0" pivotButton="0" quotePrefix="0" xfId="0"/>
    <xf numFmtId="166" fontId="11" fillId="2" borderId="0" pivotButton="0" quotePrefix="0" xfId="0"/>
    <xf numFmtId="166" fontId="20" fillId="2" borderId="0" pivotButton="0" quotePrefix="0" xfId="0"/>
    <xf numFmtId="0" fontId="6" fillId="2" borderId="0" applyAlignment="1" pivotButton="0" quotePrefix="0" xfId="0">
      <alignment horizontal="right"/>
    </xf>
    <xf numFmtId="9" fontId="9" fillId="2" borderId="0" pivotButton="0" quotePrefix="0" xfId="0"/>
    <xf numFmtId="3" fontId="6" fillId="0" borderId="1" pivotButton="0" quotePrefix="0" xfId="0"/>
    <xf numFmtId="3" fontId="4" fillId="3" borderId="0" applyAlignment="1" pivotButton="0" quotePrefix="0" xfId="0">
      <alignment horizontal="right"/>
    </xf>
    <xf numFmtId="3" fontId="5" fillId="4" borderId="3" pivotButton="0" quotePrefix="0" xfId="0"/>
    <xf numFmtId="3" fontId="8" fillId="0" borderId="0" pivotButton="0" quotePrefix="0" xfId="0"/>
    <xf numFmtId="3" fontId="5" fillId="0" borderId="4" pivotButton="0" quotePrefix="0" xfId="0"/>
    <xf numFmtId="3" fontId="6" fillId="0" borderId="0" pivotButton="0" quotePrefix="0" xfId="0"/>
    <xf numFmtId="3" fontId="11" fillId="0" borderId="0" applyAlignment="1" pivotButton="0" quotePrefix="0" xfId="0">
      <alignment horizontal="right"/>
    </xf>
    <xf numFmtId="3" fontId="5" fillId="0" borderId="1" pivotButton="0" quotePrefix="0" xfId="0"/>
    <xf numFmtId="3" fontId="5" fillId="4" borderId="0" pivotButton="0" quotePrefix="0" xfId="0"/>
    <xf numFmtId="3" fontId="6" fillId="0" borderId="0" pivotButton="0" quotePrefix="0" xfId="2"/>
    <xf numFmtId="3" fontId="17" fillId="0" borderId="0" pivotButton="0" quotePrefix="0" xfId="0"/>
    <xf numFmtId="0" fontId="5" fillId="0" borderId="5" pivotButton="0" quotePrefix="0" xfId="0"/>
    <xf numFmtId="3" fontId="5" fillId="0" borderId="5" pivotButton="0" quotePrefix="0" xfId="0"/>
    <xf numFmtId="3" fontId="5" fillId="2" borderId="5" pivotButton="0" quotePrefix="0" xfId="0"/>
    <xf numFmtId="0" fontId="5" fillId="0" borderId="6" pivotButton="0" quotePrefix="0" xfId="0"/>
    <xf numFmtId="3" fontId="5" fillId="0" borderId="6" pivotButton="0" quotePrefix="0" xfId="0"/>
    <xf numFmtId="3" fontId="5" fillId="2" borderId="6" pivotButton="0" quotePrefix="0" xfId="0"/>
    <xf numFmtId="173" fontId="5" fillId="0" borderId="0" pivotButton="0" quotePrefix="0" xfId="2"/>
    <xf numFmtId="184" fontId="9" fillId="0" borderId="0" applyAlignment="1" pivotButton="0" quotePrefix="0" xfId="0">
      <alignment horizontal="left"/>
    </xf>
    <xf numFmtId="9" fontId="5" fillId="0" borderId="0" applyAlignment="1" pivotButton="0" quotePrefix="0" xfId="2">
      <alignment horizontal="right"/>
    </xf>
    <xf numFmtId="9" fontId="5" fillId="2" borderId="0" applyAlignment="1" pivotButton="0" quotePrefix="0" xfId="2">
      <alignment horizontal="right"/>
    </xf>
    <xf numFmtId="9" fontId="6" fillId="0" borderId="1" applyAlignment="1" pivotButton="0" quotePrefix="0" xfId="2">
      <alignment horizontal="right"/>
    </xf>
    <xf numFmtId="185" fontId="3" fillId="4" borderId="0" applyAlignment="1" pivotButton="0" quotePrefix="0" xfId="0">
      <alignment horizontal="right"/>
    </xf>
    <xf numFmtId="166" fontId="7" fillId="2" borderId="1" pivotButton="0" quotePrefix="0" xfId="0"/>
    <xf numFmtId="186" fontId="7" fillId="4" borderId="0" applyAlignment="1" pivotButton="0" quotePrefix="0" xfId="0">
      <alignment horizontal="right"/>
    </xf>
    <xf numFmtId="166" fontId="3" fillId="2" borderId="1" pivotButton="0" quotePrefix="0" xfId="0"/>
    <xf numFmtId="0" fontId="6" fillId="2" borderId="7" pivotButton="0" quotePrefix="0" xfId="0"/>
    <xf numFmtId="166" fontId="6" fillId="0" borderId="7" pivotButton="0" quotePrefix="0" xfId="0"/>
    <xf numFmtId="187" fontId="9" fillId="0" borderId="2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166" fontId="6" fillId="0" borderId="8" applyAlignment="1" pivotButton="0" quotePrefix="0" xfId="0">
      <alignment horizontal="right"/>
    </xf>
    <xf numFmtId="187" fontId="6" fillId="0" borderId="1" applyAlignment="1" pivotButton="0" quotePrefix="0" xfId="0">
      <alignment horizontal="left"/>
    </xf>
    <xf numFmtId="0" fontId="10" fillId="0" borderId="5" applyAlignment="1" pivotButton="0" quotePrefix="0" xfId="0">
      <alignment vertical="center"/>
    </xf>
    <xf numFmtId="10" fontId="9" fillId="0" borderId="5" pivotButton="0" quotePrefix="0" xfId="0"/>
    <xf numFmtId="166" fontId="5" fillId="0" borderId="5" pivotButton="0" quotePrefix="0" xfId="0"/>
    <xf numFmtId="0" fontId="10" fillId="0" borderId="10" applyAlignment="1" pivotButton="0" quotePrefix="0" xfId="0">
      <alignment vertical="center"/>
    </xf>
    <xf numFmtId="10" fontId="9" fillId="2" borderId="5" applyAlignment="1" pivotButton="0" quotePrefix="0" xfId="0">
      <alignment vertical="center"/>
    </xf>
    <xf numFmtId="166" fontId="10" fillId="2" borderId="5" applyAlignment="1" pivotButton="0" quotePrefix="0" xfId="0">
      <alignment vertical="center"/>
    </xf>
    <xf numFmtId="0" fontId="6" fillId="2" borderId="1" applyAlignment="1" pivotButton="0" quotePrefix="0" xfId="0">
      <alignment horizontal="right"/>
    </xf>
    <xf numFmtId="166" fontId="6" fillId="2" borderId="1" applyAlignment="1" pivotButton="0" quotePrefix="0" xfId="0">
      <alignment horizontal="right"/>
    </xf>
    <xf numFmtId="10" fontId="9" fillId="2" borderId="0" applyAlignment="1" pivotButton="0" quotePrefix="0" xfId="0">
      <alignment horizontal="right"/>
    </xf>
    <xf numFmtId="0" fontId="6" fillId="4" borderId="9" applyAlignment="1" pivotButton="0" quotePrefix="0" xfId="0">
      <alignment horizontal="right"/>
    </xf>
    <xf numFmtId="9" fontId="5" fillId="0" borderId="9" applyAlignment="1" pivotButton="0" quotePrefix="0" xfId="2">
      <alignment horizontal="right"/>
    </xf>
    <xf numFmtId="9" fontId="5" fillId="2" borderId="9" applyAlignment="1" pivotButton="0" quotePrefix="0" xfId="2">
      <alignment horizontal="right"/>
    </xf>
    <xf numFmtId="9" fontId="6" fillId="0" borderId="11" applyAlignment="1" pivotButton="0" quotePrefix="0" xfId="2">
      <alignment horizontal="right"/>
    </xf>
    <xf numFmtId="166" fontId="5" fillId="0" borderId="9" applyAlignment="1" pivotButton="0" quotePrefix="0" xfId="0">
      <alignment horizontal="right"/>
    </xf>
    <xf numFmtId="166" fontId="10" fillId="0" borderId="9" applyAlignment="1" pivotButton="0" quotePrefix="0" xfId="0">
      <alignment horizontal="right"/>
    </xf>
    <xf numFmtId="166" fontId="5" fillId="0" borderId="9" pivotButton="0" quotePrefix="0" xfId="0"/>
    <xf numFmtId="166" fontId="6" fillId="0" borderId="11" pivotButton="0" quotePrefix="0" xfId="0"/>
    <xf numFmtId="188" fontId="25" fillId="2" borderId="0" applyAlignment="1" pivotButton="0" quotePrefix="0" xfId="0">
      <alignment horizontal="right"/>
    </xf>
    <xf numFmtId="9" fontId="9" fillId="0" borderId="9" applyAlignment="1" pivotButton="0" quotePrefix="0" xfId="0">
      <alignment horizontal="right"/>
    </xf>
    <xf numFmtId="0" fontId="5" fillId="0" borderId="9" pivotButton="0" quotePrefix="0" xfId="0"/>
    <xf numFmtId="0" fontId="5" fillId="0" borderId="0" applyAlignment="1" pivotButton="0" quotePrefix="0" xfId="0">
      <alignment horizontal="left"/>
    </xf>
    <xf numFmtId="166" fontId="10" fillId="2" borderId="0" applyAlignment="1" pivotButton="0" quotePrefix="0" xfId="0">
      <alignment horizontal="right"/>
    </xf>
    <xf numFmtId="189" fontId="10" fillId="2" borderId="1" applyAlignment="1" pivotButton="0" quotePrefix="0" xfId="2">
      <alignment horizontal="right"/>
    </xf>
    <xf numFmtId="189" fontId="10" fillId="2" borderId="0" applyAlignment="1" pivotButton="0" quotePrefix="0" xfId="2">
      <alignment horizontal="right"/>
    </xf>
    <xf numFmtId="14" fontId="10" fillId="2" borderId="0" applyAlignment="1" pivotButton="0" quotePrefix="0" xfId="0">
      <alignment horizontal="center"/>
    </xf>
    <xf numFmtId="3" fontId="5" fillId="0" borderId="0" pivotButton="0" quotePrefix="0" xfId="3"/>
    <xf numFmtId="3" fontId="15" fillId="0" borderId="0" pivotButton="0" quotePrefix="0" xfId="0"/>
    <xf numFmtId="3" fontId="6" fillId="0" borderId="4" pivotButton="0" quotePrefix="0" xfId="0"/>
    <xf numFmtId="10" fontId="7" fillId="2" borderId="0" applyAlignment="1" pivotButton="0" quotePrefix="0" xfId="2">
      <alignment vertical="center"/>
    </xf>
    <xf numFmtId="173" fontId="7" fillId="2" borderId="0" applyAlignment="1" pivotButton="0" quotePrefix="0" xfId="0">
      <alignment vertical="center"/>
    </xf>
    <xf numFmtId="10" fontId="7" fillId="2" borderId="0" applyAlignment="1" pivotButton="0" quotePrefix="0" xfId="0">
      <alignment vertical="center"/>
    </xf>
    <xf numFmtId="190" fontId="7" fillId="2" borderId="0" applyAlignment="1" pivotButton="0" quotePrefix="0" xfId="0">
      <alignment horizontal="right" vertical="center"/>
    </xf>
    <xf numFmtId="186" fontId="7" fillId="4" borderId="0" applyAlignment="1" pivotButton="0" quotePrefix="0" xfId="0">
      <alignment horizontal="right"/>
    </xf>
    <xf numFmtId="185" fontId="3" fillId="4" borderId="0" applyAlignment="1" pivotButton="0" quotePrefix="0" xfId="0">
      <alignment horizontal="right"/>
    </xf>
    <xf numFmtId="165" fontId="6" fillId="0" borderId="0" pivotButton="0" quotePrefix="0" xfId="0"/>
    <xf numFmtId="183" fontId="9" fillId="2" borderId="0" applyAlignment="1" pivotButton="0" quotePrefix="0" xfId="0">
      <alignment horizontal="left"/>
    </xf>
    <xf numFmtId="166" fontId="5" fillId="0" borderId="0" pivotButton="0" quotePrefix="0" xfId="0"/>
    <xf numFmtId="166" fontId="6" fillId="0" borderId="0" applyAlignment="1" pivotButton="0" quotePrefix="0" xfId="0">
      <alignment horizontal="right"/>
    </xf>
    <xf numFmtId="166" fontId="6" fillId="0" borderId="0" pivotButton="0" quotePrefix="0" xfId="0"/>
    <xf numFmtId="166" fontId="9" fillId="0" borderId="0" pivotButton="0" quotePrefix="0" xfId="0"/>
    <xf numFmtId="166" fontId="10" fillId="0" borderId="0" applyAlignment="1" pivotButton="0" quotePrefix="0" xfId="0">
      <alignment horizontal="right"/>
    </xf>
    <xf numFmtId="166" fontId="6" fillId="0" borderId="1" pivotButton="0" quotePrefix="0" xfId="0"/>
    <xf numFmtId="166" fontId="6" fillId="2" borderId="0" pivotButton="0" quotePrefix="0" xfId="0"/>
    <xf numFmtId="166" fontId="7" fillId="2" borderId="1" pivotButton="0" quotePrefix="0" xfId="0"/>
    <xf numFmtId="166" fontId="3" fillId="2" borderId="1" pivotButton="0" quotePrefix="0" xfId="0"/>
    <xf numFmtId="166" fontId="3" fillId="0" borderId="1" pivotButton="0" quotePrefix="0" xfId="0"/>
    <xf numFmtId="166" fontId="8" fillId="0" borderId="0" pivotButton="0" quotePrefix="0" xfId="0"/>
    <xf numFmtId="187" fontId="6" fillId="0" borderId="1" applyAlignment="1" pivotButton="0" quotePrefix="0" xfId="0">
      <alignment horizontal="left"/>
    </xf>
    <xf numFmtId="166" fontId="6" fillId="0" borderId="8" applyAlignment="1" pivotButton="0" quotePrefix="0" xfId="0">
      <alignment horizontal="right"/>
    </xf>
    <xf numFmtId="187" fontId="9" fillId="0" borderId="2" applyAlignment="1" pivotButton="0" quotePrefix="0" xfId="0">
      <alignment horizontal="left"/>
    </xf>
    <xf numFmtId="166" fontId="5" fillId="0" borderId="0" applyAlignment="1" pivotButton="0" quotePrefix="0" xfId="2">
      <alignment horizontal="right"/>
    </xf>
    <xf numFmtId="167" fontId="5" fillId="2" borderId="0" pivotButton="0" quotePrefix="0" xfId="0"/>
    <xf numFmtId="167" fontId="5" fillId="0" borderId="0" pivotButton="0" quotePrefix="0" xfId="0"/>
    <xf numFmtId="166" fontId="6" fillId="0" borderId="7" pivotButton="0" quotePrefix="0" xfId="0"/>
    <xf numFmtId="166" fontId="5" fillId="2" borderId="0" pivotButton="0" quotePrefix="0" xfId="0"/>
    <xf numFmtId="167" fontId="5" fillId="0" borderId="4" pivotButton="0" quotePrefix="0" xfId="0"/>
    <xf numFmtId="166" fontId="5" fillId="0" borderId="0" applyAlignment="1" pivotButton="0" quotePrefix="0" xfId="0">
      <alignment horizontal="right"/>
    </xf>
    <xf numFmtId="166" fontId="5" fillId="0" borderId="9" applyAlignment="1" pivotButton="0" quotePrefix="0" xfId="0">
      <alignment horizontal="right"/>
    </xf>
    <xf numFmtId="168" fontId="5" fillId="2" borderId="0" pivotButton="0" quotePrefix="0" xfId="0"/>
    <xf numFmtId="168" fontId="5" fillId="0" borderId="0" pivotButton="0" quotePrefix="0" xfId="0"/>
    <xf numFmtId="166" fontId="10" fillId="0" borderId="9" applyAlignment="1" pivotButton="0" quotePrefix="0" xfId="0">
      <alignment horizontal="right"/>
    </xf>
    <xf numFmtId="169" fontId="5" fillId="0" borderId="0" pivotButton="0" quotePrefix="0" xfId="0"/>
    <xf numFmtId="169" fontId="5" fillId="2" borderId="0" pivotButton="0" quotePrefix="0" xfId="0"/>
    <xf numFmtId="166" fontId="5" fillId="0" borderId="9" pivotButton="0" quotePrefix="0" xfId="0"/>
    <xf numFmtId="166" fontId="6" fillId="0" borderId="11" pivotButton="0" quotePrefix="0" xfId="0"/>
    <xf numFmtId="188" fontId="25" fillId="2" borderId="0" applyAlignment="1" pivotButton="0" quotePrefix="0" xfId="0">
      <alignment horizontal="right"/>
    </xf>
    <xf numFmtId="166" fontId="6" fillId="2" borderId="3" pivotButton="0" quotePrefix="0" xfId="0"/>
    <xf numFmtId="166" fontId="5" fillId="2" borderId="3" pivotButton="0" quotePrefix="0" xfId="0"/>
    <xf numFmtId="184" fontId="9" fillId="0" borderId="0" applyAlignment="1" pivotButton="0" quotePrefix="0" xfId="0">
      <alignment horizontal="left"/>
    </xf>
    <xf numFmtId="168" fontId="5" fillId="0" borderId="0" pivotButton="0" quotePrefix="0" xfId="3"/>
    <xf numFmtId="166" fontId="5" fillId="0" borderId="4" pivotButton="0" quotePrefix="0" xfId="0"/>
    <xf numFmtId="170" fontId="13" fillId="2" borderId="0" applyAlignment="1" pivotButton="0" quotePrefix="0" xfId="0">
      <alignment vertical="center"/>
    </xf>
    <xf numFmtId="173" fontId="7" fillId="2" borderId="0" applyAlignment="1" pivotButton="0" quotePrefix="0" xfId="0">
      <alignment vertical="center"/>
    </xf>
    <xf numFmtId="166" fontId="10" fillId="2" borderId="0" applyAlignment="1" pivotButton="0" quotePrefix="0" xfId="0">
      <alignment vertical="center"/>
    </xf>
    <xf numFmtId="166" fontId="6" fillId="2" borderId="0" applyAlignment="1" pivotButton="0" quotePrefix="0" xfId="0">
      <alignment horizontal="right"/>
    </xf>
    <xf numFmtId="171" fontId="13" fillId="2" borderId="0" applyAlignment="1" pivotButton="0" quotePrefix="0" xfId="0">
      <alignment vertical="center"/>
    </xf>
    <xf numFmtId="172" fontId="10" fillId="2" borderId="0" applyAlignment="1" pivotButton="0" quotePrefix="0" xfId="0">
      <alignment vertical="center"/>
    </xf>
    <xf numFmtId="166" fontId="9" fillId="0" borderId="4" pivotButton="0" quotePrefix="0" xfId="0"/>
    <xf numFmtId="190" fontId="7" fillId="2" borderId="0" applyAlignment="1" pivotButton="0" quotePrefix="0" xfId="0">
      <alignment horizontal="right" vertical="center"/>
    </xf>
    <xf numFmtId="166" fontId="11" fillId="0" borderId="1" pivotButton="0" quotePrefix="0" xfId="0"/>
    <xf numFmtId="166" fontId="11" fillId="2" borderId="0" pivotButton="0" quotePrefix="0" xfId="0"/>
    <xf numFmtId="166" fontId="5" fillId="0" borderId="5" pivotButton="0" quotePrefix="0" xfId="0"/>
    <xf numFmtId="166" fontId="10" fillId="2" borderId="5" applyAlignment="1" pivotButton="0" quotePrefix="0" xfId="0">
      <alignment vertical="center"/>
    </xf>
    <xf numFmtId="172" fontId="9" fillId="2" borderId="0" applyAlignment="1" pivotButton="0" quotePrefix="0" xfId="0">
      <alignment vertical="center"/>
    </xf>
    <xf numFmtId="165" fontId="5" fillId="0" borderId="0" pivotButton="0" quotePrefix="0" xfId="0"/>
    <xf numFmtId="165" fontId="9" fillId="0" borderId="0" applyAlignment="1" pivotButton="0" quotePrefix="0" xfId="0">
      <alignment horizontal="right"/>
    </xf>
    <xf numFmtId="173" fontId="9" fillId="0" borderId="0" applyAlignment="1" pivotButton="0" quotePrefix="0" xfId="0">
      <alignment horizontal="right"/>
    </xf>
    <xf numFmtId="174" fontId="9" fillId="0" borderId="0" applyAlignment="1" pivotButton="0" quotePrefix="0" xfId="0">
      <alignment horizontal="left"/>
    </xf>
    <xf numFmtId="166" fontId="11" fillId="0" borderId="0" pivotButton="0" quotePrefix="0" xfId="0"/>
    <xf numFmtId="176" fontId="8" fillId="0" borderId="0" pivotButton="0" quotePrefix="0" xfId="3"/>
    <xf numFmtId="166" fontId="14" fillId="2" borderId="0" applyAlignment="1" pivotButton="0" quotePrefix="0" xfId="0">
      <alignment horizontal="right"/>
    </xf>
    <xf numFmtId="175" fontId="10" fillId="2" borderId="0" applyAlignment="1" pivotButton="0" quotePrefix="0" xfId="0">
      <alignment horizontal="right"/>
    </xf>
    <xf numFmtId="166" fontId="10" fillId="2" borderId="0" applyAlignment="1" pivotButton="0" quotePrefix="0" xfId="0">
      <alignment horizontal="right"/>
    </xf>
    <xf numFmtId="166" fontId="3" fillId="2" borderId="1" applyAlignment="1" pivotButton="0" quotePrefix="0" xfId="0">
      <alignment horizontal="right"/>
    </xf>
    <xf numFmtId="175" fontId="3" fillId="2" borderId="1" applyAlignment="1" pivotButton="0" quotePrefix="0" xfId="0">
      <alignment horizontal="right"/>
    </xf>
    <xf numFmtId="175" fontId="6" fillId="2" borderId="0" applyAlignment="1" pivotButton="0" quotePrefix="0" xfId="0">
      <alignment horizontal="center"/>
    </xf>
    <xf numFmtId="166" fontId="6" fillId="2" borderId="0" applyAlignment="1" pivotButton="0" quotePrefix="0" xfId="0">
      <alignment horizontal="center"/>
    </xf>
    <xf numFmtId="166" fontId="16" fillId="0" borderId="1" pivotButton="0" quotePrefix="0" xfId="0"/>
    <xf numFmtId="166" fontId="16" fillId="2" borderId="0" pivotButton="0" quotePrefix="0" xfId="0"/>
    <xf numFmtId="166" fontId="9" fillId="2" borderId="0" applyAlignment="1" pivotButton="0" quotePrefix="0" xfId="1">
      <alignment horizontal="right"/>
    </xf>
    <xf numFmtId="189" fontId="10" fillId="2" borderId="0" applyAlignment="1" pivotButton="0" quotePrefix="0" xfId="2">
      <alignment horizontal="right"/>
    </xf>
    <xf numFmtId="166" fontId="9" fillId="2" borderId="0" applyAlignment="1" pivotButton="0" quotePrefix="0" xfId="0">
      <alignment horizontal="right"/>
    </xf>
    <xf numFmtId="166" fontId="5" fillId="2" borderId="0" applyAlignment="1" pivotButton="0" quotePrefix="0" xfId="0">
      <alignment horizontal="right"/>
    </xf>
    <xf numFmtId="189" fontId="10" fillId="2" borderId="1" applyAlignment="1" pivotButton="0" quotePrefix="0" xfId="2">
      <alignment horizontal="right"/>
    </xf>
    <xf numFmtId="166" fontId="6" fillId="2" borderId="1" applyAlignment="1" pivotButton="0" quotePrefix="0" xfId="0">
      <alignment horizontal="right"/>
    </xf>
    <xf numFmtId="177" fontId="6" fillId="4" borderId="0" applyAlignment="1" pivotButton="0" quotePrefix="0" xfId="0">
      <alignment horizontal="right"/>
    </xf>
    <xf numFmtId="173" fontId="5" fillId="0" borderId="0" pivotButton="0" quotePrefix="0" xfId="2"/>
    <xf numFmtId="167" fontId="8" fillId="2" borderId="0" pivotButton="0" quotePrefix="0" xfId="0"/>
    <xf numFmtId="167" fontId="8" fillId="0" borderId="0" pivotButton="0" quotePrefix="0" xfId="0"/>
    <xf numFmtId="167" fontId="6" fillId="2" borderId="0" pivotButton="0" quotePrefix="0" xfId="0"/>
    <xf numFmtId="167" fontId="6" fillId="0" borderId="0" pivotButton="0" quotePrefix="0" xfId="0"/>
    <xf numFmtId="167" fontId="6" fillId="0" borderId="4" pivotButton="0" quotePrefix="0" xfId="0"/>
    <xf numFmtId="178" fontId="9" fillId="2" borderId="0" applyAlignment="1" pivotButton="0" quotePrefix="0" xfId="0">
      <alignment horizontal="right"/>
    </xf>
    <xf numFmtId="166" fontId="9" fillId="2" borderId="0" applyAlignment="1" pivotButton="0" quotePrefix="0" xfId="0">
      <alignment horizontal="center"/>
    </xf>
    <xf numFmtId="179" fontId="9" fillId="2" borderId="0" applyAlignment="1" pivotButton="0" quotePrefix="0" xfId="0">
      <alignment horizontal="center"/>
    </xf>
    <xf numFmtId="180" fontId="5" fillId="2" borderId="0" applyAlignment="1" pivotButton="0" quotePrefix="0" xfId="0">
      <alignment horizontal="center"/>
    </xf>
    <xf numFmtId="166" fontId="5" fillId="2" borderId="0" applyAlignment="1" pivotButton="0" quotePrefix="0" xfId="0">
      <alignment horizontal="center"/>
    </xf>
    <xf numFmtId="175" fontId="5" fillId="0" borderId="0" pivotButton="0" quotePrefix="0" xfId="0"/>
    <xf numFmtId="166" fontId="18" fillId="0" borderId="1" pivotButton="0" quotePrefix="0" xfId="4"/>
    <xf numFmtId="166" fontId="20" fillId="0" borderId="1" pivotButton="0" quotePrefix="0" xfId="0"/>
    <xf numFmtId="166" fontId="20" fillId="2" borderId="0" pivotButton="0" quotePrefix="0" xfId="0"/>
    <xf numFmtId="166" fontId="18" fillId="2" borderId="0" pivotButton="0" quotePrefix="0" xfId="4"/>
    <xf numFmtId="166" fontId="18" fillId="2" borderId="1" pivotButton="0" quotePrefix="0" xfId="4"/>
    <xf numFmtId="166" fontId="18" fillId="0" borderId="0" pivotButton="0" quotePrefix="0" xfId="4"/>
    <xf numFmtId="165" fontId="6" fillId="2" borderId="0" pivotButton="0" quotePrefix="0" xfId="2"/>
    <xf numFmtId="165" fontId="6" fillId="0" borderId="0" pivotButton="0" quotePrefix="0" xfId="2"/>
    <xf numFmtId="166" fontId="20" fillId="0" borderId="0" pivotButton="0" quotePrefix="0" xfId="0"/>
    <xf numFmtId="166" fontId="17" fillId="0" borderId="0" pivotButton="0" quotePrefix="0" xfId="0"/>
    <xf numFmtId="166" fontId="17" fillId="2" borderId="0" pivotButton="0" quotePrefix="0" xfId="0"/>
    <xf numFmtId="181" fontId="9" fillId="2" borderId="0" applyAlignment="1" pivotButton="0" quotePrefix="0" xfId="0">
      <alignment horizontal="right"/>
    </xf>
    <xf numFmtId="182" fontId="9" fillId="2" borderId="0" applyAlignment="1" pivotButton="0" quotePrefix="0" xfId="0">
      <alignment horizontal="right"/>
    </xf>
    <xf numFmtId="166" fontId="8" fillId="2" borderId="0" pivotButton="0" quotePrefix="0" xfId="0"/>
    <xf numFmtId="175" fontId="8" fillId="0" borderId="0" pivotButton="0" quotePrefix="0" xfId="0"/>
    <xf numFmtId="166" fontId="3" fillId="2" borderId="0" pivotButton="0" quotePrefix="0" xfId="0"/>
    <xf numFmtId="166" fontId="3" fillId="0" borderId="0" pivotButton="0" quotePrefix="0" xfId="0"/>
  </cellXfs>
  <cellStyles count="10">
    <cellStyle name="Normal" xfId="0" builtinId="0"/>
    <cellStyle name="Comma" xfId="1" builtinId="3"/>
    <cellStyle name="Percent" xfId="2" builtinId="5"/>
    <cellStyle name="Percent 104" xfId="3"/>
    <cellStyle name="Normal 5" xfId="4"/>
    <cellStyle name="Percent 3 2 2" xfId="5"/>
    <cellStyle name="Normal 2" xfId="6"/>
    <cellStyle name="Normal 4" xfId="7"/>
    <cellStyle name="Normal 3" xfId="8"/>
    <cellStyle name="Comma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tockbridge">
  <a:themeElements>
    <a:clrScheme name="Excel - Stockbridge">
      <a:dk1>
        <a:srgbClr val="000000"/>
      </a:dk1>
      <a:lt1>
        <a:srgbClr val="FFFFFF"/>
      </a:lt1>
      <a:dk2>
        <a:srgbClr val="102640"/>
      </a:dk2>
      <a:lt2>
        <a:srgbClr val="204D84"/>
      </a:lt2>
      <a:accent1>
        <a:srgbClr val="102640"/>
      </a:accent1>
      <a:accent2>
        <a:srgbClr val="204D84"/>
      </a:accent2>
      <a:accent3>
        <a:srgbClr val="A0B6C8"/>
      </a:accent3>
      <a:accent4>
        <a:srgbClr val="414651"/>
      </a:accent4>
      <a:accent5>
        <a:srgbClr val="7D8597"/>
      </a:accent5>
      <a:accent6>
        <a:srgbClr val="CDCCCE"/>
      </a:accent6>
      <a:hlink>
        <a:srgbClr val="464646"/>
      </a:hlink>
      <a:folHlink>
        <a:srgbClr val="464646"/>
      </a:folHlink>
    </a:clrScheme>
    <a:fontScheme name="Stockbridge">
      <a:majorFont>
        <a:latin typeface="Century Gothic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EX219"/>
  <sheetViews>
    <sheetView showGridLines="0" tabSelected="1" zoomScale="67" zoomScaleNormal="67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8" defaultColWidth="8.9375" defaultRowHeight="14.25"/>
  <cols>
    <col width="3.703125" customWidth="1" style="9" min="1" max="1"/>
    <col width="5.05859375" bestFit="1" customWidth="1" style="9" min="2" max="2"/>
    <col width="38.41015625" bestFit="1" customWidth="1" style="9" min="3" max="3"/>
    <col width="23.9375" bestFit="1" customWidth="1" style="9" min="4" max="4"/>
    <col width="17" bestFit="1" customWidth="1" style="9" min="5" max="5"/>
    <col width="18" bestFit="1" customWidth="1" style="9" min="6" max="6"/>
    <col width="20.46875" bestFit="1" customWidth="1" style="9" min="7" max="7"/>
    <col width="15.703125" customWidth="1" style="9" min="8" max="8"/>
    <col width="3.64453125" customWidth="1" style="12" min="9" max="9"/>
    <col width="22.9375" bestFit="1" customWidth="1" style="9" min="10" max="10"/>
    <col width="15.703125" customWidth="1" style="9" min="11" max="11"/>
    <col width="1.64453125" customWidth="1" style="12" min="12" max="12"/>
    <col width="15.703125" customWidth="1" style="25" min="13" max="13"/>
    <col width="1.64453125" customWidth="1" style="12" min="14" max="14"/>
    <col hidden="1" outlineLevel="1" width="15.703125" customWidth="1" style="9" min="15" max="20"/>
    <col hidden="1" outlineLevel="1" width="1.64453125" customWidth="1" style="12" min="21" max="21"/>
    <col collapsed="1" width="15.703125" customWidth="1" style="9" min="22" max="22"/>
    <col width="15.703125" customWidth="1" style="9" min="23" max="154"/>
    <col width="8.9375" customWidth="1" style="9" min="155" max="170"/>
    <col width="8.9375" customWidth="1" style="9" min="171" max="16359"/>
    <col width="4.76171875" customWidth="1" style="9" min="16360" max="16384"/>
  </cols>
  <sheetData>
    <row r="1" customFormat="1" s="1">
      <c r="D1" s="2" t="n"/>
      <c r="E1" s="2" t="n"/>
      <c r="F1" s="3" t="n"/>
      <c r="G1" s="3" t="n"/>
      <c r="H1" s="3" t="n"/>
      <c r="I1" s="4" t="n"/>
      <c r="J1" s="3" t="n"/>
      <c r="K1" s="3" t="n"/>
      <c r="L1" s="4" t="n"/>
      <c r="M1" s="3" t="n"/>
      <c r="N1" s="4" t="n"/>
      <c r="O1" s="3" t="n"/>
      <c r="P1" s="3" t="n"/>
      <c r="Q1" s="3" t="n"/>
      <c r="R1" s="3" t="n"/>
      <c r="S1" s="3" t="n"/>
      <c r="T1" s="3" t="n"/>
      <c r="U1" s="4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</row>
    <row r="2" customFormat="1" s="1">
      <c r="D2" s="2" t="n"/>
      <c r="E2" s="2" t="n"/>
      <c r="F2" s="5" t="n"/>
      <c r="G2" s="5" t="n"/>
      <c r="H2" s="5" t="n"/>
      <c r="I2" s="6" t="n"/>
      <c r="J2" s="5" t="n"/>
      <c r="K2" s="5" t="n"/>
      <c r="L2" s="6" t="n"/>
      <c r="M2" s="3" t="n"/>
      <c r="N2" s="6" t="n"/>
      <c r="O2" s="5" t="n"/>
      <c r="P2" s="5" t="n"/>
      <c r="Q2" s="5" t="n"/>
      <c r="R2" s="5" t="n"/>
      <c r="S2" s="5" t="n"/>
      <c r="T2" s="5" t="n"/>
      <c r="U2" s="6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5" t="n"/>
      <c r="DL2" s="5" t="n"/>
      <c r="DM2" s="5" t="n"/>
      <c r="DN2" s="5" t="n"/>
      <c r="DO2" s="5" t="n"/>
      <c r="DP2" s="5" t="n"/>
      <c r="DQ2" s="5" t="n"/>
      <c r="DR2" s="5" t="n"/>
      <c r="DS2" s="5" t="n"/>
      <c r="DT2" s="5" t="n"/>
      <c r="DU2" s="5" t="n"/>
      <c r="DV2" s="5" t="n"/>
      <c r="DW2" s="5" t="n"/>
      <c r="DX2" s="5" t="n"/>
      <c r="DY2" s="5" t="n"/>
      <c r="DZ2" s="5" t="n"/>
      <c r="EA2" s="5" t="n"/>
      <c r="EB2" s="5" t="n"/>
      <c r="EC2" s="5" t="n"/>
      <c r="ED2" s="5" t="n"/>
      <c r="EE2" s="5" t="n"/>
      <c r="EF2" s="5" t="n"/>
    </row>
    <row r="3">
      <c r="C3" s="7" t="inlineStr">
        <is>
          <t>Base Assumptions</t>
        </is>
      </c>
      <c r="D3" s="7" t="n"/>
      <c r="E3" s="7" t="n"/>
      <c r="F3" s="7" t="n"/>
      <c r="G3" s="7" t="n"/>
      <c r="H3" s="7" t="n"/>
      <c r="I3" s="8" t="n"/>
      <c r="J3" s="7" t="inlineStr">
        <is>
          <t>Yr</t>
        </is>
      </c>
      <c r="K3" s="7" t="n"/>
      <c r="L3" s="8" t="n"/>
      <c r="M3" s="197" t="n"/>
      <c r="N3" s="20" t="n"/>
      <c r="O3" s="19" t="n"/>
      <c r="P3" s="19" t="n"/>
      <c r="Q3" s="19" t="n"/>
      <c r="R3" s="19" t="n"/>
      <c r="S3" s="19" t="n"/>
      <c r="T3" s="19" t="n"/>
      <c r="U3" s="20" t="n"/>
      <c r="V3" s="21" t="n">
        <v>0</v>
      </c>
      <c r="W3" s="21" t="n">
        <v>1</v>
      </c>
      <c r="X3" s="21" t="n">
        <v>1</v>
      </c>
      <c r="Y3" s="21" t="n">
        <v>1</v>
      </c>
      <c r="Z3" s="21" t="n">
        <v>1</v>
      </c>
      <c r="AA3" s="21" t="n">
        <v>1</v>
      </c>
      <c r="AB3" s="21" t="n">
        <v>1</v>
      </c>
      <c r="AC3" s="21" t="n">
        <v>1</v>
      </c>
      <c r="AD3" s="21" t="n">
        <v>1</v>
      </c>
      <c r="AE3" s="21" t="n">
        <v>1</v>
      </c>
      <c r="AF3" s="21" t="n">
        <v>1</v>
      </c>
      <c r="AG3" s="21" t="n">
        <v>1</v>
      </c>
      <c r="AH3" s="21" t="n">
        <v>1</v>
      </c>
      <c r="AI3" s="21">
        <f>W3+1</f>
        <v/>
      </c>
      <c r="AJ3" s="21">
        <f>X3+1</f>
        <v/>
      </c>
      <c r="AK3" s="21">
        <f>Y3+1</f>
        <v/>
      </c>
      <c r="AL3" s="21">
        <f>Z3+1</f>
        <v/>
      </c>
      <c r="AM3" s="21">
        <f>AA3+1</f>
        <v/>
      </c>
      <c r="AN3" s="21">
        <f>AB3+1</f>
        <v/>
      </c>
      <c r="AO3" s="21">
        <f>AC3+1</f>
        <v/>
      </c>
      <c r="AP3" s="21">
        <f>AD3+1</f>
        <v/>
      </c>
      <c r="AQ3" s="21">
        <f>AE3+1</f>
        <v/>
      </c>
      <c r="AR3" s="21">
        <f>AF3+1</f>
        <v/>
      </c>
      <c r="AS3" s="21">
        <f>AG3+1</f>
        <v/>
      </c>
      <c r="AT3" s="21">
        <f>AH3+1</f>
        <v/>
      </c>
      <c r="AU3" s="21">
        <f>AI3+1</f>
        <v/>
      </c>
      <c r="AV3" s="21">
        <f>AJ3+1</f>
        <v/>
      </c>
      <c r="AW3" s="21">
        <f>AK3+1</f>
        <v/>
      </c>
      <c r="AX3" s="21">
        <f>AL3+1</f>
        <v/>
      </c>
      <c r="AY3" s="21">
        <f>AM3+1</f>
        <v/>
      </c>
      <c r="AZ3" s="21">
        <f>AN3+1</f>
        <v/>
      </c>
      <c r="BA3" s="21">
        <f>AO3+1</f>
        <v/>
      </c>
      <c r="BB3" s="21">
        <f>AP3+1</f>
        <v/>
      </c>
      <c r="BC3" s="21">
        <f>AQ3+1</f>
        <v/>
      </c>
      <c r="BD3" s="21">
        <f>AR3+1</f>
        <v/>
      </c>
      <c r="BE3" s="21">
        <f>AS3+1</f>
        <v/>
      </c>
      <c r="BF3" s="21">
        <f>AT3+1</f>
        <v/>
      </c>
      <c r="BG3" s="21">
        <f>AU3+1</f>
        <v/>
      </c>
      <c r="BH3" s="21">
        <f>AV3+1</f>
        <v/>
      </c>
      <c r="BI3" s="21">
        <f>AW3+1</f>
        <v/>
      </c>
      <c r="BJ3" s="21">
        <f>AX3+1</f>
        <v/>
      </c>
      <c r="BK3" s="21">
        <f>AY3+1</f>
        <v/>
      </c>
      <c r="BL3" s="21">
        <f>AZ3+1</f>
        <v/>
      </c>
      <c r="BM3" s="21">
        <f>BA3+1</f>
        <v/>
      </c>
      <c r="BN3" s="21">
        <f>BB3+1</f>
        <v/>
      </c>
      <c r="BO3" s="21">
        <f>BC3+1</f>
        <v/>
      </c>
      <c r="BP3" s="21">
        <f>BD3+1</f>
        <v/>
      </c>
      <c r="BQ3" s="21">
        <f>BE3+1</f>
        <v/>
      </c>
      <c r="BR3" s="21">
        <f>BF3+1</f>
        <v/>
      </c>
      <c r="BS3" s="21">
        <f>BG3+1</f>
        <v/>
      </c>
      <c r="BT3" s="21">
        <f>BH3+1</f>
        <v/>
      </c>
      <c r="BU3" s="21">
        <f>BI3+1</f>
        <v/>
      </c>
      <c r="BV3" s="21">
        <f>BJ3+1</f>
        <v/>
      </c>
      <c r="BW3" s="21">
        <f>BK3+1</f>
        <v/>
      </c>
      <c r="BX3" s="21">
        <f>BL3+1</f>
        <v/>
      </c>
      <c r="BY3" s="21">
        <f>BM3+1</f>
        <v/>
      </c>
      <c r="BZ3" s="21">
        <f>BN3+1</f>
        <v/>
      </c>
      <c r="CA3" s="21">
        <f>BO3+1</f>
        <v/>
      </c>
      <c r="CB3" s="21">
        <f>BP3+1</f>
        <v/>
      </c>
      <c r="CC3" s="21">
        <f>BQ3+1</f>
        <v/>
      </c>
      <c r="CD3" s="21">
        <f>BR3+1</f>
        <v/>
      </c>
      <c r="CE3" s="21">
        <f>BS3+1</f>
        <v/>
      </c>
      <c r="CF3" s="21">
        <f>BT3+1</f>
        <v/>
      </c>
      <c r="CG3" s="21">
        <f>BU3+1</f>
        <v/>
      </c>
      <c r="CH3" s="21">
        <f>BV3+1</f>
        <v/>
      </c>
      <c r="CI3" s="21">
        <f>BW3+1</f>
        <v/>
      </c>
      <c r="CJ3" s="21">
        <f>BX3+1</f>
        <v/>
      </c>
      <c r="CK3" s="21">
        <f>BY3+1</f>
        <v/>
      </c>
      <c r="CL3" s="21">
        <f>BZ3+1</f>
        <v/>
      </c>
      <c r="CM3" s="21">
        <f>CA3+1</f>
        <v/>
      </c>
      <c r="CN3" s="21">
        <f>CB3+1</f>
        <v/>
      </c>
      <c r="CO3" s="21">
        <f>CC3+1</f>
        <v/>
      </c>
      <c r="CP3" s="21">
        <f>CD3+1</f>
        <v/>
      </c>
      <c r="CQ3" s="21">
        <f>CE3+1</f>
        <v/>
      </c>
      <c r="CR3" s="21">
        <f>CF3+1</f>
        <v/>
      </c>
      <c r="CS3" s="21">
        <f>CG3+1</f>
        <v/>
      </c>
      <c r="CT3" s="21">
        <f>CH3+1</f>
        <v/>
      </c>
      <c r="CU3" s="21">
        <f>CI3+1</f>
        <v/>
      </c>
      <c r="CV3" s="21">
        <f>CJ3+1</f>
        <v/>
      </c>
      <c r="CW3" s="21">
        <f>CK3+1</f>
        <v/>
      </c>
      <c r="CX3" s="21">
        <f>CL3+1</f>
        <v/>
      </c>
      <c r="CY3" s="21">
        <f>CM3+1</f>
        <v/>
      </c>
      <c r="CZ3" s="21">
        <f>CN3+1</f>
        <v/>
      </c>
      <c r="DA3" s="21">
        <f>CO3+1</f>
        <v/>
      </c>
      <c r="DB3" s="21">
        <f>CP3+1</f>
        <v/>
      </c>
      <c r="DC3" s="21">
        <f>CQ3+1</f>
        <v/>
      </c>
      <c r="DD3" s="21">
        <f>CR3+1</f>
        <v/>
      </c>
      <c r="DE3" s="21">
        <f>CS3+1</f>
        <v/>
      </c>
      <c r="DF3" s="21">
        <f>CT3+1</f>
        <v/>
      </c>
      <c r="DG3" s="21">
        <f>CU3+1</f>
        <v/>
      </c>
      <c r="DH3" s="21">
        <f>CV3+1</f>
        <v/>
      </c>
      <c r="DI3" s="21">
        <f>CW3+1</f>
        <v/>
      </c>
      <c r="DJ3" s="21">
        <f>CX3+1</f>
        <v/>
      </c>
      <c r="DK3" s="21">
        <f>CY3+1</f>
        <v/>
      </c>
      <c r="DL3" s="21">
        <f>CZ3+1</f>
        <v/>
      </c>
      <c r="DM3" s="21">
        <f>DA3+1</f>
        <v/>
      </c>
      <c r="DN3" s="21">
        <f>DB3+1</f>
        <v/>
      </c>
      <c r="DO3" s="21">
        <f>DC3+1</f>
        <v/>
      </c>
      <c r="DP3" s="21">
        <f>DD3+1</f>
        <v/>
      </c>
      <c r="DQ3" s="21">
        <f>DE3+1</f>
        <v/>
      </c>
      <c r="DR3" s="21">
        <f>DF3+1</f>
        <v/>
      </c>
      <c r="DS3" s="21">
        <f>DG3+1</f>
        <v/>
      </c>
      <c r="DT3" s="21">
        <f>DH3+1</f>
        <v/>
      </c>
      <c r="DU3" s="21">
        <f>DI3+1</f>
        <v/>
      </c>
      <c r="DV3" s="21">
        <f>DJ3+1</f>
        <v/>
      </c>
      <c r="DW3" s="21">
        <f>DK3+1</f>
        <v/>
      </c>
      <c r="DX3" s="21">
        <f>DL3+1</f>
        <v/>
      </c>
      <c r="DY3" s="21">
        <f>DM3+1</f>
        <v/>
      </c>
      <c r="DZ3" s="21">
        <f>DN3+1</f>
        <v/>
      </c>
      <c r="EA3" s="21">
        <f>DO3+1</f>
        <v/>
      </c>
      <c r="EB3" s="21">
        <f>DP3+1</f>
        <v/>
      </c>
      <c r="EC3" s="21">
        <f>DQ3+1</f>
        <v/>
      </c>
      <c r="ED3" s="21">
        <f>DR3+1</f>
        <v/>
      </c>
      <c r="EE3" s="21">
        <f>DS3+1</f>
        <v/>
      </c>
      <c r="EF3" s="21">
        <f>DT3+1</f>
        <v/>
      </c>
      <c r="EG3" s="21">
        <f>DU3+1</f>
        <v/>
      </c>
      <c r="EH3" s="21">
        <f>DV3+1</f>
        <v/>
      </c>
      <c r="EI3" s="21">
        <f>DW3+1</f>
        <v/>
      </c>
      <c r="EJ3" s="21">
        <f>DX3+1</f>
        <v/>
      </c>
      <c r="EK3" s="21">
        <f>DY3+1</f>
        <v/>
      </c>
      <c r="EL3" s="21">
        <f>DZ3+1</f>
        <v/>
      </c>
      <c r="EM3" s="21">
        <f>EA3+1</f>
        <v/>
      </c>
      <c r="EN3" s="21">
        <f>EB3+1</f>
        <v/>
      </c>
      <c r="EO3" s="21">
        <f>EC3+1</f>
        <v/>
      </c>
      <c r="EP3" s="21">
        <f>ED3+1</f>
        <v/>
      </c>
      <c r="EQ3" s="21">
        <f>EE3+1</f>
        <v/>
      </c>
      <c r="ER3" s="21">
        <f>EF3+1</f>
        <v/>
      </c>
      <c r="ES3" s="21">
        <f>EG3+1</f>
        <v/>
      </c>
      <c r="ET3" s="21">
        <f>EH3+1</f>
        <v/>
      </c>
      <c r="EU3" s="21">
        <f>EI3+1</f>
        <v/>
      </c>
      <c r="EV3" s="21">
        <f>EJ3+1</f>
        <v/>
      </c>
      <c r="EW3" s="21">
        <f>EK3+1</f>
        <v/>
      </c>
      <c r="EX3" s="21">
        <f>EL3+1</f>
        <v/>
      </c>
    </row>
    <row r="4">
      <c r="C4" s="10" t="inlineStr">
        <is>
          <t>#</t>
        </is>
      </c>
      <c r="D4" s="11" t="n">
        <v>101</v>
      </c>
      <c r="E4" s="12" t="n"/>
      <c r="J4" s="7" t="inlineStr">
        <is>
          <t>Mo</t>
        </is>
      </c>
      <c r="K4" s="7" t="n"/>
      <c r="L4" s="8" t="n"/>
      <c r="M4" s="197" t="n"/>
      <c r="N4" s="20" t="n"/>
      <c r="O4" s="19" t="n"/>
      <c r="P4" s="19" t="n"/>
      <c r="Q4" s="19" t="n"/>
      <c r="R4" s="19" t="n"/>
      <c r="S4" s="19" t="n"/>
      <c r="T4" s="19" t="n"/>
      <c r="U4" s="20" t="n"/>
      <c r="V4" s="21" t="n">
        <v>0</v>
      </c>
      <c r="W4" s="21">
        <f>V4+1</f>
        <v/>
      </c>
      <c r="X4" s="21">
        <f>W4+1</f>
        <v/>
      </c>
      <c r="Y4" s="21">
        <f>X4+1</f>
        <v/>
      </c>
      <c r="Z4" s="21">
        <f>Y4+1</f>
        <v/>
      </c>
      <c r="AA4" s="21">
        <f>Z4+1</f>
        <v/>
      </c>
      <c r="AB4" s="21">
        <f>AA4+1</f>
        <v/>
      </c>
      <c r="AC4" s="21">
        <f>AB4+1</f>
        <v/>
      </c>
      <c r="AD4" s="21">
        <f>AC4+1</f>
        <v/>
      </c>
      <c r="AE4" s="21">
        <f>AD4+1</f>
        <v/>
      </c>
      <c r="AF4" s="21">
        <f>AE4+1</f>
        <v/>
      </c>
      <c r="AG4" s="21">
        <f>AF4+1</f>
        <v/>
      </c>
      <c r="AH4" s="21">
        <f>AG4+1</f>
        <v/>
      </c>
      <c r="AI4" s="21">
        <f>AH4+1</f>
        <v/>
      </c>
      <c r="AJ4" s="21">
        <f>AI4+1</f>
        <v/>
      </c>
      <c r="AK4" s="21">
        <f>AJ4+1</f>
        <v/>
      </c>
      <c r="AL4" s="21">
        <f>AK4+1</f>
        <v/>
      </c>
      <c r="AM4" s="21">
        <f>AL4+1</f>
        <v/>
      </c>
      <c r="AN4" s="21">
        <f>AM4+1</f>
        <v/>
      </c>
      <c r="AO4" s="21">
        <f>AN4+1</f>
        <v/>
      </c>
      <c r="AP4" s="21">
        <f>AO4+1</f>
        <v/>
      </c>
      <c r="AQ4" s="21">
        <f>AP4+1</f>
        <v/>
      </c>
      <c r="AR4" s="21">
        <f>AQ4+1</f>
        <v/>
      </c>
      <c r="AS4" s="21">
        <f>AR4+1</f>
        <v/>
      </c>
      <c r="AT4" s="21">
        <f>AS4+1</f>
        <v/>
      </c>
      <c r="AU4" s="21">
        <f>AT4+1</f>
        <v/>
      </c>
      <c r="AV4" s="21">
        <f>AU4+1</f>
        <v/>
      </c>
      <c r="AW4" s="21">
        <f>AV4+1</f>
        <v/>
      </c>
      <c r="AX4" s="21">
        <f>AW4+1</f>
        <v/>
      </c>
      <c r="AY4" s="21">
        <f>AX4+1</f>
        <v/>
      </c>
      <c r="AZ4" s="21">
        <f>AY4+1</f>
        <v/>
      </c>
      <c r="BA4" s="21">
        <f>AZ4+1</f>
        <v/>
      </c>
      <c r="BB4" s="21">
        <f>BA4+1</f>
        <v/>
      </c>
      <c r="BC4" s="21">
        <f>BB4+1</f>
        <v/>
      </c>
      <c r="BD4" s="21">
        <f>BC4+1</f>
        <v/>
      </c>
      <c r="BE4" s="21">
        <f>BD4+1</f>
        <v/>
      </c>
      <c r="BF4" s="21">
        <f>BE4+1</f>
        <v/>
      </c>
      <c r="BG4" s="21">
        <f>BF4+1</f>
        <v/>
      </c>
      <c r="BH4" s="21">
        <f>BG4+1</f>
        <v/>
      </c>
      <c r="BI4" s="21">
        <f>BH4+1</f>
        <v/>
      </c>
      <c r="BJ4" s="21">
        <f>BI4+1</f>
        <v/>
      </c>
      <c r="BK4" s="21">
        <f>BJ4+1</f>
        <v/>
      </c>
      <c r="BL4" s="21">
        <f>BK4+1</f>
        <v/>
      </c>
      <c r="BM4" s="21">
        <f>BL4+1</f>
        <v/>
      </c>
      <c r="BN4" s="21">
        <f>BM4+1</f>
        <v/>
      </c>
      <c r="BO4" s="21">
        <f>BN4+1</f>
        <v/>
      </c>
      <c r="BP4" s="21">
        <f>BO4+1</f>
        <v/>
      </c>
      <c r="BQ4" s="21">
        <f>BP4+1</f>
        <v/>
      </c>
      <c r="BR4" s="21">
        <f>BQ4+1</f>
        <v/>
      </c>
      <c r="BS4" s="21">
        <f>BR4+1</f>
        <v/>
      </c>
      <c r="BT4" s="21">
        <f>BS4+1</f>
        <v/>
      </c>
      <c r="BU4" s="21">
        <f>BT4+1</f>
        <v/>
      </c>
      <c r="BV4" s="21">
        <f>BU4+1</f>
        <v/>
      </c>
      <c r="BW4" s="21">
        <f>BV4+1</f>
        <v/>
      </c>
      <c r="BX4" s="21">
        <f>BW4+1</f>
        <v/>
      </c>
      <c r="BY4" s="21">
        <f>BX4+1</f>
        <v/>
      </c>
      <c r="BZ4" s="21">
        <f>BY4+1</f>
        <v/>
      </c>
      <c r="CA4" s="21">
        <f>BZ4+1</f>
        <v/>
      </c>
      <c r="CB4" s="21">
        <f>CA4+1</f>
        <v/>
      </c>
      <c r="CC4" s="21">
        <f>CB4+1</f>
        <v/>
      </c>
      <c r="CD4" s="21">
        <f>CC4+1</f>
        <v/>
      </c>
      <c r="CE4" s="21">
        <f>CD4+1</f>
        <v/>
      </c>
      <c r="CF4" s="21">
        <f>CE4+1</f>
        <v/>
      </c>
      <c r="CG4" s="21">
        <f>CF4+1</f>
        <v/>
      </c>
      <c r="CH4" s="21">
        <f>CG4+1</f>
        <v/>
      </c>
      <c r="CI4" s="21">
        <f>CH4+1</f>
        <v/>
      </c>
      <c r="CJ4" s="21">
        <f>CI4+1</f>
        <v/>
      </c>
      <c r="CK4" s="21">
        <f>CJ4+1</f>
        <v/>
      </c>
      <c r="CL4" s="21">
        <f>CK4+1</f>
        <v/>
      </c>
      <c r="CM4" s="21">
        <f>CL4+1</f>
        <v/>
      </c>
      <c r="CN4" s="21">
        <f>CM4+1</f>
        <v/>
      </c>
      <c r="CO4" s="21">
        <f>CN4+1</f>
        <v/>
      </c>
      <c r="CP4" s="21">
        <f>CO4+1</f>
        <v/>
      </c>
      <c r="CQ4" s="21">
        <f>CP4+1</f>
        <v/>
      </c>
      <c r="CR4" s="21">
        <f>CQ4+1</f>
        <v/>
      </c>
      <c r="CS4" s="21">
        <f>CR4+1</f>
        <v/>
      </c>
      <c r="CT4" s="21">
        <f>CS4+1</f>
        <v/>
      </c>
      <c r="CU4" s="21">
        <f>CT4+1</f>
        <v/>
      </c>
      <c r="CV4" s="21">
        <f>CU4+1</f>
        <v/>
      </c>
      <c r="CW4" s="21">
        <f>CV4+1</f>
        <v/>
      </c>
      <c r="CX4" s="21">
        <f>CW4+1</f>
        <v/>
      </c>
      <c r="CY4" s="21">
        <f>CX4+1</f>
        <v/>
      </c>
      <c r="CZ4" s="21">
        <f>CY4+1</f>
        <v/>
      </c>
      <c r="DA4" s="21">
        <f>CZ4+1</f>
        <v/>
      </c>
      <c r="DB4" s="21">
        <f>DA4+1</f>
        <v/>
      </c>
      <c r="DC4" s="21">
        <f>DB4+1</f>
        <v/>
      </c>
      <c r="DD4" s="21">
        <f>DC4+1</f>
        <v/>
      </c>
      <c r="DE4" s="21">
        <f>DD4+1</f>
        <v/>
      </c>
      <c r="DF4" s="21">
        <f>DE4+1</f>
        <v/>
      </c>
      <c r="DG4" s="21">
        <f>DF4+1</f>
        <v/>
      </c>
      <c r="DH4" s="21">
        <f>DG4+1</f>
        <v/>
      </c>
      <c r="DI4" s="21">
        <f>DH4+1</f>
        <v/>
      </c>
      <c r="DJ4" s="21">
        <f>DI4+1</f>
        <v/>
      </c>
      <c r="DK4" s="21">
        <f>DJ4+1</f>
        <v/>
      </c>
      <c r="DL4" s="21">
        <f>DK4+1</f>
        <v/>
      </c>
      <c r="DM4" s="21">
        <f>DL4+1</f>
        <v/>
      </c>
      <c r="DN4" s="21">
        <f>DM4+1</f>
        <v/>
      </c>
      <c r="DO4" s="21">
        <f>DN4+1</f>
        <v/>
      </c>
      <c r="DP4" s="21">
        <f>DO4+1</f>
        <v/>
      </c>
      <c r="DQ4" s="21">
        <f>DP4+1</f>
        <v/>
      </c>
      <c r="DR4" s="21">
        <f>DQ4+1</f>
        <v/>
      </c>
      <c r="DS4" s="21">
        <f>DR4+1</f>
        <v/>
      </c>
      <c r="DT4" s="21">
        <f>DS4+1</f>
        <v/>
      </c>
      <c r="DU4" s="21">
        <f>DT4+1</f>
        <v/>
      </c>
      <c r="DV4" s="21">
        <f>DU4+1</f>
        <v/>
      </c>
      <c r="DW4" s="21">
        <f>DV4+1</f>
        <v/>
      </c>
      <c r="DX4" s="21">
        <f>DW4+1</f>
        <v/>
      </c>
      <c r="DY4" s="21">
        <f>DX4+1</f>
        <v/>
      </c>
      <c r="DZ4" s="21">
        <f>DY4+1</f>
        <v/>
      </c>
      <c r="EA4" s="21">
        <f>DZ4+1</f>
        <v/>
      </c>
      <c r="EB4" s="21">
        <f>EA4+1</f>
        <v/>
      </c>
      <c r="EC4" s="21">
        <f>EB4+1</f>
        <v/>
      </c>
      <c r="ED4" s="21">
        <f>EC4+1</f>
        <v/>
      </c>
      <c r="EE4" s="21">
        <f>ED4+1</f>
        <v/>
      </c>
      <c r="EF4" s="21">
        <f>EE4+1</f>
        <v/>
      </c>
      <c r="EG4" s="21">
        <f>EF4+1</f>
        <v/>
      </c>
      <c r="EH4" s="21">
        <f>EG4+1</f>
        <v/>
      </c>
      <c r="EI4" s="21">
        <f>EH4+1</f>
        <v/>
      </c>
      <c r="EJ4" s="21">
        <f>EI4+1</f>
        <v/>
      </c>
      <c r="EK4" s="21">
        <f>EJ4+1</f>
        <v/>
      </c>
      <c r="EL4" s="21">
        <f>EK4+1</f>
        <v/>
      </c>
      <c r="EM4" s="21">
        <f>EL4+1</f>
        <v/>
      </c>
      <c r="EN4" s="21">
        <f>EM4+1</f>
        <v/>
      </c>
      <c r="EO4" s="21">
        <f>EN4+1</f>
        <v/>
      </c>
      <c r="EP4" s="21">
        <f>EO4+1</f>
        <v/>
      </c>
      <c r="EQ4" s="21">
        <f>EP4+1</f>
        <v/>
      </c>
      <c r="ER4" s="21">
        <f>EQ4+1</f>
        <v/>
      </c>
      <c r="ES4" s="21">
        <f>ER4+1</f>
        <v/>
      </c>
      <c r="ET4" s="21">
        <f>ES4+1</f>
        <v/>
      </c>
      <c r="EU4" s="21">
        <f>ET4+1</f>
        <v/>
      </c>
      <c r="EV4" s="21">
        <f>EU4+1</f>
        <v/>
      </c>
      <c r="EW4" s="21">
        <f>EV4+1</f>
        <v/>
      </c>
      <c r="EX4" s="21">
        <f>EW4+1</f>
        <v/>
      </c>
    </row>
    <row r="5">
      <c r="C5" s="13" t="inlineStr">
        <is>
          <t>Property Name:</t>
        </is>
      </c>
      <c r="D5" s="14" t="n"/>
      <c r="E5" s="15" t="n"/>
      <c r="F5" s="14" t="n"/>
      <c r="J5" s="7" t="inlineStr">
        <is>
          <t>Calendar Year</t>
        </is>
      </c>
      <c r="K5" s="7" t="n"/>
      <c r="L5" s="8" t="n"/>
      <c r="M5" s="197" t="n"/>
      <c r="N5" s="20" t="n"/>
      <c r="O5" s="19" t="n"/>
      <c r="P5" s="19" t="n"/>
      <c r="Q5" s="19" t="n"/>
      <c r="R5" s="19" t="n"/>
      <c r="S5" s="19" t="n"/>
      <c r="T5" s="19" t="n"/>
      <c r="U5" s="20" t="n"/>
      <c r="V5" s="7">
        <f>YEAR(V6)</f>
        <v/>
      </c>
      <c r="W5" s="7">
        <f>YEAR(W6)</f>
        <v/>
      </c>
      <c r="X5" s="7">
        <f>YEAR(X6)</f>
        <v/>
      </c>
      <c r="Y5" s="7">
        <f>YEAR(Y6)</f>
        <v/>
      </c>
      <c r="Z5" s="7">
        <f>YEAR(Z6)</f>
        <v/>
      </c>
      <c r="AA5" s="7">
        <f>YEAR(AA6)</f>
        <v/>
      </c>
      <c r="AB5" s="7">
        <f>YEAR(AB6)</f>
        <v/>
      </c>
      <c r="AC5" s="7">
        <f>YEAR(AC6)</f>
        <v/>
      </c>
      <c r="AD5" s="7">
        <f>YEAR(AD6)</f>
        <v/>
      </c>
      <c r="AE5" s="7">
        <f>YEAR(AE6)</f>
        <v/>
      </c>
      <c r="AF5" s="7">
        <f>YEAR(AF6)</f>
        <v/>
      </c>
      <c r="AG5" s="7">
        <f>YEAR(AG6)</f>
        <v/>
      </c>
      <c r="AH5" s="7">
        <f>YEAR(AH6)</f>
        <v/>
      </c>
      <c r="AI5" s="7">
        <f>YEAR(AI6)</f>
        <v/>
      </c>
      <c r="AJ5" s="7">
        <f>YEAR(AJ6)</f>
        <v/>
      </c>
      <c r="AK5" s="7">
        <f>YEAR(AK6)</f>
        <v/>
      </c>
      <c r="AL5" s="7">
        <f>YEAR(AL6)</f>
        <v/>
      </c>
      <c r="AM5" s="7">
        <f>YEAR(AM6)</f>
        <v/>
      </c>
      <c r="AN5" s="7">
        <f>YEAR(AN6)</f>
        <v/>
      </c>
      <c r="AO5" s="7">
        <f>YEAR(AO6)</f>
        <v/>
      </c>
      <c r="AP5" s="7">
        <f>YEAR(AP6)</f>
        <v/>
      </c>
      <c r="AQ5" s="7">
        <f>YEAR(AQ6)</f>
        <v/>
      </c>
      <c r="AR5" s="7">
        <f>YEAR(AR6)</f>
        <v/>
      </c>
      <c r="AS5" s="7">
        <f>YEAR(AS6)</f>
        <v/>
      </c>
      <c r="AT5" s="7">
        <f>YEAR(AT6)</f>
        <v/>
      </c>
      <c r="AU5" s="7">
        <f>YEAR(AU6)</f>
        <v/>
      </c>
      <c r="AV5" s="7">
        <f>YEAR(AV6)</f>
        <v/>
      </c>
      <c r="AW5" s="7">
        <f>YEAR(AW6)</f>
        <v/>
      </c>
      <c r="AX5" s="7">
        <f>YEAR(AX6)</f>
        <v/>
      </c>
      <c r="AY5" s="7">
        <f>YEAR(AY6)</f>
        <v/>
      </c>
      <c r="AZ5" s="7">
        <f>YEAR(AZ6)</f>
        <v/>
      </c>
      <c r="BA5" s="7">
        <f>YEAR(BA6)</f>
        <v/>
      </c>
      <c r="BB5" s="7">
        <f>YEAR(BB6)</f>
        <v/>
      </c>
      <c r="BC5" s="7">
        <f>YEAR(BC6)</f>
        <v/>
      </c>
      <c r="BD5" s="7">
        <f>YEAR(BD6)</f>
        <v/>
      </c>
      <c r="BE5" s="7">
        <f>YEAR(BE6)</f>
        <v/>
      </c>
      <c r="BF5" s="7">
        <f>YEAR(BF6)</f>
        <v/>
      </c>
      <c r="BG5" s="7">
        <f>YEAR(BG6)</f>
        <v/>
      </c>
      <c r="BH5" s="7">
        <f>YEAR(BH6)</f>
        <v/>
      </c>
      <c r="BI5" s="7">
        <f>YEAR(BI6)</f>
        <v/>
      </c>
      <c r="BJ5" s="7">
        <f>YEAR(BJ6)</f>
        <v/>
      </c>
      <c r="BK5" s="7">
        <f>YEAR(BK6)</f>
        <v/>
      </c>
      <c r="BL5" s="7">
        <f>YEAR(BL6)</f>
        <v/>
      </c>
      <c r="BM5" s="7">
        <f>YEAR(BM6)</f>
        <v/>
      </c>
      <c r="BN5" s="7">
        <f>YEAR(BN6)</f>
        <v/>
      </c>
      <c r="BO5" s="7">
        <f>YEAR(BO6)</f>
        <v/>
      </c>
      <c r="BP5" s="7">
        <f>YEAR(BP6)</f>
        <v/>
      </c>
      <c r="BQ5" s="7">
        <f>YEAR(BQ6)</f>
        <v/>
      </c>
      <c r="BR5" s="7">
        <f>YEAR(BR6)</f>
        <v/>
      </c>
      <c r="BS5" s="7">
        <f>YEAR(BS6)</f>
        <v/>
      </c>
      <c r="BT5" s="7">
        <f>YEAR(BT6)</f>
        <v/>
      </c>
      <c r="BU5" s="7">
        <f>YEAR(BU6)</f>
        <v/>
      </c>
      <c r="BV5" s="7">
        <f>YEAR(BV6)</f>
        <v/>
      </c>
      <c r="BW5" s="7">
        <f>YEAR(BW6)</f>
        <v/>
      </c>
      <c r="BX5" s="7">
        <f>YEAR(BX6)</f>
        <v/>
      </c>
      <c r="BY5" s="7">
        <f>YEAR(BY6)</f>
        <v/>
      </c>
      <c r="BZ5" s="7">
        <f>YEAR(BZ6)</f>
        <v/>
      </c>
      <c r="CA5" s="7">
        <f>YEAR(CA6)</f>
        <v/>
      </c>
      <c r="CB5" s="7">
        <f>YEAR(CB6)</f>
        <v/>
      </c>
      <c r="CC5" s="7">
        <f>YEAR(CC6)</f>
        <v/>
      </c>
      <c r="CD5" s="7">
        <f>YEAR(CD6)</f>
        <v/>
      </c>
      <c r="CE5" s="7">
        <f>YEAR(CE6)</f>
        <v/>
      </c>
      <c r="CF5" s="7">
        <f>YEAR(CF6)</f>
        <v/>
      </c>
      <c r="CG5" s="7">
        <f>YEAR(CG6)</f>
        <v/>
      </c>
      <c r="CH5" s="7">
        <f>YEAR(CH6)</f>
        <v/>
      </c>
      <c r="CI5" s="7">
        <f>YEAR(CI6)</f>
        <v/>
      </c>
      <c r="CJ5" s="7">
        <f>YEAR(CJ6)</f>
        <v/>
      </c>
      <c r="CK5" s="7">
        <f>YEAR(CK6)</f>
        <v/>
      </c>
      <c r="CL5" s="7">
        <f>YEAR(CL6)</f>
        <v/>
      </c>
      <c r="CM5" s="7">
        <f>YEAR(CM6)</f>
        <v/>
      </c>
      <c r="CN5" s="7">
        <f>YEAR(CN6)</f>
        <v/>
      </c>
      <c r="CO5" s="7">
        <f>YEAR(CO6)</f>
        <v/>
      </c>
      <c r="CP5" s="7">
        <f>YEAR(CP6)</f>
        <v/>
      </c>
      <c r="CQ5" s="7">
        <f>YEAR(CQ6)</f>
        <v/>
      </c>
      <c r="CR5" s="7">
        <f>YEAR(CR6)</f>
        <v/>
      </c>
      <c r="CS5" s="7">
        <f>YEAR(CS6)</f>
        <v/>
      </c>
      <c r="CT5" s="7">
        <f>YEAR(CT6)</f>
        <v/>
      </c>
      <c r="CU5" s="7">
        <f>YEAR(CU6)</f>
        <v/>
      </c>
      <c r="CV5" s="7">
        <f>YEAR(CV6)</f>
        <v/>
      </c>
      <c r="CW5" s="7">
        <f>YEAR(CW6)</f>
        <v/>
      </c>
      <c r="CX5" s="7">
        <f>YEAR(CX6)</f>
        <v/>
      </c>
      <c r="CY5" s="7">
        <f>YEAR(CY6)</f>
        <v/>
      </c>
      <c r="CZ5" s="7">
        <f>YEAR(CZ6)</f>
        <v/>
      </c>
      <c r="DA5" s="7">
        <f>YEAR(DA6)</f>
        <v/>
      </c>
      <c r="DB5" s="7">
        <f>YEAR(DB6)</f>
        <v/>
      </c>
      <c r="DC5" s="7">
        <f>YEAR(DC6)</f>
        <v/>
      </c>
      <c r="DD5" s="7">
        <f>YEAR(DD6)</f>
        <v/>
      </c>
      <c r="DE5" s="7">
        <f>YEAR(DE6)</f>
        <v/>
      </c>
      <c r="DF5" s="7">
        <f>YEAR(DF6)</f>
        <v/>
      </c>
      <c r="DG5" s="7">
        <f>YEAR(DG6)</f>
        <v/>
      </c>
      <c r="DH5" s="7">
        <f>YEAR(DH6)</f>
        <v/>
      </c>
      <c r="DI5" s="7">
        <f>YEAR(DI6)</f>
        <v/>
      </c>
      <c r="DJ5" s="7">
        <f>YEAR(DJ6)</f>
        <v/>
      </c>
      <c r="DK5" s="7">
        <f>YEAR(DK6)</f>
        <v/>
      </c>
      <c r="DL5" s="7">
        <f>YEAR(DL6)</f>
        <v/>
      </c>
      <c r="DM5" s="7">
        <f>YEAR(DM6)</f>
        <v/>
      </c>
      <c r="DN5" s="7">
        <f>YEAR(DN6)</f>
        <v/>
      </c>
      <c r="DO5" s="7">
        <f>YEAR(DO6)</f>
        <v/>
      </c>
      <c r="DP5" s="7">
        <f>YEAR(DP6)</f>
        <v/>
      </c>
      <c r="DQ5" s="7">
        <f>YEAR(DQ6)</f>
        <v/>
      </c>
      <c r="DR5" s="7">
        <f>YEAR(DR6)</f>
        <v/>
      </c>
      <c r="DS5" s="7">
        <f>YEAR(DS6)</f>
        <v/>
      </c>
      <c r="DT5" s="7">
        <f>YEAR(DT6)</f>
        <v/>
      </c>
      <c r="DU5" s="7">
        <f>YEAR(DU6)</f>
        <v/>
      </c>
      <c r="DV5" s="7">
        <f>YEAR(DV6)</f>
        <v/>
      </c>
      <c r="DW5" s="7">
        <f>YEAR(DW6)</f>
        <v/>
      </c>
      <c r="DX5" s="7">
        <f>YEAR(DX6)</f>
        <v/>
      </c>
      <c r="DY5" s="7">
        <f>YEAR(DY6)</f>
        <v/>
      </c>
      <c r="DZ5" s="7">
        <f>YEAR(DZ6)</f>
        <v/>
      </c>
      <c r="EA5" s="7">
        <f>YEAR(EA6)</f>
        <v/>
      </c>
      <c r="EB5" s="7">
        <f>YEAR(EB6)</f>
        <v/>
      </c>
      <c r="EC5" s="7">
        <f>YEAR(EC6)</f>
        <v/>
      </c>
      <c r="ED5" s="7">
        <f>YEAR(ED6)</f>
        <v/>
      </c>
      <c r="EE5" s="7">
        <f>YEAR(EE6)</f>
        <v/>
      </c>
      <c r="EF5" s="7">
        <f>YEAR(EF6)</f>
        <v/>
      </c>
      <c r="EG5" s="7">
        <f>YEAR(EG6)</f>
        <v/>
      </c>
      <c r="EH5" s="7">
        <f>YEAR(EH6)</f>
        <v/>
      </c>
      <c r="EI5" s="7">
        <f>YEAR(EI6)</f>
        <v/>
      </c>
      <c r="EJ5" s="7">
        <f>YEAR(EJ6)</f>
        <v/>
      </c>
      <c r="EK5" s="7">
        <f>YEAR(EK6)</f>
        <v/>
      </c>
      <c r="EL5" s="7">
        <f>YEAR(EL6)</f>
        <v/>
      </c>
      <c r="EM5" s="7">
        <f>YEAR(EM6)</f>
        <v/>
      </c>
      <c r="EN5" s="7">
        <f>YEAR(EN6)</f>
        <v/>
      </c>
      <c r="EO5" s="7">
        <f>YEAR(EO6)</f>
        <v/>
      </c>
      <c r="EP5" s="7">
        <f>YEAR(EP6)</f>
        <v/>
      </c>
      <c r="EQ5" s="7">
        <f>YEAR(EQ6)</f>
        <v/>
      </c>
      <c r="ER5" s="7">
        <f>YEAR(ER6)</f>
        <v/>
      </c>
      <c r="ES5" s="7">
        <f>YEAR(ES6)</f>
        <v/>
      </c>
      <c r="ET5" s="7">
        <f>YEAR(ET6)</f>
        <v/>
      </c>
      <c r="EU5" s="7">
        <f>YEAR(EU6)</f>
        <v/>
      </c>
      <c r="EV5" s="7">
        <f>YEAR(EV6)</f>
        <v/>
      </c>
      <c r="EW5" s="7">
        <f>YEAR(EW6)</f>
        <v/>
      </c>
      <c r="EX5" s="7">
        <f>YEAR(EX6)</f>
        <v/>
      </c>
    </row>
    <row r="6">
      <c r="C6" s="10" t="inlineStr">
        <is>
          <t>Address:</t>
        </is>
      </c>
      <c r="D6" s="14" t="n"/>
      <c r="E6" s="12" t="n"/>
      <c r="F6" s="16" t="n"/>
      <c r="G6" s="17" t="n"/>
      <c r="J6" s="7" t="inlineStr">
        <is>
          <t>Property Cash Flows</t>
        </is>
      </c>
      <c r="K6" s="7" t="n"/>
      <c r="L6" s="8" t="n"/>
      <c r="M6" s="197" t="inlineStr">
        <is>
          <t>Total</t>
        </is>
      </c>
      <c r="N6" s="20" t="n"/>
      <c r="O6" s="19" t="inlineStr">
        <is>
          <t>Annual Cash Flow</t>
        </is>
      </c>
      <c r="P6" s="19" t="n"/>
      <c r="Q6" s="19" t="n"/>
      <c r="R6" s="19" t="n"/>
      <c r="S6" s="19" t="n"/>
      <c r="T6" s="19" t="n"/>
      <c r="U6" s="20" t="n"/>
      <c r="V6" s="27">
        <f>E16</f>
        <v/>
      </c>
      <c r="W6" s="27">
        <f>EOMONTH(V6,0)</f>
        <v/>
      </c>
      <c r="X6" s="27">
        <f>EOMONTH(W6,1)</f>
        <v/>
      </c>
      <c r="Y6" s="27">
        <f>EOMONTH(X6,1)</f>
        <v/>
      </c>
      <c r="Z6" s="27">
        <f>EOMONTH(Y6,1)</f>
        <v/>
      </c>
      <c r="AA6" s="27">
        <f>EOMONTH(Z6,1)</f>
        <v/>
      </c>
      <c r="AB6" s="27">
        <f>EOMONTH(AA6,1)</f>
        <v/>
      </c>
      <c r="AC6" s="27">
        <f>EOMONTH(AB6,1)</f>
        <v/>
      </c>
      <c r="AD6" s="27">
        <f>EOMONTH(AC6,1)</f>
        <v/>
      </c>
      <c r="AE6" s="27">
        <f>EOMONTH(AD6,1)</f>
        <v/>
      </c>
      <c r="AF6" s="27">
        <f>EOMONTH(AE6,1)</f>
        <v/>
      </c>
      <c r="AG6" s="27">
        <f>EOMONTH(AF6,1)</f>
        <v/>
      </c>
      <c r="AH6" s="27">
        <f>EOMONTH(AG6,1)</f>
        <v/>
      </c>
      <c r="AI6" s="27">
        <f>EOMONTH(AH6,1)</f>
        <v/>
      </c>
      <c r="AJ6" s="27">
        <f>EOMONTH(AI6,1)</f>
        <v/>
      </c>
      <c r="AK6" s="27">
        <f>EOMONTH(AJ6,1)</f>
        <v/>
      </c>
      <c r="AL6" s="27">
        <f>EOMONTH(AK6,1)</f>
        <v/>
      </c>
      <c r="AM6" s="27">
        <f>EOMONTH(AL6,1)</f>
        <v/>
      </c>
      <c r="AN6" s="27">
        <f>EOMONTH(AM6,1)</f>
        <v/>
      </c>
      <c r="AO6" s="27">
        <f>EOMONTH(AN6,1)</f>
        <v/>
      </c>
      <c r="AP6" s="27">
        <f>EOMONTH(AO6,1)</f>
        <v/>
      </c>
      <c r="AQ6" s="27">
        <f>EOMONTH(AP6,1)</f>
        <v/>
      </c>
      <c r="AR6" s="27">
        <f>EOMONTH(AQ6,1)</f>
        <v/>
      </c>
      <c r="AS6" s="27">
        <f>EOMONTH(AR6,1)</f>
        <v/>
      </c>
      <c r="AT6" s="27">
        <f>EOMONTH(AS6,1)</f>
        <v/>
      </c>
      <c r="AU6" s="27">
        <f>EOMONTH(AT6,1)</f>
        <v/>
      </c>
      <c r="AV6" s="27">
        <f>EOMONTH(AU6,1)</f>
        <v/>
      </c>
      <c r="AW6" s="27">
        <f>EOMONTH(AV6,1)</f>
        <v/>
      </c>
      <c r="AX6" s="27">
        <f>EOMONTH(AW6,1)</f>
        <v/>
      </c>
      <c r="AY6" s="27">
        <f>EOMONTH(AX6,1)</f>
        <v/>
      </c>
      <c r="AZ6" s="27">
        <f>EOMONTH(AY6,1)</f>
        <v/>
      </c>
      <c r="BA6" s="27">
        <f>EOMONTH(AZ6,1)</f>
        <v/>
      </c>
      <c r="BB6" s="27">
        <f>EOMONTH(BA6,1)</f>
        <v/>
      </c>
      <c r="BC6" s="27">
        <f>EOMONTH(BB6,1)</f>
        <v/>
      </c>
      <c r="BD6" s="27">
        <f>EOMONTH(BC6,1)</f>
        <v/>
      </c>
      <c r="BE6" s="27">
        <f>EOMONTH(BD6,1)</f>
        <v/>
      </c>
      <c r="BF6" s="27">
        <f>EOMONTH(BE6,1)</f>
        <v/>
      </c>
      <c r="BG6" s="27">
        <f>EOMONTH(BF6,1)</f>
        <v/>
      </c>
      <c r="BH6" s="27">
        <f>EOMONTH(BG6,1)</f>
        <v/>
      </c>
      <c r="BI6" s="27">
        <f>EOMONTH(BH6,1)</f>
        <v/>
      </c>
      <c r="BJ6" s="27">
        <f>EOMONTH(BI6,1)</f>
        <v/>
      </c>
      <c r="BK6" s="27">
        <f>EOMONTH(BJ6,1)</f>
        <v/>
      </c>
      <c r="BL6" s="27">
        <f>EOMONTH(BK6,1)</f>
        <v/>
      </c>
      <c r="BM6" s="27">
        <f>EOMONTH(BL6,1)</f>
        <v/>
      </c>
      <c r="BN6" s="27">
        <f>EOMONTH(BM6,1)</f>
        <v/>
      </c>
      <c r="BO6" s="27">
        <f>EOMONTH(BN6,1)</f>
        <v/>
      </c>
      <c r="BP6" s="27">
        <f>EOMONTH(BO6,1)</f>
        <v/>
      </c>
      <c r="BQ6" s="27">
        <f>EOMONTH(BP6,1)</f>
        <v/>
      </c>
      <c r="BR6" s="27">
        <f>EOMONTH(BQ6,1)</f>
        <v/>
      </c>
      <c r="BS6" s="27">
        <f>EOMONTH(BR6,1)</f>
        <v/>
      </c>
      <c r="BT6" s="27">
        <f>EOMONTH(BS6,1)</f>
        <v/>
      </c>
      <c r="BU6" s="27">
        <f>EOMONTH(BT6,1)</f>
        <v/>
      </c>
      <c r="BV6" s="27">
        <f>EOMONTH(BU6,1)</f>
        <v/>
      </c>
      <c r="BW6" s="27">
        <f>EOMONTH(BV6,1)</f>
        <v/>
      </c>
      <c r="BX6" s="27">
        <f>EOMONTH(BW6,1)</f>
        <v/>
      </c>
      <c r="BY6" s="27">
        <f>EOMONTH(BX6,1)</f>
        <v/>
      </c>
      <c r="BZ6" s="27">
        <f>EOMONTH(BY6,1)</f>
        <v/>
      </c>
      <c r="CA6" s="27">
        <f>EOMONTH(BZ6,1)</f>
        <v/>
      </c>
      <c r="CB6" s="27">
        <f>EOMONTH(CA6,1)</f>
        <v/>
      </c>
      <c r="CC6" s="27">
        <f>EOMONTH(CB6,1)</f>
        <v/>
      </c>
      <c r="CD6" s="27">
        <f>EOMONTH(CC6,1)</f>
        <v/>
      </c>
      <c r="CE6" s="27">
        <f>EOMONTH(CD6,1)</f>
        <v/>
      </c>
      <c r="CF6" s="27">
        <f>EOMONTH(CE6,1)</f>
        <v/>
      </c>
      <c r="CG6" s="27">
        <f>EOMONTH(CF6,1)</f>
        <v/>
      </c>
      <c r="CH6" s="27">
        <f>EOMONTH(CG6,1)</f>
        <v/>
      </c>
      <c r="CI6" s="27">
        <f>EOMONTH(CH6,1)</f>
        <v/>
      </c>
      <c r="CJ6" s="27">
        <f>EOMONTH(CI6,1)</f>
        <v/>
      </c>
      <c r="CK6" s="27">
        <f>EOMONTH(CJ6,1)</f>
        <v/>
      </c>
      <c r="CL6" s="27">
        <f>EOMONTH(CK6,1)</f>
        <v/>
      </c>
      <c r="CM6" s="27">
        <f>EOMONTH(CL6,1)</f>
        <v/>
      </c>
      <c r="CN6" s="27">
        <f>EOMONTH(CM6,1)</f>
        <v/>
      </c>
      <c r="CO6" s="27">
        <f>EOMONTH(CN6,1)</f>
        <v/>
      </c>
      <c r="CP6" s="27">
        <f>EOMONTH(CO6,1)</f>
        <v/>
      </c>
      <c r="CQ6" s="27">
        <f>EOMONTH(CP6,1)</f>
        <v/>
      </c>
      <c r="CR6" s="27">
        <f>EOMONTH(CQ6,1)</f>
        <v/>
      </c>
      <c r="CS6" s="27">
        <f>EOMONTH(CR6,1)</f>
        <v/>
      </c>
      <c r="CT6" s="27">
        <f>EOMONTH(CS6,1)</f>
        <v/>
      </c>
      <c r="CU6" s="27">
        <f>EOMONTH(CT6,1)</f>
        <v/>
      </c>
      <c r="CV6" s="27">
        <f>EOMONTH(CU6,1)</f>
        <v/>
      </c>
      <c r="CW6" s="27">
        <f>EOMONTH(CV6,1)</f>
        <v/>
      </c>
      <c r="CX6" s="27">
        <f>EOMONTH(CW6,1)</f>
        <v/>
      </c>
      <c r="CY6" s="27">
        <f>EOMONTH(CX6,1)</f>
        <v/>
      </c>
      <c r="CZ6" s="27">
        <f>EOMONTH(CY6,1)</f>
        <v/>
      </c>
      <c r="DA6" s="27">
        <f>EOMONTH(CZ6,1)</f>
        <v/>
      </c>
      <c r="DB6" s="27">
        <f>EOMONTH(DA6,1)</f>
        <v/>
      </c>
      <c r="DC6" s="27">
        <f>EOMONTH(DB6,1)</f>
        <v/>
      </c>
      <c r="DD6" s="27">
        <f>EOMONTH(DC6,1)</f>
        <v/>
      </c>
      <c r="DE6" s="27">
        <f>EOMONTH(DD6,1)</f>
        <v/>
      </c>
      <c r="DF6" s="27">
        <f>EOMONTH(DE6,1)</f>
        <v/>
      </c>
      <c r="DG6" s="27">
        <f>EOMONTH(DF6,1)</f>
        <v/>
      </c>
      <c r="DH6" s="27">
        <f>EOMONTH(DG6,1)</f>
        <v/>
      </c>
      <c r="DI6" s="27">
        <f>EOMONTH(DH6,1)</f>
        <v/>
      </c>
      <c r="DJ6" s="27">
        <f>EOMONTH(DI6,1)</f>
        <v/>
      </c>
      <c r="DK6" s="27">
        <f>EOMONTH(DJ6,1)</f>
        <v/>
      </c>
      <c r="DL6" s="27">
        <f>EOMONTH(DK6,1)</f>
        <v/>
      </c>
      <c r="DM6" s="27">
        <f>EOMONTH(DL6,1)</f>
        <v/>
      </c>
      <c r="DN6" s="27">
        <f>EOMONTH(DM6,1)</f>
        <v/>
      </c>
      <c r="DO6" s="27">
        <f>EOMONTH(DN6,1)</f>
        <v/>
      </c>
      <c r="DP6" s="27">
        <f>EOMONTH(DO6,1)</f>
        <v/>
      </c>
      <c r="DQ6" s="27">
        <f>EOMONTH(DP6,1)</f>
        <v/>
      </c>
      <c r="DR6" s="27">
        <f>EOMONTH(DQ6,1)</f>
        <v/>
      </c>
      <c r="DS6" s="27">
        <f>EOMONTH(DR6,1)</f>
        <v/>
      </c>
      <c r="DT6" s="27">
        <f>EOMONTH(DS6,1)</f>
        <v/>
      </c>
      <c r="DU6" s="27">
        <f>EOMONTH(DT6,1)</f>
        <v/>
      </c>
      <c r="DV6" s="27">
        <f>EOMONTH(DU6,1)</f>
        <v/>
      </c>
      <c r="DW6" s="27">
        <f>EOMONTH(DV6,1)</f>
        <v/>
      </c>
      <c r="DX6" s="27">
        <f>EOMONTH(DW6,1)</f>
        <v/>
      </c>
      <c r="DY6" s="27">
        <f>EOMONTH(DX6,1)</f>
        <v/>
      </c>
      <c r="DZ6" s="27">
        <f>EOMONTH(DY6,1)</f>
        <v/>
      </c>
      <c r="EA6" s="27">
        <f>EOMONTH(DZ6,1)</f>
        <v/>
      </c>
      <c r="EB6" s="27">
        <f>EOMONTH(EA6,1)</f>
        <v/>
      </c>
      <c r="EC6" s="27">
        <f>EOMONTH(EB6,1)</f>
        <v/>
      </c>
      <c r="ED6" s="27">
        <f>EOMONTH(EC6,1)</f>
        <v/>
      </c>
      <c r="EE6" s="27">
        <f>EOMONTH(ED6,1)</f>
        <v/>
      </c>
      <c r="EF6" s="27">
        <f>EOMONTH(EE6,1)</f>
        <v/>
      </c>
      <c r="EG6" s="27">
        <f>EOMONTH(EF6,1)</f>
        <v/>
      </c>
      <c r="EH6" s="27">
        <f>EOMONTH(EG6,1)</f>
        <v/>
      </c>
      <c r="EI6" s="27">
        <f>EOMONTH(EH6,1)</f>
        <v/>
      </c>
      <c r="EJ6" s="27">
        <f>EOMONTH(EI6,1)</f>
        <v/>
      </c>
      <c r="EK6" s="27">
        <f>EOMONTH(EJ6,1)</f>
        <v/>
      </c>
      <c r="EL6" s="27">
        <f>EOMONTH(EK6,1)</f>
        <v/>
      </c>
      <c r="EM6" s="27">
        <f>EOMONTH(EL6,1)</f>
        <v/>
      </c>
      <c r="EN6" s="27">
        <f>EOMONTH(EM6,1)</f>
        <v/>
      </c>
      <c r="EO6" s="27">
        <f>EOMONTH(EN6,1)</f>
        <v/>
      </c>
      <c r="EP6" s="27">
        <f>EOMONTH(EO6,1)</f>
        <v/>
      </c>
      <c r="EQ6" s="27">
        <f>EOMONTH(EP6,1)</f>
        <v/>
      </c>
      <c r="ER6" s="27">
        <f>EOMONTH(EQ6,1)</f>
        <v/>
      </c>
      <c r="ES6" s="27">
        <f>EOMONTH(ER6,1)</f>
        <v/>
      </c>
      <c r="ET6" s="27">
        <f>EOMONTH(ES6,1)</f>
        <v/>
      </c>
      <c r="EU6" s="27">
        <f>EOMONTH(ET6,1)</f>
        <v/>
      </c>
      <c r="EV6" s="27">
        <f>EOMONTH(EU6,1)</f>
        <v/>
      </c>
      <c r="EW6" s="27">
        <f>EOMONTH(EV6,1)</f>
        <v/>
      </c>
      <c r="EX6" s="27">
        <f>EOMONTH(EW6,1)</f>
        <v/>
      </c>
    </row>
    <row r="7">
      <c r="C7" s="18" t="inlineStr">
        <is>
          <t>Returns Metrics</t>
        </is>
      </c>
      <c r="D7" s="18" t="n"/>
      <c r="E7" s="18" t="n"/>
      <c r="F7" s="18" t="n"/>
      <c r="G7" s="18" t="n"/>
      <c r="H7" s="18" t="n"/>
      <c r="J7" s="29" t="inlineStr">
        <is>
          <t>Pro Forma</t>
        </is>
      </c>
      <c r="K7" s="30" t="n"/>
      <c r="M7" s="198" t="n"/>
      <c r="O7" s="29">
        <f>V5</f>
        <v/>
      </c>
      <c r="P7" s="29">
        <f>O7+1</f>
        <v/>
      </c>
      <c r="Q7" s="29">
        <f>P7+1</f>
        <v/>
      </c>
      <c r="R7" s="29">
        <f>Q7+1</f>
        <v/>
      </c>
      <c r="S7" s="29">
        <f>R7+1</f>
        <v/>
      </c>
      <c r="T7" s="29">
        <f>S7+1</f>
        <v/>
      </c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 t="n"/>
      <c r="AH7" s="30" t="n"/>
      <c r="AI7" s="30" t="n"/>
      <c r="AJ7" s="30" t="n"/>
      <c r="AK7" s="30" t="n"/>
      <c r="AL7" s="30" t="n"/>
      <c r="AM7" s="30" t="n"/>
      <c r="AN7" s="30" t="n"/>
      <c r="AO7" s="30" t="n"/>
      <c r="AP7" s="30" t="n"/>
      <c r="AQ7" s="30" t="n"/>
      <c r="AR7" s="30" t="n"/>
      <c r="AS7" s="30" t="n"/>
      <c r="AT7" s="30" t="n"/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 t="n"/>
      <c r="BH7" s="30" t="n"/>
      <c r="BI7" s="30" t="n"/>
      <c r="BJ7" s="30" t="n"/>
      <c r="BK7" s="30" t="n"/>
      <c r="BL7" s="30" t="n"/>
      <c r="BM7" s="30" t="n"/>
      <c r="BN7" s="30" t="n"/>
      <c r="BO7" s="30" t="n"/>
      <c r="BP7" s="30" t="n"/>
      <c r="BQ7" s="30" t="n"/>
      <c r="BR7" s="30" t="n"/>
      <c r="BS7" s="30" t="n"/>
      <c r="BT7" s="30" t="n"/>
      <c r="BU7" s="30" t="n"/>
      <c r="BV7" s="30" t="n"/>
      <c r="BW7" s="30" t="n"/>
      <c r="BX7" s="30" t="n"/>
      <c r="BY7" s="30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0" t="n"/>
      <c r="DR7" s="30" t="n"/>
      <c r="DS7" s="30" t="n"/>
      <c r="DT7" s="30" t="n"/>
      <c r="DU7" s="30" t="n"/>
      <c r="DV7" s="30" t="n"/>
      <c r="DW7" s="30" t="n"/>
      <c r="DX7" s="30" t="n"/>
      <c r="DY7" s="30" t="n"/>
      <c r="DZ7" s="30" t="n"/>
      <c r="EA7" s="30" t="n"/>
      <c r="EB7" s="30" t="n"/>
      <c r="EC7" s="30" t="n"/>
      <c r="ED7" s="30" t="n"/>
      <c r="EE7" s="30" t="n"/>
      <c r="EF7" s="30" t="n"/>
      <c r="EG7" s="30" t="n"/>
      <c r="EH7" s="30" t="n"/>
      <c r="EI7" s="30" t="n"/>
      <c r="EJ7" s="30" t="n"/>
      <c r="EK7" s="30" t="n"/>
      <c r="EL7" s="30" t="n"/>
      <c r="EM7" s="30" t="n"/>
      <c r="EN7" s="30" t="n"/>
      <c r="EO7" s="30" t="n"/>
      <c r="EP7" s="30" t="n"/>
      <c r="EQ7" s="30" t="n"/>
      <c r="ER7" s="30" t="n"/>
      <c r="ES7" s="30" t="n"/>
      <c r="ET7" s="30" t="n"/>
      <c r="EU7" s="30" t="n"/>
      <c r="EV7" s="30" t="n"/>
      <c r="EW7" s="30" t="n"/>
      <c r="EX7" s="30" t="n"/>
    </row>
    <row r="8">
      <c r="C8" s="22" t="inlineStr">
        <is>
          <t>Deal-Level Return</t>
        </is>
      </c>
      <c r="D8" s="46" t="inlineStr">
        <is>
          <t>Unlevered</t>
        </is>
      </c>
      <c r="E8" s="46" t="inlineStr">
        <is>
          <t>Levered</t>
        </is>
      </c>
      <c r="F8" s="24" t="inlineStr">
        <is>
          <t>Partnership-Level</t>
        </is>
      </c>
      <c r="G8" s="260" t="n"/>
      <c r="H8" s="261">
        <f>1-G8</f>
        <v/>
      </c>
      <c r="J8" s="16" t="inlineStr">
        <is>
          <t>Growth Assumptions</t>
        </is>
      </c>
    </row>
    <row r="9">
      <c r="C9" s="16" t="inlineStr">
        <is>
          <t>Net Profit</t>
        </is>
      </c>
      <c r="D9" s="25">
        <f>M86</f>
        <v/>
      </c>
      <c r="E9" s="25">
        <f>M103</f>
        <v/>
      </c>
      <c r="F9" s="26" t="inlineStr">
        <is>
          <t>Net Profit</t>
        </is>
      </c>
      <c r="G9" s="25">
        <f>M116</f>
        <v/>
      </c>
      <c r="H9" s="25">
        <f>M125</f>
        <v/>
      </c>
      <c r="J9" s="9">
        <f>C79</f>
        <v/>
      </c>
      <c r="O9" s="164">
        <f>SUMIF($V$5:$EX$5,O$7,$V9:$EX9)</f>
        <v/>
      </c>
      <c r="P9" s="164">
        <f>SUMIF($V$5:$EX$5,P$7,$V9:$EX9)</f>
        <v/>
      </c>
      <c r="Q9" s="164">
        <f>SUMIF($V$5:$EX$5,Q$7,$V9:$EX9)</f>
        <v/>
      </c>
      <c r="R9" s="164">
        <f>SUMIF($V$5:$EX$5,R$7,$V9:$EX9)</f>
        <v/>
      </c>
      <c r="S9" s="164">
        <f>SUMIF($V$5:$EX$5,S$7,$V9:$EX9)</f>
        <v/>
      </c>
      <c r="T9" s="164">
        <f>SUMIF($V$5:$EX$5,T$7,$V9:$EX9)</f>
        <v/>
      </c>
      <c r="V9" s="164" t="n">
        <v>0</v>
      </c>
      <c r="W9" s="164">
        <f>IFERROR(INDEX($D79:$H79,MATCH(YEAR(W$6),$D$78:$H$78,0))/12,V9)</f>
        <v/>
      </c>
      <c r="X9" s="164">
        <f>IFERROR(INDEX($D79:$H79,MATCH(YEAR(X$6),$D$78:$H$78,0))/12,W9)</f>
        <v/>
      </c>
      <c r="Y9" s="164">
        <f>IFERROR(INDEX($D79:$H79,MATCH(YEAR(Y$6),$D$78:$H$78,0))/12,X9)</f>
        <v/>
      </c>
      <c r="Z9" s="164">
        <f>IFERROR(INDEX($D79:$H79,MATCH(YEAR(Z$6),$D$78:$H$78,0))/12,Y9)</f>
        <v/>
      </c>
      <c r="AA9" s="164">
        <f>IFERROR(INDEX($D79:$H79,MATCH(YEAR(AA$6),$D$78:$H$78,0))/12,Z9)</f>
        <v/>
      </c>
      <c r="AB9" s="164">
        <f>IFERROR(INDEX($D79:$H79,MATCH(YEAR(AB$6),$D$78:$H$78,0))/12,AA9)</f>
        <v/>
      </c>
      <c r="AC9" s="164">
        <f>IFERROR(INDEX($D79:$H79,MATCH(YEAR(AC$6),$D$78:$H$78,0))/12,AB9)</f>
        <v/>
      </c>
      <c r="AD9" s="164">
        <f>IFERROR(INDEX($D79:$H79,MATCH(YEAR(AD$6),$D$78:$H$78,0))/12,AC9)</f>
        <v/>
      </c>
      <c r="AE9" s="164">
        <f>IFERROR(INDEX($D79:$H79,MATCH(YEAR(AE$6),$D$78:$H$78,0))/12,AD9)</f>
        <v/>
      </c>
      <c r="AF9" s="164">
        <f>IFERROR(INDEX($D79:$H79,MATCH(YEAR(AF$6),$D$78:$H$78,0))/12,AE9)</f>
        <v/>
      </c>
      <c r="AG9" s="164">
        <f>IFERROR(INDEX($D79:$H79,MATCH(YEAR(AG$6),$D$78:$H$78,0))/12,AF9)</f>
        <v/>
      </c>
      <c r="AH9" s="164">
        <f>IFERROR(INDEX($D79:$H79,MATCH(YEAR(AH$6),$D$78:$H$78,0))/12,AG9)</f>
        <v/>
      </c>
      <c r="AI9" s="164">
        <f>IFERROR(INDEX($D79:$H79,MATCH(YEAR(AI$6),$D$78:$H$78,0))/12,AH9)</f>
        <v/>
      </c>
      <c r="AJ9" s="164">
        <f>IFERROR(INDEX($D79:$H79,MATCH(YEAR(AJ$6),$D$78:$H$78,0))/12,AI9)</f>
        <v/>
      </c>
      <c r="AK9" s="164">
        <f>IFERROR(INDEX($D79:$H79,MATCH(YEAR(AK$6),$D$78:$H$78,0))/12,AJ9)</f>
        <v/>
      </c>
      <c r="AL9" s="164">
        <f>IFERROR(INDEX($D79:$H79,MATCH(YEAR(AL$6),$D$78:$H$78,0))/12,AK9)</f>
        <v/>
      </c>
      <c r="AM9" s="164">
        <f>IFERROR(INDEX($D79:$H79,MATCH(YEAR(AM$6),$D$78:$H$78,0))/12,AL9)</f>
        <v/>
      </c>
      <c r="AN9" s="164">
        <f>IFERROR(INDEX($D79:$H79,MATCH(YEAR(AN$6),$D$78:$H$78,0))/12,AM9)</f>
        <v/>
      </c>
      <c r="AO9" s="164">
        <f>IFERROR(INDEX($D79:$H79,MATCH(YEAR(AO$6),$D$78:$H$78,0))/12,AN9)</f>
        <v/>
      </c>
      <c r="AP9" s="164">
        <f>IFERROR(INDEX($D79:$H79,MATCH(YEAR(AP$6),$D$78:$H$78,0))/12,AO9)</f>
        <v/>
      </c>
      <c r="AQ9" s="164">
        <f>IFERROR(INDEX($D79:$H79,MATCH(YEAR(AQ$6),$D$78:$H$78,0))/12,AP9)</f>
        <v/>
      </c>
      <c r="AR9" s="164">
        <f>IFERROR(INDEX($D79:$H79,MATCH(YEAR(AR$6),$D$78:$H$78,0))/12,AQ9)</f>
        <v/>
      </c>
      <c r="AS9" s="164">
        <f>IFERROR(INDEX($D79:$H79,MATCH(YEAR(AS$6),$D$78:$H$78,0))/12,AR9)</f>
        <v/>
      </c>
      <c r="AT9" s="164">
        <f>IFERROR(INDEX($D79:$H79,MATCH(YEAR(AT$6),$D$78:$H$78,0))/12,AS9)</f>
        <v/>
      </c>
      <c r="AU9" s="164">
        <f>IFERROR(INDEX($D79:$H79,MATCH(YEAR(AU$6),$D$78:$H$78,0))/12,AT9)</f>
        <v/>
      </c>
      <c r="AV9" s="164">
        <f>IFERROR(INDEX($D79:$H79,MATCH(YEAR(AV$6),$D$78:$H$78,0))/12,AU9)</f>
        <v/>
      </c>
      <c r="AW9" s="164">
        <f>IFERROR(INDEX($D79:$H79,MATCH(YEAR(AW$6),$D$78:$H$78,0))/12,AV9)</f>
        <v/>
      </c>
      <c r="AX9" s="164">
        <f>IFERROR(INDEX($D79:$H79,MATCH(YEAR(AX$6),$D$78:$H$78,0))/12,AW9)</f>
        <v/>
      </c>
      <c r="AY9" s="164">
        <f>IFERROR(INDEX($D79:$H79,MATCH(YEAR(AY$6),$D$78:$H$78,0))/12,AX9)</f>
        <v/>
      </c>
      <c r="AZ9" s="164">
        <f>IFERROR(INDEX($D79:$H79,MATCH(YEAR(AZ$6),$D$78:$H$78,0))/12,AY9)</f>
        <v/>
      </c>
      <c r="BA9" s="164">
        <f>IFERROR(INDEX($D79:$H79,MATCH(YEAR(BA$6),$D$78:$H$78,0))/12,AZ9)</f>
        <v/>
      </c>
      <c r="BB9" s="164">
        <f>IFERROR(INDEX($D79:$H79,MATCH(YEAR(BB$6),$D$78:$H$78,0))/12,BA9)</f>
        <v/>
      </c>
      <c r="BC9" s="164">
        <f>IFERROR(INDEX($D79:$H79,MATCH(YEAR(BC$6),$D$78:$H$78,0))/12,BB9)</f>
        <v/>
      </c>
      <c r="BD9" s="164">
        <f>IFERROR(INDEX($D79:$H79,MATCH(YEAR(BD$6),$D$78:$H$78,0))/12,BC9)</f>
        <v/>
      </c>
      <c r="BE9" s="164">
        <f>IFERROR(INDEX($D79:$H79,MATCH(YEAR(BE$6),$D$78:$H$78,0))/12,BD9)</f>
        <v/>
      </c>
      <c r="BF9" s="164">
        <f>IFERROR(INDEX($D79:$H79,MATCH(YEAR(BF$6),$D$78:$H$78,0))/12,BE9)</f>
        <v/>
      </c>
      <c r="BG9" s="164">
        <f>IFERROR(INDEX($D79:$H79,MATCH(YEAR(BG$6),$D$78:$H$78,0))/12,BF9)</f>
        <v/>
      </c>
      <c r="BH9" s="164">
        <f>IFERROR(INDEX($D79:$H79,MATCH(YEAR(BH$6),$D$78:$H$78,0))/12,BG9)</f>
        <v/>
      </c>
      <c r="BI9" s="164">
        <f>IFERROR(INDEX($D79:$H79,MATCH(YEAR(BI$6),$D$78:$H$78,0))/12,BH9)</f>
        <v/>
      </c>
      <c r="BJ9" s="164">
        <f>IFERROR(INDEX($D79:$H79,MATCH(YEAR(BJ$6),$D$78:$H$78,0))/12,BI9)</f>
        <v/>
      </c>
      <c r="BK9" s="164">
        <f>IFERROR(INDEX($D79:$H79,MATCH(YEAR(BK$6),$D$78:$H$78,0))/12,BJ9)</f>
        <v/>
      </c>
      <c r="BL9" s="164">
        <f>IFERROR(INDEX($D79:$H79,MATCH(YEAR(BL$6),$D$78:$H$78,0))/12,BK9)</f>
        <v/>
      </c>
      <c r="BM9" s="164">
        <f>IFERROR(INDEX($D79:$H79,MATCH(YEAR(BM$6),$D$78:$H$78,0))/12,BL9)</f>
        <v/>
      </c>
      <c r="BN9" s="164">
        <f>IFERROR(INDEX($D79:$H79,MATCH(YEAR(BN$6),$D$78:$H$78,0))/12,BM9)</f>
        <v/>
      </c>
      <c r="BO9" s="164">
        <f>IFERROR(INDEX($D79:$H79,MATCH(YEAR(BO$6),$D$78:$H$78,0))/12,BN9)</f>
        <v/>
      </c>
      <c r="BP9" s="164">
        <f>IFERROR(INDEX($D79:$H79,MATCH(YEAR(BP$6),$D$78:$H$78,0))/12,BO9)</f>
        <v/>
      </c>
      <c r="BQ9" s="164">
        <f>IFERROR(INDEX($D79:$H79,MATCH(YEAR(BQ$6),$D$78:$H$78,0))/12,BP9)</f>
        <v/>
      </c>
      <c r="BR9" s="164">
        <f>IFERROR(INDEX($D79:$H79,MATCH(YEAR(BR$6),$D$78:$H$78,0))/12,BQ9)</f>
        <v/>
      </c>
      <c r="BS9" s="164">
        <f>IFERROR(INDEX($D79:$H79,MATCH(YEAR(BS$6),$D$78:$H$78,0))/12,BR9)</f>
        <v/>
      </c>
      <c r="BT9" s="164">
        <f>IFERROR(INDEX($D79:$H79,MATCH(YEAR(BT$6),$D$78:$H$78,0))/12,BS9)</f>
        <v/>
      </c>
      <c r="BU9" s="164">
        <f>IFERROR(INDEX($D79:$H79,MATCH(YEAR(BU$6),$D$78:$H$78,0))/12,BT9)</f>
        <v/>
      </c>
      <c r="BV9" s="164">
        <f>IFERROR(INDEX($D79:$H79,MATCH(YEAR(BV$6),$D$78:$H$78,0))/12,BU9)</f>
        <v/>
      </c>
      <c r="BW9" s="164">
        <f>IFERROR(INDEX($D79:$H79,MATCH(YEAR(BW$6),$D$78:$H$78,0))/12,BV9)</f>
        <v/>
      </c>
      <c r="BX9" s="164">
        <f>IFERROR(INDEX($D79:$H79,MATCH(YEAR(BX$6),$D$78:$H$78,0))/12,BW9)</f>
        <v/>
      </c>
      <c r="BY9" s="164">
        <f>IFERROR(INDEX($D79:$H79,MATCH(YEAR(BY$6),$D$78:$H$78,0))/12,BX9)</f>
        <v/>
      </c>
      <c r="BZ9" s="164">
        <f>IFERROR(INDEX($D79:$H79,MATCH(YEAR(BZ$6),$D$78:$H$78,0))/12,BY9)</f>
        <v/>
      </c>
      <c r="CA9" s="164">
        <f>IFERROR(INDEX($D79:$H79,MATCH(YEAR(CA$6),$D$78:$H$78,0))/12,BZ9)</f>
        <v/>
      </c>
      <c r="CB9" s="164">
        <f>IFERROR(INDEX($D79:$H79,MATCH(YEAR(CB$6),$D$78:$H$78,0))/12,CA9)</f>
        <v/>
      </c>
      <c r="CC9" s="164">
        <f>IFERROR(INDEX($D79:$H79,MATCH(YEAR(CC$6),$D$78:$H$78,0))/12,CB9)</f>
        <v/>
      </c>
      <c r="CD9" s="164">
        <f>IFERROR(INDEX($D79:$H79,MATCH(YEAR(CD$6),$D$78:$H$78,0))/12,CC9)</f>
        <v/>
      </c>
      <c r="CE9" s="164">
        <f>IFERROR(INDEX($D79:$H79,MATCH(YEAR(CE$6),$D$78:$H$78,0))/12,CD9)</f>
        <v/>
      </c>
      <c r="CF9" s="164">
        <f>IFERROR(INDEX($D79:$H79,MATCH(YEAR(CF$6),$D$78:$H$78,0))/12,CE9)</f>
        <v/>
      </c>
      <c r="CG9" s="164">
        <f>IFERROR(INDEX($D79:$H79,MATCH(YEAR(CG$6),$D$78:$H$78,0))/12,CF9)</f>
        <v/>
      </c>
      <c r="CH9" s="164">
        <f>IFERROR(INDEX($D79:$H79,MATCH(YEAR(CH$6),$D$78:$H$78,0))/12,CG9)</f>
        <v/>
      </c>
      <c r="CI9" s="164">
        <f>IFERROR(INDEX($D79:$H79,MATCH(YEAR(CI$6),$D$78:$H$78,0))/12,CH9)</f>
        <v/>
      </c>
      <c r="CJ9" s="164">
        <f>IFERROR(INDEX($D79:$H79,MATCH(YEAR(CJ$6),$D$78:$H$78,0))/12,CI9)</f>
        <v/>
      </c>
      <c r="CK9" s="164">
        <f>IFERROR(INDEX($D79:$H79,MATCH(YEAR(CK$6),$D$78:$H$78,0))/12,CJ9)</f>
        <v/>
      </c>
      <c r="CL9" s="164">
        <f>IFERROR(INDEX($D79:$H79,MATCH(YEAR(CL$6),$D$78:$H$78,0))/12,CK9)</f>
        <v/>
      </c>
      <c r="CM9" s="164">
        <f>IFERROR(INDEX($D79:$H79,MATCH(YEAR(CM$6),$D$78:$H$78,0))/12,CL9)</f>
        <v/>
      </c>
      <c r="CN9" s="164">
        <f>IFERROR(INDEX($D79:$H79,MATCH(YEAR(CN$6),$D$78:$H$78,0))/12,CM9)</f>
        <v/>
      </c>
      <c r="CO9" s="164">
        <f>IFERROR(INDEX($D79:$H79,MATCH(YEAR(CO$6),$D$78:$H$78,0))/12,CN9)</f>
        <v/>
      </c>
      <c r="CP9" s="164">
        <f>IFERROR(INDEX($D79:$H79,MATCH(YEAR(CP$6),$D$78:$H$78,0))/12,CO9)</f>
        <v/>
      </c>
      <c r="CQ9" s="164">
        <f>IFERROR(INDEX($D79:$H79,MATCH(YEAR(CQ$6),$D$78:$H$78,0))/12,CP9)</f>
        <v/>
      </c>
      <c r="CR9" s="164">
        <f>IFERROR(INDEX($D79:$H79,MATCH(YEAR(CR$6),$D$78:$H$78,0))/12,CQ9)</f>
        <v/>
      </c>
      <c r="CS9" s="164">
        <f>IFERROR(INDEX($D79:$H79,MATCH(YEAR(CS$6),$D$78:$H$78,0))/12,CR9)</f>
        <v/>
      </c>
      <c r="CT9" s="164">
        <f>IFERROR(INDEX($D79:$H79,MATCH(YEAR(CT$6),$D$78:$H$78,0))/12,CS9)</f>
        <v/>
      </c>
      <c r="CU9" s="164">
        <f>IFERROR(INDEX($D79:$H79,MATCH(YEAR(CU$6),$D$78:$H$78,0))/12,CT9)</f>
        <v/>
      </c>
      <c r="CV9" s="164">
        <f>IFERROR(INDEX($D79:$H79,MATCH(YEAR(CV$6),$D$78:$H$78,0))/12,CU9)</f>
        <v/>
      </c>
      <c r="CW9" s="164">
        <f>IFERROR(INDEX($D79:$H79,MATCH(YEAR(CW$6),$D$78:$H$78,0))/12,CV9)</f>
        <v/>
      </c>
      <c r="CX9" s="164">
        <f>IFERROR(INDEX($D79:$H79,MATCH(YEAR(CX$6),$D$78:$H$78,0))/12,CW9)</f>
        <v/>
      </c>
      <c r="CY9" s="164">
        <f>IFERROR(INDEX($D79:$H79,MATCH(YEAR(CY$6),$D$78:$H$78,0))/12,CX9)</f>
        <v/>
      </c>
      <c r="CZ9" s="164">
        <f>IFERROR(INDEX($D79:$H79,MATCH(YEAR(CZ$6),$D$78:$H$78,0))/12,CY9)</f>
        <v/>
      </c>
      <c r="DA9" s="164">
        <f>IFERROR(INDEX($D79:$H79,MATCH(YEAR(DA$6),$D$78:$H$78,0))/12,CZ9)</f>
        <v/>
      </c>
      <c r="DB9" s="164">
        <f>IFERROR(INDEX($D79:$H79,MATCH(YEAR(DB$6),$D$78:$H$78,0))/12,DA9)</f>
        <v/>
      </c>
      <c r="DC9" s="164">
        <f>IFERROR(INDEX($D79:$H79,MATCH(YEAR(DC$6),$D$78:$H$78,0))/12,DB9)</f>
        <v/>
      </c>
      <c r="DD9" s="164">
        <f>IFERROR(INDEX($D79:$H79,MATCH(YEAR(DD$6),$D$78:$H$78,0))/12,DC9)</f>
        <v/>
      </c>
      <c r="DE9" s="164">
        <f>IFERROR(INDEX($D79:$H79,MATCH(YEAR(DE$6),$D$78:$H$78,0))/12,DD9)</f>
        <v/>
      </c>
      <c r="DF9" s="164">
        <f>IFERROR(INDEX($D79:$H79,MATCH(YEAR(DF$6),$D$78:$H$78,0))/12,DE9)</f>
        <v/>
      </c>
      <c r="DG9" s="164">
        <f>IFERROR(INDEX($D79:$H79,MATCH(YEAR(DG$6),$D$78:$H$78,0))/12,DF9)</f>
        <v/>
      </c>
      <c r="DH9" s="164">
        <f>IFERROR(INDEX($D79:$H79,MATCH(YEAR(DH$6),$D$78:$H$78,0))/12,DG9)</f>
        <v/>
      </c>
      <c r="DI9" s="164">
        <f>IFERROR(INDEX($D79:$H79,MATCH(YEAR(DI$6),$D$78:$H$78,0))/12,DH9)</f>
        <v/>
      </c>
      <c r="DJ9" s="164">
        <f>IFERROR(INDEX($D79:$H79,MATCH(YEAR(DJ$6),$D$78:$H$78,0))/12,DI9)</f>
        <v/>
      </c>
      <c r="DK9" s="164">
        <f>IFERROR(INDEX($D79:$H79,MATCH(YEAR(DK$6),$D$78:$H$78,0))/12,DJ9)</f>
        <v/>
      </c>
      <c r="DL9" s="164">
        <f>IFERROR(INDEX($D79:$H79,MATCH(YEAR(DL$6),$D$78:$H$78,0))/12,DK9)</f>
        <v/>
      </c>
      <c r="DM9" s="164">
        <f>IFERROR(INDEX($D79:$H79,MATCH(YEAR(DM$6),$D$78:$H$78,0))/12,DL9)</f>
        <v/>
      </c>
      <c r="DN9" s="164">
        <f>IFERROR(INDEX($D79:$H79,MATCH(YEAR(DN$6),$D$78:$H$78,0))/12,DM9)</f>
        <v/>
      </c>
      <c r="DO9" s="164">
        <f>IFERROR(INDEX($D79:$H79,MATCH(YEAR(DO$6),$D$78:$H$78,0))/12,DN9)</f>
        <v/>
      </c>
      <c r="DP9" s="164">
        <f>IFERROR(INDEX($D79:$H79,MATCH(YEAR(DP$6),$D$78:$H$78,0))/12,DO9)</f>
        <v/>
      </c>
      <c r="DQ9" s="164">
        <f>IFERROR(INDEX($D79:$H79,MATCH(YEAR(DQ$6),$D$78:$H$78,0))/12,DP9)</f>
        <v/>
      </c>
      <c r="DR9" s="164">
        <f>IFERROR(INDEX($D79:$H79,MATCH(YEAR(DR$6),$D$78:$H$78,0))/12,DQ9)</f>
        <v/>
      </c>
      <c r="DS9" s="164">
        <f>IFERROR(INDEX($D79:$H79,MATCH(YEAR(DS$6),$D$78:$H$78,0))/12,DR9)</f>
        <v/>
      </c>
      <c r="DT9" s="164">
        <f>IFERROR(INDEX($D79:$H79,MATCH(YEAR(DT$6),$D$78:$H$78,0))/12,DS9)</f>
        <v/>
      </c>
      <c r="DU9" s="164">
        <f>IFERROR(INDEX($D79:$H79,MATCH(YEAR(DU$6),$D$78:$H$78,0))/12,DT9)</f>
        <v/>
      </c>
      <c r="DV9" s="164">
        <f>IFERROR(INDEX($D79:$H79,MATCH(YEAR(DV$6),$D$78:$H$78,0))/12,DU9)</f>
        <v/>
      </c>
      <c r="DW9" s="164">
        <f>IFERROR(INDEX($D79:$H79,MATCH(YEAR(DW$6),$D$78:$H$78,0))/12,DV9)</f>
        <v/>
      </c>
      <c r="DX9" s="164">
        <f>IFERROR(INDEX($D79:$H79,MATCH(YEAR(DX$6),$D$78:$H$78,0))/12,DW9)</f>
        <v/>
      </c>
      <c r="DY9" s="164">
        <f>IFERROR(INDEX($D79:$H79,MATCH(YEAR(DY$6),$D$78:$H$78,0))/12,DX9)</f>
        <v/>
      </c>
      <c r="DZ9" s="164">
        <f>IFERROR(INDEX($D79:$H79,MATCH(YEAR(DZ$6),$D$78:$H$78,0))/12,DY9)</f>
        <v/>
      </c>
      <c r="EA9" s="164">
        <f>IFERROR(INDEX($D79:$H79,MATCH(YEAR(EA$6),$D$78:$H$78,0))/12,DZ9)</f>
        <v/>
      </c>
      <c r="EB9" s="164">
        <f>IFERROR(INDEX($D79:$H79,MATCH(YEAR(EB$6),$D$78:$H$78,0))/12,EA9)</f>
        <v/>
      </c>
      <c r="EC9" s="164">
        <f>IFERROR(INDEX($D79:$H79,MATCH(YEAR(EC$6),$D$78:$H$78,0))/12,EB9)</f>
        <v/>
      </c>
      <c r="ED9" s="164">
        <f>IFERROR(INDEX($D79:$H79,MATCH(YEAR(ED$6),$D$78:$H$78,0))/12,EC9)</f>
        <v/>
      </c>
      <c r="EE9" s="164">
        <f>IFERROR(INDEX($D79:$H79,MATCH(YEAR(EE$6),$D$78:$H$78,0))/12,ED9)</f>
        <v/>
      </c>
      <c r="EF9" s="164">
        <f>IFERROR(INDEX($D79:$H79,MATCH(YEAR(EF$6),$D$78:$H$78,0))/12,EE9)</f>
        <v/>
      </c>
      <c r="EG9" s="164">
        <f>IFERROR(INDEX($D79:$H79,MATCH(YEAR(EG$6),$D$78:$H$78,0))/12,EF9)</f>
        <v/>
      </c>
      <c r="EH9" s="164">
        <f>IFERROR(INDEX($D79:$H79,MATCH(YEAR(EH$6),$D$78:$H$78,0))/12,EG9)</f>
        <v/>
      </c>
      <c r="EI9" s="164">
        <f>IFERROR(INDEX($D79:$H79,MATCH(YEAR(EI$6),$D$78:$H$78,0))/12,EH9)</f>
        <v/>
      </c>
      <c r="EJ9" s="164">
        <f>IFERROR(INDEX($D79:$H79,MATCH(YEAR(EJ$6),$D$78:$H$78,0))/12,EI9)</f>
        <v/>
      </c>
      <c r="EK9" s="164">
        <f>IFERROR(INDEX($D79:$H79,MATCH(YEAR(EK$6),$D$78:$H$78,0))/12,EJ9)</f>
        <v/>
      </c>
      <c r="EL9" s="164">
        <f>IFERROR(INDEX($D79:$H79,MATCH(YEAR(EL$6),$D$78:$H$78,0))/12,EK9)</f>
        <v/>
      </c>
      <c r="EM9" s="164">
        <f>IFERROR(INDEX($D79:$H79,MATCH(YEAR(EM$6),$D$78:$H$78,0))/12,EL9)</f>
        <v/>
      </c>
      <c r="EN9" s="164">
        <f>IFERROR(INDEX($D79:$H79,MATCH(YEAR(EN$6),$D$78:$H$78,0))/12,EM9)</f>
        <v/>
      </c>
      <c r="EO9" s="164">
        <f>IFERROR(INDEX($D79:$H79,MATCH(YEAR(EO$6),$D$78:$H$78,0))/12,EN9)</f>
        <v/>
      </c>
      <c r="EP9" s="164">
        <f>IFERROR(INDEX($D79:$H79,MATCH(YEAR(EP$6),$D$78:$H$78,0))/12,EO9)</f>
        <v/>
      </c>
      <c r="EQ9" s="164">
        <f>IFERROR(INDEX($D79:$H79,MATCH(YEAR(EQ$6),$D$78:$H$78,0))/12,EP9)</f>
        <v/>
      </c>
      <c r="ER9" s="164">
        <f>IFERROR(INDEX($D79:$H79,MATCH(YEAR(ER$6),$D$78:$H$78,0))/12,EQ9)</f>
        <v/>
      </c>
      <c r="ES9" s="164">
        <f>IFERROR(INDEX($D79:$H79,MATCH(YEAR(ES$6),$D$78:$H$78,0))/12,ER9)</f>
        <v/>
      </c>
      <c r="ET9" s="164">
        <f>IFERROR(INDEX($D79:$H79,MATCH(YEAR(ET$6),$D$78:$H$78,0))/12,ES9)</f>
        <v/>
      </c>
      <c r="EU9" s="164">
        <f>IFERROR(INDEX($D79:$H79,MATCH(YEAR(EU$6),$D$78:$H$78,0))/12,ET9)</f>
        <v/>
      </c>
      <c r="EV9" s="164">
        <f>IFERROR(INDEX($D79:$H79,MATCH(YEAR(EV$6),$D$78:$H$78,0))/12,EU9)</f>
        <v/>
      </c>
      <c r="EW9" s="164">
        <f>IFERROR(INDEX($D79:$H79,MATCH(YEAR(EW$6),$D$78:$H$78,0))/12,EV9)</f>
        <v/>
      </c>
      <c r="EX9" s="164">
        <f>IFERROR(INDEX($D79:$H79,MATCH(YEAR(EX$6),$D$78:$H$78,0))/12,EW9)</f>
        <v/>
      </c>
    </row>
    <row r="10">
      <c r="C10" s="16" t="inlineStr">
        <is>
          <t>Peak Equity</t>
        </is>
      </c>
      <c r="D10" s="25">
        <f>M87</f>
        <v/>
      </c>
      <c r="E10" s="25">
        <f>M104</f>
        <v/>
      </c>
      <c r="F10" s="26" t="inlineStr">
        <is>
          <t>Peak Equity</t>
        </is>
      </c>
      <c r="G10" s="25">
        <f>M117</f>
        <v/>
      </c>
      <c r="H10" s="25">
        <f>M126</f>
        <v/>
      </c>
      <c r="J10" s="33" t="inlineStr">
        <is>
          <t>Compounded Rate</t>
        </is>
      </c>
      <c r="K10" s="33" t="n"/>
      <c r="L10" s="34" t="n"/>
      <c r="M10" s="199" t="n"/>
      <c r="N10" s="34" t="n"/>
      <c r="O10" s="35" t="n"/>
      <c r="P10" s="35" t="n"/>
      <c r="Q10" s="35" t="n"/>
      <c r="R10" s="35" t="n"/>
      <c r="S10" s="35" t="n"/>
      <c r="T10" s="35" t="n"/>
      <c r="U10" s="34" t="n"/>
      <c r="V10" s="35" t="n">
        <v>1</v>
      </c>
      <c r="W10" s="35">
        <f>V10*(1+W9)</f>
        <v/>
      </c>
      <c r="X10" s="35">
        <f>W10*(1+X9)</f>
        <v/>
      </c>
      <c r="Y10" s="35">
        <f>X10*(1+Y9)</f>
        <v/>
      </c>
      <c r="Z10" s="35">
        <f>Y10*(1+Z9)</f>
        <v/>
      </c>
      <c r="AA10" s="35">
        <f>Z10*(1+AA9)</f>
        <v/>
      </c>
      <c r="AB10" s="35">
        <f>AA10*(1+AB9)</f>
        <v/>
      </c>
      <c r="AC10" s="35">
        <f>AB10*(1+AC9)</f>
        <v/>
      </c>
      <c r="AD10" s="35">
        <f>AC10*(1+AD9)</f>
        <v/>
      </c>
      <c r="AE10" s="35">
        <f>AD10*(1+AE9)</f>
        <v/>
      </c>
      <c r="AF10" s="35">
        <f>AE10*(1+AF9)</f>
        <v/>
      </c>
      <c r="AG10" s="35">
        <f>AF10*(1+AG9)</f>
        <v/>
      </c>
      <c r="AH10" s="35">
        <f>AG10*(1+AH9)</f>
        <v/>
      </c>
      <c r="AI10" s="35">
        <f>AH10*(1+AI9)</f>
        <v/>
      </c>
      <c r="AJ10" s="35">
        <f>AI10*(1+AJ9)</f>
        <v/>
      </c>
      <c r="AK10" s="35">
        <f>AJ10*(1+AK9)</f>
        <v/>
      </c>
      <c r="AL10" s="35">
        <f>AK10*(1+AL9)</f>
        <v/>
      </c>
      <c r="AM10" s="35">
        <f>AL10*(1+AM9)</f>
        <v/>
      </c>
      <c r="AN10" s="35">
        <f>AM10*(1+AN9)</f>
        <v/>
      </c>
      <c r="AO10" s="35">
        <f>AN10*(1+AO9)</f>
        <v/>
      </c>
      <c r="AP10" s="35">
        <f>AO10*(1+AP9)</f>
        <v/>
      </c>
      <c r="AQ10" s="35">
        <f>AP10*(1+AQ9)</f>
        <v/>
      </c>
      <c r="AR10" s="35">
        <f>AQ10*(1+AR9)</f>
        <v/>
      </c>
      <c r="AS10" s="35">
        <f>AR10*(1+AS9)</f>
        <v/>
      </c>
      <c r="AT10" s="35">
        <f>AS10*(1+AT9)</f>
        <v/>
      </c>
      <c r="AU10" s="35">
        <f>AT10*(1+AU9)</f>
        <v/>
      </c>
      <c r="AV10" s="35">
        <f>AU10*(1+AV9)</f>
        <v/>
      </c>
      <c r="AW10" s="35">
        <f>AV10*(1+AW9)</f>
        <v/>
      </c>
      <c r="AX10" s="35">
        <f>AW10*(1+AX9)</f>
        <v/>
      </c>
      <c r="AY10" s="35">
        <f>AX10*(1+AY9)</f>
        <v/>
      </c>
      <c r="AZ10" s="35">
        <f>AY10*(1+AZ9)</f>
        <v/>
      </c>
      <c r="BA10" s="35">
        <f>AZ10*(1+BA9)</f>
        <v/>
      </c>
      <c r="BB10" s="35">
        <f>BA10*(1+BB9)</f>
        <v/>
      </c>
      <c r="BC10" s="35">
        <f>BB10*(1+BC9)</f>
        <v/>
      </c>
      <c r="BD10" s="35">
        <f>BC10*(1+BD9)</f>
        <v/>
      </c>
      <c r="BE10" s="35">
        <f>BD10*(1+BE9)</f>
        <v/>
      </c>
      <c r="BF10" s="35">
        <f>BE10*(1+BF9)</f>
        <v/>
      </c>
      <c r="BG10" s="35">
        <f>BF10*(1+BG9)</f>
        <v/>
      </c>
      <c r="BH10" s="35">
        <f>BG10*(1+BH9)</f>
        <v/>
      </c>
      <c r="BI10" s="35">
        <f>BH10*(1+BI9)</f>
        <v/>
      </c>
      <c r="BJ10" s="35">
        <f>BI10*(1+BJ9)</f>
        <v/>
      </c>
      <c r="BK10" s="35">
        <f>BJ10*(1+BK9)</f>
        <v/>
      </c>
      <c r="BL10" s="35">
        <f>BK10*(1+BL9)</f>
        <v/>
      </c>
      <c r="BM10" s="35">
        <f>BL10*(1+BM9)</f>
        <v/>
      </c>
      <c r="BN10" s="35">
        <f>BM10*(1+BN9)</f>
        <v/>
      </c>
      <c r="BO10" s="35">
        <f>BN10*(1+BO9)</f>
        <v/>
      </c>
      <c r="BP10" s="35">
        <f>BO10*(1+BP9)</f>
        <v/>
      </c>
      <c r="BQ10" s="35">
        <f>BP10*(1+BQ9)</f>
        <v/>
      </c>
      <c r="BR10" s="35">
        <f>BQ10*(1+BR9)</f>
        <v/>
      </c>
      <c r="BS10" s="35">
        <f>BR10*(1+BS9)</f>
        <v/>
      </c>
      <c r="BT10" s="35">
        <f>BS10*(1+BT9)</f>
        <v/>
      </c>
      <c r="BU10" s="35">
        <f>BT10*(1+BU9)</f>
        <v/>
      </c>
      <c r="BV10" s="35">
        <f>BU10*(1+BV9)</f>
        <v/>
      </c>
      <c r="BW10" s="35">
        <f>BV10*(1+BW9)</f>
        <v/>
      </c>
      <c r="BX10" s="35">
        <f>BW10*(1+BX9)</f>
        <v/>
      </c>
      <c r="BY10" s="35">
        <f>BX10*(1+BY9)</f>
        <v/>
      </c>
      <c r="BZ10" s="35">
        <f>BY10*(1+BZ9)</f>
        <v/>
      </c>
      <c r="CA10" s="35">
        <f>BZ10*(1+CA9)</f>
        <v/>
      </c>
      <c r="CB10" s="35">
        <f>CA10*(1+CB9)</f>
        <v/>
      </c>
      <c r="CC10" s="35">
        <f>CB10*(1+CC9)</f>
        <v/>
      </c>
      <c r="CD10" s="35">
        <f>CC10*(1+CD9)</f>
        <v/>
      </c>
      <c r="CE10" s="35">
        <f>CD10*(1+CE9)</f>
        <v/>
      </c>
      <c r="CF10" s="35">
        <f>CE10*(1+CF9)</f>
        <v/>
      </c>
      <c r="CG10" s="35">
        <f>CF10*(1+CG9)</f>
        <v/>
      </c>
      <c r="CH10" s="35">
        <f>CG10*(1+CH9)</f>
        <v/>
      </c>
      <c r="CI10" s="35">
        <f>CH10*(1+CI9)</f>
        <v/>
      </c>
      <c r="CJ10" s="35">
        <f>CI10*(1+CJ9)</f>
        <v/>
      </c>
      <c r="CK10" s="35">
        <f>CJ10*(1+CK9)</f>
        <v/>
      </c>
      <c r="CL10" s="35">
        <f>CK10*(1+CL9)</f>
        <v/>
      </c>
      <c r="CM10" s="35">
        <f>CL10*(1+CM9)</f>
        <v/>
      </c>
      <c r="CN10" s="35">
        <f>CM10*(1+CN9)</f>
        <v/>
      </c>
      <c r="CO10" s="35">
        <f>CN10*(1+CO9)</f>
        <v/>
      </c>
      <c r="CP10" s="35">
        <f>CO10*(1+CP9)</f>
        <v/>
      </c>
      <c r="CQ10" s="35">
        <f>CP10*(1+CQ9)</f>
        <v/>
      </c>
      <c r="CR10" s="35">
        <f>CQ10*(1+CR9)</f>
        <v/>
      </c>
      <c r="CS10" s="35">
        <f>CR10*(1+CS9)</f>
        <v/>
      </c>
      <c r="CT10" s="35">
        <f>CS10*(1+CT9)</f>
        <v/>
      </c>
      <c r="CU10" s="35">
        <f>CT10*(1+CU9)</f>
        <v/>
      </c>
      <c r="CV10" s="35">
        <f>CU10*(1+CV9)</f>
        <v/>
      </c>
      <c r="CW10" s="35">
        <f>CV10*(1+CW9)</f>
        <v/>
      </c>
      <c r="CX10" s="35">
        <f>CW10*(1+CX9)</f>
        <v/>
      </c>
      <c r="CY10" s="35">
        <f>CX10*(1+CY9)</f>
        <v/>
      </c>
      <c r="CZ10" s="35">
        <f>CY10*(1+CZ9)</f>
        <v/>
      </c>
      <c r="DA10" s="35">
        <f>CZ10*(1+DA9)</f>
        <v/>
      </c>
      <c r="DB10" s="35">
        <f>DA10*(1+DB9)</f>
        <v/>
      </c>
      <c r="DC10" s="35">
        <f>DB10*(1+DC9)</f>
        <v/>
      </c>
      <c r="DD10" s="35">
        <f>DC10*(1+DD9)</f>
        <v/>
      </c>
      <c r="DE10" s="35">
        <f>DD10*(1+DE9)</f>
        <v/>
      </c>
      <c r="DF10" s="35">
        <f>DE10*(1+DF9)</f>
        <v/>
      </c>
      <c r="DG10" s="35">
        <f>DF10*(1+DG9)</f>
        <v/>
      </c>
      <c r="DH10" s="35">
        <f>DG10*(1+DH9)</f>
        <v/>
      </c>
      <c r="DI10" s="35">
        <f>DH10*(1+DI9)</f>
        <v/>
      </c>
      <c r="DJ10" s="35">
        <f>DI10*(1+DJ9)</f>
        <v/>
      </c>
      <c r="DK10" s="35">
        <f>DJ10*(1+DK9)</f>
        <v/>
      </c>
      <c r="DL10" s="35">
        <f>DK10*(1+DL9)</f>
        <v/>
      </c>
      <c r="DM10" s="35">
        <f>DL10*(1+DM9)</f>
        <v/>
      </c>
      <c r="DN10" s="35">
        <f>DM10*(1+DN9)</f>
        <v/>
      </c>
      <c r="DO10" s="35">
        <f>DN10*(1+DO9)</f>
        <v/>
      </c>
      <c r="DP10" s="35">
        <f>DO10*(1+DP9)</f>
        <v/>
      </c>
      <c r="DQ10" s="35">
        <f>DP10*(1+DQ9)</f>
        <v/>
      </c>
      <c r="DR10" s="35">
        <f>DQ10*(1+DR9)</f>
        <v/>
      </c>
      <c r="DS10" s="35">
        <f>DR10*(1+DS9)</f>
        <v/>
      </c>
      <c r="DT10" s="35">
        <f>DS10*(1+DT9)</f>
        <v/>
      </c>
      <c r="DU10" s="35">
        <f>DT10*(1+DU9)</f>
        <v/>
      </c>
      <c r="DV10" s="35">
        <f>DU10*(1+DV9)</f>
        <v/>
      </c>
      <c r="DW10" s="35">
        <f>DV10*(1+DW9)</f>
        <v/>
      </c>
      <c r="DX10" s="35">
        <f>DW10*(1+DX9)</f>
        <v/>
      </c>
      <c r="DY10" s="35">
        <f>DX10*(1+DY9)</f>
        <v/>
      </c>
      <c r="DZ10" s="35">
        <f>DY10*(1+DZ9)</f>
        <v/>
      </c>
      <c r="EA10" s="35">
        <f>DZ10*(1+EA9)</f>
        <v/>
      </c>
      <c r="EB10" s="35">
        <f>EA10*(1+EB9)</f>
        <v/>
      </c>
      <c r="EC10" s="35">
        <f>EB10*(1+EC9)</f>
        <v/>
      </c>
      <c r="ED10" s="35">
        <f>EC10*(1+ED9)</f>
        <v/>
      </c>
      <c r="EE10" s="35">
        <f>ED10*(1+EE9)</f>
        <v/>
      </c>
      <c r="EF10" s="35">
        <f>EE10*(1+EF9)</f>
        <v/>
      </c>
      <c r="EG10" s="35">
        <f>EF10*(1+EG9)</f>
        <v/>
      </c>
      <c r="EH10" s="35">
        <f>EG10*(1+EH9)</f>
        <v/>
      </c>
      <c r="EI10" s="35">
        <f>EH10*(1+EI9)</f>
        <v/>
      </c>
      <c r="EJ10" s="35">
        <f>EI10*(1+EJ9)</f>
        <v/>
      </c>
      <c r="EK10" s="35">
        <f>EJ10*(1+EK9)</f>
        <v/>
      </c>
      <c r="EL10" s="35">
        <f>EK10*(1+EL9)</f>
        <v/>
      </c>
      <c r="EM10" s="35">
        <f>EL10*(1+EM9)</f>
        <v/>
      </c>
      <c r="EN10" s="35">
        <f>EM10*(1+EN9)</f>
        <v/>
      </c>
      <c r="EO10" s="35">
        <f>EN10*(1+EO9)</f>
        <v/>
      </c>
      <c r="EP10" s="35">
        <f>EO10*(1+EP9)</f>
        <v/>
      </c>
      <c r="EQ10" s="35">
        <f>EP10*(1+EQ9)</f>
        <v/>
      </c>
      <c r="ER10" s="35">
        <f>EQ10*(1+ER9)</f>
        <v/>
      </c>
      <c r="ES10" s="35">
        <f>ER10*(1+ES9)</f>
        <v/>
      </c>
      <c r="ET10" s="35">
        <f>ES10*(1+ET9)</f>
        <v/>
      </c>
      <c r="EU10" s="35">
        <f>ET10*(1+EU9)</f>
        <v/>
      </c>
      <c r="EV10" s="35">
        <f>EU10*(1+EV9)</f>
        <v/>
      </c>
      <c r="EW10" s="35">
        <f>EV10*(1+EW9)</f>
        <v/>
      </c>
      <c r="EX10" s="35">
        <f>EW10*(1+EX9)</f>
        <v/>
      </c>
    </row>
    <row r="11">
      <c r="C11" s="16" t="inlineStr">
        <is>
          <t>IRR</t>
        </is>
      </c>
      <c r="D11" s="28">
        <f>M88</f>
        <v/>
      </c>
      <c r="E11" s="28">
        <f>M105</f>
        <v/>
      </c>
      <c r="F11" s="26" t="inlineStr">
        <is>
          <t>IRR</t>
        </is>
      </c>
      <c r="G11" s="28">
        <f>M118</f>
        <v/>
      </c>
      <c r="H11" s="28">
        <f>M127</f>
        <v/>
      </c>
      <c r="J11" s="9">
        <f>C80</f>
        <v/>
      </c>
      <c r="O11" s="164">
        <f>SUMIF($V$5:$EX$5,O$7,$V11:$EX11)</f>
        <v/>
      </c>
      <c r="P11" s="164">
        <f>SUMIF($V$5:$EX$5,P$7,$V11:$EX11)</f>
        <v/>
      </c>
      <c r="Q11" s="164">
        <f>SUMIF($V$5:$EX$5,Q$7,$V11:$EX11)</f>
        <v/>
      </c>
      <c r="R11" s="164">
        <f>SUMIF($V$5:$EX$5,R$7,$V11:$EX11)</f>
        <v/>
      </c>
      <c r="S11" s="164">
        <f>SUMIF($V$5:$EX$5,S$7,$V11:$EX11)</f>
        <v/>
      </c>
      <c r="T11" s="164">
        <f>SUMIF($V$5:$EX$5,T$7,$V11:$EX11)</f>
        <v/>
      </c>
      <c r="V11" s="164" t="n">
        <v>0</v>
      </c>
      <c r="W11" s="164">
        <f>IFERROR(INDEX($D80:$H80,MATCH(YEAR(W$6),$D$78:$H$78,0))/12,V11)</f>
        <v/>
      </c>
      <c r="X11" s="164">
        <f>IFERROR(INDEX($D80:$H80,MATCH(YEAR(X$6),$D$78:$H$78,0))/12,W11)</f>
        <v/>
      </c>
      <c r="Y11" s="164">
        <f>IFERROR(INDEX($D80:$H80,MATCH(YEAR(Y$6),$D$78:$H$78,0))/12,X11)</f>
        <v/>
      </c>
      <c r="Z11" s="164">
        <f>IFERROR(INDEX($D80:$H80,MATCH(YEAR(Z$6),$D$78:$H$78,0))/12,Y11)</f>
        <v/>
      </c>
      <c r="AA11" s="164">
        <f>IFERROR(INDEX($D80:$H80,MATCH(YEAR(AA$6),$D$78:$H$78,0))/12,Z11)</f>
        <v/>
      </c>
      <c r="AB11" s="164">
        <f>IFERROR(INDEX($D80:$H80,MATCH(YEAR(AB$6),$D$78:$H$78,0))/12,AA11)</f>
        <v/>
      </c>
      <c r="AC11" s="164">
        <f>IFERROR(INDEX($D80:$H80,MATCH(YEAR(AC$6),$D$78:$H$78,0))/12,AB11)</f>
        <v/>
      </c>
      <c r="AD11" s="164">
        <f>IFERROR(INDEX($D80:$H80,MATCH(YEAR(AD$6),$D$78:$H$78,0))/12,AC11)</f>
        <v/>
      </c>
      <c r="AE11" s="164">
        <f>IFERROR(INDEX($D80:$H80,MATCH(YEAR(AE$6),$D$78:$H$78,0))/12,AD11)</f>
        <v/>
      </c>
      <c r="AF11" s="164">
        <f>IFERROR(INDEX($D80:$H80,MATCH(YEAR(AF$6),$D$78:$H$78,0))/12,AE11)</f>
        <v/>
      </c>
      <c r="AG11" s="164">
        <f>IFERROR(INDEX($D80:$H80,MATCH(YEAR(AG$6),$D$78:$H$78,0))/12,AF11)</f>
        <v/>
      </c>
      <c r="AH11" s="164">
        <f>IFERROR(INDEX($D80:$H80,MATCH(YEAR(AH$6),$D$78:$H$78,0))/12,AG11)</f>
        <v/>
      </c>
      <c r="AI11" s="164">
        <f>IFERROR(INDEX($D80:$H80,MATCH(YEAR(AI$6),$D$78:$H$78,0))/12,AH11)</f>
        <v/>
      </c>
      <c r="AJ11" s="164">
        <f>IFERROR(INDEX($D80:$H80,MATCH(YEAR(AJ$6),$D$78:$H$78,0))/12,AI11)</f>
        <v/>
      </c>
      <c r="AK11" s="164">
        <f>IFERROR(INDEX($D80:$H80,MATCH(YEAR(AK$6),$D$78:$H$78,0))/12,AJ11)</f>
        <v/>
      </c>
      <c r="AL11" s="164">
        <f>IFERROR(INDEX($D80:$H80,MATCH(YEAR(AL$6),$D$78:$H$78,0))/12,AK11)</f>
        <v/>
      </c>
      <c r="AM11" s="164">
        <f>IFERROR(INDEX($D80:$H80,MATCH(YEAR(AM$6),$D$78:$H$78,0))/12,AL11)</f>
        <v/>
      </c>
      <c r="AN11" s="164">
        <f>IFERROR(INDEX($D80:$H80,MATCH(YEAR(AN$6),$D$78:$H$78,0))/12,AM11)</f>
        <v/>
      </c>
      <c r="AO11" s="164">
        <f>IFERROR(INDEX($D80:$H80,MATCH(YEAR(AO$6),$D$78:$H$78,0))/12,AN11)</f>
        <v/>
      </c>
      <c r="AP11" s="164">
        <f>IFERROR(INDEX($D80:$H80,MATCH(YEAR(AP$6),$D$78:$H$78,0))/12,AO11)</f>
        <v/>
      </c>
      <c r="AQ11" s="164">
        <f>IFERROR(INDEX($D80:$H80,MATCH(YEAR(AQ$6),$D$78:$H$78,0))/12,AP11)</f>
        <v/>
      </c>
      <c r="AR11" s="164">
        <f>IFERROR(INDEX($D80:$H80,MATCH(YEAR(AR$6),$D$78:$H$78,0))/12,AQ11)</f>
        <v/>
      </c>
      <c r="AS11" s="164">
        <f>IFERROR(INDEX($D80:$H80,MATCH(YEAR(AS$6),$D$78:$H$78,0))/12,AR11)</f>
        <v/>
      </c>
      <c r="AT11" s="164">
        <f>IFERROR(INDEX($D80:$H80,MATCH(YEAR(AT$6),$D$78:$H$78,0))/12,AS11)</f>
        <v/>
      </c>
      <c r="AU11" s="164">
        <f>IFERROR(INDEX($D80:$H80,MATCH(YEAR(AU$6),$D$78:$H$78,0))/12,AT11)</f>
        <v/>
      </c>
      <c r="AV11" s="164">
        <f>IFERROR(INDEX($D80:$H80,MATCH(YEAR(AV$6),$D$78:$H$78,0))/12,AU11)</f>
        <v/>
      </c>
      <c r="AW11" s="164">
        <f>IFERROR(INDEX($D80:$H80,MATCH(YEAR(AW$6),$D$78:$H$78,0))/12,AV11)</f>
        <v/>
      </c>
      <c r="AX11" s="164">
        <f>IFERROR(INDEX($D80:$H80,MATCH(YEAR(AX$6),$D$78:$H$78,0))/12,AW11)</f>
        <v/>
      </c>
      <c r="AY11" s="164">
        <f>IFERROR(INDEX($D80:$H80,MATCH(YEAR(AY$6),$D$78:$H$78,0))/12,AX11)</f>
        <v/>
      </c>
      <c r="AZ11" s="164">
        <f>IFERROR(INDEX($D80:$H80,MATCH(YEAR(AZ$6),$D$78:$H$78,0))/12,AY11)</f>
        <v/>
      </c>
      <c r="BA11" s="164">
        <f>IFERROR(INDEX($D80:$H80,MATCH(YEAR(BA$6),$D$78:$H$78,0))/12,AZ11)</f>
        <v/>
      </c>
      <c r="BB11" s="164">
        <f>IFERROR(INDEX($D80:$H80,MATCH(YEAR(BB$6),$D$78:$H$78,0))/12,BA11)</f>
        <v/>
      </c>
      <c r="BC11" s="164">
        <f>IFERROR(INDEX($D80:$H80,MATCH(YEAR(BC$6),$D$78:$H$78,0))/12,BB11)</f>
        <v/>
      </c>
      <c r="BD11" s="164">
        <f>IFERROR(INDEX($D80:$H80,MATCH(YEAR(BD$6),$D$78:$H$78,0))/12,BC11)</f>
        <v/>
      </c>
      <c r="BE11" s="164">
        <f>IFERROR(INDEX($D80:$H80,MATCH(YEAR(BE$6),$D$78:$H$78,0))/12,BD11)</f>
        <v/>
      </c>
      <c r="BF11" s="164">
        <f>IFERROR(INDEX($D80:$H80,MATCH(YEAR(BF$6),$D$78:$H$78,0))/12,BE11)</f>
        <v/>
      </c>
      <c r="BG11" s="164">
        <f>IFERROR(INDEX($D80:$H80,MATCH(YEAR(BG$6),$D$78:$H$78,0))/12,BF11)</f>
        <v/>
      </c>
      <c r="BH11" s="164">
        <f>IFERROR(INDEX($D80:$H80,MATCH(YEAR(BH$6),$D$78:$H$78,0))/12,BG11)</f>
        <v/>
      </c>
      <c r="BI11" s="164">
        <f>IFERROR(INDEX($D80:$H80,MATCH(YEAR(BI$6),$D$78:$H$78,0))/12,BH11)</f>
        <v/>
      </c>
      <c r="BJ11" s="164">
        <f>IFERROR(INDEX($D80:$H80,MATCH(YEAR(BJ$6),$D$78:$H$78,0))/12,BI11)</f>
        <v/>
      </c>
      <c r="BK11" s="164">
        <f>IFERROR(INDEX($D80:$H80,MATCH(YEAR(BK$6),$D$78:$H$78,0))/12,BJ11)</f>
        <v/>
      </c>
      <c r="BL11" s="164">
        <f>IFERROR(INDEX($D80:$H80,MATCH(YEAR(BL$6),$D$78:$H$78,0))/12,BK11)</f>
        <v/>
      </c>
      <c r="BM11" s="164">
        <f>IFERROR(INDEX($D80:$H80,MATCH(YEAR(BM$6),$D$78:$H$78,0))/12,BL11)</f>
        <v/>
      </c>
      <c r="BN11" s="164">
        <f>IFERROR(INDEX($D80:$H80,MATCH(YEAR(BN$6),$D$78:$H$78,0))/12,BM11)</f>
        <v/>
      </c>
      <c r="BO11" s="164">
        <f>IFERROR(INDEX($D80:$H80,MATCH(YEAR(BO$6),$D$78:$H$78,0))/12,BN11)</f>
        <v/>
      </c>
      <c r="BP11" s="164">
        <f>IFERROR(INDEX($D80:$H80,MATCH(YEAR(BP$6),$D$78:$H$78,0))/12,BO11)</f>
        <v/>
      </c>
      <c r="BQ11" s="164">
        <f>IFERROR(INDEX($D80:$H80,MATCH(YEAR(BQ$6),$D$78:$H$78,0))/12,BP11)</f>
        <v/>
      </c>
      <c r="BR11" s="164">
        <f>IFERROR(INDEX($D80:$H80,MATCH(YEAR(BR$6),$D$78:$H$78,0))/12,BQ11)</f>
        <v/>
      </c>
      <c r="BS11" s="164">
        <f>IFERROR(INDEX($D80:$H80,MATCH(YEAR(BS$6),$D$78:$H$78,0))/12,BR11)</f>
        <v/>
      </c>
      <c r="BT11" s="164">
        <f>IFERROR(INDEX($D80:$H80,MATCH(YEAR(BT$6),$D$78:$H$78,0))/12,BS11)</f>
        <v/>
      </c>
      <c r="BU11" s="164">
        <f>IFERROR(INDEX($D80:$H80,MATCH(YEAR(BU$6),$D$78:$H$78,0))/12,BT11)</f>
        <v/>
      </c>
      <c r="BV11" s="164">
        <f>IFERROR(INDEX($D80:$H80,MATCH(YEAR(BV$6),$D$78:$H$78,0))/12,BU11)</f>
        <v/>
      </c>
      <c r="BW11" s="164">
        <f>IFERROR(INDEX($D80:$H80,MATCH(YEAR(BW$6),$D$78:$H$78,0))/12,BV11)</f>
        <v/>
      </c>
      <c r="BX11" s="164">
        <f>IFERROR(INDEX($D80:$H80,MATCH(YEAR(BX$6),$D$78:$H$78,0))/12,BW11)</f>
        <v/>
      </c>
      <c r="BY11" s="164">
        <f>IFERROR(INDEX($D80:$H80,MATCH(YEAR(BY$6),$D$78:$H$78,0))/12,BX11)</f>
        <v/>
      </c>
      <c r="BZ11" s="164">
        <f>IFERROR(INDEX($D80:$H80,MATCH(YEAR(BZ$6),$D$78:$H$78,0))/12,BY11)</f>
        <v/>
      </c>
      <c r="CA11" s="164">
        <f>IFERROR(INDEX($D80:$H80,MATCH(YEAR(CA$6),$D$78:$H$78,0))/12,BZ11)</f>
        <v/>
      </c>
      <c r="CB11" s="164">
        <f>IFERROR(INDEX($D80:$H80,MATCH(YEAR(CB$6),$D$78:$H$78,0))/12,CA11)</f>
        <v/>
      </c>
      <c r="CC11" s="164">
        <f>IFERROR(INDEX($D80:$H80,MATCH(YEAR(CC$6),$D$78:$H$78,0))/12,CB11)</f>
        <v/>
      </c>
      <c r="CD11" s="164">
        <f>IFERROR(INDEX($D80:$H80,MATCH(YEAR(CD$6),$D$78:$H$78,0))/12,CC11)</f>
        <v/>
      </c>
      <c r="CE11" s="164">
        <f>IFERROR(INDEX($D80:$H80,MATCH(YEAR(CE$6),$D$78:$H$78,0))/12,CD11)</f>
        <v/>
      </c>
      <c r="CF11" s="164">
        <f>IFERROR(INDEX($D80:$H80,MATCH(YEAR(CF$6),$D$78:$H$78,0))/12,CE11)</f>
        <v/>
      </c>
      <c r="CG11" s="164">
        <f>IFERROR(INDEX($D80:$H80,MATCH(YEAR(CG$6),$D$78:$H$78,0))/12,CF11)</f>
        <v/>
      </c>
      <c r="CH11" s="164">
        <f>IFERROR(INDEX($D80:$H80,MATCH(YEAR(CH$6),$D$78:$H$78,0))/12,CG11)</f>
        <v/>
      </c>
      <c r="CI11" s="164">
        <f>IFERROR(INDEX($D80:$H80,MATCH(YEAR(CI$6),$D$78:$H$78,0))/12,CH11)</f>
        <v/>
      </c>
      <c r="CJ11" s="164">
        <f>IFERROR(INDEX($D80:$H80,MATCH(YEAR(CJ$6),$D$78:$H$78,0))/12,CI11)</f>
        <v/>
      </c>
      <c r="CK11" s="164">
        <f>IFERROR(INDEX($D80:$H80,MATCH(YEAR(CK$6),$D$78:$H$78,0))/12,CJ11)</f>
        <v/>
      </c>
      <c r="CL11" s="164">
        <f>IFERROR(INDEX($D80:$H80,MATCH(YEAR(CL$6),$D$78:$H$78,0))/12,CK11)</f>
        <v/>
      </c>
      <c r="CM11" s="164">
        <f>IFERROR(INDEX($D80:$H80,MATCH(YEAR(CM$6),$D$78:$H$78,0))/12,CL11)</f>
        <v/>
      </c>
      <c r="CN11" s="164">
        <f>IFERROR(INDEX($D80:$H80,MATCH(YEAR(CN$6),$D$78:$H$78,0))/12,CM11)</f>
        <v/>
      </c>
      <c r="CO11" s="164">
        <f>IFERROR(INDEX($D80:$H80,MATCH(YEAR(CO$6),$D$78:$H$78,0))/12,CN11)</f>
        <v/>
      </c>
      <c r="CP11" s="164">
        <f>IFERROR(INDEX($D80:$H80,MATCH(YEAR(CP$6),$D$78:$H$78,0))/12,CO11)</f>
        <v/>
      </c>
      <c r="CQ11" s="164">
        <f>IFERROR(INDEX($D80:$H80,MATCH(YEAR(CQ$6),$D$78:$H$78,0))/12,CP11)</f>
        <v/>
      </c>
      <c r="CR11" s="164">
        <f>IFERROR(INDEX($D80:$H80,MATCH(YEAR(CR$6),$D$78:$H$78,0))/12,CQ11)</f>
        <v/>
      </c>
      <c r="CS11" s="164">
        <f>IFERROR(INDEX($D80:$H80,MATCH(YEAR(CS$6),$D$78:$H$78,0))/12,CR11)</f>
        <v/>
      </c>
      <c r="CT11" s="164">
        <f>IFERROR(INDEX($D80:$H80,MATCH(YEAR(CT$6),$D$78:$H$78,0))/12,CS11)</f>
        <v/>
      </c>
      <c r="CU11" s="164">
        <f>IFERROR(INDEX($D80:$H80,MATCH(YEAR(CU$6),$D$78:$H$78,0))/12,CT11)</f>
        <v/>
      </c>
      <c r="CV11" s="164">
        <f>IFERROR(INDEX($D80:$H80,MATCH(YEAR(CV$6),$D$78:$H$78,0))/12,CU11)</f>
        <v/>
      </c>
      <c r="CW11" s="164">
        <f>IFERROR(INDEX($D80:$H80,MATCH(YEAR(CW$6),$D$78:$H$78,0))/12,CV11)</f>
        <v/>
      </c>
      <c r="CX11" s="164">
        <f>IFERROR(INDEX($D80:$H80,MATCH(YEAR(CX$6),$D$78:$H$78,0))/12,CW11)</f>
        <v/>
      </c>
      <c r="CY11" s="164">
        <f>IFERROR(INDEX($D80:$H80,MATCH(YEAR(CY$6),$D$78:$H$78,0))/12,CX11)</f>
        <v/>
      </c>
      <c r="CZ11" s="164">
        <f>IFERROR(INDEX($D80:$H80,MATCH(YEAR(CZ$6),$D$78:$H$78,0))/12,CY11)</f>
        <v/>
      </c>
      <c r="DA11" s="164">
        <f>IFERROR(INDEX($D80:$H80,MATCH(YEAR(DA$6),$D$78:$H$78,0))/12,CZ11)</f>
        <v/>
      </c>
      <c r="DB11" s="164">
        <f>IFERROR(INDEX($D80:$H80,MATCH(YEAR(DB$6),$D$78:$H$78,0))/12,DA11)</f>
        <v/>
      </c>
      <c r="DC11" s="164">
        <f>IFERROR(INDEX($D80:$H80,MATCH(YEAR(DC$6),$D$78:$H$78,0))/12,DB11)</f>
        <v/>
      </c>
      <c r="DD11" s="164">
        <f>IFERROR(INDEX($D80:$H80,MATCH(YEAR(DD$6),$D$78:$H$78,0))/12,DC11)</f>
        <v/>
      </c>
      <c r="DE11" s="164">
        <f>IFERROR(INDEX($D80:$H80,MATCH(YEAR(DE$6),$D$78:$H$78,0))/12,DD11)</f>
        <v/>
      </c>
      <c r="DF11" s="164">
        <f>IFERROR(INDEX($D80:$H80,MATCH(YEAR(DF$6),$D$78:$H$78,0))/12,DE11)</f>
        <v/>
      </c>
      <c r="DG11" s="164">
        <f>IFERROR(INDEX($D80:$H80,MATCH(YEAR(DG$6),$D$78:$H$78,0))/12,DF11)</f>
        <v/>
      </c>
      <c r="DH11" s="164">
        <f>IFERROR(INDEX($D80:$H80,MATCH(YEAR(DH$6),$D$78:$H$78,0))/12,DG11)</f>
        <v/>
      </c>
      <c r="DI11" s="164">
        <f>IFERROR(INDEX($D80:$H80,MATCH(YEAR(DI$6),$D$78:$H$78,0))/12,DH11)</f>
        <v/>
      </c>
      <c r="DJ11" s="164">
        <f>IFERROR(INDEX($D80:$H80,MATCH(YEAR(DJ$6),$D$78:$H$78,0))/12,DI11)</f>
        <v/>
      </c>
      <c r="DK11" s="164">
        <f>IFERROR(INDEX($D80:$H80,MATCH(YEAR(DK$6),$D$78:$H$78,0))/12,DJ11)</f>
        <v/>
      </c>
      <c r="DL11" s="164">
        <f>IFERROR(INDEX($D80:$H80,MATCH(YEAR(DL$6),$D$78:$H$78,0))/12,DK11)</f>
        <v/>
      </c>
      <c r="DM11" s="164">
        <f>IFERROR(INDEX($D80:$H80,MATCH(YEAR(DM$6),$D$78:$H$78,0))/12,DL11)</f>
        <v/>
      </c>
      <c r="DN11" s="164">
        <f>IFERROR(INDEX($D80:$H80,MATCH(YEAR(DN$6),$D$78:$H$78,0))/12,DM11)</f>
        <v/>
      </c>
      <c r="DO11" s="164">
        <f>IFERROR(INDEX($D80:$H80,MATCH(YEAR(DO$6),$D$78:$H$78,0))/12,DN11)</f>
        <v/>
      </c>
      <c r="DP11" s="164">
        <f>IFERROR(INDEX($D80:$H80,MATCH(YEAR(DP$6),$D$78:$H$78,0))/12,DO11)</f>
        <v/>
      </c>
      <c r="DQ11" s="164">
        <f>IFERROR(INDEX($D80:$H80,MATCH(YEAR(DQ$6),$D$78:$H$78,0))/12,DP11)</f>
        <v/>
      </c>
      <c r="DR11" s="164">
        <f>IFERROR(INDEX($D80:$H80,MATCH(YEAR(DR$6),$D$78:$H$78,0))/12,DQ11)</f>
        <v/>
      </c>
      <c r="DS11" s="164">
        <f>IFERROR(INDEX($D80:$H80,MATCH(YEAR(DS$6),$D$78:$H$78,0))/12,DR11)</f>
        <v/>
      </c>
      <c r="DT11" s="164">
        <f>IFERROR(INDEX($D80:$H80,MATCH(YEAR(DT$6),$D$78:$H$78,0))/12,DS11)</f>
        <v/>
      </c>
      <c r="DU11" s="164">
        <f>IFERROR(INDEX($D80:$H80,MATCH(YEAR(DU$6),$D$78:$H$78,0))/12,DT11)</f>
        <v/>
      </c>
      <c r="DV11" s="164">
        <f>IFERROR(INDEX($D80:$H80,MATCH(YEAR(DV$6),$D$78:$H$78,0))/12,DU11)</f>
        <v/>
      </c>
      <c r="DW11" s="164">
        <f>IFERROR(INDEX($D80:$H80,MATCH(YEAR(DW$6),$D$78:$H$78,0))/12,DV11)</f>
        <v/>
      </c>
      <c r="DX11" s="164">
        <f>IFERROR(INDEX($D80:$H80,MATCH(YEAR(DX$6),$D$78:$H$78,0))/12,DW11)</f>
        <v/>
      </c>
      <c r="DY11" s="164">
        <f>IFERROR(INDEX($D80:$H80,MATCH(YEAR(DY$6),$D$78:$H$78,0))/12,DX11)</f>
        <v/>
      </c>
      <c r="DZ11" s="164">
        <f>IFERROR(INDEX($D80:$H80,MATCH(YEAR(DZ$6),$D$78:$H$78,0))/12,DY11)</f>
        <v/>
      </c>
      <c r="EA11" s="164">
        <f>IFERROR(INDEX($D80:$H80,MATCH(YEAR(EA$6),$D$78:$H$78,0))/12,DZ11)</f>
        <v/>
      </c>
      <c r="EB11" s="164">
        <f>IFERROR(INDEX($D80:$H80,MATCH(YEAR(EB$6),$D$78:$H$78,0))/12,EA11)</f>
        <v/>
      </c>
      <c r="EC11" s="164">
        <f>IFERROR(INDEX($D80:$H80,MATCH(YEAR(EC$6),$D$78:$H$78,0))/12,EB11)</f>
        <v/>
      </c>
      <c r="ED11" s="164">
        <f>IFERROR(INDEX($D80:$H80,MATCH(YEAR(ED$6),$D$78:$H$78,0))/12,EC11)</f>
        <v/>
      </c>
      <c r="EE11" s="164">
        <f>IFERROR(INDEX($D80:$H80,MATCH(YEAR(EE$6),$D$78:$H$78,0))/12,ED11)</f>
        <v/>
      </c>
      <c r="EF11" s="164">
        <f>IFERROR(INDEX($D80:$H80,MATCH(YEAR(EF$6),$D$78:$H$78,0))/12,EE11)</f>
        <v/>
      </c>
      <c r="EG11" s="164">
        <f>IFERROR(INDEX($D80:$H80,MATCH(YEAR(EG$6),$D$78:$H$78,0))/12,EF11)</f>
        <v/>
      </c>
      <c r="EH11" s="164">
        <f>IFERROR(INDEX($D80:$H80,MATCH(YEAR(EH$6),$D$78:$H$78,0))/12,EG11)</f>
        <v/>
      </c>
      <c r="EI11" s="164">
        <f>IFERROR(INDEX($D80:$H80,MATCH(YEAR(EI$6),$D$78:$H$78,0))/12,EH11)</f>
        <v/>
      </c>
      <c r="EJ11" s="164">
        <f>IFERROR(INDEX($D80:$H80,MATCH(YEAR(EJ$6),$D$78:$H$78,0))/12,EI11)</f>
        <v/>
      </c>
      <c r="EK11" s="164">
        <f>IFERROR(INDEX($D80:$H80,MATCH(YEAR(EK$6),$D$78:$H$78,0))/12,EJ11)</f>
        <v/>
      </c>
      <c r="EL11" s="164">
        <f>IFERROR(INDEX($D80:$H80,MATCH(YEAR(EL$6),$D$78:$H$78,0))/12,EK11)</f>
        <v/>
      </c>
      <c r="EM11" s="164">
        <f>IFERROR(INDEX($D80:$H80,MATCH(YEAR(EM$6),$D$78:$H$78,0))/12,EL11)</f>
        <v/>
      </c>
      <c r="EN11" s="164">
        <f>IFERROR(INDEX($D80:$H80,MATCH(YEAR(EN$6),$D$78:$H$78,0))/12,EM11)</f>
        <v/>
      </c>
      <c r="EO11" s="164">
        <f>IFERROR(INDEX($D80:$H80,MATCH(YEAR(EO$6),$D$78:$H$78,0))/12,EN11)</f>
        <v/>
      </c>
      <c r="EP11" s="164">
        <f>IFERROR(INDEX($D80:$H80,MATCH(YEAR(EP$6),$D$78:$H$78,0))/12,EO11)</f>
        <v/>
      </c>
      <c r="EQ11" s="164">
        <f>IFERROR(INDEX($D80:$H80,MATCH(YEAR(EQ$6),$D$78:$H$78,0))/12,EP11)</f>
        <v/>
      </c>
      <c r="ER11" s="164">
        <f>IFERROR(INDEX($D80:$H80,MATCH(YEAR(ER$6),$D$78:$H$78,0))/12,EQ11)</f>
        <v/>
      </c>
      <c r="ES11" s="164">
        <f>IFERROR(INDEX($D80:$H80,MATCH(YEAR(ES$6),$D$78:$H$78,0))/12,ER11)</f>
        <v/>
      </c>
      <c r="ET11" s="164">
        <f>IFERROR(INDEX($D80:$H80,MATCH(YEAR(ET$6),$D$78:$H$78,0))/12,ES11)</f>
        <v/>
      </c>
      <c r="EU11" s="164">
        <f>IFERROR(INDEX($D80:$H80,MATCH(YEAR(EU$6),$D$78:$H$78,0))/12,ET11)</f>
        <v/>
      </c>
      <c r="EV11" s="164">
        <f>IFERROR(INDEX($D80:$H80,MATCH(YEAR(EV$6),$D$78:$H$78,0))/12,EU11)</f>
        <v/>
      </c>
      <c r="EW11" s="164">
        <f>IFERROR(INDEX($D80:$H80,MATCH(YEAR(EW$6),$D$78:$H$78,0))/12,EV11)</f>
        <v/>
      </c>
      <c r="EX11" s="164">
        <f>IFERROR(INDEX($D80:$H80,MATCH(YEAR(EX$6),$D$78:$H$78,0))/12,EW11)</f>
        <v/>
      </c>
    </row>
    <row r="12">
      <c r="C12" s="16" t="inlineStr">
        <is>
          <t>Equity Multiple</t>
        </is>
      </c>
      <c r="D12" s="262">
        <f>M89</f>
        <v/>
      </c>
      <c r="E12" s="262">
        <f>M106</f>
        <v/>
      </c>
      <c r="F12" s="26" t="inlineStr">
        <is>
          <t>Equity Multiple</t>
        </is>
      </c>
      <c r="G12" s="262">
        <f>M119</f>
        <v/>
      </c>
      <c r="H12" s="262">
        <f>M128</f>
        <v/>
      </c>
      <c r="J12" s="33" t="inlineStr">
        <is>
          <t>Compounded Rate</t>
        </is>
      </c>
      <c r="K12" s="33" t="n"/>
      <c r="L12" s="34" t="n"/>
      <c r="M12" s="199" t="n"/>
      <c r="N12" s="34" t="n"/>
      <c r="O12" s="35" t="n"/>
      <c r="P12" s="35" t="n"/>
      <c r="Q12" s="35" t="n"/>
      <c r="R12" s="35" t="n"/>
      <c r="S12" s="35" t="n"/>
      <c r="T12" s="35" t="n"/>
      <c r="U12" s="34" t="n"/>
      <c r="V12" s="35" t="n">
        <v>1</v>
      </c>
      <c r="W12" s="35">
        <f>V12*(1+W11)</f>
        <v/>
      </c>
      <c r="X12" s="35">
        <f>W12*(1+X11)</f>
        <v/>
      </c>
      <c r="Y12" s="35">
        <f>X12*(1+Y11)</f>
        <v/>
      </c>
      <c r="Z12" s="35">
        <f>Y12*(1+Z11)</f>
        <v/>
      </c>
      <c r="AA12" s="35">
        <f>Z12*(1+AA11)</f>
        <v/>
      </c>
      <c r="AB12" s="35">
        <f>AA12*(1+AB11)</f>
        <v/>
      </c>
      <c r="AC12" s="35">
        <f>AB12*(1+AC11)</f>
        <v/>
      </c>
      <c r="AD12" s="35">
        <f>AC12*(1+AD11)</f>
        <v/>
      </c>
      <c r="AE12" s="35">
        <f>AD12*(1+AE11)</f>
        <v/>
      </c>
      <c r="AF12" s="35">
        <f>AE12*(1+AF11)</f>
        <v/>
      </c>
      <c r="AG12" s="35">
        <f>AF12*(1+AG11)</f>
        <v/>
      </c>
      <c r="AH12" s="35">
        <f>AG12*(1+AH11)</f>
        <v/>
      </c>
      <c r="AI12" s="35">
        <f>AH12*(1+AI11)</f>
        <v/>
      </c>
      <c r="AJ12" s="35">
        <f>AI12*(1+AJ11)</f>
        <v/>
      </c>
      <c r="AK12" s="35">
        <f>AJ12*(1+AK11)</f>
        <v/>
      </c>
      <c r="AL12" s="35">
        <f>AK12*(1+AL11)</f>
        <v/>
      </c>
      <c r="AM12" s="35">
        <f>AL12*(1+AM11)</f>
        <v/>
      </c>
      <c r="AN12" s="35">
        <f>AM12*(1+AN11)</f>
        <v/>
      </c>
      <c r="AO12" s="35">
        <f>AN12*(1+AO11)</f>
        <v/>
      </c>
      <c r="AP12" s="35">
        <f>AO12*(1+AP11)</f>
        <v/>
      </c>
      <c r="AQ12" s="35">
        <f>AP12*(1+AQ11)</f>
        <v/>
      </c>
      <c r="AR12" s="35">
        <f>AQ12*(1+AR11)</f>
        <v/>
      </c>
      <c r="AS12" s="35">
        <f>AR12*(1+AS11)</f>
        <v/>
      </c>
      <c r="AT12" s="35">
        <f>AS12*(1+AT11)</f>
        <v/>
      </c>
      <c r="AU12" s="35">
        <f>AT12*(1+AU11)</f>
        <v/>
      </c>
      <c r="AV12" s="35">
        <f>AU12*(1+AV11)</f>
        <v/>
      </c>
      <c r="AW12" s="35">
        <f>AV12*(1+AW11)</f>
        <v/>
      </c>
      <c r="AX12" s="35">
        <f>AW12*(1+AX11)</f>
        <v/>
      </c>
      <c r="AY12" s="35">
        <f>AX12*(1+AY11)</f>
        <v/>
      </c>
      <c r="AZ12" s="35">
        <f>AY12*(1+AZ11)</f>
        <v/>
      </c>
      <c r="BA12" s="35">
        <f>AZ12*(1+BA11)</f>
        <v/>
      </c>
      <c r="BB12" s="35">
        <f>BA12*(1+BB11)</f>
        <v/>
      </c>
      <c r="BC12" s="35">
        <f>BB12*(1+BC11)</f>
        <v/>
      </c>
      <c r="BD12" s="35">
        <f>BC12*(1+BD11)</f>
        <v/>
      </c>
      <c r="BE12" s="35">
        <f>BD12*(1+BE11)</f>
        <v/>
      </c>
      <c r="BF12" s="35">
        <f>BE12*(1+BF11)</f>
        <v/>
      </c>
      <c r="BG12" s="35">
        <f>BF12*(1+BG11)</f>
        <v/>
      </c>
      <c r="BH12" s="35">
        <f>BG12*(1+BH11)</f>
        <v/>
      </c>
      <c r="BI12" s="35">
        <f>BH12*(1+BI11)</f>
        <v/>
      </c>
      <c r="BJ12" s="35">
        <f>BI12*(1+BJ11)</f>
        <v/>
      </c>
      <c r="BK12" s="35">
        <f>BJ12*(1+BK11)</f>
        <v/>
      </c>
      <c r="BL12" s="35">
        <f>BK12*(1+BL11)</f>
        <v/>
      </c>
      <c r="BM12" s="35">
        <f>BL12*(1+BM11)</f>
        <v/>
      </c>
      <c r="BN12" s="35">
        <f>BM12*(1+BN11)</f>
        <v/>
      </c>
      <c r="BO12" s="35">
        <f>BN12*(1+BO11)</f>
        <v/>
      </c>
      <c r="BP12" s="35">
        <f>BO12*(1+BP11)</f>
        <v/>
      </c>
      <c r="BQ12" s="35">
        <f>BP12*(1+BQ11)</f>
        <v/>
      </c>
      <c r="BR12" s="35">
        <f>BQ12*(1+BR11)</f>
        <v/>
      </c>
      <c r="BS12" s="35">
        <f>BR12*(1+BS11)</f>
        <v/>
      </c>
      <c r="BT12" s="35">
        <f>BS12*(1+BT11)</f>
        <v/>
      </c>
      <c r="BU12" s="35">
        <f>BT12*(1+BU11)</f>
        <v/>
      </c>
      <c r="BV12" s="35">
        <f>BU12*(1+BV11)</f>
        <v/>
      </c>
      <c r="BW12" s="35">
        <f>BV12*(1+BW11)</f>
        <v/>
      </c>
      <c r="BX12" s="35">
        <f>BW12*(1+BX11)</f>
        <v/>
      </c>
      <c r="BY12" s="35">
        <f>BX12*(1+BY11)</f>
        <v/>
      </c>
      <c r="BZ12" s="35">
        <f>BY12*(1+BZ11)</f>
        <v/>
      </c>
      <c r="CA12" s="35">
        <f>BZ12*(1+CA11)</f>
        <v/>
      </c>
      <c r="CB12" s="35">
        <f>CA12*(1+CB11)</f>
        <v/>
      </c>
      <c r="CC12" s="35">
        <f>CB12*(1+CC11)</f>
        <v/>
      </c>
      <c r="CD12" s="35">
        <f>CC12*(1+CD11)</f>
        <v/>
      </c>
      <c r="CE12" s="35">
        <f>CD12*(1+CE11)</f>
        <v/>
      </c>
      <c r="CF12" s="35">
        <f>CE12*(1+CF11)</f>
        <v/>
      </c>
      <c r="CG12" s="35">
        <f>CF12*(1+CG11)</f>
        <v/>
      </c>
      <c r="CH12" s="35">
        <f>CG12*(1+CH11)</f>
        <v/>
      </c>
      <c r="CI12" s="35">
        <f>CH12*(1+CI11)</f>
        <v/>
      </c>
      <c r="CJ12" s="35">
        <f>CI12*(1+CJ11)</f>
        <v/>
      </c>
      <c r="CK12" s="35">
        <f>CJ12*(1+CK11)</f>
        <v/>
      </c>
      <c r="CL12" s="35">
        <f>CK12*(1+CL11)</f>
        <v/>
      </c>
      <c r="CM12" s="35">
        <f>CL12*(1+CM11)</f>
        <v/>
      </c>
      <c r="CN12" s="35">
        <f>CM12*(1+CN11)</f>
        <v/>
      </c>
      <c r="CO12" s="35">
        <f>CN12*(1+CO11)</f>
        <v/>
      </c>
      <c r="CP12" s="35">
        <f>CO12*(1+CP11)</f>
        <v/>
      </c>
      <c r="CQ12" s="35">
        <f>CP12*(1+CQ11)</f>
        <v/>
      </c>
      <c r="CR12" s="35">
        <f>CQ12*(1+CR11)</f>
        <v/>
      </c>
      <c r="CS12" s="35">
        <f>CR12*(1+CS11)</f>
        <v/>
      </c>
      <c r="CT12" s="35">
        <f>CS12*(1+CT11)</f>
        <v/>
      </c>
      <c r="CU12" s="35">
        <f>CT12*(1+CU11)</f>
        <v/>
      </c>
      <c r="CV12" s="35">
        <f>CU12*(1+CV11)</f>
        <v/>
      </c>
      <c r="CW12" s="35">
        <f>CV12*(1+CW11)</f>
        <v/>
      </c>
      <c r="CX12" s="35">
        <f>CW12*(1+CX11)</f>
        <v/>
      </c>
      <c r="CY12" s="35">
        <f>CX12*(1+CY11)</f>
        <v/>
      </c>
      <c r="CZ12" s="35">
        <f>CY12*(1+CZ11)</f>
        <v/>
      </c>
      <c r="DA12" s="35">
        <f>CZ12*(1+DA11)</f>
        <v/>
      </c>
      <c r="DB12" s="35">
        <f>DA12*(1+DB11)</f>
        <v/>
      </c>
      <c r="DC12" s="35">
        <f>DB12*(1+DC11)</f>
        <v/>
      </c>
      <c r="DD12" s="35">
        <f>DC12*(1+DD11)</f>
        <v/>
      </c>
      <c r="DE12" s="35">
        <f>DD12*(1+DE11)</f>
        <v/>
      </c>
      <c r="DF12" s="35">
        <f>DE12*(1+DF11)</f>
        <v/>
      </c>
      <c r="DG12" s="35">
        <f>DF12*(1+DG11)</f>
        <v/>
      </c>
      <c r="DH12" s="35">
        <f>DG12*(1+DH11)</f>
        <v/>
      </c>
      <c r="DI12" s="35">
        <f>DH12*(1+DI11)</f>
        <v/>
      </c>
      <c r="DJ12" s="35">
        <f>DI12*(1+DJ11)</f>
        <v/>
      </c>
      <c r="DK12" s="35">
        <f>DJ12*(1+DK11)</f>
        <v/>
      </c>
      <c r="DL12" s="35">
        <f>DK12*(1+DL11)</f>
        <v/>
      </c>
      <c r="DM12" s="35">
        <f>DL12*(1+DM11)</f>
        <v/>
      </c>
      <c r="DN12" s="35">
        <f>DM12*(1+DN11)</f>
        <v/>
      </c>
      <c r="DO12" s="35">
        <f>DN12*(1+DO11)</f>
        <v/>
      </c>
      <c r="DP12" s="35">
        <f>DO12*(1+DP11)</f>
        <v/>
      </c>
      <c r="DQ12" s="35">
        <f>DP12*(1+DQ11)</f>
        <v/>
      </c>
      <c r="DR12" s="35">
        <f>DQ12*(1+DR11)</f>
        <v/>
      </c>
      <c r="DS12" s="35">
        <f>DR12*(1+DS11)</f>
        <v/>
      </c>
      <c r="DT12" s="35">
        <f>DS12*(1+DT11)</f>
        <v/>
      </c>
      <c r="DU12" s="35">
        <f>DT12*(1+DU11)</f>
        <v/>
      </c>
      <c r="DV12" s="35">
        <f>DU12*(1+DV11)</f>
        <v/>
      </c>
      <c r="DW12" s="35">
        <f>DV12*(1+DW11)</f>
        <v/>
      </c>
      <c r="DX12" s="35">
        <f>DW12*(1+DX11)</f>
        <v/>
      </c>
      <c r="DY12" s="35">
        <f>DX12*(1+DY11)</f>
        <v/>
      </c>
      <c r="DZ12" s="35">
        <f>DY12*(1+DZ11)</f>
        <v/>
      </c>
      <c r="EA12" s="35">
        <f>DZ12*(1+EA11)</f>
        <v/>
      </c>
      <c r="EB12" s="35">
        <f>EA12*(1+EB11)</f>
        <v/>
      </c>
      <c r="EC12" s="35">
        <f>EB12*(1+EC11)</f>
        <v/>
      </c>
      <c r="ED12" s="35">
        <f>EC12*(1+ED11)</f>
        <v/>
      </c>
      <c r="EE12" s="35">
        <f>ED12*(1+EE11)</f>
        <v/>
      </c>
      <c r="EF12" s="35">
        <f>EE12*(1+EF11)</f>
        <v/>
      </c>
      <c r="EG12" s="35">
        <f>EF12*(1+EG11)</f>
        <v/>
      </c>
      <c r="EH12" s="35">
        <f>EG12*(1+EH11)</f>
        <v/>
      </c>
      <c r="EI12" s="35">
        <f>EH12*(1+EI11)</f>
        <v/>
      </c>
      <c r="EJ12" s="35">
        <f>EI12*(1+EJ11)</f>
        <v/>
      </c>
      <c r="EK12" s="35">
        <f>EJ12*(1+EK11)</f>
        <v/>
      </c>
      <c r="EL12" s="35">
        <f>EK12*(1+EL11)</f>
        <v/>
      </c>
      <c r="EM12" s="35">
        <f>EL12*(1+EM11)</f>
        <v/>
      </c>
      <c r="EN12" s="35">
        <f>EM12*(1+EN11)</f>
        <v/>
      </c>
      <c r="EO12" s="35">
        <f>EN12*(1+EO11)</f>
        <v/>
      </c>
      <c r="EP12" s="35">
        <f>EO12*(1+EP11)</f>
        <v/>
      </c>
      <c r="EQ12" s="35">
        <f>EP12*(1+EQ11)</f>
        <v/>
      </c>
      <c r="ER12" s="35">
        <f>EQ12*(1+ER11)</f>
        <v/>
      </c>
      <c r="ES12" s="35">
        <f>ER12*(1+ES11)</f>
        <v/>
      </c>
      <c r="ET12" s="35">
        <f>ES12*(1+ET11)</f>
        <v/>
      </c>
      <c r="EU12" s="35">
        <f>ET12*(1+EU11)</f>
        <v/>
      </c>
      <c r="EV12" s="35">
        <f>EU12*(1+EV11)</f>
        <v/>
      </c>
      <c r="EW12" s="35">
        <f>EV12*(1+EW11)</f>
        <v/>
      </c>
      <c r="EX12" s="35">
        <f>EW12*(1+EX11)</f>
        <v/>
      </c>
    </row>
    <row r="13">
      <c r="C13" s="15" t="n"/>
      <c r="D13" s="14" t="n"/>
      <c r="E13" s="12" t="n"/>
      <c r="F13" s="16" t="n"/>
      <c r="G13" s="17" t="n"/>
      <c r="J13" s="9">
        <f>C81</f>
        <v/>
      </c>
      <c r="O13" s="164">
        <f>SUMIF($V$5:$EX$5,O$7,$V13:$EX13)</f>
        <v/>
      </c>
      <c r="P13" s="164">
        <f>SUMIF($V$5:$EX$5,P$7,$V13:$EX13)</f>
        <v/>
      </c>
      <c r="Q13" s="164">
        <f>SUMIF($V$5:$EX$5,Q$7,$V13:$EX13)</f>
        <v/>
      </c>
      <c r="R13" s="164">
        <f>SUMIF($V$5:$EX$5,R$7,$V13:$EX13)</f>
        <v/>
      </c>
      <c r="S13" s="164">
        <f>SUMIF($V$5:$EX$5,S$7,$V13:$EX13)</f>
        <v/>
      </c>
      <c r="T13" s="164">
        <f>SUMIF($V$5:$EX$5,T$7,$V13:$EX13)</f>
        <v/>
      </c>
      <c r="V13" s="164" t="n">
        <v>0</v>
      </c>
      <c r="W13" s="164">
        <f>IFERROR(INDEX($D81:$H81,MATCH(YEAR(W$6),$D$78:$H$78,0))/12,V13)</f>
        <v/>
      </c>
      <c r="X13" s="164">
        <f>IFERROR(INDEX($D81:$H81,MATCH(YEAR(X$6),$D$78:$H$78,0))/12,W13)</f>
        <v/>
      </c>
      <c r="Y13" s="164">
        <f>IFERROR(INDEX($D81:$H81,MATCH(YEAR(Y$6),$D$78:$H$78,0))/12,X13)</f>
        <v/>
      </c>
      <c r="Z13" s="164">
        <f>IFERROR(INDEX($D81:$H81,MATCH(YEAR(Z$6),$D$78:$H$78,0))/12,Y13)</f>
        <v/>
      </c>
      <c r="AA13" s="164">
        <f>IFERROR(INDEX($D81:$H81,MATCH(YEAR(AA$6),$D$78:$H$78,0))/12,Z13)</f>
        <v/>
      </c>
      <c r="AB13" s="164">
        <f>IFERROR(INDEX($D81:$H81,MATCH(YEAR(AB$6),$D$78:$H$78,0))/12,AA13)</f>
        <v/>
      </c>
      <c r="AC13" s="164">
        <f>IFERROR(INDEX($D81:$H81,MATCH(YEAR(AC$6),$D$78:$H$78,0))/12,AB13)</f>
        <v/>
      </c>
      <c r="AD13" s="164">
        <f>IFERROR(INDEX($D81:$H81,MATCH(YEAR(AD$6),$D$78:$H$78,0))/12,AC13)</f>
        <v/>
      </c>
      <c r="AE13" s="164">
        <f>IFERROR(INDEX($D81:$H81,MATCH(YEAR(AE$6),$D$78:$H$78,0))/12,AD13)</f>
        <v/>
      </c>
      <c r="AF13" s="164">
        <f>IFERROR(INDEX($D81:$H81,MATCH(YEAR(AF$6),$D$78:$H$78,0))/12,AE13)</f>
        <v/>
      </c>
      <c r="AG13" s="164">
        <f>IFERROR(INDEX($D81:$H81,MATCH(YEAR(AG$6),$D$78:$H$78,0))/12,AF13)</f>
        <v/>
      </c>
      <c r="AH13" s="164">
        <f>IFERROR(INDEX($D81:$H81,MATCH(YEAR(AH$6),$D$78:$H$78,0))/12,AG13)</f>
        <v/>
      </c>
      <c r="AI13" s="164">
        <f>IFERROR(INDEX($D81:$H81,MATCH(YEAR(AI$6),$D$78:$H$78,0))/12,AH13)</f>
        <v/>
      </c>
      <c r="AJ13" s="164">
        <f>IFERROR(INDEX($D81:$H81,MATCH(YEAR(AJ$6),$D$78:$H$78,0))/12,AI13)</f>
        <v/>
      </c>
      <c r="AK13" s="164">
        <f>IFERROR(INDEX($D81:$H81,MATCH(YEAR(AK$6),$D$78:$H$78,0))/12,AJ13)</f>
        <v/>
      </c>
      <c r="AL13" s="164">
        <f>IFERROR(INDEX($D81:$H81,MATCH(YEAR(AL$6),$D$78:$H$78,0))/12,AK13)</f>
        <v/>
      </c>
      <c r="AM13" s="164">
        <f>IFERROR(INDEX($D81:$H81,MATCH(YEAR(AM$6),$D$78:$H$78,0))/12,AL13)</f>
        <v/>
      </c>
      <c r="AN13" s="164">
        <f>IFERROR(INDEX($D81:$H81,MATCH(YEAR(AN$6),$D$78:$H$78,0))/12,AM13)</f>
        <v/>
      </c>
      <c r="AO13" s="164">
        <f>IFERROR(INDEX($D81:$H81,MATCH(YEAR(AO$6),$D$78:$H$78,0))/12,AN13)</f>
        <v/>
      </c>
      <c r="AP13" s="164">
        <f>IFERROR(INDEX($D81:$H81,MATCH(YEAR(AP$6),$D$78:$H$78,0))/12,AO13)</f>
        <v/>
      </c>
      <c r="AQ13" s="164">
        <f>IFERROR(INDEX($D81:$H81,MATCH(YEAR(AQ$6),$D$78:$H$78,0))/12,AP13)</f>
        <v/>
      </c>
      <c r="AR13" s="164">
        <f>IFERROR(INDEX($D81:$H81,MATCH(YEAR(AR$6),$D$78:$H$78,0))/12,AQ13)</f>
        <v/>
      </c>
      <c r="AS13" s="164">
        <f>IFERROR(INDEX($D81:$H81,MATCH(YEAR(AS$6),$D$78:$H$78,0))/12,AR13)</f>
        <v/>
      </c>
      <c r="AT13" s="164">
        <f>IFERROR(INDEX($D81:$H81,MATCH(YEAR(AT$6),$D$78:$H$78,0))/12,AS13)</f>
        <v/>
      </c>
      <c r="AU13" s="164">
        <f>IFERROR(INDEX($D81:$H81,MATCH(YEAR(AU$6),$D$78:$H$78,0))/12,AT13)</f>
        <v/>
      </c>
      <c r="AV13" s="164">
        <f>IFERROR(INDEX($D81:$H81,MATCH(YEAR(AV$6),$D$78:$H$78,0))/12,AU13)</f>
        <v/>
      </c>
      <c r="AW13" s="164">
        <f>IFERROR(INDEX($D81:$H81,MATCH(YEAR(AW$6),$D$78:$H$78,0))/12,AV13)</f>
        <v/>
      </c>
      <c r="AX13" s="164">
        <f>IFERROR(INDEX($D81:$H81,MATCH(YEAR(AX$6),$D$78:$H$78,0))/12,AW13)</f>
        <v/>
      </c>
      <c r="AY13" s="164">
        <f>IFERROR(INDEX($D81:$H81,MATCH(YEAR(AY$6),$D$78:$H$78,0))/12,AX13)</f>
        <v/>
      </c>
      <c r="AZ13" s="164">
        <f>IFERROR(INDEX($D81:$H81,MATCH(YEAR(AZ$6),$D$78:$H$78,0))/12,AY13)</f>
        <v/>
      </c>
      <c r="BA13" s="164">
        <f>IFERROR(INDEX($D81:$H81,MATCH(YEAR(BA$6),$D$78:$H$78,0))/12,AZ13)</f>
        <v/>
      </c>
      <c r="BB13" s="164">
        <f>IFERROR(INDEX($D81:$H81,MATCH(YEAR(BB$6),$D$78:$H$78,0))/12,BA13)</f>
        <v/>
      </c>
      <c r="BC13" s="164">
        <f>IFERROR(INDEX($D81:$H81,MATCH(YEAR(BC$6),$D$78:$H$78,0))/12,BB13)</f>
        <v/>
      </c>
      <c r="BD13" s="164">
        <f>IFERROR(INDEX($D81:$H81,MATCH(YEAR(BD$6),$D$78:$H$78,0))/12,BC13)</f>
        <v/>
      </c>
      <c r="BE13" s="164">
        <f>IFERROR(INDEX($D81:$H81,MATCH(YEAR(BE$6),$D$78:$H$78,0))/12,BD13)</f>
        <v/>
      </c>
      <c r="BF13" s="164">
        <f>IFERROR(INDEX($D81:$H81,MATCH(YEAR(BF$6),$D$78:$H$78,0))/12,BE13)</f>
        <v/>
      </c>
      <c r="BG13" s="164">
        <f>IFERROR(INDEX($D81:$H81,MATCH(YEAR(BG$6),$D$78:$H$78,0))/12,BF13)</f>
        <v/>
      </c>
      <c r="BH13" s="164">
        <f>IFERROR(INDEX($D81:$H81,MATCH(YEAR(BH$6),$D$78:$H$78,0))/12,BG13)</f>
        <v/>
      </c>
      <c r="BI13" s="164">
        <f>IFERROR(INDEX($D81:$H81,MATCH(YEAR(BI$6),$D$78:$H$78,0))/12,BH13)</f>
        <v/>
      </c>
      <c r="BJ13" s="164">
        <f>IFERROR(INDEX($D81:$H81,MATCH(YEAR(BJ$6),$D$78:$H$78,0))/12,BI13)</f>
        <v/>
      </c>
      <c r="BK13" s="164">
        <f>IFERROR(INDEX($D81:$H81,MATCH(YEAR(BK$6),$D$78:$H$78,0))/12,BJ13)</f>
        <v/>
      </c>
      <c r="BL13" s="164">
        <f>IFERROR(INDEX($D81:$H81,MATCH(YEAR(BL$6),$D$78:$H$78,0))/12,BK13)</f>
        <v/>
      </c>
      <c r="BM13" s="164">
        <f>IFERROR(INDEX($D81:$H81,MATCH(YEAR(BM$6),$D$78:$H$78,0))/12,BL13)</f>
        <v/>
      </c>
      <c r="BN13" s="164">
        <f>IFERROR(INDEX($D81:$H81,MATCH(YEAR(BN$6),$D$78:$H$78,0))/12,BM13)</f>
        <v/>
      </c>
      <c r="BO13" s="164">
        <f>IFERROR(INDEX($D81:$H81,MATCH(YEAR(BO$6),$D$78:$H$78,0))/12,BN13)</f>
        <v/>
      </c>
      <c r="BP13" s="164">
        <f>IFERROR(INDEX($D81:$H81,MATCH(YEAR(BP$6),$D$78:$H$78,0))/12,BO13)</f>
        <v/>
      </c>
      <c r="BQ13" s="164">
        <f>IFERROR(INDEX($D81:$H81,MATCH(YEAR(BQ$6),$D$78:$H$78,0))/12,BP13)</f>
        <v/>
      </c>
      <c r="BR13" s="164">
        <f>IFERROR(INDEX($D81:$H81,MATCH(YEAR(BR$6),$D$78:$H$78,0))/12,BQ13)</f>
        <v/>
      </c>
      <c r="BS13" s="164">
        <f>IFERROR(INDEX($D81:$H81,MATCH(YEAR(BS$6),$D$78:$H$78,0))/12,BR13)</f>
        <v/>
      </c>
      <c r="BT13" s="164">
        <f>IFERROR(INDEX($D81:$H81,MATCH(YEAR(BT$6),$D$78:$H$78,0))/12,BS13)</f>
        <v/>
      </c>
      <c r="BU13" s="164">
        <f>IFERROR(INDEX($D81:$H81,MATCH(YEAR(BU$6),$D$78:$H$78,0))/12,BT13)</f>
        <v/>
      </c>
      <c r="BV13" s="164">
        <f>IFERROR(INDEX($D81:$H81,MATCH(YEAR(BV$6),$D$78:$H$78,0))/12,BU13)</f>
        <v/>
      </c>
      <c r="BW13" s="164">
        <f>IFERROR(INDEX($D81:$H81,MATCH(YEAR(BW$6),$D$78:$H$78,0))/12,BV13)</f>
        <v/>
      </c>
      <c r="BX13" s="164">
        <f>IFERROR(INDEX($D81:$H81,MATCH(YEAR(BX$6),$D$78:$H$78,0))/12,BW13)</f>
        <v/>
      </c>
      <c r="BY13" s="164">
        <f>IFERROR(INDEX($D81:$H81,MATCH(YEAR(BY$6),$D$78:$H$78,0))/12,BX13)</f>
        <v/>
      </c>
      <c r="BZ13" s="164">
        <f>IFERROR(INDEX($D81:$H81,MATCH(YEAR(BZ$6),$D$78:$H$78,0))/12,BY13)</f>
        <v/>
      </c>
      <c r="CA13" s="164">
        <f>IFERROR(INDEX($D81:$H81,MATCH(YEAR(CA$6),$D$78:$H$78,0))/12,BZ13)</f>
        <v/>
      </c>
      <c r="CB13" s="164">
        <f>IFERROR(INDEX($D81:$H81,MATCH(YEAR(CB$6),$D$78:$H$78,0))/12,CA13)</f>
        <v/>
      </c>
      <c r="CC13" s="164">
        <f>IFERROR(INDEX($D81:$H81,MATCH(YEAR(CC$6),$D$78:$H$78,0))/12,CB13)</f>
        <v/>
      </c>
      <c r="CD13" s="164">
        <f>IFERROR(INDEX($D81:$H81,MATCH(YEAR(CD$6),$D$78:$H$78,0))/12,CC13)</f>
        <v/>
      </c>
      <c r="CE13" s="164">
        <f>IFERROR(INDEX($D81:$H81,MATCH(YEAR(CE$6),$D$78:$H$78,0))/12,CD13)</f>
        <v/>
      </c>
      <c r="CF13" s="164">
        <f>IFERROR(INDEX($D81:$H81,MATCH(YEAR(CF$6),$D$78:$H$78,0))/12,CE13)</f>
        <v/>
      </c>
      <c r="CG13" s="164">
        <f>IFERROR(INDEX($D81:$H81,MATCH(YEAR(CG$6),$D$78:$H$78,0))/12,CF13)</f>
        <v/>
      </c>
      <c r="CH13" s="164">
        <f>IFERROR(INDEX($D81:$H81,MATCH(YEAR(CH$6),$D$78:$H$78,0))/12,CG13)</f>
        <v/>
      </c>
      <c r="CI13" s="164">
        <f>IFERROR(INDEX($D81:$H81,MATCH(YEAR(CI$6),$D$78:$H$78,0))/12,CH13)</f>
        <v/>
      </c>
      <c r="CJ13" s="164">
        <f>IFERROR(INDEX($D81:$H81,MATCH(YEAR(CJ$6),$D$78:$H$78,0))/12,CI13)</f>
        <v/>
      </c>
      <c r="CK13" s="164">
        <f>IFERROR(INDEX($D81:$H81,MATCH(YEAR(CK$6),$D$78:$H$78,0))/12,CJ13)</f>
        <v/>
      </c>
      <c r="CL13" s="164">
        <f>IFERROR(INDEX($D81:$H81,MATCH(YEAR(CL$6),$D$78:$H$78,0))/12,CK13)</f>
        <v/>
      </c>
      <c r="CM13" s="164">
        <f>IFERROR(INDEX($D81:$H81,MATCH(YEAR(CM$6),$D$78:$H$78,0))/12,CL13)</f>
        <v/>
      </c>
      <c r="CN13" s="164">
        <f>IFERROR(INDEX($D81:$H81,MATCH(YEAR(CN$6),$D$78:$H$78,0))/12,CM13)</f>
        <v/>
      </c>
      <c r="CO13" s="164">
        <f>IFERROR(INDEX($D81:$H81,MATCH(YEAR(CO$6),$D$78:$H$78,0))/12,CN13)</f>
        <v/>
      </c>
      <c r="CP13" s="164">
        <f>IFERROR(INDEX($D81:$H81,MATCH(YEAR(CP$6),$D$78:$H$78,0))/12,CO13)</f>
        <v/>
      </c>
      <c r="CQ13" s="164">
        <f>IFERROR(INDEX($D81:$H81,MATCH(YEAR(CQ$6),$D$78:$H$78,0))/12,CP13)</f>
        <v/>
      </c>
      <c r="CR13" s="164">
        <f>IFERROR(INDEX($D81:$H81,MATCH(YEAR(CR$6),$D$78:$H$78,0))/12,CQ13)</f>
        <v/>
      </c>
      <c r="CS13" s="164">
        <f>IFERROR(INDEX($D81:$H81,MATCH(YEAR(CS$6),$D$78:$H$78,0))/12,CR13)</f>
        <v/>
      </c>
      <c r="CT13" s="164">
        <f>IFERROR(INDEX($D81:$H81,MATCH(YEAR(CT$6),$D$78:$H$78,0))/12,CS13)</f>
        <v/>
      </c>
      <c r="CU13" s="164">
        <f>IFERROR(INDEX($D81:$H81,MATCH(YEAR(CU$6),$D$78:$H$78,0))/12,CT13)</f>
        <v/>
      </c>
      <c r="CV13" s="164">
        <f>IFERROR(INDEX($D81:$H81,MATCH(YEAR(CV$6),$D$78:$H$78,0))/12,CU13)</f>
        <v/>
      </c>
      <c r="CW13" s="164">
        <f>IFERROR(INDEX($D81:$H81,MATCH(YEAR(CW$6),$D$78:$H$78,0))/12,CV13)</f>
        <v/>
      </c>
      <c r="CX13" s="164">
        <f>IFERROR(INDEX($D81:$H81,MATCH(YEAR(CX$6),$D$78:$H$78,0))/12,CW13)</f>
        <v/>
      </c>
      <c r="CY13" s="164">
        <f>IFERROR(INDEX($D81:$H81,MATCH(YEAR(CY$6),$D$78:$H$78,0))/12,CX13)</f>
        <v/>
      </c>
      <c r="CZ13" s="164">
        <f>IFERROR(INDEX($D81:$H81,MATCH(YEAR(CZ$6),$D$78:$H$78,0))/12,CY13)</f>
        <v/>
      </c>
      <c r="DA13" s="164">
        <f>IFERROR(INDEX($D81:$H81,MATCH(YEAR(DA$6),$D$78:$H$78,0))/12,CZ13)</f>
        <v/>
      </c>
      <c r="DB13" s="164">
        <f>IFERROR(INDEX($D81:$H81,MATCH(YEAR(DB$6),$D$78:$H$78,0))/12,DA13)</f>
        <v/>
      </c>
      <c r="DC13" s="164">
        <f>IFERROR(INDEX($D81:$H81,MATCH(YEAR(DC$6),$D$78:$H$78,0))/12,DB13)</f>
        <v/>
      </c>
      <c r="DD13" s="164">
        <f>IFERROR(INDEX($D81:$H81,MATCH(YEAR(DD$6),$D$78:$H$78,0))/12,DC13)</f>
        <v/>
      </c>
      <c r="DE13" s="164">
        <f>IFERROR(INDEX($D81:$H81,MATCH(YEAR(DE$6),$D$78:$H$78,0))/12,DD13)</f>
        <v/>
      </c>
      <c r="DF13" s="164">
        <f>IFERROR(INDEX($D81:$H81,MATCH(YEAR(DF$6),$D$78:$H$78,0))/12,DE13)</f>
        <v/>
      </c>
      <c r="DG13" s="164">
        <f>IFERROR(INDEX($D81:$H81,MATCH(YEAR(DG$6),$D$78:$H$78,0))/12,DF13)</f>
        <v/>
      </c>
      <c r="DH13" s="164">
        <f>IFERROR(INDEX($D81:$H81,MATCH(YEAR(DH$6),$D$78:$H$78,0))/12,DG13)</f>
        <v/>
      </c>
      <c r="DI13" s="164">
        <f>IFERROR(INDEX($D81:$H81,MATCH(YEAR(DI$6),$D$78:$H$78,0))/12,DH13)</f>
        <v/>
      </c>
      <c r="DJ13" s="164">
        <f>IFERROR(INDEX($D81:$H81,MATCH(YEAR(DJ$6),$D$78:$H$78,0))/12,DI13)</f>
        <v/>
      </c>
      <c r="DK13" s="164">
        <f>IFERROR(INDEX($D81:$H81,MATCH(YEAR(DK$6),$D$78:$H$78,0))/12,DJ13)</f>
        <v/>
      </c>
      <c r="DL13" s="164">
        <f>IFERROR(INDEX($D81:$H81,MATCH(YEAR(DL$6),$D$78:$H$78,0))/12,DK13)</f>
        <v/>
      </c>
      <c r="DM13" s="164">
        <f>IFERROR(INDEX($D81:$H81,MATCH(YEAR(DM$6),$D$78:$H$78,0))/12,DL13)</f>
        <v/>
      </c>
      <c r="DN13" s="164">
        <f>IFERROR(INDEX($D81:$H81,MATCH(YEAR(DN$6),$D$78:$H$78,0))/12,DM13)</f>
        <v/>
      </c>
      <c r="DO13" s="164">
        <f>IFERROR(INDEX($D81:$H81,MATCH(YEAR(DO$6),$D$78:$H$78,0))/12,DN13)</f>
        <v/>
      </c>
      <c r="DP13" s="164">
        <f>IFERROR(INDEX($D81:$H81,MATCH(YEAR(DP$6),$D$78:$H$78,0))/12,DO13)</f>
        <v/>
      </c>
      <c r="DQ13" s="164">
        <f>IFERROR(INDEX($D81:$H81,MATCH(YEAR(DQ$6),$D$78:$H$78,0))/12,DP13)</f>
        <v/>
      </c>
      <c r="DR13" s="164">
        <f>IFERROR(INDEX($D81:$H81,MATCH(YEAR(DR$6),$D$78:$H$78,0))/12,DQ13)</f>
        <v/>
      </c>
      <c r="DS13" s="164">
        <f>IFERROR(INDEX($D81:$H81,MATCH(YEAR(DS$6),$D$78:$H$78,0))/12,DR13)</f>
        <v/>
      </c>
      <c r="DT13" s="164">
        <f>IFERROR(INDEX($D81:$H81,MATCH(YEAR(DT$6),$D$78:$H$78,0))/12,DS13)</f>
        <v/>
      </c>
      <c r="DU13" s="164">
        <f>IFERROR(INDEX($D81:$H81,MATCH(YEAR(DU$6),$D$78:$H$78,0))/12,DT13)</f>
        <v/>
      </c>
      <c r="DV13" s="164">
        <f>IFERROR(INDEX($D81:$H81,MATCH(YEAR(DV$6),$D$78:$H$78,0))/12,DU13)</f>
        <v/>
      </c>
      <c r="DW13" s="164">
        <f>IFERROR(INDEX($D81:$H81,MATCH(YEAR(DW$6),$D$78:$H$78,0))/12,DV13)</f>
        <v/>
      </c>
      <c r="DX13" s="164">
        <f>IFERROR(INDEX($D81:$H81,MATCH(YEAR(DX$6),$D$78:$H$78,0))/12,DW13)</f>
        <v/>
      </c>
      <c r="DY13" s="164">
        <f>IFERROR(INDEX($D81:$H81,MATCH(YEAR(DY$6),$D$78:$H$78,0))/12,DX13)</f>
        <v/>
      </c>
      <c r="DZ13" s="164">
        <f>IFERROR(INDEX($D81:$H81,MATCH(YEAR(DZ$6),$D$78:$H$78,0))/12,DY13)</f>
        <v/>
      </c>
      <c r="EA13" s="164">
        <f>IFERROR(INDEX($D81:$H81,MATCH(YEAR(EA$6),$D$78:$H$78,0))/12,DZ13)</f>
        <v/>
      </c>
      <c r="EB13" s="164">
        <f>IFERROR(INDEX($D81:$H81,MATCH(YEAR(EB$6),$D$78:$H$78,0))/12,EA13)</f>
        <v/>
      </c>
      <c r="EC13" s="164">
        <f>IFERROR(INDEX($D81:$H81,MATCH(YEAR(EC$6),$D$78:$H$78,0))/12,EB13)</f>
        <v/>
      </c>
      <c r="ED13" s="164">
        <f>IFERROR(INDEX($D81:$H81,MATCH(YEAR(ED$6),$D$78:$H$78,0))/12,EC13)</f>
        <v/>
      </c>
      <c r="EE13" s="164">
        <f>IFERROR(INDEX($D81:$H81,MATCH(YEAR(EE$6),$D$78:$H$78,0))/12,ED13)</f>
        <v/>
      </c>
      <c r="EF13" s="164">
        <f>IFERROR(INDEX($D81:$H81,MATCH(YEAR(EF$6),$D$78:$H$78,0))/12,EE13)</f>
        <v/>
      </c>
      <c r="EG13" s="164">
        <f>IFERROR(INDEX($D81:$H81,MATCH(YEAR(EG$6),$D$78:$H$78,0))/12,EF13)</f>
        <v/>
      </c>
      <c r="EH13" s="164">
        <f>IFERROR(INDEX($D81:$H81,MATCH(YEAR(EH$6),$D$78:$H$78,0))/12,EG13)</f>
        <v/>
      </c>
      <c r="EI13" s="164">
        <f>IFERROR(INDEX($D81:$H81,MATCH(YEAR(EI$6),$D$78:$H$78,0))/12,EH13)</f>
        <v/>
      </c>
      <c r="EJ13" s="164">
        <f>IFERROR(INDEX($D81:$H81,MATCH(YEAR(EJ$6),$D$78:$H$78,0))/12,EI13)</f>
        <v/>
      </c>
      <c r="EK13" s="164">
        <f>IFERROR(INDEX($D81:$H81,MATCH(YEAR(EK$6),$D$78:$H$78,0))/12,EJ13)</f>
        <v/>
      </c>
      <c r="EL13" s="164">
        <f>IFERROR(INDEX($D81:$H81,MATCH(YEAR(EL$6),$D$78:$H$78,0))/12,EK13)</f>
        <v/>
      </c>
      <c r="EM13" s="164">
        <f>IFERROR(INDEX($D81:$H81,MATCH(YEAR(EM$6),$D$78:$H$78,0))/12,EL13)</f>
        <v/>
      </c>
      <c r="EN13" s="164">
        <f>IFERROR(INDEX($D81:$H81,MATCH(YEAR(EN$6),$D$78:$H$78,0))/12,EM13)</f>
        <v/>
      </c>
      <c r="EO13" s="164">
        <f>IFERROR(INDEX($D81:$H81,MATCH(YEAR(EO$6),$D$78:$H$78,0))/12,EN13)</f>
        <v/>
      </c>
      <c r="EP13" s="164">
        <f>IFERROR(INDEX($D81:$H81,MATCH(YEAR(EP$6),$D$78:$H$78,0))/12,EO13)</f>
        <v/>
      </c>
      <c r="EQ13" s="164">
        <f>IFERROR(INDEX($D81:$H81,MATCH(YEAR(EQ$6),$D$78:$H$78,0))/12,EP13)</f>
        <v/>
      </c>
      <c r="ER13" s="164">
        <f>IFERROR(INDEX($D81:$H81,MATCH(YEAR(ER$6),$D$78:$H$78,0))/12,EQ13)</f>
        <v/>
      </c>
      <c r="ES13" s="164">
        <f>IFERROR(INDEX($D81:$H81,MATCH(YEAR(ES$6),$D$78:$H$78,0))/12,ER13)</f>
        <v/>
      </c>
      <c r="ET13" s="164">
        <f>IFERROR(INDEX($D81:$H81,MATCH(YEAR(ET$6),$D$78:$H$78,0))/12,ES13)</f>
        <v/>
      </c>
      <c r="EU13" s="164">
        <f>IFERROR(INDEX($D81:$H81,MATCH(YEAR(EU$6),$D$78:$H$78,0))/12,ET13)</f>
        <v/>
      </c>
      <c r="EV13" s="164">
        <f>IFERROR(INDEX($D81:$H81,MATCH(YEAR(EV$6),$D$78:$H$78,0))/12,EU13)</f>
        <v/>
      </c>
      <c r="EW13" s="164">
        <f>IFERROR(INDEX($D81:$H81,MATCH(YEAR(EW$6),$D$78:$H$78,0))/12,EV13)</f>
        <v/>
      </c>
      <c r="EX13" s="164">
        <f>IFERROR(INDEX($D81:$H81,MATCH(YEAR(EX$6),$D$78:$H$78,0))/12,EW13)</f>
        <v/>
      </c>
    </row>
    <row r="14">
      <c r="C14" s="7" t="inlineStr">
        <is>
          <t>Timeline</t>
        </is>
      </c>
      <c r="D14" s="7" t="n"/>
      <c r="E14" s="7" t="n"/>
      <c r="F14" s="7" t="n"/>
      <c r="G14" s="7" t="n"/>
      <c r="H14" s="7" t="n"/>
      <c r="J14" s="33" t="inlineStr">
        <is>
          <t>Compounded Rate</t>
        </is>
      </c>
      <c r="K14" s="33" t="n"/>
      <c r="L14" s="34" t="n"/>
      <c r="M14" s="199" t="n"/>
      <c r="N14" s="34" t="n"/>
      <c r="O14" s="35" t="n"/>
      <c r="P14" s="35" t="n"/>
      <c r="Q14" s="35" t="n"/>
      <c r="R14" s="35" t="n"/>
      <c r="S14" s="35" t="n"/>
      <c r="T14" s="35" t="n"/>
      <c r="U14" s="34" t="n"/>
      <c r="V14" s="35" t="n">
        <v>1</v>
      </c>
      <c r="W14" s="35">
        <f>V14*(1+W13)</f>
        <v/>
      </c>
      <c r="X14" s="35">
        <f>W14*(1+X13)</f>
        <v/>
      </c>
      <c r="Y14" s="35">
        <f>X14*(1+Y13)</f>
        <v/>
      </c>
      <c r="Z14" s="35">
        <f>Y14*(1+Z13)</f>
        <v/>
      </c>
      <c r="AA14" s="35">
        <f>Z14*(1+AA13)</f>
        <v/>
      </c>
      <c r="AB14" s="35">
        <f>AA14*(1+AB13)</f>
        <v/>
      </c>
      <c r="AC14" s="35">
        <f>AB14*(1+AC13)</f>
        <v/>
      </c>
      <c r="AD14" s="35">
        <f>AC14*(1+AD13)</f>
        <v/>
      </c>
      <c r="AE14" s="35">
        <f>AD14*(1+AE13)</f>
        <v/>
      </c>
      <c r="AF14" s="35">
        <f>AE14*(1+AF13)</f>
        <v/>
      </c>
      <c r="AG14" s="35">
        <f>AF14*(1+AG13)</f>
        <v/>
      </c>
      <c r="AH14" s="35">
        <f>AG14*(1+AH13)</f>
        <v/>
      </c>
      <c r="AI14" s="35">
        <f>AH14*(1+AI13)</f>
        <v/>
      </c>
      <c r="AJ14" s="35">
        <f>AI14*(1+AJ13)</f>
        <v/>
      </c>
      <c r="AK14" s="35">
        <f>AJ14*(1+AK13)</f>
        <v/>
      </c>
      <c r="AL14" s="35">
        <f>AK14*(1+AL13)</f>
        <v/>
      </c>
      <c r="AM14" s="35">
        <f>AL14*(1+AM13)</f>
        <v/>
      </c>
      <c r="AN14" s="35">
        <f>AM14*(1+AN13)</f>
        <v/>
      </c>
      <c r="AO14" s="35">
        <f>AN14*(1+AO13)</f>
        <v/>
      </c>
      <c r="AP14" s="35">
        <f>AO14*(1+AP13)</f>
        <v/>
      </c>
      <c r="AQ14" s="35">
        <f>AP14*(1+AQ13)</f>
        <v/>
      </c>
      <c r="AR14" s="35">
        <f>AQ14*(1+AR13)</f>
        <v/>
      </c>
      <c r="AS14" s="35">
        <f>AR14*(1+AS13)</f>
        <v/>
      </c>
      <c r="AT14" s="35">
        <f>AS14*(1+AT13)</f>
        <v/>
      </c>
      <c r="AU14" s="35">
        <f>AT14*(1+AU13)</f>
        <v/>
      </c>
      <c r="AV14" s="35">
        <f>AU14*(1+AV13)</f>
        <v/>
      </c>
      <c r="AW14" s="35">
        <f>AV14*(1+AW13)</f>
        <v/>
      </c>
      <c r="AX14" s="35">
        <f>AW14*(1+AX13)</f>
        <v/>
      </c>
      <c r="AY14" s="35">
        <f>AX14*(1+AY13)</f>
        <v/>
      </c>
      <c r="AZ14" s="35">
        <f>AY14*(1+AZ13)</f>
        <v/>
      </c>
      <c r="BA14" s="35">
        <f>AZ14*(1+BA13)</f>
        <v/>
      </c>
      <c r="BB14" s="35">
        <f>BA14*(1+BB13)</f>
        <v/>
      </c>
      <c r="BC14" s="35">
        <f>BB14*(1+BC13)</f>
        <v/>
      </c>
      <c r="BD14" s="35">
        <f>BC14*(1+BD13)</f>
        <v/>
      </c>
      <c r="BE14" s="35">
        <f>BD14*(1+BE13)</f>
        <v/>
      </c>
      <c r="BF14" s="35">
        <f>BE14*(1+BF13)</f>
        <v/>
      </c>
      <c r="BG14" s="35">
        <f>BF14*(1+BG13)</f>
        <v/>
      </c>
      <c r="BH14" s="35">
        <f>BG14*(1+BH13)</f>
        <v/>
      </c>
      <c r="BI14" s="35">
        <f>BH14*(1+BI13)</f>
        <v/>
      </c>
      <c r="BJ14" s="35">
        <f>BI14*(1+BJ13)</f>
        <v/>
      </c>
      <c r="BK14" s="35">
        <f>BJ14*(1+BK13)</f>
        <v/>
      </c>
      <c r="BL14" s="35">
        <f>BK14*(1+BL13)</f>
        <v/>
      </c>
      <c r="BM14" s="35">
        <f>BL14*(1+BM13)</f>
        <v/>
      </c>
      <c r="BN14" s="35">
        <f>BM14*(1+BN13)</f>
        <v/>
      </c>
      <c r="BO14" s="35">
        <f>BN14*(1+BO13)</f>
        <v/>
      </c>
      <c r="BP14" s="35">
        <f>BO14*(1+BP13)</f>
        <v/>
      </c>
      <c r="BQ14" s="35">
        <f>BP14*(1+BQ13)</f>
        <v/>
      </c>
      <c r="BR14" s="35">
        <f>BQ14*(1+BR13)</f>
        <v/>
      </c>
      <c r="BS14" s="35">
        <f>BR14*(1+BS13)</f>
        <v/>
      </c>
      <c r="BT14" s="35">
        <f>BS14*(1+BT13)</f>
        <v/>
      </c>
      <c r="BU14" s="35">
        <f>BT14*(1+BU13)</f>
        <v/>
      </c>
      <c r="BV14" s="35">
        <f>BU14*(1+BV13)</f>
        <v/>
      </c>
      <c r="BW14" s="35">
        <f>BV14*(1+BW13)</f>
        <v/>
      </c>
      <c r="BX14" s="35">
        <f>BW14*(1+BX13)</f>
        <v/>
      </c>
      <c r="BY14" s="35">
        <f>BX14*(1+BY13)</f>
        <v/>
      </c>
      <c r="BZ14" s="35">
        <f>BY14*(1+BZ13)</f>
        <v/>
      </c>
      <c r="CA14" s="35">
        <f>BZ14*(1+CA13)</f>
        <v/>
      </c>
      <c r="CB14" s="35">
        <f>CA14*(1+CB13)</f>
        <v/>
      </c>
      <c r="CC14" s="35">
        <f>CB14*(1+CC13)</f>
        <v/>
      </c>
      <c r="CD14" s="35">
        <f>CC14*(1+CD13)</f>
        <v/>
      </c>
      <c r="CE14" s="35">
        <f>CD14*(1+CE13)</f>
        <v/>
      </c>
      <c r="CF14" s="35">
        <f>CE14*(1+CF13)</f>
        <v/>
      </c>
      <c r="CG14" s="35">
        <f>CF14*(1+CG13)</f>
        <v/>
      </c>
      <c r="CH14" s="35">
        <f>CG14*(1+CH13)</f>
        <v/>
      </c>
      <c r="CI14" s="35">
        <f>CH14*(1+CI13)</f>
        <v/>
      </c>
      <c r="CJ14" s="35">
        <f>CI14*(1+CJ13)</f>
        <v/>
      </c>
      <c r="CK14" s="35">
        <f>CJ14*(1+CK13)</f>
        <v/>
      </c>
      <c r="CL14" s="35">
        <f>CK14*(1+CL13)</f>
        <v/>
      </c>
      <c r="CM14" s="35">
        <f>CL14*(1+CM13)</f>
        <v/>
      </c>
      <c r="CN14" s="35">
        <f>CM14*(1+CN13)</f>
        <v/>
      </c>
      <c r="CO14" s="35">
        <f>CN14*(1+CO13)</f>
        <v/>
      </c>
      <c r="CP14" s="35">
        <f>CO14*(1+CP13)</f>
        <v/>
      </c>
      <c r="CQ14" s="35">
        <f>CP14*(1+CQ13)</f>
        <v/>
      </c>
      <c r="CR14" s="35">
        <f>CQ14*(1+CR13)</f>
        <v/>
      </c>
      <c r="CS14" s="35">
        <f>CR14*(1+CS13)</f>
        <v/>
      </c>
      <c r="CT14" s="35">
        <f>CS14*(1+CT13)</f>
        <v/>
      </c>
      <c r="CU14" s="35">
        <f>CT14*(1+CU13)</f>
        <v/>
      </c>
      <c r="CV14" s="35">
        <f>CU14*(1+CV13)</f>
        <v/>
      </c>
      <c r="CW14" s="35">
        <f>CV14*(1+CW13)</f>
        <v/>
      </c>
      <c r="CX14" s="35">
        <f>CW14*(1+CX13)</f>
        <v/>
      </c>
      <c r="CY14" s="35">
        <f>CX14*(1+CY13)</f>
        <v/>
      </c>
      <c r="CZ14" s="35">
        <f>CY14*(1+CZ13)</f>
        <v/>
      </c>
      <c r="DA14" s="35">
        <f>CZ14*(1+DA13)</f>
        <v/>
      </c>
      <c r="DB14" s="35">
        <f>DA14*(1+DB13)</f>
        <v/>
      </c>
      <c r="DC14" s="35">
        <f>DB14*(1+DC13)</f>
        <v/>
      </c>
      <c r="DD14" s="35">
        <f>DC14*(1+DD13)</f>
        <v/>
      </c>
      <c r="DE14" s="35">
        <f>DD14*(1+DE13)</f>
        <v/>
      </c>
      <c r="DF14" s="35">
        <f>DE14*(1+DF13)</f>
        <v/>
      </c>
      <c r="DG14" s="35">
        <f>DF14*(1+DG13)</f>
        <v/>
      </c>
      <c r="DH14" s="35">
        <f>DG14*(1+DH13)</f>
        <v/>
      </c>
      <c r="DI14" s="35">
        <f>DH14*(1+DI13)</f>
        <v/>
      </c>
      <c r="DJ14" s="35">
        <f>DI14*(1+DJ13)</f>
        <v/>
      </c>
      <c r="DK14" s="35">
        <f>DJ14*(1+DK13)</f>
        <v/>
      </c>
      <c r="DL14" s="35">
        <f>DK14*(1+DL13)</f>
        <v/>
      </c>
      <c r="DM14" s="35">
        <f>DL14*(1+DM13)</f>
        <v/>
      </c>
      <c r="DN14" s="35">
        <f>DM14*(1+DN13)</f>
        <v/>
      </c>
      <c r="DO14" s="35">
        <f>DN14*(1+DO13)</f>
        <v/>
      </c>
      <c r="DP14" s="35">
        <f>DO14*(1+DP13)</f>
        <v/>
      </c>
      <c r="DQ14" s="35">
        <f>DP14*(1+DQ13)</f>
        <v/>
      </c>
      <c r="DR14" s="35">
        <f>DQ14*(1+DR13)</f>
        <v/>
      </c>
      <c r="DS14" s="35">
        <f>DR14*(1+DS13)</f>
        <v/>
      </c>
      <c r="DT14" s="35">
        <f>DS14*(1+DT13)</f>
        <v/>
      </c>
      <c r="DU14" s="35">
        <f>DT14*(1+DU13)</f>
        <v/>
      </c>
      <c r="DV14" s="35">
        <f>DU14*(1+DV13)</f>
        <v/>
      </c>
      <c r="DW14" s="35">
        <f>DV14*(1+DW13)</f>
        <v/>
      </c>
      <c r="DX14" s="35">
        <f>DW14*(1+DX13)</f>
        <v/>
      </c>
      <c r="DY14" s="35">
        <f>DX14*(1+DY13)</f>
        <v/>
      </c>
      <c r="DZ14" s="35">
        <f>DY14*(1+DZ13)</f>
        <v/>
      </c>
      <c r="EA14" s="35">
        <f>DZ14*(1+EA13)</f>
        <v/>
      </c>
      <c r="EB14" s="35">
        <f>EA14*(1+EB13)</f>
        <v/>
      </c>
      <c r="EC14" s="35">
        <f>EB14*(1+EC13)</f>
        <v/>
      </c>
      <c r="ED14" s="35">
        <f>EC14*(1+ED13)</f>
        <v/>
      </c>
      <c r="EE14" s="35">
        <f>ED14*(1+EE13)</f>
        <v/>
      </c>
      <c r="EF14" s="35">
        <f>EE14*(1+EF13)</f>
        <v/>
      </c>
      <c r="EG14" s="35">
        <f>EF14*(1+EG13)</f>
        <v/>
      </c>
      <c r="EH14" s="35">
        <f>EG14*(1+EH13)</f>
        <v/>
      </c>
      <c r="EI14" s="35">
        <f>EH14*(1+EI13)</f>
        <v/>
      </c>
      <c r="EJ14" s="35">
        <f>EI14*(1+EJ13)</f>
        <v/>
      </c>
      <c r="EK14" s="35">
        <f>EJ14*(1+EK13)</f>
        <v/>
      </c>
      <c r="EL14" s="35">
        <f>EK14*(1+EL13)</f>
        <v/>
      </c>
      <c r="EM14" s="35">
        <f>EL14*(1+EM13)</f>
        <v/>
      </c>
      <c r="EN14" s="35">
        <f>EM14*(1+EN13)</f>
        <v/>
      </c>
      <c r="EO14" s="35">
        <f>EN14*(1+EO13)</f>
        <v/>
      </c>
      <c r="EP14" s="35">
        <f>EO14*(1+EP13)</f>
        <v/>
      </c>
      <c r="EQ14" s="35">
        <f>EP14*(1+EQ13)</f>
        <v/>
      </c>
      <c r="ER14" s="35">
        <f>EQ14*(1+ER13)</f>
        <v/>
      </c>
      <c r="ES14" s="35">
        <f>ER14*(1+ES13)</f>
        <v/>
      </c>
      <c r="ET14" s="35">
        <f>ES14*(1+ET13)</f>
        <v/>
      </c>
      <c r="EU14" s="35">
        <f>ET14*(1+EU13)</f>
        <v/>
      </c>
      <c r="EV14" s="35">
        <f>EU14*(1+EV13)</f>
        <v/>
      </c>
      <c r="EW14" s="35">
        <f>EV14*(1+EW13)</f>
        <v/>
      </c>
      <c r="EX14" s="35">
        <f>EW14*(1+EX13)</f>
        <v/>
      </c>
    </row>
    <row r="15">
      <c r="C15" s="36" t="n"/>
      <c r="D15" s="37" t="inlineStr">
        <is>
          <t>BOP Mo</t>
        </is>
      </c>
      <c r="E15" s="23" t="inlineStr">
        <is>
          <t>BOP Date</t>
        </is>
      </c>
      <c r="F15" s="38" t="inlineStr">
        <is>
          <t>Duration</t>
        </is>
      </c>
      <c r="G15" s="23" t="inlineStr">
        <is>
          <t>EOP Date</t>
        </is>
      </c>
      <c r="H15" s="23" t="inlineStr">
        <is>
          <t>EOP Mo</t>
        </is>
      </c>
      <c r="J15" s="9">
        <f>C82</f>
        <v/>
      </c>
      <c r="O15" s="164">
        <f>SUMIF($V$5:$EX$5,O$7,$V15:$EX15)</f>
        <v/>
      </c>
      <c r="P15" s="164">
        <f>SUMIF($V$5:$EX$5,P$7,$V15:$EX15)</f>
        <v/>
      </c>
      <c r="Q15" s="164">
        <f>SUMIF($V$5:$EX$5,Q$7,$V15:$EX15)</f>
        <v/>
      </c>
      <c r="R15" s="164">
        <f>SUMIF($V$5:$EX$5,R$7,$V15:$EX15)</f>
        <v/>
      </c>
      <c r="S15" s="164">
        <f>SUMIF($V$5:$EX$5,S$7,$V15:$EX15)</f>
        <v/>
      </c>
      <c r="T15" s="164">
        <f>SUMIF($V$5:$EX$5,T$7,$V15:$EX15)</f>
        <v/>
      </c>
      <c r="V15" s="164" t="n">
        <v>0</v>
      </c>
      <c r="W15" s="164">
        <f>IFERROR(INDEX($D82:$H82,MATCH(YEAR(W$6),$D$78:$H$78,0))/12,V15)</f>
        <v/>
      </c>
      <c r="X15" s="164">
        <f>IFERROR(INDEX($D82:$H82,MATCH(YEAR(X$6),$D$78:$H$78,0))/12,W15)</f>
        <v/>
      </c>
      <c r="Y15" s="164">
        <f>IFERROR(INDEX($D82:$H82,MATCH(YEAR(Y$6),$D$78:$H$78,0))/12,X15)</f>
        <v/>
      </c>
      <c r="Z15" s="164">
        <f>IFERROR(INDEX($D82:$H82,MATCH(YEAR(Z$6),$D$78:$H$78,0))/12,Y15)</f>
        <v/>
      </c>
      <c r="AA15" s="164">
        <f>IFERROR(INDEX($D82:$H82,MATCH(YEAR(AA$6),$D$78:$H$78,0))/12,Z15)</f>
        <v/>
      </c>
      <c r="AB15" s="164">
        <f>IFERROR(INDEX($D82:$H82,MATCH(YEAR(AB$6),$D$78:$H$78,0))/12,AA15)</f>
        <v/>
      </c>
      <c r="AC15" s="164">
        <f>IFERROR(INDEX($D82:$H82,MATCH(YEAR(AC$6),$D$78:$H$78,0))/12,AB15)</f>
        <v/>
      </c>
      <c r="AD15" s="164">
        <f>IFERROR(INDEX($D82:$H82,MATCH(YEAR(AD$6),$D$78:$H$78,0))/12,AC15)</f>
        <v/>
      </c>
      <c r="AE15" s="164">
        <f>IFERROR(INDEX($D82:$H82,MATCH(YEAR(AE$6),$D$78:$H$78,0))/12,AD15)</f>
        <v/>
      </c>
      <c r="AF15" s="164">
        <f>IFERROR(INDEX($D82:$H82,MATCH(YEAR(AF$6),$D$78:$H$78,0))/12,AE15)</f>
        <v/>
      </c>
      <c r="AG15" s="164">
        <f>IFERROR(INDEX($D82:$H82,MATCH(YEAR(AG$6),$D$78:$H$78,0))/12,AF15)</f>
        <v/>
      </c>
      <c r="AH15" s="164">
        <f>IFERROR(INDEX($D82:$H82,MATCH(YEAR(AH$6),$D$78:$H$78,0))/12,AG15)</f>
        <v/>
      </c>
      <c r="AI15" s="164">
        <f>IFERROR(INDEX($D82:$H82,MATCH(YEAR(AI$6),$D$78:$H$78,0))/12,AH15)</f>
        <v/>
      </c>
      <c r="AJ15" s="164">
        <f>IFERROR(INDEX($D82:$H82,MATCH(YEAR(AJ$6),$D$78:$H$78,0))/12,AI15)</f>
        <v/>
      </c>
      <c r="AK15" s="164">
        <f>IFERROR(INDEX($D82:$H82,MATCH(YEAR(AK$6),$D$78:$H$78,0))/12,AJ15)</f>
        <v/>
      </c>
      <c r="AL15" s="164">
        <f>IFERROR(INDEX($D82:$H82,MATCH(YEAR(AL$6),$D$78:$H$78,0))/12,AK15)</f>
        <v/>
      </c>
      <c r="AM15" s="164">
        <f>IFERROR(INDEX($D82:$H82,MATCH(YEAR(AM$6),$D$78:$H$78,0))/12,AL15)</f>
        <v/>
      </c>
      <c r="AN15" s="164">
        <f>IFERROR(INDEX($D82:$H82,MATCH(YEAR(AN$6),$D$78:$H$78,0))/12,AM15)</f>
        <v/>
      </c>
      <c r="AO15" s="164">
        <f>IFERROR(INDEX($D82:$H82,MATCH(YEAR(AO$6),$D$78:$H$78,0))/12,AN15)</f>
        <v/>
      </c>
      <c r="AP15" s="164">
        <f>IFERROR(INDEX($D82:$H82,MATCH(YEAR(AP$6),$D$78:$H$78,0))/12,AO15)</f>
        <v/>
      </c>
      <c r="AQ15" s="164">
        <f>IFERROR(INDEX($D82:$H82,MATCH(YEAR(AQ$6),$D$78:$H$78,0))/12,AP15)</f>
        <v/>
      </c>
      <c r="AR15" s="164">
        <f>IFERROR(INDEX($D82:$H82,MATCH(YEAR(AR$6),$D$78:$H$78,0))/12,AQ15)</f>
        <v/>
      </c>
      <c r="AS15" s="164">
        <f>IFERROR(INDEX($D82:$H82,MATCH(YEAR(AS$6),$D$78:$H$78,0))/12,AR15)</f>
        <v/>
      </c>
      <c r="AT15" s="164">
        <f>IFERROR(INDEX($D82:$H82,MATCH(YEAR(AT$6),$D$78:$H$78,0))/12,AS15)</f>
        <v/>
      </c>
      <c r="AU15" s="164">
        <f>IFERROR(INDEX($D82:$H82,MATCH(YEAR(AU$6),$D$78:$H$78,0))/12,AT15)</f>
        <v/>
      </c>
      <c r="AV15" s="164">
        <f>IFERROR(INDEX($D82:$H82,MATCH(YEAR(AV$6),$D$78:$H$78,0))/12,AU15)</f>
        <v/>
      </c>
      <c r="AW15" s="164">
        <f>IFERROR(INDEX($D82:$H82,MATCH(YEAR(AW$6),$D$78:$H$78,0))/12,AV15)</f>
        <v/>
      </c>
      <c r="AX15" s="164">
        <f>IFERROR(INDEX($D82:$H82,MATCH(YEAR(AX$6),$D$78:$H$78,0))/12,AW15)</f>
        <v/>
      </c>
      <c r="AY15" s="164">
        <f>IFERROR(INDEX($D82:$H82,MATCH(YEAR(AY$6),$D$78:$H$78,0))/12,AX15)</f>
        <v/>
      </c>
      <c r="AZ15" s="164">
        <f>IFERROR(INDEX($D82:$H82,MATCH(YEAR(AZ$6),$D$78:$H$78,0))/12,AY15)</f>
        <v/>
      </c>
      <c r="BA15" s="164">
        <f>IFERROR(INDEX($D82:$H82,MATCH(YEAR(BA$6),$D$78:$H$78,0))/12,AZ15)</f>
        <v/>
      </c>
      <c r="BB15" s="164">
        <f>IFERROR(INDEX($D82:$H82,MATCH(YEAR(BB$6),$D$78:$H$78,0))/12,BA15)</f>
        <v/>
      </c>
      <c r="BC15" s="164">
        <f>IFERROR(INDEX($D82:$H82,MATCH(YEAR(BC$6),$D$78:$H$78,0))/12,BB15)</f>
        <v/>
      </c>
      <c r="BD15" s="164">
        <f>IFERROR(INDEX($D82:$H82,MATCH(YEAR(BD$6),$D$78:$H$78,0))/12,BC15)</f>
        <v/>
      </c>
      <c r="BE15" s="164">
        <f>IFERROR(INDEX($D82:$H82,MATCH(YEAR(BE$6),$D$78:$H$78,0))/12,BD15)</f>
        <v/>
      </c>
      <c r="BF15" s="164">
        <f>IFERROR(INDEX($D82:$H82,MATCH(YEAR(BF$6),$D$78:$H$78,0))/12,BE15)</f>
        <v/>
      </c>
      <c r="BG15" s="164">
        <f>IFERROR(INDEX($D82:$H82,MATCH(YEAR(BG$6),$D$78:$H$78,0))/12,BF15)</f>
        <v/>
      </c>
      <c r="BH15" s="164">
        <f>IFERROR(INDEX($D82:$H82,MATCH(YEAR(BH$6),$D$78:$H$78,0))/12,BG15)</f>
        <v/>
      </c>
      <c r="BI15" s="164">
        <f>IFERROR(INDEX($D82:$H82,MATCH(YEAR(BI$6),$D$78:$H$78,0))/12,BH15)</f>
        <v/>
      </c>
      <c r="BJ15" s="164">
        <f>IFERROR(INDEX($D82:$H82,MATCH(YEAR(BJ$6),$D$78:$H$78,0))/12,BI15)</f>
        <v/>
      </c>
      <c r="BK15" s="164">
        <f>IFERROR(INDEX($D82:$H82,MATCH(YEAR(BK$6),$D$78:$H$78,0))/12,BJ15)</f>
        <v/>
      </c>
      <c r="BL15" s="164">
        <f>IFERROR(INDEX($D82:$H82,MATCH(YEAR(BL$6),$D$78:$H$78,0))/12,BK15)</f>
        <v/>
      </c>
      <c r="BM15" s="164">
        <f>IFERROR(INDEX($D82:$H82,MATCH(YEAR(BM$6),$D$78:$H$78,0))/12,BL15)</f>
        <v/>
      </c>
      <c r="BN15" s="164">
        <f>IFERROR(INDEX($D82:$H82,MATCH(YEAR(BN$6),$D$78:$H$78,0))/12,BM15)</f>
        <v/>
      </c>
      <c r="BO15" s="164">
        <f>IFERROR(INDEX($D82:$H82,MATCH(YEAR(BO$6),$D$78:$H$78,0))/12,BN15)</f>
        <v/>
      </c>
      <c r="BP15" s="164">
        <f>IFERROR(INDEX($D82:$H82,MATCH(YEAR(BP$6),$D$78:$H$78,0))/12,BO15)</f>
        <v/>
      </c>
      <c r="BQ15" s="164">
        <f>IFERROR(INDEX($D82:$H82,MATCH(YEAR(BQ$6),$D$78:$H$78,0))/12,BP15)</f>
        <v/>
      </c>
      <c r="BR15" s="164">
        <f>IFERROR(INDEX($D82:$H82,MATCH(YEAR(BR$6),$D$78:$H$78,0))/12,BQ15)</f>
        <v/>
      </c>
      <c r="BS15" s="164">
        <f>IFERROR(INDEX($D82:$H82,MATCH(YEAR(BS$6),$D$78:$H$78,0))/12,BR15)</f>
        <v/>
      </c>
      <c r="BT15" s="164">
        <f>IFERROR(INDEX($D82:$H82,MATCH(YEAR(BT$6),$D$78:$H$78,0))/12,BS15)</f>
        <v/>
      </c>
      <c r="BU15" s="164">
        <f>IFERROR(INDEX($D82:$H82,MATCH(YEAR(BU$6),$D$78:$H$78,0))/12,BT15)</f>
        <v/>
      </c>
      <c r="BV15" s="164">
        <f>IFERROR(INDEX($D82:$H82,MATCH(YEAR(BV$6),$D$78:$H$78,0))/12,BU15)</f>
        <v/>
      </c>
      <c r="BW15" s="164">
        <f>IFERROR(INDEX($D82:$H82,MATCH(YEAR(BW$6),$D$78:$H$78,0))/12,BV15)</f>
        <v/>
      </c>
      <c r="BX15" s="164">
        <f>IFERROR(INDEX($D82:$H82,MATCH(YEAR(BX$6),$D$78:$H$78,0))/12,BW15)</f>
        <v/>
      </c>
      <c r="BY15" s="164">
        <f>IFERROR(INDEX($D82:$H82,MATCH(YEAR(BY$6),$D$78:$H$78,0))/12,BX15)</f>
        <v/>
      </c>
      <c r="BZ15" s="164">
        <f>IFERROR(INDEX($D82:$H82,MATCH(YEAR(BZ$6),$D$78:$H$78,0))/12,BY15)</f>
        <v/>
      </c>
      <c r="CA15" s="164">
        <f>IFERROR(INDEX($D82:$H82,MATCH(YEAR(CA$6),$D$78:$H$78,0))/12,BZ15)</f>
        <v/>
      </c>
      <c r="CB15" s="164">
        <f>IFERROR(INDEX($D82:$H82,MATCH(YEAR(CB$6),$D$78:$H$78,0))/12,CA15)</f>
        <v/>
      </c>
      <c r="CC15" s="164">
        <f>IFERROR(INDEX($D82:$H82,MATCH(YEAR(CC$6),$D$78:$H$78,0))/12,CB15)</f>
        <v/>
      </c>
      <c r="CD15" s="164">
        <f>IFERROR(INDEX($D82:$H82,MATCH(YEAR(CD$6),$D$78:$H$78,0))/12,CC15)</f>
        <v/>
      </c>
      <c r="CE15" s="164">
        <f>IFERROR(INDEX($D82:$H82,MATCH(YEAR(CE$6),$D$78:$H$78,0))/12,CD15)</f>
        <v/>
      </c>
      <c r="CF15" s="164">
        <f>IFERROR(INDEX($D82:$H82,MATCH(YEAR(CF$6),$D$78:$H$78,0))/12,CE15)</f>
        <v/>
      </c>
      <c r="CG15" s="164">
        <f>IFERROR(INDEX($D82:$H82,MATCH(YEAR(CG$6),$D$78:$H$78,0))/12,CF15)</f>
        <v/>
      </c>
      <c r="CH15" s="164">
        <f>IFERROR(INDEX($D82:$H82,MATCH(YEAR(CH$6),$D$78:$H$78,0))/12,CG15)</f>
        <v/>
      </c>
      <c r="CI15" s="164">
        <f>IFERROR(INDEX($D82:$H82,MATCH(YEAR(CI$6),$D$78:$H$78,0))/12,CH15)</f>
        <v/>
      </c>
      <c r="CJ15" s="164">
        <f>IFERROR(INDEX($D82:$H82,MATCH(YEAR(CJ$6),$D$78:$H$78,0))/12,CI15)</f>
        <v/>
      </c>
      <c r="CK15" s="164">
        <f>IFERROR(INDEX($D82:$H82,MATCH(YEAR(CK$6),$D$78:$H$78,0))/12,CJ15)</f>
        <v/>
      </c>
      <c r="CL15" s="164">
        <f>IFERROR(INDEX($D82:$H82,MATCH(YEAR(CL$6),$D$78:$H$78,0))/12,CK15)</f>
        <v/>
      </c>
      <c r="CM15" s="164">
        <f>IFERROR(INDEX($D82:$H82,MATCH(YEAR(CM$6),$D$78:$H$78,0))/12,CL15)</f>
        <v/>
      </c>
      <c r="CN15" s="164">
        <f>IFERROR(INDEX($D82:$H82,MATCH(YEAR(CN$6),$D$78:$H$78,0))/12,CM15)</f>
        <v/>
      </c>
      <c r="CO15" s="164">
        <f>IFERROR(INDEX($D82:$H82,MATCH(YEAR(CO$6),$D$78:$H$78,0))/12,CN15)</f>
        <v/>
      </c>
      <c r="CP15" s="164">
        <f>IFERROR(INDEX($D82:$H82,MATCH(YEAR(CP$6),$D$78:$H$78,0))/12,CO15)</f>
        <v/>
      </c>
      <c r="CQ15" s="164">
        <f>IFERROR(INDEX($D82:$H82,MATCH(YEAR(CQ$6),$D$78:$H$78,0))/12,CP15)</f>
        <v/>
      </c>
      <c r="CR15" s="164">
        <f>IFERROR(INDEX($D82:$H82,MATCH(YEAR(CR$6),$D$78:$H$78,0))/12,CQ15)</f>
        <v/>
      </c>
      <c r="CS15" s="164">
        <f>IFERROR(INDEX($D82:$H82,MATCH(YEAR(CS$6),$D$78:$H$78,0))/12,CR15)</f>
        <v/>
      </c>
      <c r="CT15" s="164">
        <f>IFERROR(INDEX($D82:$H82,MATCH(YEAR(CT$6),$D$78:$H$78,0))/12,CS15)</f>
        <v/>
      </c>
      <c r="CU15" s="164">
        <f>IFERROR(INDEX($D82:$H82,MATCH(YEAR(CU$6),$D$78:$H$78,0))/12,CT15)</f>
        <v/>
      </c>
      <c r="CV15" s="164">
        <f>IFERROR(INDEX($D82:$H82,MATCH(YEAR(CV$6),$D$78:$H$78,0))/12,CU15)</f>
        <v/>
      </c>
      <c r="CW15" s="164">
        <f>IFERROR(INDEX($D82:$H82,MATCH(YEAR(CW$6),$D$78:$H$78,0))/12,CV15)</f>
        <v/>
      </c>
      <c r="CX15" s="164">
        <f>IFERROR(INDEX($D82:$H82,MATCH(YEAR(CX$6),$D$78:$H$78,0))/12,CW15)</f>
        <v/>
      </c>
      <c r="CY15" s="164">
        <f>IFERROR(INDEX($D82:$H82,MATCH(YEAR(CY$6),$D$78:$H$78,0))/12,CX15)</f>
        <v/>
      </c>
      <c r="CZ15" s="164">
        <f>IFERROR(INDEX($D82:$H82,MATCH(YEAR(CZ$6),$D$78:$H$78,0))/12,CY15)</f>
        <v/>
      </c>
      <c r="DA15" s="164">
        <f>IFERROR(INDEX($D82:$H82,MATCH(YEAR(DA$6),$D$78:$H$78,0))/12,CZ15)</f>
        <v/>
      </c>
      <c r="DB15" s="164">
        <f>IFERROR(INDEX($D82:$H82,MATCH(YEAR(DB$6),$D$78:$H$78,0))/12,DA15)</f>
        <v/>
      </c>
      <c r="DC15" s="164">
        <f>IFERROR(INDEX($D82:$H82,MATCH(YEAR(DC$6),$D$78:$H$78,0))/12,DB15)</f>
        <v/>
      </c>
      <c r="DD15" s="164">
        <f>IFERROR(INDEX($D82:$H82,MATCH(YEAR(DD$6),$D$78:$H$78,0))/12,DC15)</f>
        <v/>
      </c>
      <c r="DE15" s="164">
        <f>IFERROR(INDEX($D82:$H82,MATCH(YEAR(DE$6),$D$78:$H$78,0))/12,DD15)</f>
        <v/>
      </c>
      <c r="DF15" s="164">
        <f>IFERROR(INDEX($D82:$H82,MATCH(YEAR(DF$6),$D$78:$H$78,0))/12,DE15)</f>
        <v/>
      </c>
      <c r="DG15" s="164">
        <f>IFERROR(INDEX($D82:$H82,MATCH(YEAR(DG$6),$D$78:$H$78,0))/12,DF15)</f>
        <v/>
      </c>
      <c r="DH15" s="164">
        <f>IFERROR(INDEX($D82:$H82,MATCH(YEAR(DH$6),$D$78:$H$78,0))/12,DG15)</f>
        <v/>
      </c>
      <c r="DI15" s="164">
        <f>IFERROR(INDEX($D82:$H82,MATCH(YEAR(DI$6),$D$78:$H$78,0))/12,DH15)</f>
        <v/>
      </c>
      <c r="DJ15" s="164">
        <f>IFERROR(INDEX($D82:$H82,MATCH(YEAR(DJ$6),$D$78:$H$78,0))/12,DI15)</f>
        <v/>
      </c>
      <c r="DK15" s="164">
        <f>IFERROR(INDEX($D82:$H82,MATCH(YEAR(DK$6),$D$78:$H$78,0))/12,DJ15)</f>
        <v/>
      </c>
      <c r="DL15" s="164">
        <f>IFERROR(INDEX($D82:$H82,MATCH(YEAR(DL$6),$D$78:$H$78,0))/12,DK15)</f>
        <v/>
      </c>
      <c r="DM15" s="164">
        <f>IFERROR(INDEX($D82:$H82,MATCH(YEAR(DM$6),$D$78:$H$78,0))/12,DL15)</f>
        <v/>
      </c>
      <c r="DN15" s="164">
        <f>IFERROR(INDEX($D82:$H82,MATCH(YEAR(DN$6),$D$78:$H$78,0))/12,DM15)</f>
        <v/>
      </c>
      <c r="DO15" s="164">
        <f>IFERROR(INDEX($D82:$H82,MATCH(YEAR(DO$6),$D$78:$H$78,0))/12,DN15)</f>
        <v/>
      </c>
      <c r="DP15" s="164">
        <f>IFERROR(INDEX($D82:$H82,MATCH(YEAR(DP$6),$D$78:$H$78,0))/12,DO15)</f>
        <v/>
      </c>
      <c r="DQ15" s="164">
        <f>IFERROR(INDEX($D82:$H82,MATCH(YEAR(DQ$6),$D$78:$H$78,0))/12,DP15)</f>
        <v/>
      </c>
      <c r="DR15" s="164">
        <f>IFERROR(INDEX($D82:$H82,MATCH(YEAR(DR$6),$D$78:$H$78,0))/12,DQ15)</f>
        <v/>
      </c>
      <c r="DS15" s="164">
        <f>IFERROR(INDEX($D82:$H82,MATCH(YEAR(DS$6),$D$78:$H$78,0))/12,DR15)</f>
        <v/>
      </c>
      <c r="DT15" s="164">
        <f>IFERROR(INDEX($D82:$H82,MATCH(YEAR(DT$6),$D$78:$H$78,0))/12,DS15)</f>
        <v/>
      </c>
      <c r="DU15" s="164">
        <f>IFERROR(INDEX($D82:$H82,MATCH(YEAR(DU$6),$D$78:$H$78,0))/12,DT15)</f>
        <v/>
      </c>
      <c r="DV15" s="164">
        <f>IFERROR(INDEX($D82:$H82,MATCH(YEAR(DV$6),$D$78:$H$78,0))/12,DU15)</f>
        <v/>
      </c>
      <c r="DW15" s="164">
        <f>IFERROR(INDEX($D82:$H82,MATCH(YEAR(DW$6),$D$78:$H$78,0))/12,DV15)</f>
        <v/>
      </c>
      <c r="DX15" s="164">
        <f>IFERROR(INDEX($D82:$H82,MATCH(YEAR(DX$6),$D$78:$H$78,0))/12,DW15)</f>
        <v/>
      </c>
      <c r="DY15" s="164">
        <f>IFERROR(INDEX($D82:$H82,MATCH(YEAR(DY$6),$D$78:$H$78,0))/12,DX15)</f>
        <v/>
      </c>
      <c r="DZ15" s="164">
        <f>IFERROR(INDEX($D82:$H82,MATCH(YEAR(DZ$6),$D$78:$H$78,0))/12,DY15)</f>
        <v/>
      </c>
      <c r="EA15" s="164">
        <f>IFERROR(INDEX($D82:$H82,MATCH(YEAR(EA$6),$D$78:$H$78,0))/12,DZ15)</f>
        <v/>
      </c>
      <c r="EB15" s="164">
        <f>IFERROR(INDEX($D82:$H82,MATCH(YEAR(EB$6),$D$78:$H$78,0))/12,EA15)</f>
        <v/>
      </c>
      <c r="EC15" s="164">
        <f>IFERROR(INDEX($D82:$H82,MATCH(YEAR(EC$6),$D$78:$H$78,0))/12,EB15)</f>
        <v/>
      </c>
      <c r="ED15" s="164">
        <f>IFERROR(INDEX($D82:$H82,MATCH(YEAR(ED$6),$D$78:$H$78,0))/12,EC15)</f>
        <v/>
      </c>
      <c r="EE15" s="164">
        <f>IFERROR(INDEX($D82:$H82,MATCH(YEAR(EE$6),$D$78:$H$78,0))/12,ED15)</f>
        <v/>
      </c>
      <c r="EF15" s="164">
        <f>IFERROR(INDEX($D82:$H82,MATCH(YEAR(EF$6),$D$78:$H$78,0))/12,EE15)</f>
        <v/>
      </c>
      <c r="EG15" s="164">
        <f>IFERROR(INDEX($D82:$H82,MATCH(YEAR(EG$6),$D$78:$H$78,0))/12,EF15)</f>
        <v/>
      </c>
      <c r="EH15" s="164">
        <f>IFERROR(INDEX($D82:$H82,MATCH(YEAR(EH$6),$D$78:$H$78,0))/12,EG15)</f>
        <v/>
      </c>
      <c r="EI15" s="164">
        <f>IFERROR(INDEX($D82:$H82,MATCH(YEAR(EI$6),$D$78:$H$78,0))/12,EH15)</f>
        <v/>
      </c>
      <c r="EJ15" s="164">
        <f>IFERROR(INDEX($D82:$H82,MATCH(YEAR(EJ$6),$D$78:$H$78,0))/12,EI15)</f>
        <v/>
      </c>
      <c r="EK15" s="164">
        <f>IFERROR(INDEX($D82:$H82,MATCH(YEAR(EK$6),$D$78:$H$78,0))/12,EJ15)</f>
        <v/>
      </c>
      <c r="EL15" s="164">
        <f>IFERROR(INDEX($D82:$H82,MATCH(YEAR(EL$6),$D$78:$H$78,0))/12,EK15)</f>
        <v/>
      </c>
      <c r="EM15" s="164">
        <f>IFERROR(INDEX($D82:$H82,MATCH(YEAR(EM$6),$D$78:$H$78,0))/12,EL15)</f>
        <v/>
      </c>
      <c r="EN15" s="164">
        <f>IFERROR(INDEX($D82:$H82,MATCH(YEAR(EN$6),$D$78:$H$78,0))/12,EM15)</f>
        <v/>
      </c>
      <c r="EO15" s="164">
        <f>IFERROR(INDEX($D82:$H82,MATCH(YEAR(EO$6),$D$78:$H$78,0))/12,EN15)</f>
        <v/>
      </c>
      <c r="EP15" s="164">
        <f>IFERROR(INDEX($D82:$H82,MATCH(YEAR(EP$6),$D$78:$H$78,0))/12,EO15)</f>
        <v/>
      </c>
      <c r="EQ15" s="164">
        <f>IFERROR(INDEX($D82:$H82,MATCH(YEAR(EQ$6),$D$78:$H$78,0))/12,EP15)</f>
        <v/>
      </c>
      <c r="ER15" s="164">
        <f>IFERROR(INDEX($D82:$H82,MATCH(YEAR(ER$6),$D$78:$H$78,0))/12,EQ15)</f>
        <v/>
      </c>
      <c r="ES15" s="164">
        <f>IFERROR(INDEX($D82:$H82,MATCH(YEAR(ES$6),$D$78:$H$78,0))/12,ER15)</f>
        <v/>
      </c>
      <c r="ET15" s="164">
        <f>IFERROR(INDEX($D82:$H82,MATCH(YEAR(ET$6),$D$78:$H$78,0))/12,ES15)</f>
        <v/>
      </c>
      <c r="EU15" s="164">
        <f>IFERROR(INDEX($D82:$H82,MATCH(YEAR(EU$6),$D$78:$H$78,0))/12,ET15)</f>
        <v/>
      </c>
      <c r="EV15" s="164">
        <f>IFERROR(INDEX($D82:$H82,MATCH(YEAR(EV$6),$D$78:$H$78,0))/12,EU15)</f>
        <v/>
      </c>
      <c r="EW15" s="164">
        <f>IFERROR(INDEX($D82:$H82,MATCH(YEAR(EW$6),$D$78:$H$78,0))/12,EV15)</f>
        <v/>
      </c>
      <c r="EX15" s="164">
        <f>IFERROR(INDEX($D82:$H82,MATCH(YEAR(EX$6),$D$78:$H$78,0))/12,EW15)</f>
        <v/>
      </c>
    </row>
    <row r="16">
      <c r="C16" s="12" t="inlineStr">
        <is>
          <t>Acquisition Date</t>
        </is>
      </c>
      <c r="D16" s="182" t="n">
        <v>0</v>
      </c>
      <c r="E16" s="39" t="n"/>
      <c r="F16" s="165" t="n">
        <v>0</v>
      </c>
      <c r="G16" s="252">
        <f>EOMONTH(E16,F16)</f>
        <v/>
      </c>
      <c r="H16" s="40">
        <f>INDEX($V$4:$EX$4,MATCH(G16,$V$6:$EX$6,0))</f>
        <v/>
      </c>
      <c r="J16" s="33" t="inlineStr">
        <is>
          <t>Compounded Rate</t>
        </is>
      </c>
      <c r="K16" s="33" t="n"/>
      <c r="L16" s="34" t="n"/>
      <c r="M16" s="199" t="n"/>
      <c r="N16" s="34" t="n"/>
      <c r="O16" s="33" t="n"/>
      <c r="P16" s="33" t="n"/>
      <c r="Q16" s="33" t="n"/>
      <c r="R16" s="33" t="n"/>
      <c r="S16" s="33" t="n"/>
      <c r="T16" s="33" t="n"/>
      <c r="U16" s="34" t="n"/>
      <c r="V16" s="35" t="n">
        <v>1</v>
      </c>
      <c r="W16" s="35">
        <f>V16*(1+W15)</f>
        <v/>
      </c>
      <c r="X16" s="35">
        <f>W16*(1+X15)</f>
        <v/>
      </c>
      <c r="Y16" s="35">
        <f>X16*(1+Y15)</f>
        <v/>
      </c>
      <c r="Z16" s="35">
        <f>Y16*(1+Z15)</f>
        <v/>
      </c>
      <c r="AA16" s="35">
        <f>Z16*(1+AA15)</f>
        <v/>
      </c>
      <c r="AB16" s="35">
        <f>AA16*(1+AB15)</f>
        <v/>
      </c>
      <c r="AC16" s="35">
        <f>AB16*(1+AC15)</f>
        <v/>
      </c>
      <c r="AD16" s="35">
        <f>AC16*(1+AD15)</f>
        <v/>
      </c>
      <c r="AE16" s="35">
        <f>AD16*(1+AE15)</f>
        <v/>
      </c>
      <c r="AF16" s="35">
        <f>AE16*(1+AF15)</f>
        <v/>
      </c>
      <c r="AG16" s="35">
        <f>AF16*(1+AG15)</f>
        <v/>
      </c>
      <c r="AH16" s="35">
        <f>AG16*(1+AH15)</f>
        <v/>
      </c>
      <c r="AI16" s="35">
        <f>AH16*(1+AI15)</f>
        <v/>
      </c>
      <c r="AJ16" s="35">
        <f>AI16*(1+AJ15)</f>
        <v/>
      </c>
      <c r="AK16" s="35">
        <f>AJ16*(1+AK15)</f>
        <v/>
      </c>
      <c r="AL16" s="35">
        <f>AK16*(1+AL15)</f>
        <v/>
      </c>
      <c r="AM16" s="35">
        <f>AL16*(1+AM15)</f>
        <v/>
      </c>
      <c r="AN16" s="35">
        <f>AM16*(1+AN15)</f>
        <v/>
      </c>
      <c r="AO16" s="35">
        <f>AN16*(1+AO15)</f>
        <v/>
      </c>
      <c r="AP16" s="35">
        <f>AO16*(1+AP15)</f>
        <v/>
      </c>
      <c r="AQ16" s="35">
        <f>AP16*(1+AQ15)</f>
        <v/>
      </c>
      <c r="AR16" s="35">
        <f>AQ16*(1+AR15)</f>
        <v/>
      </c>
      <c r="AS16" s="35">
        <f>AR16*(1+AS15)</f>
        <v/>
      </c>
      <c r="AT16" s="35">
        <f>AS16*(1+AT15)</f>
        <v/>
      </c>
      <c r="AU16" s="35">
        <f>AT16*(1+AU15)</f>
        <v/>
      </c>
      <c r="AV16" s="35">
        <f>AU16*(1+AV15)</f>
        <v/>
      </c>
      <c r="AW16" s="35">
        <f>AV16*(1+AW15)</f>
        <v/>
      </c>
      <c r="AX16" s="35">
        <f>AW16*(1+AX15)</f>
        <v/>
      </c>
      <c r="AY16" s="35">
        <f>AX16*(1+AY15)</f>
        <v/>
      </c>
      <c r="AZ16" s="35">
        <f>AY16*(1+AZ15)</f>
        <v/>
      </c>
      <c r="BA16" s="35">
        <f>AZ16*(1+BA15)</f>
        <v/>
      </c>
      <c r="BB16" s="35">
        <f>BA16*(1+BB15)</f>
        <v/>
      </c>
      <c r="BC16" s="35">
        <f>BB16*(1+BC15)</f>
        <v/>
      </c>
      <c r="BD16" s="35">
        <f>BC16*(1+BD15)</f>
        <v/>
      </c>
      <c r="BE16" s="35">
        <f>BD16*(1+BE15)</f>
        <v/>
      </c>
      <c r="BF16" s="35">
        <f>BE16*(1+BF15)</f>
        <v/>
      </c>
      <c r="BG16" s="35">
        <f>BF16*(1+BG15)</f>
        <v/>
      </c>
      <c r="BH16" s="35">
        <f>BG16*(1+BH15)</f>
        <v/>
      </c>
      <c r="BI16" s="35">
        <f>BH16*(1+BI15)</f>
        <v/>
      </c>
      <c r="BJ16" s="35">
        <f>BI16*(1+BJ15)</f>
        <v/>
      </c>
      <c r="BK16" s="35">
        <f>BJ16*(1+BK15)</f>
        <v/>
      </c>
      <c r="BL16" s="35">
        <f>BK16*(1+BL15)</f>
        <v/>
      </c>
      <c r="BM16" s="35">
        <f>BL16*(1+BM15)</f>
        <v/>
      </c>
      <c r="BN16" s="35">
        <f>BM16*(1+BN15)</f>
        <v/>
      </c>
      <c r="BO16" s="35">
        <f>BN16*(1+BO15)</f>
        <v/>
      </c>
      <c r="BP16" s="35">
        <f>BO16*(1+BP15)</f>
        <v/>
      </c>
      <c r="BQ16" s="35">
        <f>BP16*(1+BQ15)</f>
        <v/>
      </c>
      <c r="BR16" s="35">
        <f>BQ16*(1+BR15)</f>
        <v/>
      </c>
      <c r="BS16" s="35">
        <f>BR16*(1+BS15)</f>
        <v/>
      </c>
      <c r="BT16" s="35">
        <f>BS16*(1+BT15)</f>
        <v/>
      </c>
      <c r="BU16" s="35">
        <f>BT16*(1+BU15)</f>
        <v/>
      </c>
      <c r="BV16" s="35">
        <f>BU16*(1+BV15)</f>
        <v/>
      </c>
      <c r="BW16" s="35">
        <f>BV16*(1+BW15)</f>
        <v/>
      </c>
      <c r="BX16" s="35">
        <f>BW16*(1+BX15)</f>
        <v/>
      </c>
      <c r="BY16" s="35">
        <f>BX16*(1+BY15)</f>
        <v/>
      </c>
      <c r="BZ16" s="35">
        <f>BY16*(1+BZ15)</f>
        <v/>
      </c>
      <c r="CA16" s="35">
        <f>BZ16*(1+CA15)</f>
        <v/>
      </c>
      <c r="CB16" s="35">
        <f>CA16*(1+CB15)</f>
        <v/>
      </c>
      <c r="CC16" s="35">
        <f>CB16*(1+CC15)</f>
        <v/>
      </c>
      <c r="CD16" s="35">
        <f>CC16*(1+CD15)</f>
        <v/>
      </c>
      <c r="CE16" s="35">
        <f>CD16*(1+CE15)</f>
        <v/>
      </c>
      <c r="CF16" s="35">
        <f>CE16*(1+CF15)</f>
        <v/>
      </c>
      <c r="CG16" s="35">
        <f>CF16*(1+CG15)</f>
        <v/>
      </c>
      <c r="CH16" s="35">
        <f>CG16*(1+CH15)</f>
        <v/>
      </c>
      <c r="CI16" s="35">
        <f>CH16*(1+CI15)</f>
        <v/>
      </c>
      <c r="CJ16" s="35">
        <f>CI16*(1+CJ15)</f>
        <v/>
      </c>
      <c r="CK16" s="35">
        <f>CJ16*(1+CK15)</f>
        <v/>
      </c>
      <c r="CL16" s="35">
        <f>CK16*(1+CL15)</f>
        <v/>
      </c>
      <c r="CM16" s="35">
        <f>CL16*(1+CM15)</f>
        <v/>
      </c>
      <c r="CN16" s="35">
        <f>CM16*(1+CN15)</f>
        <v/>
      </c>
      <c r="CO16" s="35">
        <f>CN16*(1+CO15)</f>
        <v/>
      </c>
      <c r="CP16" s="35">
        <f>CO16*(1+CP15)</f>
        <v/>
      </c>
      <c r="CQ16" s="35">
        <f>CP16*(1+CQ15)</f>
        <v/>
      </c>
      <c r="CR16" s="35">
        <f>CQ16*(1+CR15)</f>
        <v/>
      </c>
      <c r="CS16" s="35">
        <f>CR16*(1+CS15)</f>
        <v/>
      </c>
      <c r="CT16" s="35">
        <f>CS16*(1+CT15)</f>
        <v/>
      </c>
      <c r="CU16" s="35">
        <f>CT16*(1+CU15)</f>
        <v/>
      </c>
      <c r="CV16" s="35">
        <f>CU16*(1+CV15)</f>
        <v/>
      </c>
      <c r="CW16" s="35">
        <f>CV16*(1+CW15)</f>
        <v/>
      </c>
      <c r="CX16" s="35">
        <f>CW16*(1+CX15)</f>
        <v/>
      </c>
      <c r="CY16" s="35">
        <f>CX16*(1+CY15)</f>
        <v/>
      </c>
      <c r="CZ16" s="35">
        <f>CY16*(1+CZ15)</f>
        <v/>
      </c>
      <c r="DA16" s="35">
        <f>CZ16*(1+DA15)</f>
        <v/>
      </c>
      <c r="DB16" s="35">
        <f>DA16*(1+DB15)</f>
        <v/>
      </c>
      <c r="DC16" s="35">
        <f>DB16*(1+DC15)</f>
        <v/>
      </c>
      <c r="DD16" s="35">
        <f>DC16*(1+DD15)</f>
        <v/>
      </c>
      <c r="DE16" s="35">
        <f>DD16*(1+DE15)</f>
        <v/>
      </c>
      <c r="DF16" s="35">
        <f>DE16*(1+DF15)</f>
        <v/>
      </c>
      <c r="DG16" s="35">
        <f>DF16*(1+DG15)</f>
        <v/>
      </c>
      <c r="DH16" s="35">
        <f>DG16*(1+DH15)</f>
        <v/>
      </c>
      <c r="DI16" s="35">
        <f>DH16*(1+DI15)</f>
        <v/>
      </c>
      <c r="DJ16" s="35">
        <f>DI16*(1+DJ15)</f>
        <v/>
      </c>
      <c r="DK16" s="35">
        <f>DJ16*(1+DK15)</f>
        <v/>
      </c>
      <c r="DL16" s="35">
        <f>DK16*(1+DL15)</f>
        <v/>
      </c>
      <c r="DM16" s="35">
        <f>DL16*(1+DM15)</f>
        <v/>
      </c>
      <c r="DN16" s="35">
        <f>DM16*(1+DN15)</f>
        <v/>
      </c>
      <c r="DO16" s="35">
        <f>DN16*(1+DO15)</f>
        <v/>
      </c>
      <c r="DP16" s="35">
        <f>DO16*(1+DP15)</f>
        <v/>
      </c>
      <c r="DQ16" s="35">
        <f>DP16*(1+DQ15)</f>
        <v/>
      </c>
      <c r="DR16" s="35">
        <f>DQ16*(1+DR15)</f>
        <v/>
      </c>
      <c r="DS16" s="35">
        <f>DR16*(1+DS15)</f>
        <v/>
      </c>
      <c r="DT16" s="35">
        <f>DS16*(1+DT15)</f>
        <v/>
      </c>
      <c r="DU16" s="35">
        <f>DT16*(1+DU15)</f>
        <v/>
      </c>
      <c r="DV16" s="35">
        <f>DU16*(1+DV15)</f>
        <v/>
      </c>
      <c r="DW16" s="35">
        <f>DV16*(1+DW15)</f>
        <v/>
      </c>
      <c r="DX16" s="35">
        <f>DW16*(1+DX15)</f>
        <v/>
      </c>
      <c r="DY16" s="35">
        <f>DX16*(1+DY15)</f>
        <v/>
      </c>
      <c r="DZ16" s="35">
        <f>DY16*(1+DZ15)</f>
        <v/>
      </c>
      <c r="EA16" s="35">
        <f>DZ16*(1+EA15)</f>
        <v/>
      </c>
      <c r="EB16" s="35">
        <f>EA16*(1+EB15)</f>
        <v/>
      </c>
      <c r="EC16" s="35">
        <f>EB16*(1+EC15)</f>
        <v/>
      </c>
      <c r="ED16" s="35">
        <f>EC16*(1+ED15)</f>
        <v/>
      </c>
      <c r="EE16" s="35">
        <f>ED16*(1+EE15)</f>
        <v/>
      </c>
      <c r="EF16" s="35">
        <f>EE16*(1+EF15)</f>
        <v/>
      </c>
      <c r="EG16" s="35">
        <f>EF16*(1+EG15)</f>
        <v/>
      </c>
      <c r="EH16" s="35">
        <f>EG16*(1+EH15)</f>
        <v/>
      </c>
      <c r="EI16" s="35">
        <f>EH16*(1+EI15)</f>
        <v/>
      </c>
      <c r="EJ16" s="35">
        <f>EI16*(1+EJ15)</f>
        <v/>
      </c>
      <c r="EK16" s="35">
        <f>EJ16*(1+EK15)</f>
        <v/>
      </c>
      <c r="EL16" s="35">
        <f>EK16*(1+EL15)</f>
        <v/>
      </c>
      <c r="EM16" s="35">
        <f>EL16*(1+EM15)</f>
        <v/>
      </c>
      <c r="EN16" s="35">
        <f>EM16*(1+EN15)</f>
        <v/>
      </c>
      <c r="EO16" s="35">
        <f>EN16*(1+EO15)</f>
        <v/>
      </c>
      <c r="EP16" s="35">
        <f>EO16*(1+EP15)</f>
        <v/>
      </c>
      <c r="EQ16" s="35">
        <f>EP16*(1+EQ15)</f>
        <v/>
      </c>
      <c r="ER16" s="35">
        <f>EQ16*(1+ER15)</f>
        <v/>
      </c>
      <c r="ES16" s="35">
        <f>ER16*(1+ES15)</f>
        <v/>
      </c>
      <c r="ET16" s="35">
        <f>ES16*(1+ET15)</f>
        <v/>
      </c>
      <c r="EU16" s="35">
        <f>ET16*(1+EU15)</f>
        <v/>
      </c>
      <c r="EV16" s="35">
        <f>EU16*(1+EV15)</f>
        <v/>
      </c>
      <c r="EW16" s="35">
        <f>EV16*(1+EW15)</f>
        <v/>
      </c>
      <c r="EX16" s="35">
        <f>EW16*(1+EX15)</f>
        <v/>
      </c>
    </row>
    <row r="17">
      <c r="C17" s="12" t="inlineStr">
        <is>
          <t>Hold Period</t>
        </is>
      </c>
      <c r="D17" s="182">
        <f>INDEX($V$4:$EX$4,MATCH(E17,$V$6:$EX$6,0))</f>
        <v/>
      </c>
      <c r="E17" s="41">
        <f>EOMONTH(G16,0)</f>
        <v/>
      </c>
      <c r="F17" s="165" t="n"/>
      <c r="G17" s="252">
        <f>EOMONTH(E17,F17-1)</f>
        <v/>
      </c>
      <c r="H17" s="40">
        <f>INDEX($V$4:$EX$4,MATCH(G17,$V$6:$EX$6,0))</f>
        <v/>
      </c>
      <c r="V17" s="164" t="n"/>
    </row>
    <row r="18">
      <c r="C18" s="12" t="inlineStr">
        <is>
          <t>Refinance</t>
        </is>
      </c>
      <c r="D18" s="183">
        <f>INDEX($V$4:$EX$4,MATCH(E18,$V$6:$EX$6,0))</f>
        <v/>
      </c>
      <c r="E18" s="41">
        <f>EOMONTH(G17,0)</f>
        <v/>
      </c>
      <c r="F18" s="165" t="n">
        <v>1</v>
      </c>
      <c r="G18" s="252">
        <f>EOMONTH(E18,F18-1)</f>
        <v/>
      </c>
      <c r="H18" s="40">
        <f>INDEX($V$4:$EX$4,MATCH(G18,$V$6:$EX$6,0))</f>
        <v/>
      </c>
      <c r="J18" s="16" t="inlineStr">
        <is>
          <t>Rent Analysis</t>
        </is>
      </c>
    </row>
    <row r="19">
      <c r="C19" s="263" t="n">
        <v>8</v>
      </c>
      <c r="D19" s="184">
        <f>INDEX($V$4:$EX$4,MATCH(E19,$V$6:$EX$6,0))</f>
        <v/>
      </c>
      <c r="E19" s="42">
        <f>EOMONTH(G18,0)</f>
        <v/>
      </c>
      <c r="F19" s="43">
        <f>H19-D19</f>
        <v/>
      </c>
      <c r="G19" s="252">
        <f>EOMONTH(E16,C19*12-1)</f>
        <v/>
      </c>
      <c r="H19" s="40">
        <f>INDEX($V$4:$EX$4,MATCH(G19,$V$6:$EX$6,0))</f>
        <v/>
      </c>
      <c r="J19" s="9" t="inlineStr">
        <is>
          <t>Potential Gross MR Rent/Unit</t>
        </is>
      </c>
      <c r="V19" s="264">
        <f>E64</f>
        <v/>
      </c>
      <c r="W19" s="264">
        <f>V19*(1+W9)</f>
        <v/>
      </c>
      <c r="X19" s="264">
        <f>W19*(1+X9)</f>
        <v/>
      </c>
      <c r="Y19" s="264">
        <f>X19*(1+Y9)</f>
        <v/>
      </c>
      <c r="Z19" s="264">
        <f>Y19*(1+Z9)</f>
        <v/>
      </c>
      <c r="AA19" s="264">
        <f>Z19*(1+AA9)</f>
        <v/>
      </c>
      <c r="AB19" s="264">
        <f>AA19*(1+AB9)</f>
        <v/>
      </c>
      <c r="AC19" s="264">
        <f>AB19*(1+AC9)</f>
        <v/>
      </c>
      <c r="AD19" s="264">
        <f>AC19*(1+AD9)</f>
        <v/>
      </c>
      <c r="AE19" s="264">
        <f>AD19*(1+AE9)</f>
        <v/>
      </c>
      <c r="AF19" s="264">
        <f>AE19*(1+AF9)</f>
        <v/>
      </c>
      <c r="AG19" s="264">
        <f>AF19*(1+AG9)</f>
        <v/>
      </c>
      <c r="AH19" s="264">
        <f>AG19*(1+AH9)</f>
        <v/>
      </c>
      <c r="AI19" s="264">
        <f>AH19*(1+AI9)</f>
        <v/>
      </c>
      <c r="AJ19" s="264">
        <f>AI19*(1+AJ9)</f>
        <v/>
      </c>
      <c r="AK19" s="264">
        <f>AJ19*(1+AK9)</f>
        <v/>
      </c>
      <c r="AL19" s="264">
        <f>AK19*(1+AL9)</f>
        <v/>
      </c>
      <c r="AM19" s="264">
        <f>AL19*(1+AM9)</f>
        <v/>
      </c>
      <c r="AN19" s="264">
        <f>AM19*(1+AN9)</f>
        <v/>
      </c>
      <c r="AO19" s="264">
        <f>AN19*(1+AO9)</f>
        <v/>
      </c>
      <c r="AP19" s="264">
        <f>AO19*(1+AP9)</f>
        <v/>
      </c>
      <c r="AQ19" s="264">
        <f>AP19*(1+AQ9)</f>
        <v/>
      </c>
      <c r="AR19" s="264">
        <f>AQ19*(1+AR9)</f>
        <v/>
      </c>
      <c r="AS19" s="264">
        <f>AR19*(1+AS9)</f>
        <v/>
      </c>
      <c r="AT19" s="264">
        <f>AS19*(1+AT9)</f>
        <v/>
      </c>
      <c r="AU19" s="264">
        <f>AT19*(1+AU9)</f>
        <v/>
      </c>
      <c r="AV19" s="264">
        <f>AU19*(1+AV9)</f>
        <v/>
      </c>
      <c r="AW19" s="264">
        <f>AV19*(1+AW9)</f>
        <v/>
      </c>
      <c r="AX19" s="264">
        <f>AW19*(1+AX9)</f>
        <v/>
      </c>
      <c r="AY19" s="264">
        <f>AX19*(1+AY9)</f>
        <v/>
      </c>
      <c r="AZ19" s="264">
        <f>AY19*(1+AZ9)</f>
        <v/>
      </c>
      <c r="BA19" s="264">
        <f>AZ19*(1+BA9)</f>
        <v/>
      </c>
      <c r="BB19" s="264">
        <f>BA19*(1+BB9)</f>
        <v/>
      </c>
      <c r="BC19" s="264">
        <f>BB19*(1+BC9)</f>
        <v/>
      </c>
      <c r="BD19" s="264">
        <f>BC19*(1+BD9)</f>
        <v/>
      </c>
      <c r="BE19" s="264">
        <f>BD19*(1+BE9)</f>
        <v/>
      </c>
      <c r="BF19" s="264">
        <f>BE19*(1+BF9)</f>
        <v/>
      </c>
      <c r="BG19" s="264">
        <f>BF19*(1+BG9)</f>
        <v/>
      </c>
      <c r="BH19" s="264">
        <f>BG19*(1+BH9)</f>
        <v/>
      </c>
      <c r="BI19" s="264">
        <f>BH19*(1+BI9)</f>
        <v/>
      </c>
      <c r="BJ19" s="264">
        <f>BI19*(1+BJ9)</f>
        <v/>
      </c>
      <c r="BK19" s="264">
        <f>BJ19*(1+BK9)</f>
        <v/>
      </c>
      <c r="BL19" s="264">
        <f>BK19*(1+BL9)</f>
        <v/>
      </c>
      <c r="BM19" s="264">
        <f>BL19*(1+BM9)</f>
        <v/>
      </c>
      <c r="BN19" s="264">
        <f>BM19*(1+BN9)</f>
        <v/>
      </c>
      <c r="BO19" s="264">
        <f>BN19*(1+BO9)</f>
        <v/>
      </c>
      <c r="BP19" s="264">
        <f>BO19*(1+BP9)</f>
        <v/>
      </c>
      <c r="BQ19" s="264">
        <f>BP19*(1+BQ9)</f>
        <v/>
      </c>
      <c r="BR19" s="264">
        <f>BQ19*(1+BR9)</f>
        <v/>
      </c>
      <c r="BS19" s="264">
        <f>BR19*(1+BS9)</f>
        <v/>
      </c>
      <c r="BT19" s="264">
        <f>BS19*(1+BT9)</f>
        <v/>
      </c>
      <c r="BU19" s="264">
        <f>BT19*(1+BU9)</f>
        <v/>
      </c>
      <c r="BV19" s="264">
        <f>BU19*(1+BV9)</f>
        <v/>
      </c>
      <c r="BW19" s="264">
        <f>BV19*(1+BW9)</f>
        <v/>
      </c>
      <c r="BX19" s="264">
        <f>BW19*(1+BX9)</f>
        <v/>
      </c>
      <c r="BY19" s="264">
        <f>BX19*(1+BY9)</f>
        <v/>
      </c>
      <c r="BZ19" s="264">
        <f>BY19*(1+BZ9)</f>
        <v/>
      </c>
      <c r="CA19" s="264">
        <f>BZ19*(1+CA9)</f>
        <v/>
      </c>
      <c r="CB19" s="264">
        <f>CA19*(1+CB9)</f>
        <v/>
      </c>
      <c r="CC19" s="264">
        <f>CB19*(1+CC9)</f>
        <v/>
      </c>
      <c r="CD19" s="264">
        <f>CC19*(1+CD9)</f>
        <v/>
      </c>
      <c r="CE19" s="264">
        <f>CD19*(1+CE9)</f>
        <v/>
      </c>
      <c r="CF19" s="264">
        <f>CE19*(1+CF9)</f>
        <v/>
      </c>
      <c r="CG19" s="264">
        <f>CF19*(1+CG9)</f>
        <v/>
      </c>
      <c r="CH19" s="264">
        <f>CG19*(1+CH9)</f>
        <v/>
      </c>
      <c r="CI19" s="264">
        <f>CH19*(1+CI9)</f>
        <v/>
      </c>
      <c r="CJ19" s="264">
        <f>CI19*(1+CJ9)</f>
        <v/>
      </c>
      <c r="CK19" s="264">
        <f>CJ19*(1+CK9)</f>
        <v/>
      </c>
      <c r="CL19" s="264">
        <f>CK19*(1+CL9)</f>
        <v/>
      </c>
      <c r="CM19" s="264">
        <f>CL19*(1+CM9)</f>
        <v/>
      </c>
      <c r="CN19" s="264">
        <f>CM19*(1+CN9)</f>
        <v/>
      </c>
      <c r="CO19" s="264">
        <f>CN19*(1+CO9)</f>
        <v/>
      </c>
      <c r="CP19" s="264">
        <f>CO19*(1+CP9)</f>
        <v/>
      </c>
      <c r="CQ19" s="264">
        <f>CP19*(1+CQ9)</f>
        <v/>
      </c>
      <c r="CR19" s="264">
        <f>CQ19*(1+CR9)</f>
        <v/>
      </c>
      <c r="CS19" s="264">
        <f>CR19*(1+CS9)</f>
        <v/>
      </c>
      <c r="CT19" s="264">
        <f>CS19*(1+CT9)</f>
        <v/>
      </c>
      <c r="CU19" s="264">
        <f>CT19*(1+CU9)</f>
        <v/>
      </c>
      <c r="CV19" s="264">
        <f>CU19*(1+CV9)</f>
        <v/>
      </c>
      <c r="CW19" s="264">
        <f>CV19*(1+CW9)</f>
        <v/>
      </c>
      <c r="CX19" s="264">
        <f>CW19*(1+CX9)</f>
        <v/>
      </c>
      <c r="CY19" s="264">
        <f>CX19*(1+CY9)</f>
        <v/>
      </c>
      <c r="CZ19" s="264">
        <f>CY19*(1+CZ9)</f>
        <v/>
      </c>
      <c r="DA19" s="264">
        <f>CZ19*(1+DA9)</f>
        <v/>
      </c>
      <c r="DB19" s="264">
        <f>DA19*(1+DB9)</f>
        <v/>
      </c>
      <c r="DC19" s="264">
        <f>DB19*(1+DC9)</f>
        <v/>
      </c>
      <c r="DD19" s="264">
        <f>DC19*(1+DD9)</f>
        <v/>
      </c>
      <c r="DE19" s="264">
        <f>DD19*(1+DE9)</f>
        <v/>
      </c>
      <c r="DF19" s="264">
        <f>DE19*(1+DF9)</f>
        <v/>
      </c>
      <c r="DG19" s="264">
        <f>DF19*(1+DG9)</f>
        <v/>
      </c>
      <c r="DH19" s="264">
        <f>DG19*(1+DH9)</f>
        <v/>
      </c>
      <c r="DI19" s="264">
        <f>DH19*(1+DI9)</f>
        <v/>
      </c>
      <c r="DJ19" s="264">
        <f>DI19*(1+DJ9)</f>
        <v/>
      </c>
      <c r="DK19" s="264">
        <f>DJ19*(1+DK9)</f>
        <v/>
      </c>
      <c r="DL19" s="264">
        <f>DK19*(1+DL9)</f>
        <v/>
      </c>
      <c r="DM19" s="264">
        <f>DL19*(1+DM9)</f>
        <v/>
      </c>
      <c r="DN19" s="264">
        <f>DM19*(1+DN9)</f>
        <v/>
      </c>
      <c r="DO19" s="264">
        <f>DN19*(1+DO9)</f>
        <v/>
      </c>
      <c r="DP19" s="264">
        <f>DO19*(1+DP9)</f>
        <v/>
      </c>
      <c r="DQ19" s="264">
        <f>DP19*(1+DQ9)</f>
        <v/>
      </c>
      <c r="DR19" s="264">
        <f>DQ19*(1+DR9)</f>
        <v/>
      </c>
      <c r="DS19" s="264">
        <f>DR19*(1+DS9)</f>
        <v/>
      </c>
      <c r="DT19" s="264">
        <f>DS19*(1+DT9)</f>
        <v/>
      </c>
      <c r="DU19" s="264">
        <f>DT19*(1+DU9)</f>
        <v/>
      </c>
      <c r="DV19" s="264">
        <f>DU19*(1+DV9)</f>
        <v/>
      </c>
      <c r="DW19" s="264">
        <f>DV19*(1+DW9)</f>
        <v/>
      </c>
      <c r="DX19" s="264">
        <f>DW19*(1+DX9)</f>
        <v/>
      </c>
      <c r="DY19" s="264">
        <f>DX19*(1+DY9)</f>
        <v/>
      </c>
      <c r="DZ19" s="264">
        <f>DY19*(1+DZ9)</f>
        <v/>
      </c>
      <c r="EA19" s="264">
        <f>DZ19*(1+EA9)</f>
        <v/>
      </c>
      <c r="EB19" s="264">
        <f>EA19*(1+EB9)</f>
        <v/>
      </c>
      <c r="EC19" s="264">
        <f>EB19*(1+EC9)</f>
        <v/>
      </c>
      <c r="ED19" s="264">
        <f>EC19*(1+ED9)</f>
        <v/>
      </c>
      <c r="EE19" s="264">
        <f>ED19*(1+EE9)</f>
        <v/>
      </c>
      <c r="EF19" s="264">
        <f>EE19*(1+EF9)</f>
        <v/>
      </c>
      <c r="EG19" s="264">
        <f>EF19*(1+EG9)</f>
        <v/>
      </c>
      <c r="EH19" s="264">
        <f>EG19*(1+EH9)</f>
        <v/>
      </c>
      <c r="EI19" s="264">
        <f>EH19*(1+EI9)</f>
        <v/>
      </c>
      <c r="EJ19" s="264">
        <f>EI19*(1+EJ9)</f>
        <v/>
      </c>
      <c r="EK19" s="264">
        <f>EJ19*(1+EK9)</f>
        <v/>
      </c>
      <c r="EL19" s="264">
        <f>EK19*(1+EL9)</f>
        <v/>
      </c>
      <c r="EM19" s="264">
        <f>EL19*(1+EM9)</f>
        <v/>
      </c>
      <c r="EN19" s="264">
        <f>EM19*(1+EN9)</f>
        <v/>
      </c>
      <c r="EO19" s="264">
        <f>EN19*(1+EO9)</f>
        <v/>
      </c>
      <c r="EP19" s="264">
        <f>EO19*(1+EP9)</f>
        <v/>
      </c>
      <c r="EQ19" s="264">
        <f>EP19*(1+EQ9)</f>
        <v/>
      </c>
      <c r="ER19" s="264">
        <f>EQ19*(1+ER9)</f>
        <v/>
      </c>
      <c r="ES19" s="264">
        <f>ER19*(1+ES9)</f>
        <v/>
      </c>
      <c r="ET19" s="264">
        <f>ES19*(1+ET9)</f>
        <v/>
      </c>
      <c r="EU19" s="264">
        <f>ET19*(1+EU9)</f>
        <v/>
      </c>
      <c r="EV19" s="264">
        <f>EU19*(1+EV9)</f>
        <v/>
      </c>
      <c r="EW19" s="264">
        <f>EV19*(1+EW9)</f>
        <v/>
      </c>
      <c r="EX19" s="264">
        <f>EW19*(1+EX9)</f>
        <v/>
      </c>
    </row>
    <row r="20">
      <c r="C20" s="16" t="n"/>
      <c r="D20" s="265" t="n"/>
      <c r="E20" s="185" t="n"/>
      <c r="F20" s="266" t="n"/>
      <c r="G20" s="266" t="n"/>
      <c r="H20" s="266" t="n"/>
      <c r="W20" s="25" t="n"/>
      <c r="X20" s="25" t="n"/>
      <c r="Y20" s="25" t="n"/>
      <c r="Z20" s="25" t="n"/>
      <c r="AA20" s="25" t="n"/>
    </row>
    <row r="21">
      <c r="C21" s="18" t="inlineStr">
        <is>
          <t>Valuation Analysis</t>
        </is>
      </c>
      <c r="D21" s="18" t="n"/>
      <c r="E21" s="18" t="n"/>
      <c r="F21" s="18" t="n"/>
      <c r="G21" s="18" t="n"/>
      <c r="H21" s="18" t="n"/>
      <c r="J21" s="54" t="inlineStr">
        <is>
          <t>Gross Potential Rent</t>
        </is>
      </c>
    </row>
    <row r="22">
      <c r="C22" s="22" t="inlineStr">
        <is>
          <t>Entry Valuation</t>
        </is>
      </c>
      <c r="D22" s="46" t="inlineStr">
        <is>
          <t>Asking/Listing Price</t>
        </is>
      </c>
      <c r="E22" s="46" t="inlineStr">
        <is>
          <t>Aequitas Valuation</t>
        </is>
      </c>
      <c r="F22" s="24" t="inlineStr">
        <is>
          <t>Residual Analysis</t>
        </is>
      </c>
      <c r="G22" s="46" t="inlineStr">
        <is>
          <t>Refinance</t>
        </is>
      </c>
      <c r="H22" s="46" t="inlineStr">
        <is>
          <t>Exit</t>
        </is>
      </c>
      <c r="J22" s="25" t="inlineStr">
        <is>
          <t>Gross Potential Revenue</t>
        </is>
      </c>
      <c r="K22" s="25" t="n"/>
      <c r="L22" s="56" t="n"/>
      <c r="M22" s="25">
        <f>SUMIF($V$4:$EX$4,"&lt;="&amp;$H$19,$V22:$EX22)</f>
        <v/>
      </c>
      <c r="N22" s="56" t="n"/>
      <c r="O22" s="25">
        <f>SUMIF($V$5:$EX$5,O$7,$V22:$EX22)</f>
        <v/>
      </c>
      <c r="P22" s="25">
        <f>SUMIF($V$5:$EX$5,P$7,$V22:$EX22)</f>
        <v/>
      </c>
      <c r="Q22" s="25">
        <f>SUMIF($V$5:$EX$5,Q$7,$V22:$EX22)</f>
        <v/>
      </c>
      <c r="R22" s="25">
        <f>SUMIF($V$5:$EX$5,R$7,$V22:$EX22)</f>
        <v/>
      </c>
      <c r="S22" s="25">
        <f>SUMIF($V$5:$EX$5,S$7,$V22:$EX22)</f>
        <v/>
      </c>
      <c r="T22" s="25">
        <f>SUMIF($V$5:$EX$5,T$7,$V22:$EX22)</f>
        <v/>
      </c>
      <c r="U22" s="56" t="n"/>
      <c r="V22" s="25" t="n">
        <v>0</v>
      </c>
      <c r="W22" s="25">
        <f>W19*$D$64</f>
        <v/>
      </c>
      <c r="X22" s="25">
        <f>X19*$D$64</f>
        <v/>
      </c>
      <c r="Y22" s="25">
        <f>Y19*$D$64</f>
        <v/>
      </c>
      <c r="Z22" s="25">
        <f>Z19*$D$64</f>
        <v/>
      </c>
      <c r="AA22" s="25">
        <f>AA19*$D$64</f>
        <v/>
      </c>
      <c r="AB22" s="25">
        <f>AB19*$D$64</f>
        <v/>
      </c>
      <c r="AC22" s="25">
        <f>AC19*$D$64</f>
        <v/>
      </c>
      <c r="AD22" s="25">
        <f>AD19*$D$64</f>
        <v/>
      </c>
      <c r="AE22" s="25">
        <f>AE19*$D$64</f>
        <v/>
      </c>
      <c r="AF22" s="25">
        <f>AF19*$D$64</f>
        <v/>
      </c>
      <c r="AG22" s="25">
        <f>AG19*$D$64</f>
        <v/>
      </c>
      <c r="AH22" s="25">
        <f>AH19*$D$64</f>
        <v/>
      </c>
      <c r="AI22" s="25">
        <f>AI19*$D$64</f>
        <v/>
      </c>
      <c r="AJ22" s="25">
        <f>AJ19*$D$64</f>
        <v/>
      </c>
      <c r="AK22" s="25">
        <f>AK19*$D$64</f>
        <v/>
      </c>
      <c r="AL22" s="25">
        <f>AL19*$D$64</f>
        <v/>
      </c>
      <c r="AM22" s="25">
        <f>AM19*$D$64</f>
        <v/>
      </c>
      <c r="AN22" s="25">
        <f>AN19*$D$64</f>
        <v/>
      </c>
      <c r="AO22" s="25">
        <f>AO19*$D$64</f>
        <v/>
      </c>
      <c r="AP22" s="25">
        <f>AP19*$D$64</f>
        <v/>
      </c>
      <c r="AQ22" s="25">
        <f>AQ19*$D$64</f>
        <v/>
      </c>
      <c r="AR22" s="25">
        <f>AR19*$D$64</f>
        <v/>
      </c>
      <c r="AS22" s="25">
        <f>AS19*$D$64</f>
        <v/>
      </c>
      <c r="AT22" s="25">
        <f>AT19*$D$64</f>
        <v/>
      </c>
      <c r="AU22" s="25">
        <f>AU19*$D$64</f>
        <v/>
      </c>
      <c r="AV22" s="25">
        <f>AV19*$D$64</f>
        <v/>
      </c>
      <c r="AW22" s="25">
        <f>AW19*$D$64</f>
        <v/>
      </c>
      <c r="AX22" s="25">
        <f>AX19*$D$64</f>
        <v/>
      </c>
      <c r="AY22" s="25">
        <f>AY19*$D$64</f>
        <v/>
      </c>
      <c r="AZ22" s="25">
        <f>AZ19*$D$64</f>
        <v/>
      </c>
      <c r="BA22" s="25">
        <f>BA19*$D$64</f>
        <v/>
      </c>
      <c r="BB22" s="25">
        <f>BB19*$D$64</f>
        <v/>
      </c>
      <c r="BC22" s="25">
        <f>BC19*$D$64</f>
        <v/>
      </c>
      <c r="BD22" s="25">
        <f>BD19*$D$64</f>
        <v/>
      </c>
      <c r="BE22" s="25">
        <f>BE19*$D$64</f>
        <v/>
      </c>
      <c r="BF22" s="25">
        <f>BF19*$D$64</f>
        <v/>
      </c>
      <c r="BG22" s="25">
        <f>BG19*$D$64</f>
        <v/>
      </c>
      <c r="BH22" s="25">
        <f>BH19*$D$64</f>
        <v/>
      </c>
      <c r="BI22" s="25">
        <f>BI19*$D$64</f>
        <v/>
      </c>
      <c r="BJ22" s="25">
        <f>BJ19*$D$64</f>
        <v/>
      </c>
      <c r="BK22" s="25">
        <f>BK19*$D$64</f>
        <v/>
      </c>
      <c r="BL22" s="25">
        <f>BL19*$D$64</f>
        <v/>
      </c>
      <c r="BM22" s="25">
        <f>BM19*$D$64</f>
        <v/>
      </c>
      <c r="BN22" s="25">
        <f>BN19*$D$64</f>
        <v/>
      </c>
      <c r="BO22" s="25">
        <f>BO19*$D$64</f>
        <v/>
      </c>
      <c r="BP22" s="25">
        <f>BP19*$D$64</f>
        <v/>
      </c>
      <c r="BQ22" s="25">
        <f>BQ19*$D$64</f>
        <v/>
      </c>
      <c r="BR22" s="25">
        <f>BR19*$D$64</f>
        <v/>
      </c>
      <c r="BS22" s="25">
        <f>BS19*$D$64</f>
        <v/>
      </c>
      <c r="BT22" s="25">
        <f>BT19*$D$64</f>
        <v/>
      </c>
      <c r="BU22" s="25">
        <f>BU19*$D$64</f>
        <v/>
      </c>
      <c r="BV22" s="25">
        <f>BV19*$D$64</f>
        <v/>
      </c>
      <c r="BW22" s="25">
        <f>BW19*$D$64</f>
        <v/>
      </c>
      <c r="BX22" s="25">
        <f>BX19*$D$64</f>
        <v/>
      </c>
      <c r="BY22" s="25">
        <f>BY19*$D$64</f>
        <v/>
      </c>
      <c r="BZ22" s="25">
        <f>BZ19*$D$64</f>
        <v/>
      </c>
      <c r="CA22" s="25">
        <f>CA19*$D$64</f>
        <v/>
      </c>
      <c r="CB22" s="25">
        <f>CB19*$D$64</f>
        <v/>
      </c>
      <c r="CC22" s="25">
        <f>CC19*$D$64</f>
        <v/>
      </c>
      <c r="CD22" s="25">
        <f>CD19*$D$64</f>
        <v/>
      </c>
      <c r="CE22" s="25">
        <f>CE19*$D$64</f>
        <v/>
      </c>
      <c r="CF22" s="25">
        <f>CF19*$D$64</f>
        <v/>
      </c>
      <c r="CG22" s="25">
        <f>CG19*$D$64</f>
        <v/>
      </c>
      <c r="CH22" s="25">
        <f>CH19*$D$64</f>
        <v/>
      </c>
      <c r="CI22" s="25">
        <f>CI19*$D$64</f>
        <v/>
      </c>
      <c r="CJ22" s="25">
        <f>CJ19*$D$64</f>
        <v/>
      </c>
      <c r="CK22" s="25">
        <f>CK19*$D$64</f>
        <v/>
      </c>
      <c r="CL22" s="25">
        <f>CL19*$D$64</f>
        <v/>
      </c>
      <c r="CM22" s="25">
        <f>CM19*$D$64</f>
        <v/>
      </c>
      <c r="CN22" s="25">
        <f>CN19*$D$64</f>
        <v/>
      </c>
      <c r="CO22" s="25">
        <f>CO19*$D$64</f>
        <v/>
      </c>
      <c r="CP22" s="25">
        <f>CP19*$D$64</f>
        <v/>
      </c>
      <c r="CQ22" s="25">
        <f>CQ19*$D$64</f>
        <v/>
      </c>
      <c r="CR22" s="25">
        <f>CR19*$D$64</f>
        <v/>
      </c>
      <c r="CS22" s="25">
        <f>CS19*$D$64</f>
        <v/>
      </c>
      <c r="CT22" s="25">
        <f>CT19*$D$64</f>
        <v/>
      </c>
      <c r="CU22" s="25">
        <f>CU19*$D$64</f>
        <v/>
      </c>
      <c r="CV22" s="25">
        <f>CV19*$D$64</f>
        <v/>
      </c>
      <c r="CW22" s="25">
        <f>CW19*$D$64</f>
        <v/>
      </c>
      <c r="CX22" s="25">
        <f>CX19*$D$64</f>
        <v/>
      </c>
      <c r="CY22" s="25">
        <f>CY19*$D$64</f>
        <v/>
      </c>
      <c r="CZ22" s="25">
        <f>CZ19*$D$64</f>
        <v/>
      </c>
      <c r="DA22" s="25">
        <f>DA19*$D$64</f>
        <v/>
      </c>
      <c r="DB22" s="25">
        <f>DB19*$D$64</f>
        <v/>
      </c>
      <c r="DC22" s="25">
        <f>DC19*$D$64</f>
        <v/>
      </c>
      <c r="DD22" s="25">
        <f>DD19*$D$64</f>
        <v/>
      </c>
      <c r="DE22" s="25">
        <f>DE19*$D$64</f>
        <v/>
      </c>
      <c r="DF22" s="25">
        <f>DF19*$D$64</f>
        <v/>
      </c>
      <c r="DG22" s="25">
        <f>DG19*$D$64</f>
        <v/>
      </c>
      <c r="DH22" s="25">
        <f>DH19*$D$64</f>
        <v/>
      </c>
      <c r="DI22" s="25">
        <f>DI19*$D$64</f>
        <v/>
      </c>
      <c r="DJ22" s="25">
        <f>DJ19*$D$64</f>
        <v/>
      </c>
      <c r="DK22" s="25">
        <f>DK19*$D$64</f>
        <v/>
      </c>
      <c r="DL22" s="25">
        <f>DL19*$D$64</f>
        <v/>
      </c>
      <c r="DM22" s="25">
        <f>DM19*$D$64</f>
        <v/>
      </c>
      <c r="DN22" s="25">
        <f>DN19*$D$64</f>
        <v/>
      </c>
      <c r="DO22" s="25">
        <f>DO19*$D$64</f>
        <v/>
      </c>
      <c r="DP22" s="25">
        <f>DP19*$D$64</f>
        <v/>
      </c>
      <c r="DQ22" s="25">
        <f>DQ19*$D$64</f>
        <v/>
      </c>
      <c r="DR22" s="25">
        <f>DR19*$D$64</f>
        <v/>
      </c>
      <c r="DS22" s="25">
        <f>DS19*$D$64</f>
        <v/>
      </c>
      <c r="DT22" s="25">
        <f>DT19*$D$64</f>
        <v/>
      </c>
      <c r="DU22" s="25">
        <f>DU19*$D$64</f>
        <v/>
      </c>
      <c r="DV22" s="25">
        <f>DV19*$D$64</f>
        <v/>
      </c>
      <c r="DW22" s="25">
        <f>DW19*$D$64</f>
        <v/>
      </c>
      <c r="DX22" s="25">
        <f>DX19*$D$64</f>
        <v/>
      </c>
      <c r="DY22" s="25">
        <f>DY19*$D$64</f>
        <v/>
      </c>
      <c r="DZ22" s="25">
        <f>DZ19*$D$64</f>
        <v/>
      </c>
      <c r="EA22" s="25">
        <f>EA19*$D$64</f>
        <v/>
      </c>
      <c r="EB22" s="25">
        <f>EB19*$D$64</f>
        <v/>
      </c>
      <c r="EC22" s="25">
        <f>EC19*$D$64</f>
        <v/>
      </c>
      <c r="ED22" s="25">
        <f>ED19*$D$64</f>
        <v/>
      </c>
      <c r="EE22" s="25">
        <f>EE19*$D$64</f>
        <v/>
      </c>
      <c r="EF22" s="25">
        <f>EF19*$D$64</f>
        <v/>
      </c>
      <c r="EG22" s="25">
        <f>EG19*$D$64</f>
        <v/>
      </c>
      <c r="EH22" s="25">
        <f>EH19*$D$64</f>
        <v/>
      </c>
      <c r="EI22" s="25">
        <f>EI19*$D$64</f>
        <v/>
      </c>
      <c r="EJ22" s="25">
        <f>EJ19*$D$64</f>
        <v/>
      </c>
      <c r="EK22" s="25">
        <f>EK19*$D$64</f>
        <v/>
      </c>
      <c r="EL22" s="25">
        <f>EL19*$D$64</f>
        <v/>
      </c>
      <c r="EM22" s="25">
        <f>EM19*$D$64</f>
        <v/>
      </c>
      <c r="EN22" s="25">
        <f>EN19*$D$64</f>
        <v/>
      </c>
      <c r="EO22" s="25">
        <f>EO19*$D$64</f>
        <v/>
      </c>
      <c r="EP22" s="25">
        <f>EP19*$D$64</f>
        <v/>
      </c>
      <c r="EQ22" s="25">
        <f>EQ19*$D$64</f>
        <v/>
      </c>
      <c r="ER22" s="25">
        <f>ER19*$D$64</f>
        <v/>
      </c>
      <c r="ES22" s="25">
        <f>ES19*$D$64</f>
        <v/>
      </c>
      <c r="ET22" s="25">
        <f>ET19*$D$64</f>
        <v/>
      </c>
      <c r="EU22" s="25">
        <f>EU19*$D$64</f>
        <v/>
      </c>
      <c r="EV22" s="25">
        <f>EV19*$D$64</f>
        <v/>
      </c>
      <c r="EW22" s="25">
        <f>EW19*$D$64</f>
        <v/>
      </c>
      <c r="EX22" s="25">
        <f>EX19*$D$64</f>
        <v/>
      </c>
    </row>
    <row r="23">
      <c r="C23" s="12" t="inlineStr">
        <is>
          <t>NOI (TTM)</t>
        </is>
      </c>
      <c r="D23" s="267" t="n"/>
      <c r="E23" s="264">
        <f>D23</f>
        <v/>
      </c>
      <c r="F23" s="48" t="inlineStr">
        <is>
          <t>NOI (TTM)</t>
        </is>
      </c>
      <c r="G23" s="268">
        <f>INDEX($V$71:$EX$71,MATCH(D18,$V$4:$EX$4,0))</f>
        <v/>
      </c>
      <c r="H23" s="268">
        <f>INDEX($V$71:$EX$71,MATCH(H19,$V$4:$EX$4,0))</f>
        <v/>
      </c>
      <c r="I23" s="9" t="n"/>
      <c r="J23" s="25" t="inlineStr">
        <is>
          <t>Loss-to-Lease</t>
        </is>
      </c>
      <c r="K23" s="25" t="n"/>
      <c r="L23" s="56" t="n"/>
      <c r="M23" s="25">
        <f>SUMIF($V$4:$EX$4,"&lt;="&amp;$H$19,$V23:$EX23)</f>
        <v/>
      </c>
      <c r="N23" s="56" t="n"/>
      <c r="O23" s="25">
        <f>SUMIF($V$5:$EX$5,O$7,$V23:$EX23)</f>
        <v/>
      </c>
      <c r="P23" s="25">
        <f>SUMIF($V$5:$EX$5,P$7,$V23:$EX23)</f>
        <v/>
      </c>
      <c r="Q23" s="25">
        <f>SUMIF($V$5:$EX$5,Q$7,$V23:$EX23)</f>
        <v/>
      </c>
      <c r="R23" s="25">
        <f>SUMIF($V$5:$EX$5,R$7,$V23:$EX23)</f>
        <v/>
      </c>
      <c r="S23" s="25">
        <f>SUMIF($V$5:$EX$5,S$7,$V23:$EX23)</f>
        <v/>
      </c>
      <c r="T23" s="25">
        <f>SUMIF($V$5:$EX$5,T$7,$V23:$EX23)</f>
        <v/>
      </c>
      <c r="U23" s="56" t="n"/>
      <c r="V23" s="57" t="n">
        <v>0</v>
      </c>
      <c r="W23" s="57">
        <f>W22*-IFERROR(INDEX($D$73:$H$73,MATCH(YEAR(W6),$D$72:$H$72,0)),$H$73)</f>
        <v/>
      </c>
      <c r="X23" s="57">
        <f>X22*-IFERROR(INDEX($D$73:$H$73,MATCH(YEAR(X6),$D$72:$H$72,0)),$H$73)</f>
        <v/>
      </c>
      <c r="Y23" s="57">
        <f>Y22*-IFERROR(INDEX($D$73:$H$73,MATCH(YEAR(Y6),$D$72:$H$72,0)),$H$73)</f>
        <v/>
      </c>
      <c r="Z23" s="57">
        <f>Z22*-IFERROR(INDEX($D$73:$H$73,MATCH(YEAR(Z6),$D$72:$H$72,0)),$H$73)</f>
        <v/>
      </c>
      <c r="AA23" s="57">
        <f>AA22*-IFERROR(INDEX($D$73:$H$73,MATCH(YEAR(AA6),$D$72:$H$72,0)),$H$73)</f>
        <v/>
      </c>
      <c r="AB23" s="57">
        <f>AB22*-IFERROR(INDEX($D$73:$H$73,MATCH(YEAR(AB6),$D$72:$H$72,0)),$H$73)</f>
        <v/>
      </c>
      <c r="AC23" s="57">
        <f>AC22*-IFERROR(INDEX($D$73:$H$73,MATCH(YEAR(AC6),$D$72:$H$72,0)),$H$73)</f>
        <v/>
      </c>
      <c r="AD23" s="57">
        <f>AD22*-IFERROR(INDEX($D$73:$H$73,MATCH(YEAR(AD6),$D$72:$H$72,0)),$H$73)</f>
        <v/>
      </c>
      <c r="AE23" s="57">
        <f>AE22*-IFERROR(INDEX($D$73:$H$73,MATCH(YEAR(AE6),$D$72:$H$72,0)),$H$73)</f>
        <v/>
      </c>
      <c r="AF23" s="57">
        <f>AF22*-IFERROR(INDEX($D$73:$H$73,MATCH(YEAR(AF6),$D$72:$H$72,0)),$H$73)</f>
        <v/>
      </c>
      <c r="AG23" s="57">
        <f>AG22*-IFERROR(INDEX($D$73:$H$73,MATCH(YEAR(AG6),$D$72:$H$72,0)),$H$73)</f>
        <v/>
      </c>
      <c r="AH23" s="57">
        <f>AH22*-IFERROR(INDEX($D$73:$H$73,MATCH(YEAR(AH6),$D$72:$H$72,0)),$H$73)</f>
        <v/>
      </c>
      <c r="AI23" s="57">
        <f>AI22*-IFERROR(INDEX($D$73:$H$73,MATCH(YEAR(AI6),$D$72:$H$72,0)),$H$73)</f>
        <v/>
      </c>
      <c r="AJ23" s="57">
        <f>AJ22*-IFERROR(INDEX($D$73:$H$73,MATCH(YEAR(AJ6),$D$72:$H$72,0)),$H$73)</f>
        <v/>
      </c>
      <c r="AK23" s="57">
        <f>AK22*-IFERROR(INDEX($D$73:$H$73,MATCH(YEAR(AK6),$D$72:$H$72,0)),$H$73)</f>
        <v/>
      </c>
      <c r="AL23" s="57">
        <f>AL22*-IFERROR(INDEX($D$73:$H$73,MATCH(YEAR(AL6),$D$72:$H$72,0)),$H$73)</f>
        <v/>
      </c>
      <c r="AM23" s="57">
        <f>AM22*-IFERROR(INDEX($D$73:$H$73,MATCH(YEAR(AM6),$D$72:$H$72,0)),$H$73)</f>
        <v/>
      </c>
      <c r="AN23" s="57">
        <f>AN22*-IFERROR(INDEX($D$73:$H$73,MATCH(YEAR(AN6),$D$72:$H$72,0)),$H$73)</f>
        <v/>
      </c>
      <c r="AO23" s="57">
        <f>AO22*-IFERROR(INDEX($D$73:$H$73,MATCH(YEAR(AO6),$D$72:$H$72,0)),$H$73)</f>
        <v/>
      </c>
      <c r="AP23" s="57">
        <f>AP22*-IFERROR(INDEX($D$73:$H$73,MATCH(YEAR(AP6),$D$72:$H$72,0)),$H$73)</f>
        <v/>
      </c>
      <c r="AQ23" s="57">
        <f>AQ22*-IFERROR(INDEX($D$73:$H$73,MATCH(YEAR(AQ6),$D$72:$H$72,0)),$H$73)</f>
        <v/>
      </c>
      <c r="AR23" s="57">
        <f>AR22*-IFERROR(INDEX($D$73:$H$73,MATCH(YEAR(AR6),$D$72:$H$72,0)),$H$73)</f>
        <v/>
      </c>
      <c r="AS23" s="57">
        <f>AS22*-IFERROR(INDEX($D$73:$H$73,MATCH(YEAR(AS6),$D$72:$H$72,0)),$H$73)</f>
        <v/>
      </c>
      <c r="AT23" s="57">
        <f>AT22*-IFERROR(INDEX($D$73:$H$73,MATCH(YEAR(AT6),$D$72:$H$72,0)),$H$73)</f>
        <v/>
      </c>
      <c r="AU23" s="57">
        <f>AU22*-IFERROR(INDEX($D$73:$H$73,MATCH(YEAR(AU6),$D$72:$H$72,0)),$H$73)</f>
        <v/>
      </c>
      <c r="AV23" s="57">
        <f>AV22*-IFERROR(INDEX($D$73:$H$73,MATCH(YEAR(AV6),$D$72:$H$72,0)),$H$73)</f>
        <v/>
      </c>
      <c r="AW23" s="57">
        <f>AW22*-IFERROR(INDEX($D$73:$H$73,MATCH(YEAR(AW6),$D$72:$H$72,0)),$H$73)</f>
        <v/>
      </c>
      <c r="AX23" s="57">
        <f>AX22*-IFERROR(INDEX($D$73:$H$73,MATCH(YEAR(AX6),$D$72:$H$72,0)),$H$73)</f>
        <v/>
      </c>
      <c r="AY23" s="57">
        <f>AY22*-IFERROR(INDEX($D$73:$H$73,MATCH(YEAR(AY6),$D$72:$H$72,0)),$H$73)</f>
        <v/>
      </c>
      <c r="AZ23" s="57">
        <f>AZ22*-IFERROR(INDEX($D$73:$H$73,MATCH(YEAR(AZ6),$D$72:$H$72,0)),$H$73)</f>
        <v/>
      </c>
      <c r="BA23" s="57">
        <f>BA22*-IFERROR(INDEX($D$73:$H$73,MATCH(YEAR(BA6),$D$72:$H$72,0)),$H$73)</f>
        <v/>
      </c>
      <c r="BB23" s="57">
        <f>BB22*-IFERROR(INDEX($D$73:$H$73,MATCH(YEAR(BB6),$D$72:$H$72,0)),$H$73)</f>
        <v/>
      </c>
      <c r="BC23" s="57">
        <f>BC22*-IFERROR(INDEX($D$73:$H$73,MATCH(YEAR(BC6),$D$72:$H$72,0)),$H$73)</f>
        <v/>
      </c>
      <c r="BD23" s="57">
        <f>BD22*-IFERROR(INDEX($D$73:$H$73,MATCH(YEAR(BD6),$D$72:$H$72,0)),$H$73)</f>
        <v/>
      </c>
      <c r="BE23" s="57">
        <f>BE22*-IFERROR(INDEX($D$73:$H$73,MATCH(YEAR(BE6),$D$72:$H$72,0)),$H$73)</f>
        <v/>
      </c>
      <c r="BF23" s="57">
        <f>BF22*-IFERROR(INDEX($D$73:$H$73,MATCH(YEAR(BF6),$D$72:$H$72,0)),$H$73)</f>
        <v/>
      </c>
      <c r="BG23" s="57">
        <f>BG22*-IFERROR(INDEX($D$73:$H$73,MATCH(YEAR(BG6),$D$72:$H$72,0)),$H$73)</f>
        <v/>
      </c>
      <c r="BH23" s="57">
        <f>BH22*-IFERROR(INDEX($D$73:$H$73,MATCH(YEAR(BH6),$D$72:$H$72,0)),$H$73)</f>
        <v/>
      </c>
      <c r="BI23" s="57">
        <f>BI22*-IFERROR(INDEX($D$73:$H$73,MATCH(YEAR(BI6),$D$72:$H$72,0)),$H$73)</f>
        <v/>
      </c>
      <c r="BJ23" s="57">
        <f>BJ22*-IFERROR(INDEX($D$73:$H$73,MATCH(YEAR(BJ6),$D$72:$H$72,0)),$H$73)</f>
        <v/>
      </c>
      <c r="BK23" s="57">
        <f>BK22*-IFERROR(INDEX($D$73:$H$73,MATCH(YEAR(BK6),$D$72:$H$72,0)),$H$73)</f>
        <v/>
      </c>
      <c r="BL23" s="57">
        <f>BL22*-IFERROR(INDEX($D$73:$H$73,MATCH(YEAR(BL6),$D$72:$H$72,0)),$H$73)</f>
        <v/>
      </c>
      <c r="BM23" s="57">
        <f>BM22*-IFERROR(INDEX($D$73:$H$73,MATCH(YEAR(BM6),$D$72:$H$72,0)),$H$73)</f>
        <v/>
      </c>
      <c r="BN23" s="57">
        <f>BN22*-IFERROR(INDEX($D$73:$H$73,MATCH(YEAR(BN6),$D$72:$H$72,0)),$H$73)</f>
        <v/>
      </c>
      <c r="BO23" s="57">
        <f>BO22*-IFERROR(INDEX($D$73:$H$73,MATCH(YEAR(BO6),$D$72:$H$72,0)),$H$73)</f>
        <v/>
      </c>
      <c r="BP23" s="57">
        <f>BP22*-IFERROR(INDEX($D$73:$H$73,MATCH(YEAR(BP6),$D$72:$H$72,0)),$H$73)</f>
        <v/>
      </c>
      <c r="BQ23" s="57">
        <f>BQ22*-IFERROR(INDEX($D$73:$H$73,MATCH(YEAR(BQ6),$D$72:$H$72,0)),$H$73)</f>
        <v/>
      </c>
      <c r="BR23" s="57">
        <f>BR22*-IFERROR(INDEX($D$73:$H$73,MATCH(YEAR(BR6),$D$72:$H$72,0)),$H$73)</f>
        <v/>
      </c>
      <c r="BS23" s="57">
        <f>BS22*-IFERROR(INDEX($D$73:$H$73,MATCH(YEAR(BS6),$D$72:$H$72,0)),$H$73)</f>
        <v/>
      </c>
      <c r="BT23" s="57">
        <f>BT22*-IFERROR(INDEX($D$73:$H$73,MATCH(YEAR(BT6),$D$72:$H$72,0)),$H$73)</f>
        <v/>
      </c>
      <c r="BU23" s="57">
        <f>BU22*-IFERROR(INDEX($D$73:$H$73,MATCH(YEAR(BU6),$D$72:$H$72,0)),$H$73)</f>
        <v/>
      </c>
      <c r="BV23" s="57">
        <f>BV22*-IFERROR(INDEX($D$73:$H$73,MATCH(YEAR(BV6),$D$72:$H$72,0)),$H$73)</f>
        <v/>
      </c>
      <c r="BW23" s="57">
        <f>BW22*-IFERROR(INDEX($D$73:$H$73,MATCH(YEAR(BW6),$D$72:$H$72,0)),$H$73)</f>
        <v/>
      </c>
      <c r="BX23" s="57">
        <f>BX22*-IFERROR(INDEX($D$73:$H$73,MATCH(YEAR(BX6),$D$72:$H$72,0)),$H$73)</f>
        <v/>
      </c>
      <c r="BY23" s="57">
        <f>BY22*-IFERROR(INDEX($D$73:$H$73,MATCH(YEAR(BY6),$D$72:$H$72,0)),$H$73)</f>
        <v/>
      </c>
      <c r="BZ23" s="57">
        <f>BZ22*-IFERROR(INDEX($D$73:$H$73,MATCH(YEAR(BZ6),$D$72:$H$72,0)),$H$73)</f>
        <v/>
      </c>
      <c r="CA23" s="57">
        <f>CA22*-IFERROR(INDEX($D$73:$H$73,MATCH(YEAR(CA6),$D$72:$H$72,0)),$H$73)</f>
        <v/>
      </c>
      <c r="CB23" s="57">
        <f>CB22*-IFERROR(INDEX($D$73:$H$73,MATCH(YEAR(CB6),$D$72:$H$72,0)),$H$73)</f>
        <v/>
      </c>
      <c r="CC23" s="57">
        <f>CC22*-IFERROR(INDEX($D$73:$H$73,MATCH(YEAR(CC6),$D$72:$H$72,0)),$H$73)</f>
        <v/>
      </c>
      <c r="CD23" s="57">
        <f>CD22*-IFERROR(INDEX($D$73:$H$73,MATCH(YEAR(CD6),$D$72:$H$72,0)),$H$73)</f>
        <v/>
      </c>
      <c r="CE23" s="57">
        <f>CE22*-IFERROR(INDEX($D$73:$H$73,MATCH(YEAR(CE6),$D$72:$H$72,0)),$H$73)</f>
        <v/>
      </c>
      <c r="CF23" s="57">
        <f>CF22*-IFERROR(INDEX($D$73:$H$73,MATCH(YEAR(CF6),$D$72:$H$72,0)),$H$73)</f>
        <v/>
      </c>
      <c r="CG23" s="57">
        <f>CG22*-IFERROR(INDEX($D$73:$H$73,MATCH(YEAR(CG6),$D$72:$H$72,0)),$H$73)</f>
        <v/>
      </c>
      <c r="CH23" s="57">
        <f>CH22*-IFERROR(INDEX($D$73:$H$73,MATCH(YEAR(CH6),$D$72:$H$72,0)),$H$73)</f>
        <v/>
      </c>
      <c r="CI23" s="57">
        <f>CI22*-IFERROR(INDEX($D$73:$H$73,MATCH(YEAR(CI6),$D$72:$H$72,0)),$H$73)</f>
        <v/>
      </c>
      <c r="CJ23" s="57">
        <f>CJ22*-IFERROR(INDEX($D$73:$H$73,MATCH(YEAR(CJ6),$D$72:$H$72,0)),$H$73)</f>
        <v/>
      </c>
      <c r="CK23" s="57">
        <f>CK22*-IFERROR(INDEX($D$73:$H$73,MATCH(YEAR(CK6),$D$72:$H$72,0)),$H$73)</f>
        <v/>
      </c>
      <c r="CL23" s="57">
        <f>CL22*-IFERROR(INDEX($D$73:$H$73,MATCH(YEAR(CL6),$D$72:$H$72,0)),$H$73)</f>
        <v/>
      </c>
      <c r="CM23" s="57">
        <f>CM22*-IFERROR(INDEX($D$73:$H$73,MATCH(YEAR(CM6),$D$72:$H$72,0)),$H$73)</f>
        <v/>
      </c>
      <c r="CN23" s="57">
        <f>CN22*-IFERROR(INDEX($D$73:$H$73,MATCH(YEAR(CN6),$D$72:$H$72,0)),$H$73)</f>
        <v/>
      </c>
      <c r="CO23" s="57">
        <f>CO22*-IFERROR(INDEX($D$73:$H$73,MATCH(YEAR(CO6),$D$72:$H$72,0)),$H$73)</f>
        <v/>
      </c>
      <c r="CP23" s="57">
        <f>CP22*-IFERROR(INDEX($D$73:$H$73,MATCH(YEAR(CP6),$D$72:$H$72,0)),$H$73)</f>
        <v/>
      </c>
      <c r="CQ23" s="57">
        <f>CQ22*-IFERROR(INDEX($D$73:$H$73,MATCH(YEAR(CQ6),$D$72:$H$72,0)),$H$73)</f>
        <v/>
      </c>
      <c r="CR23" s="57">
        <f>CR22*-IFERROR(INDEX($D$73:$H$73,MATCH(YEAR(CR6),$D$72:$H$72,0)),$H$73)</f>
        <v/>
      </c>
      <c r="CS23" s="57">
        <f>CS22*-IFERROR(INDEX($D$73:$H$73,MATCH(YEAR(CS6),$D$72:$H$72,0)),$H$73)</f>
        <v/>
      </c>
      <c r="CT23" s="57">
        <f>CT22*-IFERROR(INDEX($D$73:$H$73,MATCH(YEAR(CT6),$D$72:$H$72,0)),$H$73)</f>
        <v/>
      </c>
      <c r="CU23" s="57">
        <f>CU22*-IFERROR(INDEX($D$73:$H$73,MATCH(YEAR(CU6),$D$72:$H$72,0)),$H$73)</f>
        <v/>
      </c>
      <c r="CV23" s="57">
        <f>CV22*-IFERROR(INDEX($D$73:$H$73,MATCH(YEAR(CV6),$D$72:$H$72,0)),$H$73)</f>
        <v/>
      </c>
      <c r="CW23" s="57">
        <f>CW22*-IFERROR(INDEX($D$73:$H$73,MATCH(YEAR(CW6),$D$72:$H$72,0)),$H$73)</f>
        <v/>
      </c>
      <c r="CX23" s="57">
        <f>CX22*-IFERROR(INDEX($D$73:$H$73,MATCH(YEAR(CX6),$D$72:$H$72,0)),$H$73)</f>
        <v/>
      </c>
      <c r="CY23" s="57">
        <f>CY22*-IFERROR(INDEX($D$73:$H$73,MATCH(YEAR(CY6),$D$72:$H$72,0)),$H$73)</f>
        <v/>
      </c>
      <c r="CZ23" s="57">
        <f>CZ22*-IFERROR(INDEX($D$73:$H$73,MATCH(YEAR(CZ6),$D$72:$H$72,0)),$H$73)</f>
        <v/>
      </c>
      <c r="DA23" s="57">
        <f>DA22*-IFERROR(INDEX($D$73:$H$73,MATCH(YEAR(DA6),$D$72:$H$72,0)),$H$73)</f>
        <v/>
      </c>
      <c r="DB23" s="57">
        <f>DB22*-IFERROR(INDEX($D$73:$H$73,MATCH(YEAR(DB6),$D$72:$H$72,0)),$H$73)</f>
        <v/>
      </c>
      <c r="DC23" s="57">
        <f>DC22*-IFERROR(INDEX($D$73:$H$73,MATCH(YEAR(DC6),$D$72:$H$72,0)),$H$73)</f>
        <v/>
      </c>
      <c r="DD23" s="57">
        <f>DD22*-IFERROR(INDEX($D$73:$H$73,MATCH(YEAR(DD6),$D$72:$H$72,0)),$H$73)</f>
        <v/>
      </c>
      <c r="DE23" s="57">
        <f>DE22*-IFERROR(INDEX($D$73:$H$73,MATCH(YEAR(DE6),$D$72:$H$72,0)),$H$73)</f>
        <v/>
      </c>
      <c r="DF23" s="57">
        <f>DF22*-IFERROR(INDEX($D$73:$H$73,MATCH(YEAR(DF6),$D$72:$H$72,0)),$H$73)</f>
        <v/>
      </c>
      <c r="DG23" s="57">
        <f>DG22*-IFERROR(INDEX($D$73:$H$73,MATCH(YEAR(DG6),$D$72:$H$72,0)),$H$73)</f>
        <v/>
      </c>
      <c r="DH23" s="57">
        <f>DH22*-IFERROR(INDEX($D$73:$H$73,MATCH(YEAR(DH6),$D$72:$H$72,0)),$H$73)</f>
        <v/>
      </c>
      <c r="DI23" s="57">
        <f>DI22*-IFERROR(INDEX($D$73:$H$73,MATCH(YEAR(DI6),$D$72:$H$72,0)),$H$73)</f>
        <v/>
      </c>
      <c r="DJ23" s="57">
        <f>DJ22*-IFERROR(INDEX($D$73:$H$73,MATCH(YEAR(DJ6),$D$72:$H$72,0)),$H$73)</f>
        <v/>
      </c>
      <c r="DK23" s="57">
        <f>DK22*-IFERROR(INDEX($D$73:$H$73,MATCH(YEAR(DK6),$D$72:$H$72,0)),$H$73)</f>
        <v/>
      </c>
      <c r="DL23" s="57">
        <f>DL22*-IFERROR(INDEX($D$73:$H$73,MATCH(YEAR(DL6),$D$72:$H$72,0)),$H$73)</f>
        <v/>
      </c>
      <c r="DM23" s="57">
        <f>DM22*-IFERROR(INDEX($D$73:$H$73,MATCH(YEAR(DM6),$D$72:$H$72,0)),$H$73)</f>
        <v/>
      </c>
      <c r="DN23" s="57">
        <f>DN22*-IFERROR(INDEX($D$73:$H$73,MATCH(YEAR(DN6),$D$72:$H$72,0)),$H$73)</f>
        <v/>
      </c>
      <c r="DO23" s="57">
        <f>DO22*-IFERROR(INDEX($D$73:$H$73,MATCH(YEAR(DO6),$D$72:$H$72,0)),$H$73)</f>
        <v/>
      </c>
      <c r="DP23" s="57">
        <f>DP22*-IFERROR(INDEX($D$73:$H$73,MATCH(YEAR(DP6),$D$72:$H$72,0)),$H$73)</f>
        <v/>
      </c>
      <c r="DQ23" s="57">
        <f>DQ22*-IFERROR(INDEX($D$73:$H$73,MATCH(YEAR(DQ6),$D$72:$H$72,0)),$H$73)</f>
        <v/>
      </c>
      <c r="DR23" s="57">
        <f>DR22*-IFERROR(INDEX($D$73:$H$73,MATCH(YEAR(DR6),$D$72:$H$72,0)),$H$73)</f>
        <v/>
      </c>
      <c r="DS23" s="57">
        <f>DS22*-IFERROR(INDEX($D$73:$H$73,MATCH(YEAR(DS6),$D$72:$H$72,0)),$H$73)</f>
        <v/>
      </c>
      <c r="DT23" s="57">
        <f>DT22*-IFERROR(INDEX($D$73:$H$73,MATCH(YEAR(DT6),$D$72:$H$72,0)),$H$73)</f>
        <v/>
      </c>
      <c r="DU23" s="57">
        <f>DU22*-IFERROR(INDEX($D$73:$H$73,MATCH(YEAR(DU6),$D$72:$H$72,0)),$H$73)</f>
        <v/>
      </c>
      <c r="DV23" s="57">
        <f>DV22*-IFERROR(INDEX($D$73:$H$73,MATCH(YEAR(DV6),$D$72:$H$72,0)),$H$73)</f>
        <v/>
      </c>
      <c r="DW23" s="57">
        <f>DW22*-IFERROR(INDEX($D$73:$H$73,MATCH(YEAR(DW6),$D$72:$H$72,0)),$H$73)</f>
        <v/>
      </c>
      <c r="DX23" s="57">
        <f>DX22*-IFERROR(INDEX($D$73:$H$73,MATCH(YEAR(DX6),$D$72:$H$72,0)),$H$73)</f>
        <v/>
      </c>
      <c r="DY23" s="57">
        <f>DY22*-IFERROR(INDEX($D$73:$H$73,MATCH(YEAR(DY6),$D$72:$H$72,0)),$H$73)</f>
        <v/>
      </c>
      <c r="DZ23" s="57">
        <f>DZ22*-IFERROR(INDEX($D$73:$H$73,MATCH(YEAR(DZ6),$D$72:$H$72,0)),$H$73)</f>
        <v/>
      </c>
      <c r="EA23" s="57">
        <f>EA22*-IFERROR(INDEX($D$73:$H$73,MATCH(YEAR(EA6),$D$72:$H$72,0)),$H$73)</f>
        <v/>
      </c>
      <c r="EB23" s="57">
        <f>EB22*-IFERROR(INDEX($D$73:$H$73,MATCH(YEAR(EB6),$D$72:$H$72,0)),$H$73)</f>
        <v/>
      </c>
      <c r="EC23" s="57">
        <f>EC22*-IFERROR(INDEX($D$73:$H$73,MATCH(YEAR(EC6),$D$72:$H$72,0)),$H$73)</f>
        <v/>
      </c>
      <c r="ED23" s="57">
        <f>ED22*-IFERROR(INDEX($D$73:$H$73,MATCH(YEAR(ED6),$D$72:$H$72,0)),$H$73)</f>
        <v/>
      </c>
      <c r="EE23" s="57">
        <f>EE22*-IFERROR(INDEX($D$73:$H$73,MATCH(YEAR(EE6),$D$72:$H$72,0)),$H$73)</f>
        <v/>
      </c>
      <c r="EF23" s="57">
        <f>EF22*-IFERROR(INDEX($D$73:$H$73,MATCH(YEAR(EF6),$D$72:$H$72,0)),$H$73)</f>
        <v/>
      </c>
      <c r="EG23" s="57">
        <f>EG22*-IFERROR(INDEX($D$73:$H$73,MATCH(YEAR(EG6),$D$72:$H$72,0)),$H$73)</f>
        <v/>
      </c>
      <c r="EH23" s="57">
        <f>EH22*-IFERROR(INDEX($D$73:$H$73,MATCH(YEAR(EH6),$D$72:$H$72,0)),$H$73)</f>
        <v/>
      </c>
      <c r="EI23" s="57">
        <f>EI22*-IFERROR(INDEX($D$73:$H$73,MATCH(YEAR(EI6),$D$72:$H$72,0)),$H$73)</f>
        <v/>
      </c>
      <c r="EJ23" s="57">
        <f>EJ22*-IFERROR(INDEX($D$73:$H$73,MATCH(YEAR(EJ6),$D$72:$H$72,0)),$H$73)</f>
        <v/>
      </c>
      <c r="EK23" s="57">
        <f>EK22*-IFERROR(INDEX($D$73:$H$73,MATCH(YEAR(EK6),$D$72:$H$72,0)),$H$73)</f>
        <v/>
      </c>
      <c r="EL23" s="57">
        <f>EL22*-IFERROR(INDEX($D$73:$H$73,MATCH(YEAR(EL6),$D$72:$H$72,0)),$H$73)</f>
        <v/>
      </c>
      <c r="EM23" s="57">
        <f>EM22*-IFERROR(INDEX($D$73:$H$73,MATCH(YEAR(EM6),$D$72:$H$72,0)),$H$73)</f>
        <v/>
      </c>
      <c r="EN23" s="57">
        <f>EN22*-IFERROR(INDEX($D$73:$H$73,MATCH(YEAR(EN6),$D$72:$H$72,0)),$H$73)</f>
        <v/>
      </c>
      <c r="EO23" s="57">
        <f>EO22*-IFERROR(INDEX($D$73:$H$73,MATCH(YEAR(EO6),$D$72:$H$72,0)),$H$73)</f>
        <v/>
      </c>
      <c r="EP23" s="57">
        <f>EP22*-IFERROR(INDEX($D$73:$H$73,MATCH(YEAR(EP6),$D$72:$H$72,0)),$H$73)</f>
        <v/>
      </c>
      <c r="EQ23" s="57">
        <f>EQ22*-IFERROR(INDEX($D$73:$H$73,MATCH(YEAR(EQ6),$D$72:$H$72,0)),$H$73)</f>
        <v/>
      </c>
      <c r="ER23" s="57">
        <f>ER22*-IFERROR(INDEX($D$73:$H$73,MATCH(YEAR(ER6),$D$72:$H$72,0)),$H$73)</f>
        <v/>
      </c>
      <c r="ES23" s="57">
        <f>ES22*-IFERROR(INDEX($D$73:$H$73,MATCH(YEAR(ES6),$D$72:$H$72,0)),$H$73)</f>
        <v/>
      </c>
      <c r="ET23" s="57">
        <f>ET22*-IFERROR(INDEX($D$73:$H$73,MATCH(YEAR(ET6),$D$72:$H$72,0)),$H$73)</f>
        <v/>
      </c>
      <c r="EU23" s="57">
        <f>EU22*-IFERROR(INDEX($D$73:$H$73,MATCH(YEAR(EU6),$D$72:$H$72,0)),$H$73)</f>
        <v/>
      </c>
      <c r="EV23" s="57">
        <f>EV22*-IFERROR(INDEX($D$73:$H$73,MATCH(YEAR(EV6),$D$72:$H$72,0)),$H$73)</f>
        <v/>
      </c>
      <c r="EW23" s="57">
        <f>EW22*-IFERROR(INDEX($D$73:$H$73,MATCH(YEAR(EW6),$D$72:$H$72,0)),$H$73)</f>
        <v/>
      </c>
      <c r="EX23" s="57">
        <f>EX22*-IFERROR(INDEX($D$73:$H$73,MATCH(YEAR(EX6),$D$72:$H$72,0)),$H$73)</f>
        <v/>
      </c>
    </row>
    <row r="24">
      <c r="C24" s="12" t="inlineStr">
        <is>
          <t>Cap Rate</t>
        </is>
      </c>
      <c r="D24" s="50">
        <f>D23/D25</f>
        <v/>
      </c>
      <c r="E24" s="51" t="n"/>
      <c r="F24" s="48" t="inlineStr">
        <is>
          <t>Cap Rate</t>
        </is>
      </c>
      <c r="G24" s="51" t="n">
        <v>0.065</v>
      </c>
      <c r="H24" s="51" t="n"/>
      <c r="I24" s="9" t="n"/>
      <c r="J24" s="269" t="inlineStr">
        <is>
          <t>Gross Potential Rent</t>
        </is>
      </c>
      <c r="K24" s="269" t="n"/>
      <c r="L24" s="270" t="n"/>
      <c r="M24" s="269">
        <f>SUMIF($V$4:$EX$4,"&lt;="&amp;$H$19,$V24:$EX24)</f>
        <v/>
      </c>
      <c r="N24" s="270" t="n"/>
      <c r="O24" s="269">
        <f>SUMIF($V$5:$EX$5,O$7,$V24:$EX24)</f>
        <v/>
      </c>
      <c r="P24" s="269">
        <f>SUMIF($V$5:$EX$5,P$7,$V24:$EX24)</f>
        <v/>
      </c>
      <c r="Q24" s="269">
        <f>SUMIF($V$5:$EX$5,Q$7,$V24:$EX24)</f>
        <v/>
      </c>
      <c r="R24" s="269">
        <f>SUMIF($V$5:$EX$5,R$7,$V24:$EX24)</f>
        <v/>
      </c>
      <c r="S24" s="269">
        <f>SUMIF($V$5:$EX$5,S$7,$V24:$EX24)</f>
        <v/>
      </c>
      <c r="T24" s="269">
        <f>SUMIF($V$5:$EX$5,T$7,$V24:$EX24)</f>
        <v/>
      </c>
      <c r="U24" s="270" t="n"/>
      <c r="V24" s="269" t="n">
        <v>0</v>
      </c>
      <c r="W24" s="269">
        <f>SUM(W22:W23)</f>
        <v/>
      </c>
      <c r="X24" s="269">
        <f>SUM(X22:X23)</f>
        <v/>
      </c>
      <c r="Y24" s="269">
        <f>SUM(Y22:Y23)</f>
        <v/>
      </c>
      <c r="Z24" s="269">
        <f>SUM(Z22:Z23)</f>
        <v/>
      </c>
      <c r="AA24" s="269">
        <f>SUM(AA22:AA23)</f>
        <v/>
      </c>
      <c r="AB24" s="269">
        <f>SUM(AB22:AB23)</f>
        <v/>
      </c>
      <c r="AC24" s="269">
        <f>SUM(AC22:AC23)</f>
        <v/>
      </c>
      <c r="AD24" s="269">
        <f>SUM(AD22:AD23)</f>
        <v/>
      </c>
      <c r="AE24" s="269">
        <f>SUM(AE22:AE23)</f>
        <v/>
      </c>
      <c r="AF24" s="269">
        <f>SUM(AF22:AF23)</f>
        <v/>
      </c>
      <c r="AG24" s="269">
        <f>SUM(AG22:AG23)</f>
        <v/>
      </c>
      <c r="AH24" s="269">
        <f>SUM(AH22:AH23)</f>
        <v/>
      </c>
      <c r="AI24" s="269">
        <f>SUM(AI22:AI23)</f>
        <v/>
      </c>
      <c r="AJ24" s="269">
        <f>SUM(AJ22:AJ23)</f>
        <v/>
      </c>
      <c r="AK24" s="269">
        <f>SUM(AK22:AK23)</f>
        <v/>
      </c>
      <c r="AL24" s="269">
        <f>SUM(AL22:AL23)</f>
        <v/>
      </c>
      <c r="AM24" s="269">
        <f>SUM(AM22:AM23)</f>
        <v/>
      </c>
      <c r="AN24" s="269">
        <f>SUM(AN22:AN23)</f>
        <v/>
      </c>
      <c r="AO24" s="269">
        <f>SUM(AO22:AO23)</f>
        <v/>
      </c>
      <c r="AP24" s="269">
        <f>SUM(AP22:AP23)</f>
        <v/>
      </c>
      <c r="AQ24" s="269">
        <f>SUM(AQ22:AQ23)</f>
        <v/>
      </c>
      <c r="AR24" s="269">
        <f>SUM(AR22:AR23)</f>
        <v/>
      </c>
      <c r="AS24" s="269">
        <f>SUM(AS22:AS23)</f>
        <v/>
      </c>
      <c r="AT24" s="269">
        <f>SUM(AT22:AT23)</f>
        <v/>
      </c>
      <c r="AU24" s="269">
        <f>SUM(AU22:AU23)</f>
        <v/>
      </c>
      <c r="AV24" s="269">
        <f>SUM(AV22:AV23)</f>
        <v/>
      </c>
      <c r="AW24" s="269">
        <f>SUM(AW22:AW23)</f>
        <v/>
      </c>
      <c r="AX24" s="269">
        <f>SUM(AX22:AX23)</f>
        <v/>
      </c>
      <c r="AY24" s="269">
        <f>SUM(AY22:AY23)</f>
        <v/>
      </c>
      <c r="AZ24" s="269">
        <f>SUM(AZ22:AZ23)</f>
        <v/>
      </c>
      <c r="BA24" s="269">
        <f>SUM(BA22:BA23)</f>
        <v/>
      </c>
      <c r="BB24" s="269">
        <f>SUM(BB22:BB23)</f>
        <v/>
      </c>
      <c r="BC24" s="269">
        <f>SUM(BC22:BC23)</f>
        <v/>
      </c>
      <c r="BD24" s="269">
        <f>SUM(BD22:BD23)</f>
        <v/>
      </c>
      <c r="BE24" s="269">
        <f>SUM(BE22:BE23)</f>
        <v/>
      </c>
      <c r="BF24" s="269">
        <f>SUM(BF22:BF23)</f>
        <v/>
      </c>
      <c r="BG24" s="269">
        <f>SUM(BG22:BG23)</f>
        <v/>
      </c>
      <c r="BH24" s="269">
        <f>SUM(BH22:BH23)</f>
        <v/>
      </c>
      <c r="BI24" s="269">
        <f>SUM(BI22:BI23)</f>
        <v/>
      </c>
      <c r="BJ24" s="269">
        <f>SUM(BJ22:BJ23)</f>
        <v/>
      </c>
      <c r="BK24" s="269">
        <f>SUM(BK22:BK23)</f>
        <v/>
      </c>
      <c r="BL24" s="269">
        <f>SUM(BL22:BL23)</f>
        <v/>
      </c>
      <c r="BM24" s="269">
        <f>SUM(BM22:BM23)</f>
        <v/>
      </c>
      <c r="BN24" s="269">
        <f>SUM(BN22:BN23)</f>
        <v/>
      </c>
      <c r="BO24" s="269">
        <f>SUM(BO22:BO23)</f>
        <v/>
      </c>
      <c r="BP24" s="269">
        <f>SUM(BP22:BP23)</f>
        <v/>
      </c>
      <c r="BQ24" s="269">
        <f>SUM(BQ22:BQ23)</f>
        <v/>
      </c>
      <c r="BR24" s="269">
        <f>SUM(BR22:BR23)</f>
        <v/>
      </c>
      <c r="BS24" s="269">
        <f>SUM(BS22:BS23)</f>
        <v/>
      </c>
      <c r="BT24" s="269">
        <f>SUM(BT22:BT23)</f>
        <v/>
      </c>
      <c r="BU24" s="269">
        <f>SUM(BU22:BU23)</f>
        <v/>
      </c>
      <c r="BV24" s="269">
        <f>SUM(BV22:BV23)</f>
        <v/>
      </c>
      <c r="BW24" s="269">
        <f>SUM(BW22:BW23)</f>
        <v/>
      </c>
      <c r="BX24" s="269">
        <f>SUM(BX22:BX23)</f>
        <v/>
      </c>
      <c r="BY24" s="269">
        <f>SUM(BY22:BY23)</f>
        <v/>
      </c>
      <c r="BZ24" s="269">
        <f>SUM(BZ22:BZ23)</f>
        <v/>
      </c>
      <c r="CA24" s="269">
        <f>SUM(CA22:CA23)</f>
        <v/>
      </c>
      <c r="CB24" s="269">
        <f>SUM(CB22:CB23)</f>
        <v/>
      </c>
      <c r="CC24" s="269">
        <f>SUM(CC22:CC23)</f>
        <v/>
      </c>
      <c r="CD24" s="269">
        <f>SUM(CD22:CD23)</f>
        <v/>
      </c>
      <c r="CE24" s="269">
        <f>SUM(CE22:CE23)</f>
        <v/>
      </c>
      <c r="CF24" s="269">
        <f>SUM(CF22:CF23)</f>
        <v/>
      </c>
      <c r="CG24" s="269">
        <f>SUM(CG22:CG23)</f>
        <v/>
      </c>
      <c r="CH24" s="269">
        <f>SUM(CH22:CH23)</f>
        <v/>
      </c>
      <c r="CI24" s="269">
        <f>SUM(CI22:CI23)</f>
        <v/>
      </c>
      <c r="CJ24" s="269">
        <f>SUM(CJ22:CJ23)</f>
        <v/>
      </c>
      <c r="CK24" s="269">
        <f>SUM(CK22:CK23)</f>
        <v/>
      </c>
      <c r="CL24" s="269">
        <f>SUM(CL22:CL23)</f>
        <v/>
      </c>
      <c r="CM24" s="269">
        <f>SUM(CM22:CM23)</f>
        <v/>
      </c>
      <c r="CN24" s="269">
        <f>SUM(CN22:CN23)</f>
        <v/>
      </c>
      <c r="CO24" s="269">
        <f>SUM(CO22:CO23)</f>
        <v/>
      </c>
      <c r="CP24" s="269">
        <f>SUM(CP22:CP23)</f>
        <v/>
      </c>
      <c r="CQ24" s="269">
        <f>SUM(CQ22:CQ23)</f>
        <v/>
      </c>
      <c r="CR24" s="269">
        <f>SUM(CR22:CR23)</f>
        <v/>
      </c>
      <c r="CS24" s="269">
        <f>SUM(CS22:CS23)</f>
        <v/>
      </c>
      <c r="CT24" s="269">
        <f>SUM(CT22:CT23)</f>
        <v/>
      </c>
      <c r="CU24" s="269">
        <f>SUM(CU22:CU23)</f>
        <v/>
      </c>
      <c r="CV24" s="269">
        <f>SUM(CV22:CV23)</f>
        <v/>
      </c>
      <c r="CW24" s="269">
        <f>SUM(CW22:CW23)</f>
        <v/>
      </c>
      <c r="CX24" s="269">
        <f>SUM(CX22:CX23)</f>
        <v/>
      </c>
      <c r="CY24" s="269">
        <f>SUM(CY22:CY23)</f>
        <v/>
      </c>
      <c r="CZ24" s="269">
        <f>SUM(CZ22:CZ23)</f>
        <v/>
      </c>
      <c r="DA24" s="269">
        <f>SUM(DA22:DA23)</f>
        <v/>
      </c>
      <c r="DB24" s="269">
        <f>SUM(DB22:DB23)</f>
        <v/>
      </c>
      <c r="DC24" s="269">
        <f>SUM(DC22:DC23)</f>
        <v/>
      </c>
      <c r="DD24" s="269">
        <f>SUM(DD22:DD23)</f>
        <v/>
      </c>
      <c r="DE24" s="269">
        <f>SUM(DE22:DE23)</f>
        <v/>
      </c>
      <c r="DF24" s="269">
        <f>SUM(DF22:DF23)</f>
        <v/>
      </c>
      <c r="DG24" s="269">
        <f>SUM(DG22:DG23)</f>
        <v/>
      </c>
      <c r="DH24" s="269">
        <f>SUM(DH22:DH23)</f>
        <v/>
      </c>
      <c r="DI24" s="269">
        <f>SUM(DI22:DI23)</f>
        <v/>
      </c>
      <c r="DJ24" s="269">
        <f>SUM(DJ22:DJ23)</f>
        <v/>
      </c>
      <c r="DK24" s="269">
        <f>SUM(DK22:DK23)</f>
        <v/>
      </c>
      <c r="DL24" s="269">
        <f>SUM(DL22:DL23)</f>
        <v/>
      </c>
      <c r="DM24" s="269">
        <f>SUM(DM22:DM23)</f>
        <v/>
      </c>
      <c r="DN24" s="269">
        <f>SUM(DN22:DN23)</f>
        <v/>
      </c>
      <c r="DO24" s="269">
        <f>SUM(DO22:DO23)</f>
        <v/>
      </c>
      <c r="DP24" s="269">
        <f>SUM(DP22:DP23)</f>
        <v/>
      </c>
      <c r="DQ24" s="269">
        <f>SUM(DQ22:DQ23)</f>
        <v/>
      </c>
      <c r="DR24" s="269">
        <f>SUM(DR22:DR23)</f>
        <v/>
      </c>
      <c r="DS24" s="269">
        <f>SUM(DS22:DS23)</f>
        <v/>
      </c>
      <c r="DT24" s="269">
        <f>SUM(DT22:DT23)</f>
        <v/>
      </c>
      <c r="DU24" s="269">
        <f>SUM(DU22:DU23)</f>
        <v/>
      </c>
      <c r="DV24" s="269">
        <f>SUM(DV22:DV23)</f>
        <v/>
      </c>
      <c r="DW24" s="269">
        <f>SUM(DW22:DW23)</f>
        <v/>
      </c>
      <c r="DX24" s="269">
        <f>SUM(DX22:DX23)</f>
        <v/>
      </c>
      <c r="DY24" s="269">
        <f>SUM(DY22:DY23)</f>
        <v/>
      </c>
      <c r="DZ24" s="269">
        <f>SUM(DZ22:DZ23)</f>
        <v/>
      </c>
      <c r="EA24" s="269">
        <f>SUM(EA22:EA23)</f>
        <v/>
      </c>
      <c r="EB24" s="269">
        <f>SUM(EB22:EB23)</f>
        <v/>
      </c>
      <c r="EC24" s="269">
        <f>SUM(EC22:EC23)</f>
        <v/>
      </c>
      <c r="ED24" s="269">
        <f>SUM(ED22:ED23)</f>
        <v/>
      </c>
      <c r="EE24" s="269">
        <f>SUM(EE22:EE23)</f>
        <v/>
      </c>
      <c r="EF24" s="269">
        <f>SUM(EF22:EF23)</f>
        <v/>
      </c>
      <c r="EG24" s="269">
        <f>SUM(EG22:EG23)</f>
        <v/>
      </c>
      <c r="EH24" s="269">
        <f>SUM(EH22:EH23)</f>
        <v/>
      </c>
      <c r="EI24" s="269">
        <f>SUM(EI22:EI23)</f>
        <v/>
      </c>
      <c r="EJ24" s="269">
        <f>SUM(EJ22:EJ23)</f>
        <v/>
      </c>
      <c r="EK24" s="269">
        <f>SUM(EK22:EK23)</f>
        <v/>
      </c>
      <c r="EL24" s="269">
        <f>SUM(EL22:EL23)</f>
        <v/>
      </c>
      <c r="EM24" s="269">
        <f>SUM(EM22:EM23)</f>
        <v/>
      </c>
      <c r="EN24" s="269">
        <f>SUM(EN22:EN23)</f>
        <v/>
      </c>
      <c r="EO24" s="269">
        <f>SUM(EO22:EO23)</f>
        <v/>
      </c>
      <c r="EP24" s="269">
        <f>SUM(EP22:EP23)</f>
        <v/>
      </c>
      <c r="EQ24" s="269">
        <f>SUM(EQ22:EQ23)</f>
        <v/>
      </c>
      <c r="ER24" s="269">
        <f>SUM(ER22:ER23)</f>
        <v/>
      </c>
      <c r="ES24" s="269">
        <f>SUM(ES22:ES23)</f>
        <v/>
      </c>
      <c r="ET24" s="269">
        <f>SUM(ET22:ET23)</f>
        <v/>
      </c>
      <c r="EU24" s="269">
        <f>SUM(EU22:EU23)</f>
        <v/>
      </c>
      <c r="EV24" s="269">
        <f>SUM(EV22:EV23)</f>
        <v/>
      </c>
      <c r="EW24" s="269">
        <f>SUM(EW22:EW23)</f>
        <v/>
      </c>
      <c r="EX24" s="269">
        <f>SUM(EX22:EX23)</f>
        <v/>
      </c>
    </row>
    <row r="25">
      <c r="C25" s="106" t="inlineStr">
        <is>
          <t>Gross Value</t>
        </is>
      </c>
      <c r="D25" s="271" t="n"/>
      <c r="E25" s="272">
        <f>E23/E24</f>
        <v/>
      </c>
      <c r="F25" s="222" t="inlineStr">
        <is>
          <t>Gross Value</t>
        </is>
      </c>
      <c r="G25" s="273">
        <f>G23/G24</f>
        <v/>
      </c>
      <c r="H25" s="273">
        <f>H23/H24</f>
        <v/>
      </c>
      <c r="I25" s="9" t="n"/>
      <c r="V25" s="264" t="n"/>
      <c r="W25" s="264" t="n"/>
      <c r="X25" s="264" t="n"/>
      <c r="Y25" s="264" t="n"/>
      <c r="Z25" s="264" t="n"/>
      <c r="AA25" s="264" t="n"/>
      <c r="AB25" s="264" t="n"/>
      <c r="AC25" s="264" t="n"/>
      <c r="AD25" s="264" t="n"/>
      <c r="AE25" s="264" t="n"/>
      <c r="AF25" s="264" t="n"/>
      <c r="AG25" s="264" t="n"/>
      <c r="AH25" s="264" t="n"/>
      <c r="AI25" s="264" t="n"/>
      <c r="AJ25" s="264" t="n"/>
      <c r="AK25" s="264" t="n"/>
      <c r="AL25" s="264" t="n"/>
      <c r="AM25" s="264" t="n"/>
      <c r="AN25" s="264" t="n"/>
      <c r="AO25" s="264" t="n"/>
      <c r="AP25" s="264" t="n"/>
      <c r="AQ25" s="264" t="n"/>
      <c r="AR25" s="264" t="n"/>
      <c r="AS25" s="264" t="n"/>
      <c r="AT25" s="264" t="n"/>
      <c r="AU25" s="264" t="n"/>
      <c r="AV25" s="264" t="n"/>
      <c r="AW25" s="264" t="n"/>
      <c r="AX25" s="264" t="n"/>
      <c r="AY25" s="264" t="n"/>
      <c r="AZ25" s="264" t="n"/>
      <c r="BA25" s="264" t="n"/>
      <c r="BB25" s="264" t="n"/>
      <c r="BC25" s="264" t="n"/>
      <c r="BD25" s="264" t="n"/>
      <c r="BE25" s="264" t="n"/>
      <c r="BF25" s="264" t="n"/>
      <c r="BG25" s="264" t="n"/>
      <c r="BH25" s="264" t="n"/>
      <c r="BI25" s="264" t="n"/>
      <c r="BJ25" s="264" t="n"/>
      <c r="BK25" s="264" t="n"/>
      <c r="BL25" s="264" t="n"/>
      <c r="BM25" s="264" t="n"/>
      <c r="BN25" s="264" t="n"/>
      <c r="BO25" s="264" t="n"/>
      <c r="BP25" s="264" t="n"/>
      <c r="BQ25" s="264" t="n"/>
      <c r="BR25" s="264" t="n"/>
      <c r="BS25" s="264" t="n"/>
      <c r="BT25" s="264" t="n"/>
      <c r="BU25" s="264" t="n"/>
      <c r="BV25" s="264" t="n"/>
      <c r="BW25" s="264" t="n"/>
      <c r="BX25" s="264" t="n"/>
      <c r="BY25" s="264" t="n"/>
      <c r="BZ25" s="264" t="n"/>
      <c r="CA25" s="264" t="n"/>
      <c r="CB25" s="264" t="n"/>
      <c r="CC25" s="264" t="n"/>
      <c r="CD25" s="264" t="n"/>
      <c r="CE25" s="264" t="n"/>
      <c r="CF25" s="264" t="n"/>
      <c r="CG25" s="264" t="n"/>
      <c r="CH25" s="264" t="n"/>
      <c r="CI25" s="264" t="n"/>
      <c r="CJ25" s="264" t="n"/>
      <c r="CK25" s="264" t="n"/>
      <c r="CL25" s="264" t="n"/>
      <c r="CM25" s="264" t="n"/>
      <c r="CN25" s="264" t="n"/>
      <c r="CO25" s="264" t="n"/>
      <c r="CP25" s="264" t="n"/>
      <c r="CQ25" s="264" t="n"/>
      <c r="CR25" s="264" t="n"/>
      <c r="CS25" s="264" t="n"/>
      <c r="CT25" s="264" t="n"/>
      <c r="CU25" s="264" t="n"/>
      <c r="CV25" s="264" t="n"/>
      <c r="CW25" s="264" t="n"/>
      <c r="CX25" s="264" t="n"/>
      <c r="CY25" s="264" t="n"/>
      <c r="CZ25" s="264" t="n"/>
      <c r="DA25" s="264" t="n"/>
      <c r="DB25" s="264" t="n"/>
      <c r="DC25" s="264" t="n"/>
      <c r="DD25" s="264" t="n"/>
      <c r="DE25" s="264" t="n"/>
      <c r="DF25" s="264" t="n"/>
      <c r="DG25" s="264" t="n"/>
      <c r="DH25" s="264" t="n"/>
      <c r="DI25" s="264" t="n"/>
      <c r="DJ25" s="264" t="n"/>
      <c r="DK25" s="264" t="n"/>
      <c r="DL25" s="264" t="n"/>
      <c r="DM25" s="264" t="n"/>
      <c r="DN25" s="264" t="n"/>
      <c r="DO25" s="264" t="n"/>
      <c r="DP25" s="264" t="n"/>
      <c r="DQ25" s="264" t="n"/>
      <c r="DR25" s="264" t="n"/>
      <c r="DS25" s="264" t="n"/>
      <c r="DT25" s="264" t="n"/>
      <c r="DU25" s="264" t="n"/>
      <c r="DV25" s="264" t="n"/>
      <c r="DW25" s="264" t="n"/>
      <c r="DX25" s="264" t="n"/>
      <c r="DY25" s="264" t="n"/>
      <c r="DZ25" s="264" t="n"/>
      <c r="EA25" s="264" t="n"/>
      <c r="EB25" s="264" t="n"/>
      <c r="EC25" s="264" t="n"/>
      <c r="ED25" s="264" t="n"/>
      <c r="EE25" s="264" t="n"/>
      <c r="EF25" s="264" t="n"/>
      <c r="EG25" s="264" t="n"/>
      <c r="EH25" s="264" t="n"/>
      <c r="EI25" s="264" t="n"/>
      <c r="EJ25" s="264" t="n"/>
      <c r="EK25" s="264" t="n"/>
      <c r="EL25" s="264" t="n"/>
      <c r="EM25" s="264" t="n"/>
      <c r="EN25" s="264" t="n"/>
      <c r="EO25" s="264" t="n"/>
      <c r="EP25" s="264" t="n"/>
      <c r="EQ25" s="264" t="n"/>
      <c r="ER25" s="264" t="n"/>
      <c r="ES25" s="264" t="n"/>
      <c r="ET25" s="264" t="n"/>
      <c r="EU25" s="264" t="n"/>
      <c r="EV25" s="264" t="n"/>
      <c r="EW25" s="264" t="n"/>
      <c r="EX25" s="264" t="n"/>
    </row>
    <row r="26">
      <c r="C26" s="33" t="inlineStr">
        <is>
          <t>$/Unit</t>
        </is>
      </c>
      <c r="D26" s="274">
        <f>D25/$D$64</f>
        <v/>
      </c>
      <c r="E26" s="274">
        <f>E25/$D$64</f>
        <v/>
      </c>
      <c r="F26" s="187" t="inlineStr">
        <is>
          <t>$/Unit</t>
        </is>
      </c>
      <c r="G26" s="274">
        <f>G25/$D$64</f>
        <v/>
      </c>
      <c r="H26" s="274">
        <f>H25/$D$64</f>
        <v/>
      </c>
      <c r="I26" s="9" t="n"/>
      <c r="J26" s="54" t="inlineStr">
        <is>
          <t>Other Income</t>
        </is>
      </c>
    </row>
    <row r="27">
      <c r="C27" s="275" t="n"/>
      <c r="D27" s="225" t="inlineStr">
        <is>
          <t>Delta</t>
        </is>
      </c>
      <c r="E27" s="276">
        <f>E25-D25</f>
        <v/>
      </c>
      <c r="F27" s="277" t="n">
        <v>0.01</v>
      </c>
      <c r="G27" s="278">
        <f>-$F27*G25</f>
        <v/>
      </c>
      <c r="H27" s="278">
        <f>-$F27*H25</f>
        <v/>
      </c>
      <c r="I27" s="9" t="n"/>
      <c r="J27" s="9" t="inlineStr">
        <is>
          <t>RUBS</t>
        </is>
      </c>
      <c r="K27" s="61">
        <f>E67</f>
        <v/>
      </c>
      <c r="L27" s="189" t="n"/>
      <c r="M27" s="25">
        <f>SUMIF($V$4:$EX$4,"&lt;="&amp;$H$19,$V27:$EX27)</f>
        <v/>
      </c>
      <c r="N27" s="279" t="n"/>
      <c r="O27" s="280">
        <f>SUMIF($V$5:$EX$5,O$7,$V27:$EX27)</f>
        <v/>
      </c>
      <c r="P27" s="280">
        <f>SUMIF($V$5:$EX$5,P$7,$V27:$EX27)</f>
        <v/>
      </c>
      <c r="Q27" s="280">
        <f>SUMIF($V$5:$EX$5,Q$7,$V27:$EX27)</f>
        <v/>
      </c>
      <c r="R27" s="280">
        <f>SUMIF($V$5:$EX$5,R$7,$V27:$EX27)</f>
        <v/>
      </c>
      <c r="S27" s="280">
        <f>SUMIF($V$5:$EX$5,S$7,$V27:$EX27)</f>
        <v/>
      </c>
      <c r="T27" s="280">
        <f>SUMIF($V$5:$EX$5,T$7,$V27:$EX27)</f>
        <v/>
      </c>
      <c r="U27" s="279" t="n"/>
      <c r="V27" s="25" t="n">
        <v>0</v>
      </c>
      <c r="W27" s="25">
        <f>$K$27*W53</f>
        <v/>
      </c>
      <c r="X27" s="25">
        <f>$K$27*X53</f>
        <v/>
      </c>
      <c r="Y27" s="25">
        <f>$K$27*Y53</f>
        <v/>
      </c>
      <c r="Z27" s="25">
        <f>$K$27*Z53</f>
        <v/>
      </c>
      <c r="AA27" s="25">
        <f>$K$27*AA53</f>
        <v/>
      </c>
      <c r="AB27" s="25">
        <f>$K$27*AB53</f>
        <v/>
      </c>
      <c r="AC27" s="25">
        <f>$K$27*AC53</f>
        <v/>
      </c>
      <c r="AD27" s="25">
        <f>$K$27*AD53</f>
        <v/>
      </c>
      <c r="AE27" s="25">
        <f>$K$27*AE53</f>
        <v/>
      </c>
      <c r="AF27" s="25">
        <f>$K$27*AF53</f>
        <v/>
      </c>
      <c r="AG27" s="25">
        <f>$K$27*AG53</f>
        <v/>
      </c>
      <c r="AH27" s="25">
        <f>$K$27*AH53</f>
        <v/>
      </c>
      <c r="AI27" s="25">
        <f>$K$27*AI53</f>
        <v/>
      </c>
      <c r="AJ27" s="25">
        <f>$K$27*AJ53</f>
        <v/>
      </c>
      <c r="AK27" s="25">
        <f>$K$27*AK53</f>
        <v/>
      </c>
      <c r="AL27" s="25">
        <f>$K$27*AL53</f>
        <v/>
      </c>
      <c r="AM27" s="25">
        <f>$K$27*AM53</f>
        <v/>
      </c>
      <c r="AN27" s="25">
        <f>$K$27*AN53</f>
        <v/>
      </c>
      <c r="AO27" s="25">
        <f>$K$27*AO53</f>
        <v/>
      </c>
      <c r="AP27" s="25">
        <f>$K$27*AP53</f>
        <v/>
      </c>
      <c r="AQ27" s="25">
        <f>$K$27*AQ53</f>
        <v/>
      </c>
      <c r="AR27" s="25">
        <f>$K$27*AR53</f>
        <v/>
      </c>
      <c r="AS27" s="25">
        <f>$K$27*AS53</f>
        <v/>
      </c>
      <c r="AT27" s="25">
        <f>$K$27*AT53</f>
        <v/>
      </c>
      <c r="AU27" s="25">
        <f>$K$27*AU53</f>
        <v/>
      </c>
      <c r="AV27" s="25">
        <f>$K$27*AV53</f>
        <v/>
      </c>
      <c r="AW27" s="25">
        <f>$K$27*AW53</f>
        <v/>
      </c>
      <c r="AX27" s="25">
        <f>$K$27*AX53</f>
        <v/>
      </c>
      <c r="AY27" s="25">
        <f>$K$27*AY53</f>
        <v/>
      </c>
      <c r="AZ27" s="25">
        <f>$K$27*AZ53</f>
        <v/>
      </c>
      <c r="BA27" s="25">
        <f>$K$27*BA53</f>
        <v/>
      </c>
      <c r="BB27" s="25">
        <f>$K$27*BB53</f>
        <v/>
      </c>
      <c r="BC27" s="25">
        <f>$K$27*BC53</f>
        <v/>
      </c>
      <c r="BD27" s="25">
        <f>$K$27*BD53</f>
        <v/>
      </c>
      <c r="BE27" s="25">
        <f>$K$27*BE53</f>
        <v/>
      </c>
      <c r="BF27" s="25">
        <f>$K$27*BF53</f>
        <v/>
      </c>
      <c r="BG27" s="25">
        <f>$K$27*BG53</f>
        <v/>
      </c>
      <c r="BH27" s="25">
        <f>$K$27*BH53</f>
        <v/>
      </c>
      <c r="BI27" s="25">
        <f>$K$27*BI53</f>
        <v/>
      </c>
      <c r="BJ27" s="25">
        <f>$K$27*BJ53</f>
        <v/>
      </c>
      <c r="BK27" s="25">
        <f>$K$27*BK53</f>
        <v/>
      </c>
      <c r="BL27" s="25">
        <f>$K$27*BL53</f>
        <v/>
      </c>
      <c r="BM27" s="25">
        <f>$K$27*BM53</f>
        <v/>
      </c>
      <c r="BN27" s="25">
        <f>$K$27*BN53</f>
        <v/>
      </c>
      <c r="BO27" s="25">
        <f>$K$27*BO53</f>
        <v/>
      </c>
      <c r="BP27" s="25">
        <f>$K$27*BP53</f>
        <v/>
      </c>
      <c r="BQ27" s="25">
        <f>$K$27*BQ53</f>
        <v/>
      </c>
      <c r="BR27" s="25">
        <f>$K$27*BR53</f>
        <v/>
      </c>
      <c r="BS27" s="25">
        <f>$K$27*BS53</f>
        <v/>
      </c>
      <c r="BT27" s="25">
        <f>$K$27*BT53</f>
        <v/>
      </c>
      <c r="BU27" s="25">
        <f>$K$27*BU53</f>
        <v/>
      </c>
      <c r="BV27" s="25">
        <f>$K$27*BV53</f>
        <v/>
      </c>
      <c r="BW27" s="25">
        <f>$K$27*BW53</f>
        <v/>
      </c>
      <c r="BX27" s="25">
        <f>$K$27*BX53</f>
        <v/>
      </c>
      <c r="BY27" s="25">
        <f>$K$27*BY53</f>
        <v/>
      </c>
      <c r="BZ27" s="25">
        <f>$K$27*BZ53</f>
        <v/>
      </c>
      <c r="CA27" s="25">
        <f>$K$27*CA53</f>
        <v/>
      </c>
      <c r="CB27" s="25">
        <f>$K$27*CB53</f>
        <v/>
      </c>
      <c r="CC27" s="25">
        <f>$K$27*CC53</f>
        <v/>
      </c>
      <c r="CD27" s="25">
        <f>$K$27*CD53</f>
        <v/>
      </c>
      <c r="CE27" s="25">
        <f>$K$27*CE53</f>
        <v/>
      </c>
      <c r="CF27" s="25">
        <f>$K$27*CF53</f>
        <v/>
      </c>
      <c r="CG27" s="25">
        <f>$K$27*CG53</f>
        <v/>
      </c>
      <c r="CH27" s="25">
        <f>$K$27*CH53</f>
        <v/>
      </c>
      <c r="CI27" s="25">
        <f>$K$27*CI53</f>
        <v/>
      </c>
      <c r="CJ27" s="25">
        <f>$K$27*CJ53</f>
        <v/>
      </c>
      <c r="CK27" s="25">
        <f>$K$27*CK53</f>
        <v/>
      </c>
      <c r="CL27" s="25">
        <f>$K$27*CL53</f>
        <v/>
      </c>
      <c r="CM27" s="25">
        <f>$K$27*CM53</f>
        <v/>
      </c>
      <c r="CN27" s="25">
        <f>$K$27*CN53</f>
        <v/>
      </c>
      <c r="CO27" s="25">
        <f>$K$27*CO53</f>
        <v/>
      </c>
      <c r="CP27" s="25">
        <f>$K$27*CP53</f>
        <v/>
      </c>
      <c r="CQ27" s="25">
        <f>$K$27*CQ53</f>
        <v/>
      </c>
      <c r="CR27" s="25">
        <f>$K$27*CR53</f>
        <v/>
      </c>
      <c r="CS27" s="25">
        <f>$K$27*CS53</f>
        <v/>
      </c>
      <c r="CT27" s="25">
        <f>$K$27*CT53</f>
        <v/>
      </c>
      <c r="CU27" s="25">
        <f>$K$27*CU53</f>
        <v/>
      </c>
      <c r="CV27" s="25">
        <f>$K$27*CV53</f>
        <v/>
      </c>
      <c r="CW27" s="25">
        <f>$K$27*CW53</f>
        <v/>
      </c>
      <c r="CX27" s="25">
        <f>$K$27*CX53</f>
        <v/>
      </c>
      <c r="CY27" s="25">
        <f>$K$27*CY53</f>
        <v/>
      </c>
      <c r="CZ27" s="25">
        <f>$K$27*CZ53</f>
        <v/>
      </c>
      <c r="DA27" s="25">
        <f>$K$27*DA53</f>
        <v/>
      </c>
      <c r="DB27" s="25">
        <f>$K$27*DB53</f>
        <v/>
      </c>
      <c r="DC27" s="25">
        <f>$K$27*DC53</f>
        <v/>
      </c>
      <c r="DD27" s="25">
        <f>$K$27*DD53</f>
        <v/>
      </c>
      <c r="DE27" s="25">
        <f>$K$27*DE53</f>
        <v/>
      </c>
      <c r="DF27" s="25">
        <f>$K$27*DF53</f>
        <v/>
      </c>
      <c r="DG27" s="25">
        <f>$K$27*DG53</f>
        <v/>
      </c>
      <c r="DH27" s="25">
        <f>$K$27*DH53</f>
        <v/>
      </c>
      <c r="DI27" s="25">
        <f>$K$27*DI53</f>
        <v/>
      </c>
      <c r="DJ27" s="25">
        <f>$K$27*DJ53</f>
        <v/>
      </c>
      <c r="DK27" s="25">
        <f>$K$27*DK53</f>
        <v/>
      </c>
      <c r="DL27" s="25">
        <f>$K$27*DL53</f>
        <v/>
      </c>
      <c r="DM27" s="25">
        <f>$K$27*DM53</f>
        <v/>
      </c>
      <c r="DN27" s="25">
        <f>$K$27*DN53</f>
        <v/>
      </c>
      <c r="DO27" s="25">
        <f>$K$27*DO53</f>
        <v/>
      </c>
      <c r="DP27" s="25">
        <f>$K$27*DP53</f>
        <v/>
      </c>
      <c r="DQ27" s="25">
        <f>$K$27*DQ53</f>
        <v/>
      </c>
      <c r="DR27" s="25">
        <f>$K$27*DR53</f>
        <v/>
      </c>
      <c r="DS27" s="25">
        <f>$K$27*DS53</f>
        <v/>
      </c>
      <c r="DT27" s="25">
        <f>$K$27*DT53</f>
        <v/>
      </c>
      <c r="DU27" s="25">
        <f>$K$27*DU53</f>
        <v/>
      </c>
      <c r="DV27" s="25">
        <f>$K$27*DV53</f>
        <v/>
      </c>
      <c r="DW27" s="25">
        <f>$K$27*DW53</f>
        <v/>
      </c>
      <c r="DX27" s="25">
        <f>$K$27*DX53</f>
        <v/>
      </c>
      <c r="DY27" s="25">
        <f>$K$27*DY53</f>
        <v/>
      </c>
      <c r="DZ27" s="25">
        <f>$K$27*DZ53</f>
        <v/>
      </c>
      <c r="EA27" s="25">
        <f>$K$27*EA53</f>
        <v/>
      </c>
      <c r="EB27" s="25">
        <f>$K$27*EB53</f>
        <v/>
      </c>
      <c r="EC27" s="25">
        <f>$K$27*EC53</f>
        <v/>
      </c>
      <c r="ED27" s="25">
        <f>$K$27*ED53</f>
        <v/>
      </c>
      <c r="EE27" s="25">
        <f>$K$27*EE53</f>
        <v/>
      </c>
      <c r="EF27" s="25">
        <f>$K$27*EF53</f>
        <v/>
      </c>
      <c r="EG27" s="25">
        <f>$K$27*EG53</f>
        <v/>
      </c>
      <c r="EH27" s="25">
        <f>$K$27*EH53</f>
        <v/>
      </c>
      <c r="EI27" s="25">
        <f>$K$27*EI53</f>
        <v/>
      </c>
      <c r="EJ27" s="25">
        <f>$K$27*EJ53</f>
        <v/>
      </c>
      <c r="EK27" s="25">
        <f>$K$27*EK53</f>
        <v/>
      </c>
      <c r="EL27" s="25">
        <f>$K$27*EL53</f>
        <v/>
      </c>
      <c r="EM27" s="25">
        <f>$K$27*EM53</f>
        <v/>
      </c>
      <c r="EN27" s="25">
        <f>$K$27*EN53</f>
        <v/>
      </c>
      <c r="EO27" s="25">
        <f>$K$27*EO53</f>
        <v/>
      </c>
      <c r="EP27" s="25">
        <f>$K$27*EP53</f>
        <v/>
      </c>
      <c r="EQ27" s="25">
        <f>$K$27*EQ53</f>
        <v/>
      </c>
      <c r="ER27" s="25">
        <f>$K$27*ER53</f>
        <v/>
      </c>
      <c r="ES27" s="25">
        <f>$K$27*ES53</f>
        <v/>
      </c>
      <c r="ET27" s="25">
        <f>$K$27*ET53</f>
        <v/>
      </c>
      <c r="EU27" s="25">
        <f>$K$27*EU53</f>
        <v/>
      </c>
      <c r="EV27" s="25">
        <f>$K$27*EV53</f>
        <v/>
      </c>
      <c r="EW27" s="25">
        <f>$K$27*EW53</f>
        <v/>
      </c>
      <c r="EX27" s="25">
        <f>$K$27*EX53</f>
        <v/>
      </c>
    </row>
    <row r="28">
      <c r="C28" s="266" t="n"/>
      <c r="D28" s="265" t="inlineStr">
        <is>
          <t>$/Unit</t>
        </is>
      </c>
      <c r="E28" s="266">
        <f>E26-D26</f>
        <v/>
      </c>
      <c r="F28" s="281" t="inlineStr">
        <is>
          <t>Net Sales Proceeds</t>
        </is>
      </c>
      <c r="G28" s="269">
        <f>SUM(G25,G27)</f>
        <v/>
      </c>
      <c r="H28" s="269">
        <f>SUM(H25,H27)</f>
        <v/>
      </c>
      <c r="I28" s="9" t="n"/>
      <c r="J28" s="9" t="inlineStr">
        <is>
          <t xml:space="preserve">Parking Income </t>
        </is>
      </c>
      <c r="K28" s="264">
        <f>G68</f>
        <v/>
      </c>
      <c r="L28" s="282" t="n"/>
      <c r="M28" s="25">
        <f>SUMIF($V$4:$EX$4,"&lt;="&amp;$H$19,$V28:$EX28)</f>
        <v/>
      </c>
      <c r="N28" s="279" t="n"/>
      <c r="O28" s="280">
        <f>SUMIF($V$5:$EX$5,O$7,$V28:$EX28)</f>
        <v/>
      </c>
      <c r="P28" s="280">
        <f>SUMIF($V$5:$EX$5,P$7,$V28:$EX28)</f>
        <v/>
      </c>
      <c r="Q28" s="280">
        <f>SUMIF($V$5:$EX$5,Q$7,$V28:$EX28)</f>
        <v/>
      </c>
      <c r="R28" s="280">
        <f>SUMIF($V$5:$EX$5,R$7,$V28:$EX28)</f>
        <v/>
      </c>
      <c r="S28" s="280">
        <f>SUMIF($V$5:$EX$5,S$7,$V28:$EX28)</f>
        <v/>
      </c>
      <c r="T28" s="280">
        <f>SUMIF($V$5:$EX$5,T$7,$V28:$EX28)</f>
        <v/>
      </c>
      <c r="U28" s="279" t="n"/>
      <c r="V28" s="25" t="n">
        <v>0</v>
      </c>
      <c r="W28" s="25">
        <f>IFERROR($G$68*$F$68*W12*(W$4&gt;=1),0)</f>
        <v/>
      </c>
      <c r="X28" s="25">
        <f>IFERROR($G$68*$F$68*X12*(X$4&gt;=1),0)</f>
        <v/>
      </c>
      <c r="Y28" s="25">
        <f>IFERROR($G$68*$F$68*Y12*(Y$4&gt;=1),0)</f>
        <v/>
      </c>
      <c r="Z28" s="25">
        <f>IFERROR($G$68*$F$68*Z12*(Z$4&gt;=1),0)</f>
        <v/>
      </c>
      <c r="AA28" s="25">
        <f>IFERROR($G$68*$F$68*AA12*(AA$4&gt;=1),0)</f>
        <v/>
      </c>
      <c r="AB28" s="25">
        <f>IFERROR($G$68*$F$68*AB12*(AB$4&gt;=1),0)</f>
        <v/>
      </c>
      <c r="AC28" s="25">
        <f>IFERROR($G$68*$F$68*AC12*(AC$4&gt;=1),0)</f>
        <v/>
      </c>
      <c r="AD28" s="25">
        <f>IFERROR($G$68*$F$68*AD12*(AD$4&gt;=1),0)</f>
        <v/>
      </c>
      <c r="AE28" s="25">
        <f>IFERROR($G$68*$F$68*AE12*(AE$4&gt;=1),0)</f>
        <v/>
      </c>
      <c r="AF28" s="25">
        <f>IFERROR($G$68*$F$68*AF12*(AF$4&gt;=1),0)</f>
        <v/>
      </c>
      <c r="AG28" s="25">
        <f>IFERROR($G$68*$F$68*AG12*(AG$4&gt;=1),0)</f>
        <v/>
      </c>
      <c r="AH28" s="25">
        <f>IFERROR($G$68*$F$68*AH12*(AH$4&gt;=1),0)</f>
        <v/>
      </c>
      <c r="AI28" s="25">
        <f>IFERROR($G$68*$F$68*AI12*(AI$4&gt;=1),0)</f>
        <v/>
      </c>
      <c r="AJ28" s="25">
        <f>IFERROR($G$68*$F$68*AJ12*(AJ$4&gt;=1),0)</f>
        <v/>
      </c>
      <c r="AK28" s="25">
        <f>IFERROR($G$68*$F$68*AK12*(AK$4&gt;=1),0)</f>
        <v/>
      </c>
      <c r="AL28" s="25">
        <f>IFERROR($G$68*$F$68*AL12*(AL$4&gt;=1),0)</f>
        <v/>
      </c>
      <c r="AM28" s="25">
        <f>IFERROR($G$68*$F$68*AM12*(AM$4&gt;=1),0)</f>
        <v/>
      </c>
      <c r="AN28" s="25">
        <f>IFERROR($G$68*$F$68*AN12*(AN$4&gt;=1),0)</f>
        <v/>
      </c>
      <c r="AO28" s="25">
        <f>IFERROR($G$68*$F$68*AO12*(AO$4&gt;=1),0)</f>
        <v/>
      </c>
      <c r="AP28" s="25">
        <f>IFERROR($G$68*$F$68*AP12*(AP$4&gt;=1),0)</f>
        <v/>
      </c>
      <c r="AQ28" s="25">
        <f>IFERROR($G$68*$F$68*AQ12*(AQ$4&gt;=1),0)</f>
        <v/>
      </c>
      <c r="AR28" s="25">
        <f>IFERROR($G$68*$F$68*AR12*(AR$4&gt;=1),0)</f>
        <v/>
      </c>
      <c r="AS28" s="25">
        <f>IFERROR($G$68*$F$68*AS12*(AS$4&gt;=1),0)</f>
        <v/>
      </c>
      <c r="AT28" s="25">
        <f>IFERROR($G$68*$F$68*AT12*(AT$4&gt;=1),0)</f>
        <v/>
      </c>
      <c r="AU28" s="25">
        <f>IFERROR($G$68*$F$68*AU12*(AU$4&gt;=1),0)</f>
        <v/>
      </c>
      <c r="AV28" s="25">
        <f>IFERROR($G$68*$F$68*AV12*(AV$4&gt;=1),0)</f>
        <v/>
      </c>
      <c r="AW28" s="25">
        <f>IFERROR($G$68*$F$68*AW12*(AW$4&gt;=1),0)</f>
        <v/>
      </c>
      <c r="AX28" s="25">
        <f>IFERROR($G$68*$F$68*AX12*(AX$4&gt;=1),0)</f>
        <v/>
      </c>
      <c r="AY28" s="25">
        <f>IFERROR($G$68*$F$68*AY12*(AY$4&gt;=1),0)</f>
        <v/>
      </c>
      <c r="AZ28" s="25">
        <f>IFERROR($G$68*$F$68*AZ12*(AZ$4&gt;=1),0)</f>
        <v/>
      </c>
      <c r="BA28" s="25">
        <f>IFERROR($G$68*$F$68*BA12*(BA$4&gt;=1),0)</f>
        <v/>
      </c>
      <c r="BB28" s="25">
        <f>IFERROR($G$68*$F$68*BB12*(BB$4&gt;=1),0)</f>
        <v/>
      </c>
      <c r="BC28" s="25">
        <f>IFERROR($G$68*$F$68*BC12*(BC$4&gt;=1),0)</f>
        <v/>
      </c>
      <c r="BD28" s="25">
        <f>IFERROR($G$68*$F$68*BD12*(BD$4&gt;=1),0)</f>
        <v/>
      </c>
      <c r="BE28" s="25">
        <f>IFERROR($G$68*$F$68*BE12*(BE$4&gt;=1),0)</f>
        <v/>
      </c>
      <c r="BF28" s="25">
        <f>IFERROR($G$68*$F$68*BF12*(BF$4&gt;=1),0)</f>
        <v/>
      </c>
      <c r="BG28" s="25">
        <f>IFERROR($G$68*$F$68*BG12*(BG$4&gt;=1),0)</f>
        <v/>
      </c>
      <c r="BH28" s="25">
        <f>IFERROR($G$68*$F$68*BH12*(BH$4&gt;=1),0)</f>
        <v/>
      </c>
      <c r="BI28" s="25">
        <f>IFERROR($G$68*$F$68*BI12*(BI$4&gt;=1),0)</f>
        <v/>
      </c>
      <c r="BJ28" s="25">
        <f>IFERROR($G$68*$F$68*BJ12*(BJ$4&gt;=1),0)</f>
        <v/>
      </c>
      <c r="BK28" s="25">
        <f>IFERROR($G$68*$F$68*BK12*(BK$4&gt;=1),0)</f>
        <v/>
      </c>
      <c r="BL28" s="25">
        <f>IFERROR($G$68*$F$68*BL12*(BL$4&gt;=1),0)</f>
        <v/>
      </c>
      <c r="BM28" s="25">
        <f>IFERROR($G$68*$F$68*BM12*(BM$4&gt;=1),0)</f>
        <v/>
      </c>
      <c r="BN28" s="25">
        <f>IFERROR($G$68*$F$68*BN12*(BN$4&gt;=1),0)</f>
        <v/>
      </c>
      <c r="BO28" s="25">
        <f>IFERROR($G$68*$F$68*BO12*(BO$4&gt;=1),0)</f>
        <v/>
      </c>
      <c r="BP28" s="25">
        <f>IFERROR($G$68*$F$68*BP12*(BP$4&gt;=1),0)</f>
        <v/>
      </c>
      <c r="BQ28" s="25">
        <f>IFERROR($G$68*$F$68*BQ12*(BQ$4&gt;=1),0)</f>
        <v/>
      </c>
      <c r="BR28" s="25">
        <f>IFERROR($G$68*$F$68*BR12*(BR$4&gt;=1),0)</f>
        <v/>
      </c>
      <c r="BS28" s="25">
        <f>IFERROR($G$68*$F$68*BS12*(BS$4&gt;=1),0)</f>
        <v/>
      </c>
      <c r="BT28" s="25">
        <f>IFERROR($G$68*$F$68*BT12*(BT$4&gt;=1),0)</f>
        <v/>
      </c>
      <c r="BU28" s="25">
        <f>IFERROR($G$68*$F$68*BU12*(BU$4&gt;=1),0)</f>
        <v/>
      </c>
      <c r="BV28" s="25">
        <f>IFERROR($G$68*$F$68*BV12*(BV$4&gt;=1),0)</f>
        <v/>
      </c>
      <c r="BW28" s="25">
        <f>IFERROR($G$68*$F$68*BW12*(BW$4&gt;=1),0)</f>
        <v/>
      </c>
      <c r="BX28" s="25">
        <f>IFERROR($G$68*$F$68*BX12*(BX$4&gt;=1),0)</f>
        <v/>
      </c>
      <c r="BY28" s="25">
        <f>IFERROR($G$68*$F$68*BY12*(BY$4&gt;=1),0)</f>
        <v/>
      </c>
      <c r="BZ28" s="25">
        <f>IFERROR($G$68*$F$68*BZ12*(BZ$4&gt;=1),0)</f>
        <v/>
      </c>
      <c r="CA28" s="25">
        <f>IFERROR($G$68*$F$68*CA12*(CA$4&gt;=1),0)</f>
        <v/>
      </c>
      <c r="CB28" s="25">
        <f>IFERROR($G$68*$F$68*CB12*(CB$4&gt;=1),0)</f>
        <v/>
      </c>
      <c r="CC28" s="25">
        <f>IFERROR($G$68*$F$68*CC12*(CC$4&gt;=1),0)</f>
        <v/>
      </c>
      <c r="CD28" s="25">
        <f>IFERROR($G$68*$F$68*CD12*(CD$4&gt;=1),0)</f>
        <v/>
      </c>
      <c r="CE28" s="25">
        <f>IFERROR($G$68*$F$68*CE12*(CE$4&gt;=1),0)</f>
        <v/>
      </c>
      <c r="CF28" s="25">
        <f>IFERROR($G$68*$F$68*CF12*(CF$4&gt;=1),0)</f>
        <v/>
      </c>
      <c r="CG28" s="25">
        <f>IFERROR($G$68*$F$68*CG12*(CG$4&gt;=1),0)</f>
        <v/>
      </c>
      <c r="CH28" s="25">
        <f>IFERROR($G$68*$F$68*CH12*(CH$4&gt;=1),0)</f>
        <v/>
      </c>
      <c r="CI28" s="25">
        <f>IFERROR($G$68*$F$68*CI12*(CI$4&gt;=1),0)</f>
        <v/>
      </c>
      <c r="CJ28" s="25">
        <f>IFERROR($G$68*$F$68*CJ12*(CJ$4&gt;=1),0)</f>
        <v/>
      </c>
      <c r="CK28" s="25">
        <f>IFERROR($G$68*$F$68*CK12*(CK$4&gt;=1),0)</f>
        <v/>
      </c>
      <c r="CL28" s="25">
        <f>IFERROR($G$68*$F$68*CL12*(CL$4&gt;=1),0)</f>
        <v/>
      </c>
      <c r="CM28" s="25">
        <f>IFERROR($G$68*$F$68*CM12*(CM$4&gt;=1),0)</f>
        <v/>
      </c>
      <c r="CN28" s="25">
        <f>IFERROR($G$68*$F$68*CN12*(CN$4&gt;=1),0)</f>
        <v/>
      </c>
      <c r="CO28" s="25">
        <f>IFERROR($G$68*$F$68*CO12*(CO$4&gt;=1),0)</f>
        <v/>
      </c>
      <c r="CP28" s="25">
        <f>IFERROR($G$68*$F$68*CP12*(CP$4&gt;=1),0)</f>
        <v/>
      </c>
      <c r="CQ28" s="25">
        <f>IFERROR($G$68*$F$68*CQ12*(CQ$4&gt;=1),0)</f>
        <v/>
      </c>
      <c r="CR28" s="25">
        <f>IFERROR($G$68*$F$68*CR12*(CR$4&gt;=1),0)</f>
        <v/>
      </c>
      <c r="CS28" s="25">
        <f>IFERROR($G$68*$F$68*CS12*(CS$4&gt;=1),0)</f>
        <v/>
      </c>
      <c r="CT28" s="25">
        <f>IFERROR($G$68*$F$68*CT12*(CT$4&gt;=1),0)</f>
        <v/>
      </c>
      <c r="CU28" s="25">
        <f>IFERROR($G$68*$F$68*CU12*(CU$4&gt;=1),0)</f>
        <v/>
      </c>
      <c r="CV28" s="25">
        <f>IFERROR($G$68*$F$68*CV12*(CV$4&gt;=1),0)</f>
        <v/>
      </c>
      <c r="CW28" s="25">
        <f>IFERROR($G$68*$F$68*CW12*(CW$4&gt;=1),0)</f>
        <v/>
      </c>
      <c r="CX28" s="25">
        <f>IFERROR($G$68*$F$68*CX12*(CX$4&gt;=1),0)</f>
        <v/>
      </c>
      <c r="CY28" s="25">
        <f>IFERROR($G$68*$F$68*CY12*(CY$4&gt;=1),0)</f>
        <v/>
      </c>
      <c r="CZ28" s="25">
        <f>IFERROR($G$68*$F$68*CZ12*(CZ$4&gt;=1),0)</f>
        <v/>
      </c>
      <c r="DA28" s="25">
        <f>IFERROR($G$68*$F$68*DA12*(DA$4&gt;=1),0)</f>
        <v/>
      </c>
      <c r="DB28" s="25">
        <f>IFERROR($G$68*$F$68*DB12*(DB$4&gt;=1),0)</f>
        <v/>
      </c>
      <c r="DC28" s="25">
        <f>IFERROR($G$68*$F$68*DC12*(DC$4&gt;=1),0)</f>
        <v/>
      </c>
      <c r="DD28" s="25">
        <f>IFERROR($G$68*$F$68*DD12*(DD$4&gt;=1),0)</f>
        <v/>
      </c>
      <c r="DE28" s="25">
        <f>IFERROR($G$68*$F$68*DE12*(DE$4&gt;=1),0)</f>
        <v/>
      </c>
      <c r="DF28" s="25">
        <f>IFERROR($G$68*$F$68*DF12*(DF$4&gt;=1),0)</f>
        <v/>
      </c>
      <c r="DG28" s="25">
        <f>IFERROR($G$68*$F$68*DG12*(DG$4&gt;=1),0)</f>
        <v/>
      </c>
      <c r="DH28" s="25">
        <f>IFERROR($G$68*$F$68*DH12*(DH$4&gt;=1),0)</f>
        <v/>
      </c>
      <c r="DI28" s="25">
        <f>IFERROR($G$68*$F$68*DI12*(DI$4&gt;=1),0)</f>
        <v/>
      </c>
      <c r="DJ28" s="25">
        <f>IFERROR($G$68*$F$68*DJ12*(DJ$4&gt;=1),0)</f>
        <v/>
      </c>
      <c r="DK28" s="25">
        <f>IFERROR($G$68*$F$68*DK12*(DK$4&gt;=1),0)</f>
        <v/>
      </c>
      <c r="DL28" s="25">
        <f>IFERROR($G$68*$F$68*DL12*(DL$4&gt;=1),0)</f>
        <v/>
      </c>
      <c r="DM28" s="25">
        <f>IFERROR($G$68*$F$68*DM12*(DM$4&gt;=1),0)</f>
        <v/>
      </c>
      <c r="DN28" s="25">
        <f>IFERROR($G$68*$F$68*DN12*(DN$4&gt;=1),0)</f>
        <v/>
      </c>
      <c r="DO28" s="25">
        <f>IFERROR($G$68*$F$68*DO12*(DO$4&gt;=1),0)</f>
        <v/>
      </c>
      <c r="DP28" s="25">
        <f>IFERROR($G$68*$F$68*DP12*(DP$4&gt;=1),0)</f>
        <v/>
      </c>
      <c r="DQ28" s="25">
        <f>IFERROR($G$68*$F$68*DQ12*(DQ$4&gt;=1),0)</f>
        <v/>
      </c>
      <c r="DR28" s="25">
        <f>IFERROR($G$68*$F$68*DR12*(DR$4&gt;=1),0)</f>
        <v/>
      </c>
      <c r="DS28" s="25">
        <f>IFERROR($G$68*$F$68*DS12*(DS$4&gt;=1),0)</f>
        <v/>
      </c>
      <c r="DT28" s="25">
        <f>IFERROR($G$68*$F$68*DT12*(DT$4&gt;=1),0)</f>
        <v/>
      </c>
      <c r="DU28" s="25">
        <f>IFERROR($G$68*$F$68*DU12*(DU$4&gt;=1),0)</f>
        <v/>
      </c>
      <c r="DV28" s="25">
        <f>IFERROR($G$68*$F$68*DV12*(DV$4&gt;=1),0)</f>
        <v/>
      </c>
      <c r="DW28" s="25">
        <f>IFERROR($G$68*$F$68*DW12*(DW$4&gt;=1),0)</f>
        <v/>
      </c>
      <c r="DX28" s="25">
        <f>IFERROR($G$68*$F$68*DX12*(DX$4&gt;=1),0)</f>
        <v/>
      </c>
      <c r="DY28" s="25">
        <f>IFERROR($G$68*$F$68*DY12*(DY$4&gt;=1),0)</f>
        <v/>
      </c>
      <c r="DZ28" s="25">
        <f>IFERROR($G$68*$F$68*DZ12*(DZ$4&gt;=1),0)</f>
        <v/>
      </c>
      <c r="EA28" s="25">
        <f>IFERROR($G$68*$F$68*EA12*(EA$4&gt;=1),0)</f>
        <v/>
      </c>
      <c r="EB28" s="25">
        <f>IFERROR($G$68*$F$68*EB12*(EB$4&gt;=1),0)</f>
        <v/>
      </c>
      <c r="EC28" s="25">
        <f>IFERROR($G$68*$F$68*EC12*(EC$4&gt;=1),0)</f>
        <v/>
      </c>
      <c r="ED28" s="25">
        <f>IFERROR($G$68*$F$68*ED12*(ED$4&gt;=1),0)</f>
        <v/>
      </c>
      <c r="EE28" s="25">
        <f>IFERROR($G$68*$F$68*EE12*(EE$4&gt;=1),0)</f>
        <v/>
      </c>
      <c r="EF28" s="25">
        <f>IFERROR($G$68*$F$68*EF12*(EF$4&gt;=1),0)</f>
        <v/>
      </c>
      <c r="EG28" s="25">
        <f>IFERROR($G$68*$F$68*EG12*(EG$4&gt;=1),0)</f>
        <v/>
      </c>
      <c r="EH28" s="25">
        <f>IFERROR($G$68*$F$68*EH12*(EH$4&gt;=1),0)</f>
        <v/>
      </c>
      <c r="EI28" s="25">
        <f>IFERROR($G$68*$F$68*EI12*(EI$4&gt;=1),0)</f>
        <v/>
      </c>
      <c r="EJ28" s="25">
        <f>IFERROR($G$68*$F$68*EJ12*(EJ$4&gt;=1),0)</f>
        <v/>
      </c>
      <c r="EK28" s="25">
        <f>IFERROR($G$68*$F$68*EK12*(EK$4&gt;=1),0)</f>
        <v/>
      </c>
      <c r="EL28" s="25">
        <f>IFERROR($G$68*$F$68*EL12*(EL$4&gt;=1),0)</f>
        <v/>
      </c>
      <c r="EM28" s="25">
        <f>IFERROR($G$68*$F$68*EM12*(EM$4&gt;=1),0)</f>
        <v/>
      </c>
      <c r="EN28" s="25">
        <f>IFERROR($G$68*$F$68*EN12*(EN$4&gt;=1),0)</f>
        <v/>
      </c>
      <c r="EO28" s="25">
        <f>IFERROR($G$68*$F$68*EO12*(EO$4&gt;=1),0)</f>
        <v/>
      </c>
      <c r="EP28" s="25">
        <f>IFERROR($G$68*$F$68*EP12*(EP$4&gt;=1),0)</f>
        <v/>
      </c>
      <c r="EQ28" s="25">
        <f>IFERROR($G$68*$F$68*EQ12*(EQ$4&gt;=1),0)</f>
        <v/>
      </c>
      <c r="ER28" s="25">
        <f>IFERROR($G$68*$F$68*ER12*(ER$4&gt;=1),0)</f>
        <v/>
      </c>
      <c r="ES28" s="25">
        <f>IFERROR($G$68*$F$68*ES12*(ES$4&gt;=1),0)</f>
        <v/>
      </c>
      <c r="ET28" s="25">
        <f>IFERROR($G$68*$F$68*ET12*(ET$4&gt;=1),0)</f>
        <v/>
      </c>
      <c r="EU28" s="25">
        <f>IFERROR($G$68*$F$68*EU12*(EU$4&gt;=1),0)</f>
        <v/>
      </c>
      <c r="EV28" s="25">
        <f>IFERROR($G$68*$F$68*EV12*(EV$4&gt;=1),0)</f>
        <v/>
      </c>
      <c r="EW28" s="25">
        <f>IFERROR($G$68*$F$68*EW12*(EW$4&gt;=1),0)</f>
        <v/>
      </c>
      <c r="EX28" s="25">
        <f>IFERROR($G$68*$F$68*EX12*(EX$4&gt;=1),0)</f>
        <v/>
      </c>
    </row>
    <row r="29">
      <c r="I29" s="9" t="n"/>
      <c r="J29" s="9" t="inlineStr">
        <is>
          <t>Other Income</t>
        </is>
      </c>
      <c r="K29" s="264">
        <f>G69</f>
        <v/>
      </c>
      <c r="L29" s="282" t="n"/>
      <c r="M29" s="200">
        <f>SUMIF($V$4:$EX$4,"&lt;="&amp;$H$19,$V29:$EX29)</f>
        <v/>
      </c>
      <c r="N29" s="279" t="n"/>
      <c r="O29" s="283">
        <f>SUMIF($V$5:$EX$5,O$7,$V29:$EX29)</f>
        <v/>
      </c>
      <c r="P29" s="283">
        <f>SUMIF($V$5:$EX$5,P$7,$V29:$EX29)</f>
        <v/>
      </c>
      <c r="Q29" s="283">
        <f>SUMIF($V$5:$EX$5,Q$7,$V29:$EX29)</f>
        <v/>
      </c>
      <c r="R29" s="283">
        <f>SUMIF($V$5:$EX$5,R$7,$V29:$EX29)</f>
        <v/>
      </c>
      <c r="S29" s="283">
        <f>SUMIF($V$5:$EX$5,S$7,$V29:$EX29)</f>
        <v/>
      </c>
      <c r="T29" s="283">
        <f>SUMIF($V$5:$EX$5,T$7,$V29:$EX29)</f>
        <v/>
      </c>
      <c r="U29" s="279" t="n"/>
      <c r="V29" s="200" t="n">
        <v>0</v>
      </c>
      <c r="W29" s="200">
        <f>IFERROR($G$69*$F$69*W12*(W$4&gt;=1),0)</f>
        <v/>
      </c>
      <c r="X29" s="200">
        <f>IFERROR($G$69*$F$69*X12*(X$4&gt;=1),0)</f>
        <v/>
      </c>
      <c r="Y29" s="200">
        <f>IFERROR($G$69*$F$69*Y12*(Y$4&gt;=1),0)</f>
        <v/>
      </c>
      <c r="Z29" s="200">
        <f>IFERROR($G$69*$F$69*Z12*(Z$4&gt;=1),0)</f>
        <v/>
      </c>
      <c r="AA29" s="200">
        <f>IFERROR($G$69*$F$69*AA12*(AA$4&gt;=1),0)</f>
        <v/>
      </c>
      <c r="AB29" s="200">
        <f>IFERROR($G$69*$F$69*AB12*(AB$4&gt;=1),0)</f>
        <v/>
      </c>
      <c r="AC29" s="200">
        <f>IFERROR($G$69*$F$69*AC12*(AC$4&gt;=1),0)</f>
        <v/>
      </c>
      <c r="AD29" s="200">
        <f>IFERROR($G$69*$F$69*AD12*(AD$4&gt;=1),0)</f>
        <v/>
      </c>
      <c r="AE29" s="200">
        <f>IFERROR($G$69*$F$69*AE12*(AE$4&gt;=1),0)</f>
        <v/>
      </c>
      <c r="AF29" s="200">
        <f>IFERROR($G$69*$F$69*AF12*(AF$4&gt;=1),0)</f>
        <v/>
      </c>
      <c r="AG29" s="200">
        <f>IFERROR($G$69*$F$69*AG12*(AG$4&gt;=1),0)</f>
        <v/>
      </c>
      <c r="AH29" s="200">
        <f>IFERROR($G$69*$F$69*AH12*(AH$4&gt;=1),0)</f>
        <v/>
      </c>
      <c r="AI29" s="200">
        <f>IFERROR($G$69*$F$69*AI12*(AI$4&gt;=1),0)</f>
        <v/>
      </c>
      <c r="AJ29" s="200">
        <f>IFERROR($G$69*$F$69*AJ12*(AJ$4&gt;=1),0)</f>
        <v/>
      </c>
      <c r="AK29" s="200">
        <f>IFERROR($G$69*$F$69*AK12*(AK$4&gt;=1),0)</f>
        <v/>
      </c>
      <c r="AL29" s="200">
        <f>IFERROR($G$69*$F$69*AL12*(AL$4&gt;=1),0)</f>
        <v/>
      </c>
      <c r="AM29" s="200">
        <f>IFERROR($G$69*$F$69*AM12*(AM$4&gt;=1),0)</f>
        <v/>
      </c>
      <c r="AN29" s="200">
        <f>IFERROR($G$69*$F$69*AN12*(AN$4&gt;=1),0)</f>
        <v/>
      </c>
      <c r="AO29" s="200">
        <f>IFERROR($G$69*$F$69*AO12*(AO$4&gt;=1),0)</f>
        <v/>
      </c>
      <c r="AP29" s="200">
        <f>IFERROR($G$69*$F$69*AP12*(AP$4&gt;=1),0)</f>
        <v/>
      </c>
      <c r="AQ29" s="200">
        <f>IFERROR($G$69*$F$69*AQ12*(AQ$4&gt;=1),0)</f>
        <v/>
      </c>
      <c r="AR29" s="200">
        <f>IFERROR($G$69*$F$69*AR12*(AR$4&gt;=1),0)</f>
        <v/>
      </c>
      <c r="AS29" s="200">
        <f>IFERROR($G$69*$F$69*AS12*(AS$4&gt;=1),0)</f>
        <v/>
      </c>
      <c r="AT29" s="200">
        <f>IFERROR($G$69*$F$69*AT12*(AT$4&gt;=1),0)</f>
        <v/>
      </c>
      <c r="AU29" s="200">
        <f>IFERROR($G$69*$F$69*AU12*(AU$4&gt;=1),0)</f>
        <v/>
      </c>
      <c r="AV29" s="200">
        <f>IFERROR($G$69*$F$69*AV12*(AV$4&gt;=1),0)</f>
        <v/>
      </c>
      <c r="AW29" s="200">
        <f>IFERROR($G$69*$F$69*AW12*(AW$4&gt;=1),0)</f>
        <v/>
      </c>
      <c r="AX29" s="200">
        <f>IFERROR($G$69*$F$69*AX12*(AX$4&gt;=1),0)</f>
        <v/>
      </c>
      <c r="AY29" s="200">
        <f>IFERROR($G$69*$F$69*AY12*(AY$4&gt;=1),0)</f>
        <v/>
      </c>
      <c r="AZ29" s="200">
        <f>IFERROR($G$69*$F$69*AZ12*(AZ$4&gt;=1),0)</f>
        <v/>
      </c>
      <c r="BA29" s="200">
        <f>IFERROR($G$69*$F$69*BA12*(BA$4&gt;=1),0)</f>
        <v/>
      </c>
      <c r="BB29" s="200">
        <f>IFERROR($G$69*$F$69*BB12*(BB$4&gt;=1),0)</f>
        <v/>
      </c>
      <c r="BC29" s="200">
        <f>IFERROR($G$69*$F$69*BC12*(BC$4&gt;=1),0)</f>
        <v/>
      </c>
      <c r="BD29" s="200">
        <f>IFERROR($G$69*$F$69*BD12*(BD$4&gt;=1),0)</f>
        <v/>
      </c>
      <c r="BE29" s="200">
        <f>IFERROR($G$69*$F$69*BE12*(BE$4&gt;=1),0)</f>
        <v/>
      </c>
      <c r="BF29" s="200">
        <f>IFERROR($G$69*$F$69*BF12*(BF$4&gt;=1),0)</f>
        <v/>
      </c>
      <c r="BG29" s="200">
        <f>IFERROR($G$69*$F$69*BG12*(BG$4&gt;=1),0)</f>
        <v/>
      </c>
      <c r="BH29" s="200">
        <f>IFERROR($G$69*$F$69*BH12*(BH$4&gt;=1),0)</f>
        <v/>
      </c>
      <c r="BI29" s="200">
        <f>IFERROR($G$69*$F$69*BI12*(BI$4&gt;=1),0)</f>
        <v/>
      </c>
      <c r="BJ29" s="200">
        <f>IFERROR($G$69*$F$69*BJ12*(BJ$4&gt;=1),0)</f>
        <v/>
      </c>
      <c r="BK29" s="200">
        <f>IFERROR($G$69*$F$69*BK12*(BK$4&gt;=1),0)</f>
        <v/>
      </c>
      <c r="BL29" s="200">
        <f>IFERROR($G$69*$F$69*BL12*(BL$4&gt;=1),0)</f>
        <v/>
      </c>
      <c r="BM29" s="200">
        <f>IFERROR($G$69*$F$69*BM12*(BM$4&gt;=1),0)</f>
        <v/>
      </c>
      <c r="BN29" s="200">
        <f>IFERROR($G$69*$F$69*BN12*(BN$4&gt;=1),0)</f>
        <v/>
      </c>
      <c r="BO29" s="200">
        <f>IFERROR($G$69*$F$69*BO12*(BO$4&gt;=1),0)</f>
        <v/>
      </c>
      <c r="BP29" s="200">
        <f>IFERROR($G$69*$F$69*BP12*(BP$4&gt;=1),0)</f>
        <v/>
      </c>
      <c r="BQ29" s="200">
        <f>IFERROR($G$69*$F$69*BQ12*(BQ$4&gt;=1),0)</f>
        <v/>
      </c>
      <c r="BR29" s="200">
        <f>IFERROR($G$69*$F$69*BR12*(BR$4&gt;=1),0)</f>
        <v/>
      </c>
      <c r="BS29" s="200">
        <f>IFERROR($G$69*$F$69*BS12*(BS$4&gt;=1),0)</f>
        <v/>
      </c>
      <c r="BT29" s="200">
        <f>IFERROR($G$69*$F$69*BT12*(BT$4&gt;=1),0)</f>
        <v/>
      </c>
      <c r="BU29" s="200">
        <f>IFERROR($G$69*$F$69*BU12*(BU$4&gt;=1),0)</f>
        <v/>
      </c>
      <c r="BV29" s="200">
        <f>IFERROR($G$69*$F$69*BV12*(BV$4&gt;=1),0)</f>
        <v/>
      </c>
      <c r="BW29" s="200">
        <f>IFERROR($G$69*$F$69*BW12*(BW$4&gt;=1),0)</f>
        <v/>
      </c>
      <c r="BX29" s="200">
        <f>IFERROR($G$69*$F$69*BX12*(BX$4&gt;=1),0)</f>
        <v/>
      </c>
      <c r="BY29" s="200">
        <f>IFERROR($G$69*$F$69*BY12*(BY$4&gt;=1),0)</f>
        <v/>
      </c>
      <c r="BZ29" s="200">
        <f>IFERROR($G$69*$F$69*BZ12*(BZ$4&gt;=1),0)</f>
        <v/>
      </c>
      <c r="CA29" s="200">
        <f>IFERROR($G$69*$F$69*CA12*(CA$4&gt;=1),0)</f>
        <v/>
      </c>
      <c r="CB29" s="200">
        <f>IFERROR($G$69*$F$69*CB12*(CB$4&gt;=1),0)</f>
        <v/>
      </c>
      <c r="CC29" s="200">
        <f>IFERROR($G$69*$F$69*CC12*(CC$4&gt;=1),0)</f>
        <v/>
      </c>
      <c r="CD29" s="200">
        <f>IFERROR($G$69*$F$69*CD12*(CD$4&gt;=1),0)</f>
        <v/>
      </c>
      <c r="CE29" s="200">
        <f>IFERROR($G$69*$F$69*CE12*(CE$4&gt;=1),0)</f>
        <v/>
      </c>
      <c r="CF29" s="200">
        <f>IFERROR($G$69*$F$69*CF12*(CF$4&gt;=1),0)</f>
        <v/>
      </c>
      <c r="CG29" s="200">
        <f>IFERROR($G$69*$F$69*CG12*(CG$4&gt;=1),0)</f>
        <v/>
      </c>
      <c r="CH29" s="200">
        <f>IFERROR($G$69*$F$69*CH12*(CH$4&gt;=1),0)</f>
        <v/>
      </c>
      <c r="CI29" s="200">
        <f>IFERROR($G$69*$F$69*CI12*(CI$4&gt;=1),0)</f>
        <v/>
      </c>
      <c r="CJ29" s="200">
        <f>IFERROR($G$69*$F$69*CJ12*(CJ$4&gt;=1),0)</f>
        <v/>
      </c>
      <c r="CK29" s="200">
        <f>IFERROR($G$69*$F$69*CK12*(CK$4&gt;=1),0)</f>
        <v/>
      </c>
      <c r="CL29" s="200">
        <f>IFERROR($G$69*$F$69*CL12*(CL$4&gt;=1),0)</f>
        <v/>
      </c>
      <c r="CM29" s="200">
        <f>IFERROR($G$69*$F$69*CM12*(CM$4&gt;=1),0)</f>
        <v/>
      </c>
      <c r="CN29" s="200">
        <f>IFERROR($G$69*$F$69*CN12*(CN$4&gt;=1),0)</f>
        <v/>
      </c>
      <c r="CO29" s="200">
        <f>IFERROR($G$69*$F$69*CO12*(CO$4&gt;=1),0)</f>
        <v/>
      </c>
      <c r="CP29" s="200">
        <f>IFERROR($G$69*$F$69*CP12*(CP$4&gt;=1),0)</f>
        <v/>
      </c>
      <c r="CQ29" s="200">
        <f>IFERROR($G$69*$F$69*CQ12*(CQ$4&gt;=1),0)</f>
        <v/>
      </c>
      <c r="CR29" s="200">
        <f>IFERROR($G$69*$F$69*CR12*(CR$4&gt;=1),0)</f>
        <v/>
      </c>
      <c r="CS29" s="200">
        <f>IFERROR($G$69*$F$69*CS12*(CS$4&gt;=1),0)</f>
        <v/>
      </c>
      <c r="CT29" s="200">
        <f>IFERROR($G$69*$F$69*CT12*(CT$4&gt;=1),0)</f>
        <v/>
      </c>
      <c r="CU29" s="200">
        <f>IFERROR($G$69*$F$69*CU12*(CU$4&gt;=1),0)</f>
        <v/>
      </c>
      <c r="CV29" s="200">
        <f>IFERROR($G$69*$F$69*CV12*(CV$4&gt;=1),0)</f>
        <v/>
      </c>
      <c r="CW29" s="200">
        <f>IFERROR($G$69*$F$69*CW12*(CW$4&gt;=1),0)</f>
        <v/>
      </c>
      <c r="CX29" s="200">
        <f>IFERROR($G$69*$F$69*CX12*(CX$4&gt;=1),0)</f>
        <v/>
      </c>
      <c r="CY29" s="200">
        <f>IFERROR($G$69*$F$69*CY12*(CY$4&gt;=1),0)</f>
        <v/>
      </c>
      <c r="CZ29" s="200">
        <f>IFERROR($G$69*$F$69*CZ12*(CZ$4&gt;=1),0)</f>
        <v/>
      </c>
      <c r="DA29" s="200">
        <f>IFERROR($G$69*$F$69*DA12*(DA$4&gt;=1),0)</f>
        <v/>
      </c>
      <c r="DB29" s="200">
        <f>IFERROR($G$69*$F$69*DB12*(DB$4&gt;=1),0)</f>
        <v/>
      </c>
      <c r="DC29" s="200">
        <f>IFERROR($G$69*$F$69*DC12*(DC$4&gt;=1),0)</f>
        <v/>
      </c>
      <c r="DD29" s="200">
        <f>IFERROR($G$69*$F$69*DD12*(DD$4&gt;=1),0)</f>
        <v/>
      </c>
      <c r="DE29" s="200">
        <f>IFERROR($G$69*$F$69*DE12*(DE$4&gt;=1),0)</f>
        <v/>
      </c>
      <c r="DF29" s="200">
        <f>IFERROR($G$69*$F$69*DF12*(DF$4&gt;=1),0)</f>
        <v/>
      </c>
      <c r="DG29" s="200">
        <f>IFERROR($G$69*$F$69*DG12*(DG$4&gt;=1),0)</f>
        <v/>
      </c>
      <c r="DH29" s="200">
        <f>IFERROR($G$69*$F$69*DH12*(DH$4&gt;=1),0)</f>
        <v/>
      </c>
      <c r="DI29" s="200">
        <f>IFERROR($G$69*$F$69*DI12*(DI$4&gt;=1),0)</f>
        <v/>
      </c>
      <c r="DJ29" s="200">
        <f>IFERROR($G$69*$F$69*DJ12*(DJ$4&gt;=1),0)</f>
        <v/>
      </c>
      <c r="DK29" s="200">
        <f>IFERROR($G$69*$F$69*DK12*(DK$4&gt;=1),0)</f>
        <v/>
      </c>
      <c r="DL29" s="200">
        <f>IFERROR($G$69*$F$69*DL12*(DL$4&gt;=1),0)</f>
        <v/>
      </c>
      <c r="DM29" s="200">
        <f>IFERROR($G$69*$F$69*DM12*(DM$4&gt;=1),0)</f>
        <v/>
      </c>
      <c r="DN29" s="200">
        <f>IFERROR($G$69*$F$69*DN12*(DN$4&gt;=1),0)</f>
        <v/>
      </c>
      <c r="DO29" s="200">
        <f>IFERROR($G$69*$F$69*DO12*(DO$4&gt;=1),0)</f>
        <v/>
      </c>
      <c r="DP29" s="200">
        <f>IFERROR($G$69*$F$69*DP12*(DP$4&gt;=1),0)</f>
        <v/>
      </c>
      <c r="DQ29" s="200">
        <f>IFERROR($G$69*$F$69*DQ12*(DQ$4&gt;=1),0)</f>
        <v/>
      </c>
      <c r="DR29" s="200">
        <f>IFERROR($G$69*$F$69*DR12*(DR$4&gt;=1),0)</f>
        <v/>
      </c>
      <c r="DS29" s="200">
        <f>IFERROR($G$69*$F$69*DS12*(DS$4&gt;=1),0)</f>
        <v/>
      </c>
      <c r="DT29" s="200">
        <f>IFERROR($G$69*$F$69*DT12*(DT$4&gt;=1),0)</f>
        <v/>
      </c>
      <c r="DU29" s="200">
        <f>IFERROR($G$69*$F$69*DU12*(DU$4&gt;=1),0)</f>
        <v/>
      </c>
      <c r="DV29" s="200">
        <f>IFERROR($G$69*$F$69*DV12*(DV$4&gt;=1),0)</f>
        <v/>
      </c>
      <c r="DW29" s="200">
        <f>IFERROR($G$69*$F$69*DW12*(DW$4&gt;=1),0)</f>
        <v/>
      </c>
      <c r="DX29" s="200">
        <f>IFERROR($G$69*$F$69*DX12*(DX$4&gt;=1),0)</f>
        <v/>
      </c>
      <c r="DY29" s="200">
        <f>IFERROR($G$69*$F$69*DY12*(DY$4&gt;=1),0)</f>
        <v/>
      </c>
      <c r="DZ29" s="200">
        <f>IFERROR($G$69*$F$69*DZ12*(DZ$4&gt;=1),0)</f>
        <v/>
      </c>
      <c r="EA29" s="200">
        <f>IFERROR($G$69*$F$69*EA12*(EA$4&gt;=1),0)</f>
        <v/>
      </c>
      <c r="EB29" s="200">
        <f>IFERROR($G$69*$F$69*EB12*(EB$4&gt;=1),0)</f>
        <v/>
      </c>
      <c r="EC29" s="200">
        <f>IFERROR($G$69*$F$69*EC12*(EC$4&gt;=1),0)</f>
        <v/>
      </c>
      <c r="ED29" s="200">
        <f>IFERROR($G$69*$F$69*ED12*(ED$4&gt;=1),0)</f>
        <v/>
      </c>
      <c r="EE29" s="200">
        <f>IFERROR($G$69*$F$69*EE12*(EE$4&gt;=1),0)</f>
        <v/>
      </c>
      <c r="EF29" s="200">
        <f>IFERROR($G$69*$F$69*EF12*(EF$4&gt;=1),0)</f>
        <v/>
      </c>
      <c r="EG29" s="200">
        <f>IFERROR($G$69*$F$69*EG12*(EG$4&gt;=1),0)</f>
        <v/>
      </c>
      <c r="EH29" s="200">
        <f>IFERROR($G$69*$F$69*EH12*(EH$4&gt;=1),0)</f>
        <v/>
      </c>
      <c r="EI29" s="200">
        <f>IFERROR($G$69*$F$69*EI12*(EI$4&gt;=1),0)</f>
        <v/>
      </c>
      <c r="EJ29" s="200">
        <f>IFERROR($G$69*$F$69*EJ12*(EJ$4&gt;=1),0)</f>
        <v/>
      </c>
      <c r="EK29" s="200">
        <f>IFERROR($G$69*$F$69*EK12*(EK$4&gt;=1),0)</f>
        <v/>
      </c>
      <c r="EL29" s="200">
        <f>IFERROR($G$69*$F$69*EL12*(EL$4&gt;=1),0)</f>
        <v/>
      </c>
      <c r="EM29" s="200">
        <f>IFERROR($G$69*$F$69*EM12*(EM$4&gt;=1),0)</f>
        <v/>
      </c>
      <c r="EN29" s="200">
        <f>IFERROR($G$69*$F$69*EN12*(EN$4&gt;=1),0)</f>
        <v/>
      </c>
      <c r="EO29" s="200">
        <f>IFERROR($G$69*$F$69*EO12*(EO$4&gt;=1),0)</f>
        <v/>
      </c>
      <c r="EP29" s="200">
        <f>IFERROR($G$69*$F$69*EP12*(EP$4&gt;=1),0)</f>
        <v/>
      </c>
      <c r="EQ29" s="200">
        <f>IFERROR($G$69*$F$69*EQ12*(EQ$4&gt;=1),0)</f>
        <v/>
      </c>
      <c r="ER29" s="200">
        <f>IFERROR($G$69*$F$69*ER12*(ER$4&gt;=1),0)</f>
        <v/>
      </c>
      <c r="ES29" s="200">
        <f>IFERROR($G$69*$F$69*ES12*(ES$4&gt;=1),0)</f>
        <v/>
      </c>
      <c r="ET29" s="200">
        <f>IFERROR($G$69*$F$69*ET12*(ET$4&gt;=1),0)</f>
        <v/>
      </c>
      <c r="EU29" s="200">
        <f>IFERROR($G$69*$F$69*EU12*(EU$4&gt;=1),0)</f>
        <v/>
      </c>
      <c r="EV29" s="200">
        <f>IFERROR($G$69*$F$69*EV12*(EV$4&gt;=1),0)</f>
        <v/>
      </c>
      <c r="EW29" s="200">
        <f>IFERROR($G$69*$F$69*EW12*(EW$4&gt;=1),0)</f>
        <v/>
      </c>
      <c r="EX29" s="200">
        <f>IFERROR($G$69*$F$69*EX12*(EX$4&gt;=1),0)</f>
        <v/>
      </c>
    </row>
    <row r="30">
      <c r="C30" s="18" t="inlineStr">
        <is>
          <t>Sources &amp; Uses at Closing</t>
        </is>
      </c>
      <c r="D30" s="18" t="n"/>
      <c r="E30" s="18" t="n"/>
      <c r="F30" s="18" t="n"/>
      <c r="G30" s="18" t="n"/>
      <c r="H30" s="18" t="n"/>
      <c r="I30" s="9" t="n"/>
      <c r="J30" s="269" t="inlineStr">
        <is>
          <t>Total Other Income</t>
        </is>
      </c>
      <c r="K30" s="269" t="n"/>
      <c r="L30" s="270" t="n"/>
      <c r="M30" s="266">
        <f>SUMIF($V$4:$EX$4,"&lt;="&amp;$H$19,$V30:$EX30)</f>
        <v/>
      </c>
      <c r="N30" s="270" t="n"/>
      <c r="O30" s="266">
        <f>SUMIF($V$5:$EX$5,O$7,$V30:$EX30)</f>
        <v/>
      </c>
      <c r="P30" s="266">
        <f>SUMIF($V$5:$EX$5,P$7,$V30:$EX30)</f>
        <v/>
      </c>
      <c r="Q30" s="266">
        <f>SUMIF($V$5:$EX$5,Q$7,$V30:$EX30)</f>
        <v/>
      </c>
      <c r="R30" s="266">
        <f>SUMIF($V$5:$EX$5,R$7,$V30:$EX30)</f>
        <v/>
      </c>
      <c r="S30" s="266">
        <f>SUMIF($V$5:$EX$5,S$7,$V30:$EX30)</f>
        <v/>
      </c>
      <c r="T30" s="266">
        <f>SUMIF($V$5:$EX$5,T$7,$V30:$EX30)</f>
        <v/>
      </c>
      <c r="U30" s="270" t="n"/>
      <c r="V30" s="266" t="n">
        <v>0</v>
      </c>
      <c r="W30" s="266">
        <f>SUM(W27:W29)</f>
        <v/>
      </c>
      <c r="X30" s="266">
        <f>SUM(X27:X29)</f>
        <v/>
      </c>
      <c r="Y30" s="266">
        <f>SUM(Y27:Y29)</f>
        <v/>
      </c>
      <c r="Z30" s="266">
        <f>SUM(Z27:Z29)</f>
        <v/>
      </c>
      <c r="AA30" s="266">
        <f>SUM(AA27:AA29)</f>
        <v/>
      </c>
      <c r="AB30" s="266">
        <f>SUM(AB27:AB29)</f>
        <v/>
      </c>
      <c r="AC30" s="266">
        <f>SUM(AC27:AC29)</f>
        <v/>
      </c>
      <c r="AD30" s="266">
        <f>SUM(AD27:AD29)</f>
        <v/>
      </c>
      <c r="AE30" s="266">
        <f>SUM(AE27:AE29)</f>
        <v/>
      </c>
      <c r="AF30" s="266">
        <f>SUM(AF27:AF29)</f>
        <v/>
      </c>
      <c r="AG30" s="266">
        <f>SUM(AG27:AG29)</f>
        <v/>
      </c>
      <c r="AH30" s="266">
        <f>SUM(AH27:AH29)</f>
        <v/>
      </c>
      <c r="AI30" s="266">
        <f>SUM(AI27:AI29)</f>
        <v/>
      </c>
      <c r="AJ30" s="266">
        <f>SUM(AJ27:AJ29)</f>
        <v/>
      </c>
      <c r="AK30" s="266">
        <f>SUM(AK27:AK29)</f>
        <v/>
      </c>
      <c r="AL30" s="266">
        <f>SUM(AL27:AL29)</f>
        <v/>
      </c>
      <c r="AM30" s="266">
        <f>SUM(AM27:AM29)</f>
        <v/>
      </c>
      <c r="AN30" s="266">
        <f>SUM(AN27:AN29)</f>
        <v/>
      </c>
      <c r="AO30" s="266">
        <f>SUM(AO27:AO29)</f>
        <v/>
      </c>
      <c r="AP30" s="266">
        <f>SUM(AP27:AP29)</f>
        <v/>
      </c>
      <c r="AQ30" s="266">
        <f>SUM(AQ27:AQ29)</f>
        <v/>
      </c>
      <c r="AR30" s="266">
        <f>SUM(AR27:AR29)</f>
        <v/>
      </c>
      <c r="AS30" s="266">
        <f>SUM(AS27:AS29)</f>
        <v/>
      </c>
      <c r="AT30" s="266">
        <f>SUM(AT27:AT29)</f>
        <v/>
      </c>
      <c r="AU30" s="266">
        <f>SUM(AU27:AU29)</f>
        <v/>
      </c>
      <c r="AV30" s="266">
        <f>SUM(AV27:AV29)</f>
        <v/>
      </c>
      <c r="AW30" s="266">
        <f>SUM(AW27:AW29)</f>
        <v/>
      </c>
      <c r="AX30" s="266">
        <f>SUM(AX27:AX29)</f>
        <v/>
      </c>
      <c r="AY30" s="266">
        <f>SUM(AY27:AY29)</f>
        <v/>
      </c>
      <c r="AZ30" s="266">
        <f>SUM(AZ27:AZ29)</f>
        <v/>
      </c>
      <c r="BA30" s="266">
        <f>SUM(BA27:BA29)</f>
        <v/>
      </c>
      <c r="BB30" s="266">
        <f>SUM(BB27:BB29)</f>
        <v/>
      </c>
      <c r="BC30" s="266">
        <f>SUM(BC27:BC29)</f>
        <v/>
      </c>
      <c r="BD30" s="266">
        <f>SUM(BD27:BD29)</f>
        <v/>
      </c>
      <c r="BE30" s="266">
        <f>SUM(BE27:BE29)</f>
        <v/>
      </c>
      <c r="BF30" s="266">
        <f>SUM(BF27:BF29)</f>
        <v/>
      </c>
      <c r="BG30" s="266">
        <f>SUM(BG27:BG29)</f>
        <v/>
      </c>
      <c r="BH30" s="266">
        <f>SUM(BH27:BH29)</f>
        <v/>
      </c>
      <c r="BI30" s="266">
        <f>SUM(BI27:BI29)</f>
        <v/>
      </c>
      <c r="BJ30" s="266">
        <f>SUM(BJ27:BJ29)</f>
        <v/>
      </c>
      <c r="BK30" s="266">
        <f>SUM(BK27:BK29)</f>
        <v/>
      </c>
      <c r="BL30" s="266">
        <f>SUM(BL27:BL29)</f>
        <v/>
      </c>
      <c r="BM30" s="266">
        <f>SUM(BM27:BM29)</f>
        <v/>
      </c>
      <c r="BN30" s="266">
        <f>SUM(BN27:BN29)</f>
        <v/>
      </c>
      <c r="BO30" s="266">
        <f>SUM(BO27:BO29)</f>
        <v/>
      </c>
      <c r="BP30" s="266">
        <f>SUM(BP27:BP29)</f>
        <v/>
      </c>
      <c r="BQ30" s="266">
        <f>SUM(BQ27:BQ29)</f>
        <v/>
      </c>
      <c r="BR30" s="266">
        <f>SUM(BR27:BR29)</f>
        <v/>
      </c>
      <c r="BS30" s="266">
        <f>SUM(BS27:BS29)</f>
        <v/>
      </c>
      <c r="BT30" s="266">
        <f>SUM(BT27:BT29)</f>
        <v/>
      </c>
      <c r="BU30" s="266">
        <f>SUM(BU27:BU29)</f>
        <v/>
      </c>
      <c r="BV30" s="266">
        <f>SUM(BV27:BV29)</f>
        <v/>
      </c>
      <c r="BW30" s="266">
        <f>SUM(BW27:BW29)</f>
        <v/>
      </c>
      <c r="BX30" s="266">
        <f>SUM(BX27:BX29)</f>
        <v/>
      </c>
      <c r="BY30" s="266">
        <f>SUM(BY27:BY29)</f>
        <v/>
      </c>
      <c r="BZ30" s="266">
        <f>SUM(BZ27:BZ29)</f>
        <v/>
      </c>
      <c r="CA30" s="266">
        <f>SUM(CA27:CA29)</f>
        <v/>
      </c>
      <c r="CB30" s="266">
        <f>SUM(CB27:CB29)</f>
        <v/>
      </c>
      <c r="CC30" s="266">
        <f>SUM(CC27:CC29)</f>
        <v/>
      </c>
      <c r="CD30" s="266">
        <f>SUM(CD27:CD29)</f>
        <v/>
      </c>
      <c r="CE30" s="266">
        <f>SUM(CE27:CE29)</f>
        <v/>
      </c>
      <c r="CF30" s="266">
        <f>SUM(CF27:CF29)</f>
        <v/>
      </c>
      <c r="CG30" s="266">
        <f>SUM(CG27:CG29)</f>
        <v/>
      </c>
      <c r="CH30" s="266">
        <f>SUM(CH27:CH29)</f>
        <v/>
      </c>
      <c r="CI30" s="266">
        <f>SUM(CI27:CI29)</f>
        <v/>
      </c>
      <c r="CJ30" s="266">
        <f>SUM(CJ27:CJ29)</f>
        <v/>
      </c>
      <c r="CK30" s="266">
        <f>SUM(CK27:CK29)</f>
        <v/>
      </c>
      <c r="CL30" s="266">
        <f>SUM(CL27:CL29)</f>
        <v/>
      </c>
      <c r="CM30" s="266">
        <f>SUM(CM27:CM29)</f>
        <v/>
      </c>
      <c r="CN30" s="266">
        <f>SUM(CN27:CN29)</f>
        <v/>
      </c>
      <c r="CO30" s="266">
        <f>SUM(CO27:CO29)</f>
        <v/>
      </c>
      <c r="CP30" s="266">
        <f>SUM(CP27:CP29)</f>
        <v/>
      </c>
      <c r="CQ30" s="266">
        <f>SUM(CQ27:CQ29)</f>
        <v/>
      </c>
      <c r="CR30" s="266">
        <f>SUM(CR27:CR29)</f>
        <v/>
      </c>
      <c r="CS30" s="266">
        <f>SUM(CS27:CS29)</f>
        <v/>
      </c>
      <c r="CT30" s="266">
        <f>SUM(CT27:CT29)</f>
        <v/>
      </c>
      <c r="CU30" s="266">
        <f>SUM(CU27:CU29)</f>
        <v/>
      </c>
      <c r="CV30" s="266">
        <f>SUM(CV27:CV29)</f>
        <v/>
      </c>
      <c r="CW30" s="266">
        <f>SUM(CW27:CW29)</f>
        <v/>
      </c>
      <c r="CX30" s="266">
        <f>SUM(CX27:CX29)</f>
        <v/>
      </c>
      <c r="CY30" s="266">
        <f>SUM(CY27:CY29)</f>
        <v/>
      </c>
      <c r="CZ30" s="266">
        <f>SUM(CZ27:CZ29)</f>
        <v/>
      </c>
      <c r="DA30" s="266">
        <f>SUM(DA27:DA29)</f>
        <v/>
      </c>
      <c r="DB30" s="266">
        <f>SUM(DB27:DB29)</f>
        <v/>
      </c>
      <c r="DC30" s="266">
        <f>SUM(DC27:DC29)</f>
        <v/>
      </c>
      <c r="DD30" s="266">
        <f>SUM(DD27:DD29)</f>
        <v/>
      </c>
      <c r="DE30" s="266">
        <f>SUM(DE27:DE29)</f>
        <v/>
      </c>
      <c r="DF30" s="266">
        <f>SUM(DF27:DF29)</f>
        <v/>
      </c>
      <c r="DG30" s="266">
        <f>SUM(DG27:DG29)</f>
        <v/>
      </c>
      <c r="DH30" s="266">
        <f>SUM(DH27:DH29)</f>
        <v/>
      </c>
      <c r="DI30" s="266">
        <f>SUM(DI27:DI29)</f>
        <v/>
      </c>
      <c r="DJ30" s="266">
        <f>SUM(DJ27:DJ29)</f>
        <v/>
      </c>
      <c r="DK30" s="266">
        <f>SUM(DK27:DK29)</f>
        <v/>
      </c>
      <c r="DL30" s="266">
        <f>SUM(DL27:DL29)</f>
        <v/>
      </c>
      <c r="DM30" s="266">
        <f>SUM(DM27:DM29)</f>
        <v/>
      </c>
      <c r="DN30" s="266">
        <f>SUM(DN27:DN29)</f>
        <v/>
      </c>
      <c r="DO30" s="266">
        <f>SUM(DO27:DO29)</f>
        <v/>
      </c>
      <c r="DP30" s="266">
        <f>SUM(DP27:DP29)</f>
        <v/>
      </c>
      <c r="DQ30" s="266">
        <f>SUM(DQ27:DQ29)</f>
        <v/>
      </c>
      <c r="DR30" s="266">
        <f>SUM(DR27:DR29)</f>
        <v/>
      </c>
      <c r="DS30" s="266">
        <f>SUM(DS27:DS29)</f>
        <v/>
      </c>
      <c r="DT30" s="266">
        <f>SUM(DT27:DT29)</f>
        <v/>
      </c>
      <c r="DU30" s="266">
        <f>SUM(DU27:DU29)</f>
        <v/>
      </c>
      <c r="DV30" s="266">
        <f>SUM(DV27:DV29)</f>
        <v/>
      </c>
      <c r="DW30" s="266">
        <f>SUM(DW27:DW29)</f>
        <v/>
      </c>
      <c r="DX30" s="266">
        <f>SUM(DX27:DX29)</f>
        <v/>
      </c>
      <c r="DY30" s="266">
        <f>SUM(DY27:DY29)</f>
        <v/>
      </c>
      <c r="DZ30" s="266">
        <f>SUM(DZ27:DZ29)</f>
        <v/>
      </c>
      <c r="EA30" s="266">
        <f>SUM(EA27:EA29)</f>
        <v/>
      </c>
      <c r="EB30" s="266">
        <f>SUM(EB27:EB29)</f>
        <v/>
      </c>
      <c r="EC30" s="266">
        <f>SUM(EC27:EC29)</f>
        <v/>
      </c>
      <c r="ED30" s="266">
        <f>SUM(ED27:ED29)</f>
        <v/>
      </c>
      <c r="EE30" s="266">
        <f>SUM(EE27:EE29)</f>
        <v/>
      </c>
      <c r="EF30" s="266">
        <f>SUM(EF27:EF29)</f>
        <v/>
      </c>
      <c r="EG30" s="266">
        <f>SUM(EG27:EG29)</f>
        <v/>
      </c>
      <c r="EH30" s="266">
        <f>SUM(EH27:EH29)</f>
        <v/>
      </c>
      <c r="EI30" s="266">
        <f>SUM(EI27:EI29)</f>
        <v/>
      </c>
      <c r="EJ30" s="266">
        <f>SUM(EJ27:EJ29)</f>
        <v/>
      </c>
      <c r="EK30" s="266">
        <f>SUM(EK27:EK29)</f>
        <v/>
      </c>
      <c r="EL30" s="266">
        <f>SUM(EL27:EL29)</f>
        <v/>
      </c>
      <c r="EM30" s="266">
        <f>SUM(EM27:EM29)</f>
        <v/>
      </c>
      <c r="EN30" s="266">
        <f>SUM(EN27:EN29)</f>
        <v/>
      </c>
      <c r="EO30" s="266">
        <f>SUM(EO27:EO29)</f>
        <v/>
      </c>
      <c r="EP30" s="266">
        <f>SUM(EP27:EP29)</f>
        <v/>
      </c>
      <c r="EQ30" s="266">
        <f>SUM(EQ27:EQ29)</f>
        <v/>
      </c>
      <c r="ER30" s="266">
        <f>SUM(ER27:ER29)</f>
        <v/>
      </c>
      <c r="ES30" s="266">
        <f>SUM(ES27:ES29)</f>
        <v/>
      </c>
      <c r="ET30" s="266">
        <f>SUM(ET27:ET29)</f>
        <v/>
      </c>
      <c r="EU30" s="266">
        <f>SUM(EU27:EU29)</f>
        <v/>
      </c>
      <c r="EV30" s="266">
        <f>SUM(EV27:EV29)</f>
        <v/>
      </c>
      <c r="EW30" s="266">
        <f>SUM(EW27:EW29)</f>
        <v/>
      </c>
      <c r="EX30" s="266">
        <f>SUM(EX27:EX29)</f>
        <v/>
      </c>
    </row>
    <row r="31">
      <c r="C31" s="37" t="inlineStr">
        <is>
          <t>Sources</t>
        </is>
      </c>
      <c r="D31" s="46" t="inlineStr">
        <is>
          <t>% Total</t>
        </is>
      </c>
      <c r="E31" s="46" t="inlineStr">
        <is>
          <t>Closing</t>
        </is>
      </c>
      <c r="F31" s="237" t="inlineStr">
        <is>
          <t>% Total</t>
        </is>
      </c>
      <c r="G31" s="46" t="inlineStr">
        <is>
          <t>Refinance</t>
        </is>
      </c>
      <c r="H31" s="237" t="inlineStr">
        <is>
          <t>At Exit</t>
        </is>
      </c>
      <c r="I31" s="9" t="n"/>
    </row>
    <row r="32">
      <c r="C32" s="9" t="inlineStr">
        <is>
          <t>GP Equity</t>
        </is>
      </c>
      <c r="D32" s="215">
        <f>E32/$E$35</f>
        <v/>
      </c>
      <c r="E32" s="284">
        <f>-H10</f>
        <v/>
      </c>
      <c r="F32" s="238">
        <f>G32/$G$35</f>
        <v/>
      </c>
      <c r="G32" s="284">
        <f>(G35-G34)*H8</f>
        <v/>
      </c>
      <c r="H32" s="285">
        <f>(H35-H34)*H8</f>
        <v/>
      </c>
      <c r="I32" s="9" t="n"/>
      <c r="J32" s="9" t="inlineStr">
        <is>
          <t>Vacancy Loss</t>
        </is>
      </c>
      <c r="M32" s="25">
        <f>SUMIF($V$4:$EX$4,"&lt;="&amp;$H$19,$V32:$EX32)</f>
        <v/>
      </c>
      <c r="N32" s="286" t="n"/>
      <c r="O32" s="287">
        <f>SUMIF($V$5:$EX$5,O$7,$V32:$EX32)</f>
        <v/>
      </c>
      <c r="P32" s="287">
        <f>SUMIF($V$5:$EX$5,P$7,$V32:$EX32)</f>
        <v/>
      </c>
      <c r="Q32" s="287">
        <f>SUMIF($V$5:$EX$5,Q$7,$V32:$EX32)</f>
        <v/>
      </c>
      <c r="R32" s="287">
        <f>SUMIF($V$5:$EX$5,R$7,$V32:$EX32)</f>
        <v/>
      </c>
      <c r="S32" s="287">
        <f>SUMIF($V$5:$EX$5,S$7,$V32:$EX32)</f>
        <v/>
      </c>
      <c r="T32" s="287">
        <f>SUMIF($V$5:$EX$5,T$7,$V32:$EX32)</f>
        <v/>
      </c>
      <c r="U32" s="286" t="n"/>
      <c r="V32" s="253" t="n">
        <v>0</v>
      </c>
      <c r="W32" s="253">
        <f>-IFERROR(INDEX($D74:$H74,MATCH(YEAR(W$6),$D$72:$H$72,0)),$H$74)*(SUM(W$24,W$30))</f>
        <v/>
      </c>
      <c r="X32" s="253">
        <f>-IFERROR(INDEX($D74:$H74,MATCH(YEAR(X$6),$D$72:$H$72,0)),$H$74)*(SUM(X$24,X$30))</f>
        <v/>
      </c>
      <c r="Y32" s="253">
        <f>-IFERROR(INDEX($D74:$H74,MATCH(YEAR(Y$6),$D$72:$H$72,0)),$H$74)*(SUM(Y$24,Y$30))</f>
        <v/>
      </c>
      <c r="Z32" s="253">
        <f>-IFERROR(INDEX($D74:$H74,MATCH(YEAR(Z$6),$D$72:$H$72,0)),$H$74)*(SUM(Z$24,Z$30))</f>
        <v/>
      </c>
      <c r="AA32" s="253">
        <f>-IFERROR(INDEX($D74:$H74,MATCH(YEAR(AA$6),$D$72:$H$72,0)),$H$74)*(SUM(AA$24,AA$30))</f>
        <v/>
      </c>
      <c r="AB32" s="253">
        <f>-IFERROR(INDEX($D74:$H74,MATCH(YEAR(AB$6),$D$72:$H$72,0)),$H$74)*(SUM(AB$24,AB$30))</f>
        <v/>
      </c>
      <c r="AC32" s="253">
        <f>-IFERROR(INDEX($D74:$H74,MATCH(YEAR(AC$6),$D$72:$H$72,0)),$H$74)*(SUM(AC$24,AC$30))</f>
        <v/>
      </c>
      <c r="AD32" s="253">
        <f>-IFERROR(INDEX($D74:$H74,MATCH(YEAR(AD$6),$D$72:$H$72,0)),$H$74)*(SUM(AD$24,AD$30))</f>
        <v/>
      </c>
      <c r="AE32" s="253">
        <f>-IFERROR(INDEX($D74:$H74,MATCH(YEAR(AE$6),$D$72:$H$72,0)),$H$74)*(SUM(AE$24,AE$30))</f>
        <v/>
      </c>
      <c r="AF32" s="253">
        <f>-IFERROR(INDEX($D74:$H74,MATCH(YEAR(AF$6),$D$72:$H$72,0)),$H$74)*(SUM(AF$24,AF$30))</f>
        <v/>
      </c>
      <c r="AG32" s="253">
        <f>-IFERROR(INDEX($D74:$H74,MATCH(YEAR(AG$6),$D$72:$H$72,0)),$H$74)*(SUM(AG$24,AG$30))</f>
        <v/>
      </c>
      <c r="AH32" s="253">
        <f>-IFERROR(INDEX($D74:$H74,MATCH(YEAR(AH$6),$D$72:$H$72,0)),$H$74)*(SUM(AH$24,AH$30))</f>
        <v/>
      </c>
      <c r="AI32" s="253">
        <f>-IFERROR(INDEX($D74:$H74,MATCH(YEAR(AI$6),$D$72:$H$72,0)),$H$74)*(SUM(AI$24,AI$30))</f>
        <v/>
      </c>
      <c r="AJ32" s="253">
        <f>-IFERROR(INDEX($D74:$H74,MATCH(YEAR(AJ$6),$D$72:$H$72,0)),$H$74)*(SUM(AJ$24,AJ$30))</f>
        <v/>
      </c>
      <c r="AK32" s="253">
        <f>-IFERROR(INDEX($D74:$H74,MATCH(YEAR(AK$6),$D$72:$H$72,0)),$H$74)*(SUM(AK$24,AK$30))</f>
        <v/>
      </c>
      <c r="AL32" s="253">
        <f>-IFERROR(INDEX($D74:$H74,MATCH(YEAR(AL$6),$D$72:$H$72,0)),$H$74)*(SUM(AL$24,AL$30))</f>
        <v/>
      </c>
      <c r="AM32" s="253">
        <f>-IFERROR(INDEX($D74:$H74,MATCH(YEAR(AM$6),$D$72:$H$72,0)),$H$74)*(SUM(AM$24,AM$30))</f>
        <v/>
      </c>
      <c r="AN32" s="253">
        <f>-IFERROR(INDEX($D74:$H74,MATCH(YEAR(AN$6),$D$72:$H$72,0)),$H$74)*(SUM(AN$24,AN$30))</f>
        <v/>
      </c>
      <c r="AO32" s="253">
        <f>-IFERROR(INDEX($D74:$H74,MATCH(YEAR(AO$6),$D$72:$H$72,0)),$H$74)*(SUM(AO$24,AO$30))</f>
        <v/>
      </c>
      <c r="AP32" s="253">
        <f>-IFERROR(INDEX($D74:$H74,MATCH(YEAR(AP$6),$D$72:$H$72,0)),$H$74)*(SUM(AP$24,AP$30))</f>
        <v/>
      </c>
      <c r="AQ32" s="253">
        <f>-IFERROR(INDEX($D74:$H74,MATCH(YEAR(AQ$6),$D$72:$H$72,0)),$H$74)*(SUM(AQ$24,AQ$30))</f>
        <v/>
      </c>
      <c r="AR32" s="253">
        <f>-IFERROR(INDEX($D74:$H74,MATCH(YEAR(AR$6),$D$72:$H$72,0)),$H$74)*(SUM(AR$24,AR$30))</f>
        <v/>
      </c>
      <c r="AS32" s="253">
        <f>-IFERROR(INDEX($D74:$H74,MATCH(YEAR(AS$6),$D$72:$H$72,0)),$H$74)*(SUM(AS$24,AS$30))</f>
        <v/>
      </c>
      <c r="AT32" s="253">
        <f>-IFERROR(INDEX($D74:$H74,MATCH(YEAR(AT$6),$D$72:$H$72,0)),$H$74)*(SUM(AT$24,AT$30))</f>
        <v/>
      </c>
      <c r="AU32" s="253">
        <f>-IFERROR(INDEX($D74:$H74,MATCH(YEAR(AU$6),$D$72:$H$72,0)),$H$74)*(SUM(AU$24,AU$30))</f>
        <v/>
      </c>
      <c r="AV32" s="253">
        <f>-IFERROR(INDEX($D74:$H74,MATCH(YEAR(AV$6),$D$72:$H$72,0)),$H$74)*(SUM(AV$24,AV$30))</f>
        <v/>
      </c>
      <c r="AW32" s="253">
        <f>-IFERROR(INDEX($D74:$H74,MATCH(YEAR(AW$6),$D$72:$H$72,0)),$H$74)*(SUM(AW$24,AW$30))</f>
        <v/>
      </c>
      <c r="AX32" s="253">
        <f>-IFERROR(INDEX($D74:$H74,MATCH(YEAR(AX$6),$D$72:$H$72,0)),$H$74)*(SUM(AX$24,AX$30))</f>
        <v/>
      </c>
      <c r="AY32" s="253">
        <f>-IFERROR(INDEX($D74:$H74,MATCH(YEAR(AY$6),$D$72:$H$72,0)),$H$74)*(SUM(AY$24,AY$30))</f>
        <v/>
      </c>
      <c r="AZ32" s="253">
        <f>-IFERROR(INDEX($D74:$H74,MATCH(YEAR(AZ$6),$D$72:$H$72,0)),$H$74)*(SUM(AZ$24,AZ$30))</f>
        <v/>
      </c>
      <c r="BA32" s="253">
        <f>-IFERROR(INDEX($D74:$H74,MATCH(YEAR(BA$6),$D$72:$H$72,0)),$H$74)*(SUM(BA$24,BA$30))</f>
        <v/>
      </c>
      <c r="BB32" s="253">
        <f>-IFERROR(INDEX($D74:$H74,MATCH(YEAR(BB$6),$D$72:$H$72,0)),$H$74)*(SUM(BB$24,BB$30))</f>
        <v/>
      </c>
      <c r="BC32" s="253">
        <f>-IFERROR(INDEX($D74:$H74,MATCH(YEAR(BC$6),$D$72:$H$72,0)),$H$74)*(SUM(BC$24,BC$30))</f>
        <v/>
      </c>
      <c r="BD32" s="253">
        <f>-IFERROR(INDEX($D74:$H74,MATCH(YEAR(BD$6),$D$72:$H$72,0)),$H$74)*(SUM(BD$24,BD$30))</f>
        <v/>
      </c>
      <c r="BE32" s="253">
        <f>-IFERROR(INDEX($D74:$H74,MATCH(YEAR(BE$6),$D$72:$H$72,0)),$H$74)*(SUM(BE$24,BE$30))</f>
        <v/>
      </c>
      <c r="BF32" s="253">
        <f>-IFERROR(INDEX($D74:$H74,MATCH(YEAR(BF$6),$D$72:$H$72,0)),$H$74)*(SUM(BF$24,BF$30))</f>
        <v/>
      </c>
      <c r="BG32" s="253">
        <f>-IFERROR(INDEX($D74:$H74,MATCH(YEAR(BG$6),$D$72:$H$72,0)),$H$74)*(SUM(BG$24,BG$30))</f>
        <v/>
      </c>
      <c r="BH32" s="253">
        <f>-IFERROR(INDEX($D74:$H74,MATCH(YEAR(BH$6),$D$72:$H$72,0)),$H$74)*(SUM(BH$24,BH$30))</f>
        <v/>
      </c>
      <c r="BI32" s="253">
        <f>-IFERROR(INDEX($D74:$H74,MATCH(YEAR(BI$6),$D$72:$H$72,0)),$H$74)*(SUM(BI$24,BI$30))</f>
        <v/>
      </c>
      <c r="BJ32" s="253">
        <f>-IFERROR(INDEX($D74:$H74,MATCH(YEAR(BJ$6),$D$72:$H$72,0)),$H$74)*(SUM(BJ$24,BJ$30))</f>
        <v/>
      </c>
      <c r="BK32" s="253">
        <f>-IFERROR(INDEX($D74:$H74,MATCH(YEAR(BK$6),$D$72:$H$72,0)),$H$74)*(SUM(BK$24,BK$30))</f>
        <v/>
      </c>
      <c r="BL32" s="253">
        <f>-IFERROR(INDEX($D74:$H74,MATCH(YEAR(BL$6),$D$72:$H$72,0)),$H$74)*(SUM(BL$24,BL$30))</f>
        <v/>
      </c>
      <c r="BM32" s="253">
        <f>-IFERROR(INDEX($D74:$H74,MATCH(YEAR(BM$6),$D$72:$H$72,0)),$H$74)*(SUM(BM$24,BM$30))</f>
        <v/>
      </c>
      <c r="BN32" s="253">
        <f>-IFERROR(INDEX($D74:$H74,MATCH(YEAR(BN$6),$D$72:$H$72,0)),$H$74)*(SUM(BN$24,BN$30))</f>
        <v/>
      </c>
      <c r="BO32" s="253">
        <f>-IFERROR(INDEX($D74:$H74,MATCH(YEAR(BO$6),$D$72:$H$72,0)),$H$74)*(SUM(BO$24,BO$30))</f>
        <v/>
      </c>
      <c r="BP32" s="253">
        <f>-IFERROR(INDEX($D74:$H74,MATCH(YEAR(BP$6),$D$72:$H$72,0)),$H$74)*(SUM(BP$24,BP$30))</f>
        <v/>
      </c>
      <c r="BQ32" s="253">
        <f>-IFERROR(INDEX($D74:$H74,MATCH(YEAR(BQ$6),$D$72:$H$72,0)),$H$74)*(SUM(BQ$24,BQ$30))</f>
        <v/>
      </c>
      <c r="BR32" s="253">
        <f>-IFERROR(INDEX($D74:$H74,MATCH(YEAR(BR$6),$D$72:$H$72,0)),$H$74)*(SUM(BR$24,BR$30))</f>
        <v/>
      </c>
      <c r="BS32" s="253">
        <f>-IFERROR(INDEX($D74:$H74,MATCH(YEAR(BS$6),$D$72:$H$72,0)),$H$74)*(SUM(BS$24,BS$30))</f>
        <v/>
      </c>
      <c r="BT32" s="253">
        <f>-IFERROR(INDEX($D74:$H74,MATCH(YEAR(BT$6),$D$72:$H$72,0)),$H$74)*(SUM(BT$24,BT$30))</f>
        <v/>
      </c>
      <c r="BU32" s="253">
        <f>-IFERROR(INDEX($D74:$H74,MATCH(YEAR(BU$6),$D$72:$H$72,0)),$H$74)*(SUM(BU$24,BU$30))</f>
        <v/>
      </c>
      <c r="BV32" s="253">
        <f>-IFERROR(INDEX($D74:$H74,MATCH(YEAR(BV$6),$D$72:$H$72,0)),$H$74)*(SUM(BV$24,BV$30))</f>
        <v/>
      </c>
      <c r="BW32" s="253">
        <f>-IFERROR(INDEX($D74:$H74,MATCH(YEAR(BW$6),$D$72:$H$72,0)),$H$74)*(SUM(BW$24,BW$30))</f>
        <v/>
      </c>
      <c r="BX32" s="253">
        <f>-IFERROR(INDEX($D74:$H74,MATCH(YEAR(BX$6),$D$72:$H$72,0)),$H$74)*(SUM(BX$24,BX$30))</f>
        <v/>
      </c>
      <c r="BY32" s="253">
        <f>-IFERROR(INDEX($D74:$H74,MATCH(YEAR(BY$6),$D$72:$H$72,0)),$H$74)*(SUM(BY$24,BY$30))</f>
        <v/>
      </c>
      <c r="BZ32" s="253">
        <f>-IFERROR(INDEX($D74:$H74,MATCH(YEAR(BZ$6),$D$72:$H$72,0)),$H$74)*(SUM(BZ$24,BZ$30))</f>
        <v/>
      </c>
      <c r="CA32" s="253">
        <f>-IFERROR(INDEX($D74:$H74,MATCH(YEAR(CA$6),$D$72:$H$72,0)),$H$74)*(SUM(CA$24,CA$30))</f>
        <v/>
      </c>
      <c r="CB32" s="253">
        <f>-IFERROR(INDEX($D74:$H74,MATCH(YEAR(CB$6),$D$72:$H$72,0)),$H$74)*(SUM(CB$24,CB$30))</f>
        <v/>
      </c>
      <c r="CC32" s="253">
        <f>-IFERROR(INDEX($D74:$H74,MATCH(YEAR(CC$6),$D$72:$H$72,0)),$H$74)*(SUM(CC$24,CC$30))</f>
        <v/>
      </c>
      <c r="CD32" s="253">
        <f>-IFERROR(INDEX($D74:$H74,MATCH(YEAR(CD$6),$D$72:$H$72,0)),$H$74)*(SUM(CD$24,CD$30))</f>
        <v/>
      </c>
      <c r="CE32" s="253">
        <f>-IFERROR(INDEX($D74:$H74,MATCH(YEAR(CE$6),$D$72:$H$72,0)),$H$74)*(SUM(CE$24,CE$30))</f>
        <v/>
      </c>
      <c r="CF32" s="253">
        <f>-IFERROR(INDEX($D74:$H74,MATCH(YEAR(CF$6),$D$72:$H$72,0)),$H$74)*(SUM(CF$24,CF$30))</f>
        <v/>
      </c>
      <c r="CG32" s="253">
        <f>-IFERROR(INDEX($D74:$H74,MATCH(YEAR(CG$6),$D$72:$H$72,0)),$H$74)*(SUM(CG$24,CG$30))</f>
        <v/>
      </c>
      <c r="CH32" s="253">
        <f>-IFERROR(INDEX($D74:$H74,MATCH(YEAR(CH$6),$D$72:$H$72,0)),$H$74)*(SUM(CH$24,CH$30))</f>
        <v/>
      </c>
      <c r="CI32" s="253">
        <f>-IFERROR(INDEX($D74:$H74,MATCH(YEAR(CI$6),$D$72:$H$72,0)),$H$74)*(SUM(CI$24,CI$30))</f>
        <v/>
      </c>
      <c r="CJ32" s="253">
        <f>-IFERROR(INDEX($D74:$H74,MATCH(YEAR(CJ$6),$D$72:$H$72,0)),$H$74)*(SUM(CJ$24,CJ$30))</f>
        <v/>
      </c>
      <c r="CK32" s="253">
        <f>-IFERROR(INDEX($D74:$H74,MATCH(YEAR(CK$6),$D$72:$H$72,0)),$H$74)*(SUM(CK$24,CK$30))</f>
        <v/>
      </c>
      <c r="CL32" s="253">
        <f>-IFERROR(INDEX($D74:$H74,MATCH(YEAR(CL$6),$D$72:$H$72,0)),$H$74)*(SUM(CL$24,CL$30))</f>
        <v/>
      </c>
      <c r="CM32" s="253">
        <f>-IFERROR(INDEX($D74:$H74,MATCH(YEAR(CM$6),$D$72:$H$72,0)),$H$74)*(SUM(CM$24,CM$30))</f>
        <v/>
      </c>
      <c r="CN32" s="253">
        <f>-IFERROR(INDEX($D74:$H74,MATCH(YEAR(CN$6),$D$72:$H$72,0)),$H$74)*(SUM(CN$24,CN$30))</f>
        <v/>
      </c>
      <c r="CO32" s="253">
        <f>-IFERROR(INDEX($D74:$H74,MATCH(YEAR(CO$6),$D$72:$H$72,0)),$H$74)*(SUM(CO$24,CO$30))</f>
        <v/>
      </c>
      <c r="CP32" s="253">
        <f>-IFERROR(INDEX($D74:$H74,MATCH(YEAR(CP$6),$D$72:$H$72,0)),$H$74)*(SUM(CP$24,CP$30))</f>
        <v/>
      </c>
      <c r="CQ32" s="253">
        <f>-IFERROR(INDEX($D74:$H74,MATCH(YEAR(CQ$6),$D$72:$H$72,0)),$H$74)*(SUM(CQ$24,CQ$30))</f>
        <v/>
      </c>
      <c r="CR32" s="253">
        <f>-IFERROR(INDEX($D74:$H74,MATCH(YEAR(CR$6),$D$72:$H$72,0)),$H$74)*(SUM(CR$24,CR$30))</f>
        <v/>
      </c>
      <c r="CS32" s="253">
        <f>-IFERROR(INDEX($D74:$H74,MATCH(YEAR(CS$6),$D$72:$H$72,0)),$H$74)*(SUM(CS$24,CS$30))</f>
        <v/>
      </c>
      <c r="CT32" s="253">
        <f>-IFERROR(INDEX($D74:$H74,MATCH(YEAR(CT$6),$D$72:$H$72,0)),$H$74)*(SUM(CT$24,CT$30))</f>
        <v/>
      </c>
      <c r="CU32" s="253">
        <f>-IFERROR(INDEX($D74:$H74,MATCH(YEAR(CU$6),$D$72:$H$72,0)),$H$74)*(SUM(CU$24,CU$30))</f>
        <v/>
      </c>
      <c r="CV32" s="253">
        <f>-IFERROR(INDEX($D74:$H74,MATCH(YEAR(CV$6),$D$72:$H$72,0)),$H$74)*(SUM(CV$24,CV$30))</f>
        <v/>
      </c>
      <c r="CW32" s="253">
        <f>-IFERROR(INDEX($D74:$H74,MATCH(YEAR(CW$6),$D$72:$H$72,0)),$H$74)*(SUM(CW$24,CW$30))</f>
        <v/>
      </c>
      <c r="CX32" s="253">
        <f>-IFERROR(INDEX($D74:$H74,MATCH(YEAR(CX$6),$D$72:$H$72,0)),$H$74)*(SUM(CX$24,CX$30))</f>
        <v/>
      </c>
      <c r="CY32" s="253">
        <f>-IFERROR(INDEX($D74:$H74,MATCH(YEAR(CY$6),$D$72:$H$72,0)),$H$74)*(SUM(CY$24,CY$30))</f>
        <v/>
      </c>
      <c r="CZ32" s="253">
        <f>-IFERROR(INDEX($D74:$H74,MATCH(YEAR(CZ$6),$D$72:$H$72,0)),$H$74)*(SUM(CZ$24,CZ$30))</f>
        <v/>
      </c>
      <c r="DA32" s="253">
        <f>-IFERROR(INDEX($D74:$H74,MATCH(YEAR(DA$6),$D$72:$H$72,0)),$H$74)*(SUM(DA$24,DA$30))</f>
        <v/>
      </c>
      <c r="DB32" s="253">
        <f>-IFERROR(INDEX($D74:$H74,MATCH(YEAR(DB$6),$D$72:$H$72,0)),$H$74)*(SUM(DB$24,DB$30))</f>
        <v/>
      </c>
      <c r="DC32" s="253">
        <f>-IFERROR(INDEX($D74:$H74,MATCH(YEAR(DC$6),$D$72:$H$72,0)),$H$74)*(SUM(DC$24,DC$30))</f>
        <v/>
      </c>
      <c r="DD32" s="253">
        <f>-IFERROR(INDEX($D74:$H74,MATCH(YEAR(DD$6),$D$72:$H$72,0)),$H$74)*(SUM(DD$24,DD$30))</f>
        <v/>
      </c>
      <c r="DE32" s="253">
        <f>-IFERROR(INDEX($D74:$H74,MATCH(YEAR(DE$6),$D$72:$H$72,0)),$H$74)*(SUM(DE$24,DE$30))</f>
        <v/>
      </c>
      <c r="DF32" s="253">
        <f>-IFERROR(INDEX($D74:$H74,MATCH(YEAR(DF$6),$D$72:$H$72,0)),$H$74)*(SUM(DF$24,DF$30))</f>
        <v/>
      </c>
      <c r="DG32" s="253">
        <f>-IFERROR(INDEX($D74:$H74,MATCH(YEAR(DG$6),$D$72:$H$72,0)),$H$74)*(SUM(DG$24,DG$30))</f>
        <v/>
      </c>
      <c r="DH32" s="253">
        <f>-IFERROR(INDEX($D74:$H74,MATCH(YEAR(DH$6),$D$72:$H$72,0)),$H$74)*(SUM(DH$24,DH$30))</f>
        <v/>
      </c>
      <c r="DI32" s="253">
        <f>-IFERROR(INDEX($D74:$H74,MATCH(YEAR(DI$6),$D$72:$H$72,0)),$H$74)*(SUM(DI$24,DI$30))</f>
        <v/>
      </c>
      <c r="DJ32" s="253">
        <f>-IFERROR(INDEX($D74:$H74,MATCH(YEAR(DJ$6),$D$72:$H$72,0)),$H$74)*(SUM(DJ$24,DJ$30))</f>
        <v/>
      </c>
      <c r="DK32" s="253">
        <f>-IFERROR(INDEX($D74:$H74,MATCH(YEAR(DK$6),$D$72:$H$72,0)),$H$74)*(SUM(DK$24,DK$30))</f>
        <v/>
      </c>
      <c r="DL32" s="253">
        <f>-IFERROR(INDEX($D74:$H74,MATCH(YEAR(DL$6),$D$72:$H$72,0)),$H$74)*(SUM(DL$24,DL$30))</f>
        <v/>
      </c>
      <c r="DM32" s="253">
        <f>-IFERROR(INDEX($D74:$H74,MATCH(YEAR(DM$6),$D$72:$H$72,0)),$H$74)*(SUM(DM$24,DM$30))</f>
        <v/>
      </c>
      <c r="DN32" s="253">
        <f>-IFERROR(INDEX($D74:$H74,MATCH(YEAR(DN$6),$D$72:$H$72,0)),$H$74)*(SUM(DN$24,DN$30))</f>
        <v/>
      </c>
      <c r="DO32" s="253">
        <f>-IFERROR(INDEX($D74:$H74,MATCH(YEAR(DO$6),$D$72:$H$72,0)),$H$74)*(SUM(DO$24,DO$30))</f>
        <v/>
      </c>
      <c r="DP32" s="253">
        <f>-IFERROR(INDEX($D74:$H74,MATCH(YEAR(DP$6),$D$72:$H$72,0)),$H$74)*(SUM(DP$24,DP$30))</f>
        <v/>
      </c>
      <c r="DQ32" s="253">
        <f>-IFERROR(INDEX($D74:$H74,MATCH(YEAR(DQ$6),$D$72:$H$72,0)),$H$74)*(SUM(DQ$24,DQ$30))</f>
        <v/>
      </c>
      <c r="DR32" s="253">
        <f>-IFERROR(INDEX($D74:$H74,MATCH(YEAR(DR$6),$D$72:$H$72,0)),$H$74)*(SUM(DR$24,DR$30))</f>
        <v/>
      </c>
      <c r="DS32" s="253">
        <f>-IFERROR(INDEX($D74:$H74,MATCH(YEAR(DS$6),$D$72:$H$72,0)),$H$74)*(SUM(DS$24,DS$30))</f>
        <v/>
      </c>
      <c r="DT32" s="253">
        <f>-IFERROR(INDEX($D74:$H74,MATCH(YEAR(DT$6),$D$72:$H$72,0)),$H$74)*(SUM(DT$24,DT$30))</f>
        <v/>
      </c>
      <c r="DU32" s="253">
        <f>-IFERROR(INDEX($D74:$H74,MATCH(YEAR(DU$6),$D$72:$H$72,0)),$H$74)*(SUM(DU$24,DU$30))</f>
        <v/>
      </c>
      <c r="DV32" s="253">
        <f>-IFERROR(INDEX($D74:$H74,MATCH(YEAR(DV$6),$D$72:$H$72,0)),$H$74)*(SUM(DV$24,DV$30))</f>
        <v/>
      </c>
      <c r="DW32" s="253">
        <f>-IFERROR(INDEX($D74:$H74,MATCH(YEAR(DW$6),$D$72:$H$72,0)),$H$74)*(SUM(DW$24,DW$30))</f>
        <v/>
      </c>
      <c r="DX32" s="253">
        <f>-IFERROR(INDEX($D74:$H74,MATCH(YEAR(DX$6),$D$72:$H$72,0)),$H$74)*(SUM(DX$24,DX$30))</f>
        <v/>
      </c>
      <c r="DY32" s="253">
        <f>-IFERROR(INDEX($D74:$H74,MATCH(YEAR(DY$6),$D$72:$H$72,0)),$H$74)*(SUM(DY$24,DY$30))</f>
        <v/>
      </c>
      <c r="DZ32" s="253">
        <f>-IFERROR(INDEX($D74:$H74,MATCH(YEAR(DZ$6),$D$72:$H$72,0)),$H$74)*(SUM(DZ$24,DZ$30))</f>
        <v/>
      </c>
      <c r="EA32" s="253">
        <f>-IFERROR(INDEX($D74:$H74,MATCH(YEAR(EA$6),$D$72:$H$72,0)),$H$74)*(SUM(EA$24,EA$30))</f>
        <v/>
      </c>
      <c r="EB32" s="253">
        <f>-IFERROR(INDEX($D74:$H74,MATCH(YEAR(EB$6),$D$72:$H$72,0)),$H$74)*(SUM(EB$24,EB$30))</f>
        <v/>
      </c>
      <c r="EC32" s="253">
        <f>-IFERROR(INDEX($D74:$H74,MATCH(YEAR(EC$6),$D$72:$H$72,0)),$H$74)*(SUM(EC$24,EC$30))</f>
        <v/>
      </c>
      <c r="ED32" s="253">
        <f>-IFERROR(INDEX($D74:$H74,MATCH(YEAR(ED$6),$D$72:$H$72,0)),$H$74)*(SUM(ED$24,ED$30))</f>
        <v/>
      </c>
      <c r="EE32" s="253">
        <f>-IFERROR(INDEX($D74:$H74,MATCH(YEAR(EE$6),$D$72:$H$72,0)),$H$74)*(SUM(EE$24,EE$30))</f>
        <v/>
      </c>
      <c r="EF32" s="253">
        <f>-IFERROR(INDEX($D74:$H74,MATCH(YEAR(EF$6),$D$72:$H$72,0)),$H$74)*(SUM(EF$24,EF$30))</f>
        <v/>
      </c>
      <c r="EG32" s="253">
        <f>-IFERROR(INDEX($D74:$H74,MATCH(YEAR(EG$6),$D$72:$H$72,0)),$H$74)*(SUM(EG$24,EG$30))</f>
        <v/>
      </c>
      <c r="EH32" s="253">
        <f>-IFERROR(INDEX($D74:$H74,MATCH(YEAR(EH$6),$D$72:$H$72,0)),$H$74)*(SUM(EH$24,EH$30))</f>
        <v/>
      </c>
      <c r="EI32" s="253">
        <f>-IFERROR(INDEX($D74:$H74,MATCH(YEAR(EI$6),$D$72:$H$72,0)),$H$74)*(SUM(EI$24,EI$30))</f>
        <v/>
      </c>
      <c r="EJ32" s="253">
        <f>-IFERROR(INDEX($D74:$H74,MATCH(YEAR(EJ$6),$D$72:$H$72,0)),$H$74)*(SUM(EJ$24,EJ$30))</f>
        <v/>
      </c>
      <c r="EK32" s="253">
        <f>-IFERROR(INDEX($D74:$H74,MATCH(YEAR(EK$6),$D$72:$H$72,0)),$H$74)*(SUM(EK$24,EK$30))</f>
        <v/>
      </c>
      <c r="EL32" s="253">
        <f>-IFERROR(INDEX($D74:$H74,MATCH(YEAR(EL$6),$D$72:$H$72,0)),$H$74)*(SUM(EL$24,EL$30))</f>
        <v/>
      </c>
      <c r="EM32" s="253">
        <f>-IFERROR(INDEX($D74:$H74,MATCH(YEAR(EM$6),$D$72:$H$72,0)),$H$74)*(SUM(EM$24,EM$30))</f>
        <v/>
      </c>
      <c r="EN32" s="253">
        <f>-IFERROR(INDEX($D74:$H74,MATCH(YEAR(EN$6),$D$72:$H$72,0)),$H$74)*(SUM(EN$24,EN$30))</f>
        <v/>
      </c>
      <c r="EO32" s="253">
        <f>-IFERROR(INDEX($D74:$H74,MATCH(YEAR(EO$6),$D$72:$H$72,0)),$H$74)*(SUM(EO$24,EO$30))</f>
        <v/>
      </c>
      <c r="EP32" s="253">
        <f>-IFERROR(INDEX($D74:$H74,MATCH(YEAR(EP$6),$D$72:$H$72,0)),$H$74)*(SUM(EP$24,EP$30))</f>
        <v/>
      </c>
      <c r="EQ32" s="253">
        <f>-IFERROR(INDEX($D74:$H74,MATCH(YEAR(EQ$6),$D$72:$H$72,0)),$H$74)*(SUM(EQ$24,EQ$30))</f>
        <v/>
      </c>
      <c r="ER32" s="253">
        <f>-IFERROR(INDEX($D74:$H74,MATCH(YEAR(ER$6),$D$72:$H$72,0)),$H$74)*(SUM(ER$24,ER$30))</f>
        <v/>
      </c>
      <c r="ES32" s="253">
        <f>-IFERROR(INDEX($D74:$H74,MATCH(YEAR(ES$6),$D$72:$H$72,0)),$H$74)*(SUM(ES$24,ES$30))</f>
        <v/>
      </c>
      <c r="ET32" s="253">
        <f>-IFERROR(INDEX($D74:$H74,MATCH(YEAR(ET$6),$D$72:$H$72,0)),$H$74)*(SUM(ET$24,ET$30))</f>
        <v/>
      </c>
      <c r="EU32" s="253">
        <f>-IFERROR(INDEX($D74:$H74,MATCH(YEAR(EU$6),$D$72:$H$72,0)),$H$74)*(SUM(EU$24,EU$30))</f>
        <v/>
      </c>
      <c r="EV32" s="253">
        <f>-IFERROR(INDEX($D74:$H74,MATCH(YEAR(EV$6),$D$72:$H$72,0)),$H$74)*(SUM(EV$24,EV$30))</f>
        <v/>
      </c>
      <c r="EW32" s="253">
        <f>-IFERROR(INDEX($D74:$H74,MATCH(YEAR(EW$6),$D$72:$H$72,0)),$H$74)*(SUM(EW$24,EW$30))</f>
        <v/>
      </c>
      <c r="EX32" s="253">
        <f>-IFERROR(INDEX($D74:$H74,MATCH(YEAR(EX$6),$D$72:$H$72,0)),$H$74)*(SUM(EX$24,EX$30))</f>
        <v/>
      </c>
    </row>
    <row r="33">
      <c r="C33" s="9" t="inlineStr">
        <is>
          <t>Aequitas Equity</t>
        </is>
      </c>
      <c r="D33" s="216">
        <f>E33/$E$35</f>
        <v/>
      </c>
      <c r="E33" s="268">
        <f>-G10</f>
        <v/>
      </c>
      <c r="F33" s="239">
        <f>G33/$G$35</f>
        <v/>
      </c>
      <c r="G33" s="268">
        <f>(G35-G34)*G8</f>
        <v/>
      </c>
      <c r="H33" s="288">
        <f>(H35-H34)*G8</f>
        <v/>
      </c>
      <c r="J33" s="9" t="inlineStr">
        <is>
          <t>Bad Debt</t>
        </is>
      </c>
      <c r="K33" s="289">
        <f>D75</f>
        <v/>
      </c>
      <c r="L33" s="290" t="n"/>
      <c r="M33" s="25">
        <f>SUMIF($V$4:$EX$4,"&lt;="&amp;$H$19,$V33:$EX33)</f>
        <v/>
      </c>
      <c r="N33" s="279" t="n"/>
      <c r="O33" s="280">
        <f>SUMIF($V$5:$EX$5,O$7,$V33:$EX33)</f>
        <v/>
      </c>
      <c r="P33" s="280">
        <f>SUMIF($V$5:$EX$5,P$7,$V33:$EX33)</f>
        <v/>
      </c>
      <c r="Q33" s="280">
        <f>SUMIF($V$5:$EX$5,Q$7,$V33:$EX33)</f>
        <v/>
      </c>
      <c r="R33" s="280">
        <f>SUMIF($V$5:$EX$5,R$7,$V33:$EX33)</f>
        <v/>
      </c>
      <c r="S33" s="280">
        <f>SUMIF($V$5:$EX$5,S$7,$V33:$EX33)</f>
        <v/>
      </c>
      <c r="T33" s="280">
        <f>SUMIF($V$5:$EX$5,T$7,$V33:$EX33)</f>
        <v/>
      </c>
      <c r="U33" s="279" t="n"/>
      <c r="V33" s="25" t="n">
        <v>0</v>
      </c>
      <c r="W33" s="253">
        <f>-IFERROR(INDEX($D75:$H75,MATCH(YEAR(W$6),$D$72:$H$72,0)),$H$75)*(SUM(W$24,W$30))</f>
        <v/>
      </c>
      <c r="X33" s="253">
        <f>-IFERROR(INDEX($D75:$H75,MATCH(YEAR(X$6),$D$72:$H$72,0)),$H$75)*(SUM(X$24,X$30))</f>
        <v/>
      </c>
      <c r="Y33" s="253">
        <f>-IFERROR(INDEX($D75:$H75,MATCH(YEAR(Y$6),$D$72:$H$72,0)),$H$75)*(SUM(Y$24,Y$30))</f>
        <v/>
      </c>
      <c r="Z33" s="253">
        <f>-IFERROR(INDEX($D75:$H75,MATCH(YEAR(Z$6),$D$72:$H$72,0)),$H$75)*(SUM(Z$24,Z$30))</f>
        <v/>
      </c>
      <c r="AA33" s="253">
        <f>-IFERROR(INDEX($D75:$H75,MATCH(YEAR(AA$6),$D$72:$H$72,0)),$H$75)*(SUM(AA$24,AA$30))</f>
        <v/>
      </c>
      <c r="AB33" s="253">
        <f>-IFERROR(INDEX($D75:$H75,MATCH(YEAR(AB$6),$D$72:$H$72,0)),$H$75)*(SUM(AB$24,AB$30))</f>
        <v/>
      </c>
      <c r="AC33" s="253">
        <f>-IFERROR(INDEX($D75:$H75,MATCH(YEAR(AC$6),$D$72:$H$72,0)),$H$75)*(SUM(AC$24,AC$30))</f>
        <v/>
      </c>
      <c r="AD33" s="253">
        <f>-IFERROR(INDEX($D75:$H75,MATCH(YEAR(AD$6),$D$72:$H$72,0)),$H$75)*(SUM(AD$24,AD$30))</f>
        <v/>
      </c>
      <c r="AE33" s="253">
        <f>-IFERROR(INDEX($D75:$H75,MATCH(YEAR(AE$6),$D$72:$H$72,0)),$H$75)*(SUM(AE$24,AE$30))</f>
        <v/>
      </c>
      <c r="AF33" s="253">
        <f>-IFERROR(INDEX($D75:$H75,MATCH(YEAR(AF$6),$D$72:$H$72,0)),$H$75)*(SUM(AF$24,AF$30))</f>
        <v/>
      </c>
      <c r="AG33" s="253">
        <f>-IFERROR(INDEX($D75:$H75,MATCH(YEAR(AG$6),$D$72:$H$72,0)),$H$75)*(SUM(AG$24,AG$30))</f>
        <v/>
      </c>
      <c r="AH33" s="253">
        <f>-IFERROR(INDEX($D75:$H75,MATCH(YEAR(AH$6),$D$72:$H$72,0)),$H$75)*(SUM(AH$24,AH$30))</f>
        <v/>
      </c>
      <c r="AI33" s="253">
        <f>-IFERROR(INDEX($D75:$H75,MATCH(YEAR(AI$6),$D$72:$H$72,0)),$H$75)*(SUM(AI$24,AI$30))</f>
        <v/>
      </c>
      <c r="AJ33" s="253">
        <f>-IFERROR(INDEX($D75:$H75,MATCH(YEAR(AJ$6),$D$72:$H$72,0)),$H$75)*(SUM(AJ$24,AJ$30))</f>
        <v/>
      </c>
      <c r="AK33" s="253">
        <f>-IFERROR(INDEX($D75:$H75,MATCH(YEAR(AK$6),$D$72:$H$72,0)),$H$75)*(SUM(AK$24,AK$30))</f>
        <v/>
      </c>
      <c r="AL33" s="253">
        <f>-IFERROR(INDEX($D75:$H75,MATCH(YEAR(AL$6),$D$72:$H$72,0)),$H$75)*(SUM(AL$24,AL$30))</f>
        <v/>
      </c>
      <c r="AM33" s="253">
        <f>-IFERROR(INDEX($D75:$H75,MATCH(YEAR(AM$6),$D$72:$H$72,0)),$H$75)*(SUM(AM$24,AM$30))</f>
        <v/>
      </c>
      <c r="AN33" s="253">
        <f>-IFERROR(INDEX($D75:$H75,MATCH(YEAR(AN$6),$D$72:$H$72,0)),$H$75)*(SUM(AN$24,AN$30))</f>
        <v/>
      </c>
      <c r="AO33" s="253">
        <f>-IFERROR(INDEX($D75:$H75,MATCH(YEAR(AO$6),$D$72:$H$72,0)),$H$75)*(SUM(AO$24,AO$30))</f>
        <v/>
      </c>
      <c r="AP33" s="253">
        <f>-IFERROR(INDEX($D75:$H75,MATCH(YEAR(AP$6),$D$72:$H$72,0)),$H$75)*(SUM(AP$24,AP$30))</f>
        <v/>
      </c>
      <c r="AQ33" s="253">
        <f>-IFERROR(INDEX($D75:$H75,MATCH(YEAR(AQ$6),$D$72:$H$72,0)),$H$75)*(SUM(AQ$24,AQ$30))</f>
        <v/>
      </c>
      <c r="AR33" s="253">
        <f>-IFERROR(INDEX($D75:$H75,MATCH(YEAR(AR$6),$D$72:$H$72,0)),$H$75)*(SUM(AR$24,AR$30))</f>
        <v/>
      </c>
      <c r="AS33" s="253">
        <f>-IFERROR(INDEX($D75:$H75,MATCH(YEAR(AS$6),$D$72:$H$72,0)),$H$75)*(SUM(AS$24,AS$30))</f>
        <v/>
      </c>
      <c r="AT33" s="253">
        <f>-IFERROR(INDEX($D75:$H75,MATCH(YEAR(AT$6),$D$72:$H$72,0)),$H$75)*(SUM(AT$24,AT$30))</f>
        <v/>
      </c>
      <c r="AU33" s="253">
        <f>-IFERROR(INDEX($D75:$H75,MATCH(YEAR(AU$6),$D$72:$H$72,0)),$H$75)*(SUM(AU$24,AU$30))</f>
        <v/>
      </c>
      <c r="AV33" s="253">
        <f>-IFERROR(INDEX($D75:$H75,MATCH(YEAR(AV$6),$D$72:$H$72,0)),$H$75)*(SUM(AV$24,AV$30))</f>
        <v/>
      </c>
      <c r="AW33" s="253">
        <f>-IFERROR(INDEX($D75:$H75,MATCH(YEAR(AW$6),$D$72:$H$72,0)),$H$75)*(SUM(AW$24,AW$30))</f>
        <v/>
      </c>
      <c r="AX33" s="253">
        <f>-IFERROR(INDEX($D75:$H75,MATCH(YEAR(AX$6),$D$72:$H$72,0)),$H$75)*(SUM(AX$24,AX$30))</f>
        <v/>
      </c>
      <c r="AY33" s="253">
        <f>-IFERROR(INDEX($D75:$H75,MATCH(YEAR(AY$6),$D$72:$H$72,0)),$H$75)*(SUM(AY$24,AY$30))</f>
        <v/>
      </c>
      <c r="AZ33" s="253">
        <f>-IFERROR(INDEX($D75:$H75,MATCH(YEAR(AZ$6),$D$72:$H$72,0)),$H$75)*(SUM(AZ$24,AZ$30))</f>
        <v/>
      </c>
      <c r="BA33" s="253">
        <f>-IFERROR(INDEX($D75:$H75,MATCH(YEAR(BA$6),$D$72:$H$72,0)),$H$75)*(SUM(BA$24,BA$30))</f>
        <v/>
      </c>
      <c r="BB33" s="253">
        <f>-IFERROR(INDEX($D75:$H75,MATCH(YEAR(BB$6),$D$72:$H$72,0)),$H$75)*(SUM(BB$24,BB$30))</f>
        <v/>
      </c>
      <c r="BC33" s="253">
        <f>-IFERROR(INDEX($D75:$H75,MATCH(YEAR(BC$6),$D$72:$H$72,0)),$H$75)*(SUM(BC$24,BC$30))</f>
        <v/>
      </c>
      <c r="BD33" s="253">
        <f>-IFERROR(INDEX($D75:$H75,MATCH(YEAR(BD$6),$D$72:$H$72,0)),$H$75)*(SUM(BD$24,BD$30))</f>
        <v/>
      </c>
      <c r="BE33" s="253">
        <f>-IFERROR(INDEX($D75:$H75,MATCH(YEAR(BE$6),$D$72:$H$72,0)),$H$75)*(SUM(BE$24,BE$30))</f>
        <v/>
      </c>
      <c r="BF33" s="253">
        <f>-IFERROR(INDEX($D75:$H75,MATCH(YEAR(BF$6),$D$72:$H$72,0)),$H$75)*(SUM(BF$24,BF$30))</f>
        <v/>
      </c>
      <c r="BG33" s="253">
        <f>-IFERROR(INDEX($D75:$H75,MATCH(YEAR(BG$6),$D$72:$H$72,0)),$H$75)*(SUM(BG$24,BG$30))</f>
        <v/>
      </c>
      <c r="BH33" s="253">
        <f>-IFERROR(INDEX($D75:$H75,MATCH(YEAR(BH$6),$D$72:$H$72,0)),$H$75)*(SUM(BH$24,BH$30))</f>
        <v/>
      </c>
      <c r="BI33" s="253">
        <f>-IFERROR(INDEX($D75:$H75,MATCH(YEAR(BI$6),$D$72:$H$72,0)),$H$75)*(SUM(BI$24,BI$30))</f>
        <v/>
      </c>
      <c r="BJ33" s="253">
        <f>-IFERROR(INDEX($D75:$H75,MATCH(YEAR(BJ$6),$D$72:$H$72,0)),$H$75)*(SUM(BJ$24,BJ$30))</f>
        <v/>
      </c>
      <c r="BK33" s="253">
        <f>-IFERROR(INDEX($D75:$H75,MATCH(YEAR(BK$6),$D$72:$H$72,0)),$H$75)*(SUM(BK$24,BK$30))</f>
        <v/>
      </c>
      <c r="BL33" s="253">
        <f>-IFERROR(INDEX($D75:$H75,MATCH(YEAR(BL$6),$D$72:$H$72,0)),$H$75)*(SUM(BL$24,BL$30))</f>
        <v/>
      </c>
      <c r="BM33" s="253">
        <f>-IFERROR(INDEX($D75:$H75,MATCH(YEAR(BM$6),$D$72:$H$72,0)),$H$75)*(SUM(BM$24,BM$30))</f>
        <v/>
      </c>
      <c r="BN33" s="253">
        <f>-IFERROR(INDEX($D75:$H75,MATCH(YEAR(BN$6),$D$72:$H$72,0)),$H$75)*(SUM(BN$24,BN$30))</f>
        <v/>
      </c>
      <c r="BO33" s="253">
        <f>-IFERROR(INDEX($D75:$H75,MATCH(YEAR(BO$6),$D$72:$H$72,0)),$H$75)*(SUM(BO$24,BO$30))</f>
        <v/>
      </c>
      <c r="BP33" s="253">
        <f>-IFERROR(INDEX($D75:$H75,MATCH(YEAR(BP$6),$D$72:$H$72,0)),$H$75)*(SUM(BP$24,BP$30))</f>
        <v/>
      </c>
      <c r="BQ33" s="253">
        <f>-IFERROR(INDEX($D75:$H75,MATCH(YEAR(BQ$6),$D$72:$H$72,0)),$H$75)*(SUM(BQ$24,BQ$30))</f>
        <v/>
      </c>
      <c r="BR33" s="253">
        <f>-IFERROR(INDEX($D75:$H75,MATCH(YEAR(BR$6),$D$72:$H$72,0)),$H$75)*(SUM(BR$24,BR$30))</f>
        <v/>
      </c>
      <c r="BS33" s="253">
        <f>-IFERROR(INDEX($D75:$H75,MATCH(YEAR(BS$6),$D$72:$H$72,0)),$H$75)*(SUM(BS$24,BS$30))</f>
        <v/>
      </c>
      <c r="BT33" s="253">
        <f>-IFERROR(INDEX($D75:$H75,MATCH(YEAR(BT$6),$D$72:$H$72,0)),$H$75)*(SUM(BT$24,BT$30))</f>
        <v/>
      </c>
      <c r="BU33" s="253">
        <f>-IFERROR(INDEX($D75:$H75,MATCH(YEAR(BU$6),$D$72:$H$72,0)),$H$75)*(SUM(BU$24,BU$30))</f>
        <v/>
      </c>
      <c r="BV33" s="253">
        <f>-IFERROR(INDEX($D75:$H75,MATCH(YEAR(BV$6),$D$72:$H$72,0)),$H$75)*(SUM(BV$24,BV$30))</f>
        <v/>
      </c>
      <c r="BW33" s="253">
        <f>-IFERROR(INDEX($D75:$H75,MATCH(YEAR(BW$6),$D$72:$H$72,0)),$H$75)*(SUM(BW$24,BW$30))</f>
        <v/>
      </c>
      <c r="BX33" s="253">
        <f>-IFERROR(INDEX($D75:$H75,MATCH(YEAR(BX$6),$D$72:$H$72,0)),$H$75)*(SUM(BX$24,BX$30))</f>
        <v/>
      </c>
      <c r="BY33" s="253">
        <f>-IFERROR(INDEX($D75:$H75,MATCH(YEAR(BY$6),$D$72:$H$72,0)),$H$75)*(SUM(BY$24,BY$30))</f>
        <v/>
      </c>
      <c r="BZ33" s="253">
        <f>-IFERROR(INDEX($D75:$H75,MATCH(YEAR(BZ$6),$D$72:$H$72,0)),$H$75)*(SUM(BZ$24,BZ$30))</f>
        <v/>
      </c>
      <c r="CA33" s="253">
        <f>-IFERROR(INDEX($D75:$H75,MATCH(YEAR(CA$6),$D$72:$H$72,0)),$H$75)*(SUM(CA$24,CA$30))</f>
        <v/>
      </c>
      <c r="CB33" s="253">
        <f>-IFERROR(INDEX($D75:$H75,MATCH(YEAR(CB$6),$D$72:$H$72,0)),$H$75)*(SUM(CB$24,CB$30))</f>
        <v/>
      </c>
      <c r="CC33" s="253">
        <f>-IFERROR(INDEX($D75:$H75,MATCH(YEAR(CC$6),$D$72:$H$72,0)),$H$75)*(SUM(CC$24,CC$30))</f>
        <v/>
      </c>
      <c r="CD33" s="253">
        <f>-IFERROR(INDEX($D75:$H75,MATCH(YEAR(CD$6),$D$72:$H$72,0)),$H$75)*(SUM(CD$24,CD$30))</f>
        <v/>
      </c>
      <c r="CE33" s="253">
        <f>-IFERROR(INDEX($D75:$H75,MATCH(YEAR(CE$6),$D$72:$H$72,0)),$H$75)*(SUM(CE$24,CE$30))</f>
        <v/>
      </c>
      <c r="CF33" s="253">
        <f>-IFERROR(INDEX($D75:$H75,MATCH(YEAR(CF$6),$D$72:$H$72,0)),$H$75)*(SUM(CF$24,CF$30))</f>
        <v/>
      </c>
      <c r="CG33" s="253">
        <f>-IFERROR(INDEX($D75:$H75,MATCH(YEAR(CG$6),$D$72:$H$72,0)),$H$75)*(SUM(CG$24,CG$30))</f>
        <v/>
      </c>
      <c r="CH33" s="253">
        <f>-IFERROR(INDEX($D75:$H75,MATCH(YEAR(CH$6),$D$72:$H$72,0)),$H$75)*(SUM(CH$24,CH$30))</f>
        <v/>
      </c>
      <c r="CI33" s="253">
        <f>-IFERROR(INDEX($D75:$H75,MATCH(YEAR(CI$6),$D$72:$H$72,0)),$H$75)*(SUM(CI$24,CI$30))</f>
        <v/>
      </c>
      <c r="CJ33" s="253">
        <f>-IFERROR(INDEX($D75:$H75,MATCH(YEAR(CJ$6),$D$72:$H$72,0)),$H$75)*(SUM(CJ$24,CJ$30))</f>
        <v/>
      </c>
      <c r="CK33" s="253">
        <f>-IFERROR(INDEX($D75:$H75,MATCH(YEAR(CK$6),$D$72:$H$72,0)),$H$75)*(SUM(CK$24,CK$30))</f>
        <v/>
      </c>
      <c r="CL33" s="253">
        <f>-IFERROR(INDEX($D75:$H75,MATCH(YEAR(CL$6),$D$72:$H$72,0)),$H$75)*(SUM(CL$24,CL$30))</f>
        <v/>
      </c>
      <c r="CM33" s="253">
        <f>-IFERROR(INDEX($D75:$H75,MATCH(YEAR(CM$6),$D$72:$H$72,0)),$H$75)*(SUM(CM$24,CM$30))</f>
        <v/>
      </c>
      <c r="CN33" s="253">
        <f>-IFERROR(INDEX($D75:$H75,MATCH(YEAR(CN$6),$D$72:$H$72,0)),$H$75)*(SUM(CN$24,CN$30))</f>
        <v/>
      </c>
      <c r="CO33" s="253">
        <f>-IFERROR(INDEX($D75:$H75,MATCH(YEAR(CO$6),$D$72:$H$72,0)),$H$75)*(SUM(CO$24,CO$30))</f>
        <v/>
      </c>
      <c r="CP33" s="253">
        <f>-IFERROR(INDEX($D75:$H75,MATCH(YEAR(CP$6),$D$72:$H$72,0)),$H$75)*(SUM(CP$24,CP$30))</f>
        <v/>
      </c>
      <c r="CQ33" s="253">
        <f>-IFERROR(INDEX($D75:$H75,MATCH(YEAR(CQ$6),$D$72:$H$72,0)),$H$75)*(SUM(CQ$24,CQ$30))</f>
        <v/>
      </c>
      <c r="CR33" s="253">
        <f>-IFERROR(INDEX($D75:$H75,MATCH(YEAR(CR$6),$D$72:$H$72,0)),$H$75)*(SUM(CR$24,CR$30))</f>
        <v/>
      </c>
      <c r="CS33" s="253">
        <f>-IFERROR(INDEX($D75:$H75,MATCH(YEAR(CS$6),$D$72:$H$72,0)),$H$75)*(SUM(CS$24,CS$30))</f>
        <v/>
      </c>
      <c r="CT33" s="253">
        <f>-IFERROR(INDEX($D75:$H75,MATCH(YEAR(CT$6),$D$72:$H$72,0)),$H$75)*(SUM(CT$24,CT$30))</f>
        <v/>
      </c>
      <c r="CU33" s="253">
        <f>-IFERROR(INDEX($D75:$H75,MATCH(YEAR(CU$6),$D$72:$H$72,0)),$H$75)*(SUM(CU$24,CU$30))</f>
        <v/>
      </c>
      <c r="CV33" s="253">
        <f>-IFERROR(INDEX($D75:$H75,MATCH(YEAR(CV$6),$D$72:$H$72,0)),$H$75)*(SUM(CV$24,CV$30))</f>
        <v/>
      </c>
      <c r="CW33" s="253">
        <f>-IFERROR(INDEX($D75:$H75,MATCH(YEAR(CW$6),$D$72:$H$72,0)),$H$75)*(SUM(CW$24,CW$30))</f>
        <v/>
      </c>
      <c r="CX33" s="253">
        <f>-IFERROR(INDEX($D75:$H75,MATCH(YEAR(CX$6),$D$72:$H$72,0)),$H$75)*(SUM(CX$24,CX$30))</f>
        <v/>
      </c>
      <c r="CY33" s="253">
        <f>-IFERROR(INDEX($D75:$H75,MATCH(YEAR(CY$6),$D$72:$H$72,0)),$H$75)*(SUM(CY$24,CY$30))</f>
        <v/>
      </c>
      <c r="CZ33" s="253">
        <f>-IFERROR(INDEX($D75:$H75,MATCH(YEAR(CZ$6),$D$72:$H$72,0)),$H$75)*(SUM(CZ$24,CZ$30))</f>
        <v/>
      </c>
      <c r="DA33" s="253">
        <f>-IFERROR(INDEX($D75:$H75,MATCH(YEAR(DA$6),$D$72:$H$72,0)),$H$75)*(SUM(DA$24,DA$30))</f>
        <v/>
      </c>
      <c r="DB33" s="253">
        <f>-IFERROR(INDEX($D75:$H75,MATCH(YEAR(DB$6),$D$72:$H$72,0)),$H$75)*(SUM(DB$24,DB$30))</f>
        <v/>
      </c>
      <c r="DC33" s="253">
        <f>-IFERROR(INDEX($D75:$H75,MATCH(YEAR(DC$6),$D$72:$H$72,0)),$H$75)*(SUM(DC$24,DC$30))</f>
        <v/>
      </c>
      <c r="DD33" s="253">
        <f>-IFERROR(INDEX($D75:$H75,MATCH(YEAR(DD$6),$D$72:$H$72,0)),$H$75)*(SUM(DD$24,DD$30))</f>
        <v/>
      </c>
      <c r="DE33" s="253">
        <f>-IFERROR(INDEX($D75:$H75,MATCH(YEAR(DE$6),$D$72:$H$72,0)),$H$75)*(SUM(DE$24,DE$30))</f>
        <v/>
      </c>
      <c r="DF33" s="253">
        <f>-IFERROR(INDEX($D75:$H75,MATCH(YEAR(DF$6),$D$72:$H$72,0)),$H$75)*(SUM(DF$24,DF$30))</f>
        <v/>
      </c>
      <c r="DG33" s="253">
        <f>-IFERROR(INDEX($D75:$H75,MATCH(YEAR(DG$6),$D$72:$H$72,0)),$H$75)*(SUM(DG$24,DG$30))</f>
        <v/>
      </c>
      <c r="DH33" s="253">
        <f>-IFERROR(INDEX($D75:$H75,MATCH(YEAR(DH$6),$D$72:$H$72,0)),$H$75)*(SUM(DH$24,DH$30))</f>
        <v/>
      </c>
      <c r="DI33" s="253">
        <f>-IFERROR(INDEX($D75:$H75,MATCH(YEAR(DI$6),$D$72:$H$72,0)),$H$75)*(SUM(DI$24,DI$30))</f>
        <v/>
      </c>
      <c r="DJ33" s="253">
        <f>-IFERROR(INDEX($D75:$H75,MATCH(YEAR(DJ$6),$D$72:$H$72,0)),$H$75)*(SUM(DJ$24,DJ$30))</f>
        <v/>
      </c>
      <c r="DK33" s="253">
        <f>-IFERROR(INDEX($D75:$H75,MATCH(YEAR(DK$6),$D$72:$H$72,0)),$H$75)*(SUM(DK$24,DK$30))</f>
        <v/>
      </c>
      <c r="DL33" s="253">
        <f>-IFERROR(INDEX($D75:$H75,MATCH(YEAR(DL$6),$D$72:$H$72,0)),$H$75)*(SUM(DL$24,DL$30))</f>
        <v/>
      </c>
      <c r="DM33" s="253">
        <f>-IFERROR(INDEX($D75:$H75,MATCH(YEAR(DM$6),$D$72:$H$72,0)),$H$75)*(SUM(DM$24,DM$30))</f>
        <v/>
      </c>
      <c r="DN33" s="253">
        <f>-IFERROR(INDEX($D75:$H75,MATCH(YEAR(DN$6),$D$72:$H$72,0)),$H$75)*(SUM(DN$24,DN$30))</f>
        <v/>
      </c>
      <c r="DO33" s="253">
        <f>-IFERROR(INDEX($D75:$H75,MATCH(YEAR(DO$6),$D$72:$H$72,0)),$H$75)*(SUM(DO$24,DO$30))</f>
        <v/>
      </c>
      <c r="DP33" s="253">
        <f>-IFERROR(INDEX($D75:$H75,MATCH(YEAR(DP$6),$D$72:$H$72,0)),$H$75)*(SUM(DP$24,DP$30))</f>
        <v/>
      </c>
      <c r="DQ33" s="253">
        <f>-IFERROR(INDEX($D75:$H75,MATCH(YEAR(DQ$6),$D$72:$H$72,0)),$H$75)*(SUM(DQ$24,DQ$30))</f>
        <v/>
      </c>
      <c r="DR33" s="253">
        <f>-IFERROR(INDEX($D75:$H75,MATCH(YEAR(DR$6),$D$72:$H$72,0)),$H$75)*(SUM(DR$24,DR$30))</f>
        <v/>
      </c>
      <c r="DS33" s="253">
        <f>-IFERROR(INDEX($D75:$H75,MATCH(YEAR(DS$6),$D$72:$H$72,0)),$H$75)*(SUM(DS$24,DS$30))</f>
        <v/>
      </c>
      <c r="DT33" s="253">
        <f>-IFERROR(INDEX($D75:$H75,MATCH(YEAR(DT$6),$D$72:$H$72,0)),$H$75)*(SUM(DT$24,DT$30))</f>
        <v/>
      </c>
      <c r="DU33" s="253">
        <f>-IFERROR(INDEX($D75:$H75,MATCH(YEAR(DU$6),$D$72:$H$72,0)),$H$75)*(SUM(DU$24,DU$30))</f>
        <v/>
      </c>
      <c r="DV33" s="253">
        <f>-IFERROR(INDEX($D75:$H75,MATCH(YEAR(DV$6),$D$72:$H$72,0)),$H$75)*(SUM(DV$24,DV$30))</f>
        <v/>
      </c>
      <c r="DW33" s="253">
        <f>-IFERROR(INDEX($D75:$H75,MATCH(YEAR(DW$6),$D$72:$H$72,0)),$H$75)*(SUM(DW$24,DW$30))</f>
        <v/>
      </c>
      <c r="DX33" s="253">
        <f>-IFERROR(INDEX($D75:$H75,MATCH(YEAR(DX$6),$D$72:$H$72,0)),$H$75)*(SUM(DX$24,DX$30))</f>
        <v/>
      </c>
      <c r="DY33" s="253">
        <f>-IFERROR(INDEX($D75:$H75,MATCH(YEAR(DY$6),$D$72:$H$72,0)),$H$75)*(SUM(DY$24,DY$30))</f>
        <v/>
      </c>
      <c r="DZ33" s="253">
        <f>-IFERROR(INDEX($D75:$H75,MATCH(YEAR(DZ$6),$D$72:$H$72,0)),$H$75)*(SUM(DZ$24,DZ$30))</f>
        <v/>
      </c>
      <c r="EA33" s="253">
        <f>-IFERROR(INDEX($D75:$H75,MATCH(YEAR(EA$6),$D$72:$H$72,0)),$H$75)*(SUM(EA$24,EA$30))</f>
        <v/>
      </c>
      <c r="EB33" s="253">
        <f>-IFERROR(INDEX($D75:$H75,MATCH(YEAR(EB$6),$D$72:$H$72,0)),$H$75)*(SUM(EB$24,EB$30))</f>
        <v/>
      </c>
      <c r="EC33" s="253">
        <f>-IFERROR(INDEX($D75:$H75,MATCH(YEAR(EC$6),$D$72:$H$72,0)),$H$75)*(SUM(EC$24,EC$30))</f>
        <v/>
      </c>
      <c r="ED33" s="253">
        <f>-IFERROR(INDEX($D75:$H75,MATCH(YEAR(ED$6),$D$72:$H$72,0)),$H$75)*(SUM(ED$24,ED$30))</f>
        <v/>
      </c>
      <c r="EE33" s="253">
        <f>-IFERROR(INDEX($D75:$H75,MATCH(YEAR(EE$6),$D$72:$H$72,0)),$H$75)*(SUM(EE$24,EE$30))</f>
        <v/>
      </c>
      <c r="EF33" s="253">
        <f>-IFERROR(INDEX($D75:$H75,MATCH(YEAR(EF$6),$D$72:$H$72,0)),$H$75)*(SUM(EF$24,EF$30))</f>
        <v/>
      </c>
      <c r="EG33" s="253">
        <f>-IFERROR(INDEX($D75:$H75,MATCH(YEAR(EG$6),$D$72:$H$72,0)),$H$75)*(SUM(EG$24,EG$30))</f>
        <v/>
      </c>
      <c r="EH33" s="253">
        <f>-IFERROR(INDEX($D75:$H75,MATCH(YEAR(EH$6),$D$72:$H$72,0)),$H$75)*(SUM(EH$24,EH$30))</f>
        <v/>
      </c>
      <c r="EI33" s="253">
        <f>-IFERROR(INDEX($D75:$H75,MATCH(YEAR(EI$6),$D$72:$H$72,0)),$H$75)*(SUM(EI$24,EI$30))</f>
        <v/>
      </c>
      <c r="EJ33" s="253">
        <f>-IFERROR(INDEX($D75:$H75,MATCH(YEAR(EJ$6),$D$72:$H$72,0)),$H$75)*(SUM(EJ$24,EJ$30))</f>
        <v/>
      </c>
      <c r="EK33" s="253">
        <f>-IFERROR(INDEX($D75:$H75,MATCH(YEAR(EK$6),$D$72:$H$72,0)),$H$75)*(SUM(EK$24,EK$30))</f>
        <v/>
      </c>
      <c r="EL33" s="253">
        <f>-IFERROR(INDEX($D75:$H75,MATCH(YEAR(EL$6),$D$72:$H$72,0)),$H$75)*(SUM(EL$24,EL$30))</f>
        <v/>
      </c>
      <c r="EM33" s="253">
        <f>-IFERROR(INDEX($D75:$H75,MATCH(YEAR(EM$6),$D$72:$H$72,0)),$H$75)*(SUM(EM$24,EM$30))</f>
        <v/>
      </c>
      <c r="EN33" s="253">
        <f>-IFERROR(INDEX($D75:$H75,MATCH(YEAR(EN$6),$D$72:$H$72,0)),$H$75)*(SUM(EN$24,EN$30))</f>
        <v/>
      </c>
      <c r="EO33" s="253">
        <f>-IFERROR(INDEX($D75:$H75,MATCH(YEAR(EO$6),$D$72:$H$72,0)),$H$75)*(SUM(EO$24,EO$30))</f>
        <v/>
      </c>
      <c r="EP33" s="253">
        <f>-IFERROR(INDEX($D75:$H75,MATCH(YEAR(EP$6),$D$72:$H$72,0)),$H$75)*(SUM(EP$24,EP$30))</f>
        <v/>
      </c>
      <c r="EQ33" s="253">
        <f>-IFERROR(INDEX($D75:$H75,MATCH(YEAR(EQ$6),$D$72:$H$72,0)),$H$75)*(SUM(EQ$24,EQ$30))</f>
        <v/>
      </c>
      <c r="ER33" s="253">
        <f>-IFERROR(INDEX($D75:$H75,MATCH(YEAR(ER$6),$D$72:$H$72,0)),$H$75)*(SUM(ER$24,ER$30))</f>
        <v/>
      </c>
      <c r="ES33" s="253">
        <f>-IFERROR(INDEX($D75:$H75,MATCH(YEAR(ES$6),$D$72:$H$72,0)),$H$75)*(SUM(ES$24,ES$30))</f>
        <v/>
      </c>
      <c r="ET33" s="253">
        <f>-IFERROR(INDEX($D75:$H75,MATCH(YEAR(ET$6),$D$72:$H$72,0)),$H$75)*(SUM(ET$24,ET$30))</f>
        <v/>
      </c>
      <c r="EU33" s="253">
        <f>-IFERROR(INDEX($D75:$H75,MATCH(YEAR(EU$6),$D$72:$H$72,0)),$H$75)*(SUM(EU$24,EU$30))</f>
        <v/>
      </c>
      <c r="EV33" s="253">
        <f>-IFERROR(INDEX($D75:$H75,MATCH(YEAR(EV$6),$D$72:$H$72,0)),$H$75)*(SUM(EV$24,EV$30))</f>
        <v/>
      </c>
      <c r="EW33" s="253">
        <f>-IFERROR(INDEX($D75:$H75,MATCH(YEAR(EW$6),$D$72:$H$72,0)),$H$75)*(SUM(EW$24,EW$30))</f>
        <v/>
      </c>
      <c r="EX33" s="253">
        <f>-IFERROR(INDEX($D75:$H75,MATCH(YEAR(EX$6),$D$72:$H$72,0)),$H$75)*(SUM(EX$24,EX$30))</f>
        <v/>
      </c>
    </row>
    <row r="34">
      <c r="C34" s="9" t="inlineStr">
        <is>
          <t>Debt</t>
        </is>
      </c>
      <c r="D34" s="215">
        <f>E34/$E$35</f>
        <v/>
      </c>
      <c r="E34" s="264">
        <f>E47</f>
        <v/>
      </c>
      <c r="F34" s="238">
        <f>G34/$G$35</f>
        <v/>
      </c>
      <c r="G34" s="264">
        <f>H47</f>
        <v/>
      </c>
      <c r="H34" s="291">
        <f>INDEX($V$146:$EX$146,MATCH(H19,$V$4:$EX$4,0))</f>
        <v/>
      </c>
      <c r="J34" s="9" t="inlineStr">
        <is>
          <t>Concessions</t>
        </is>
      </c>
      <c r="K34" s="289">
        <f>D76</f>
        <v/>
      </c>
      <c r="L34" s="290" t="n"/>
      <c r="M34" s="25">
        <f>SUMIF($V$4:$EX$4,"&lt;="&amp;$H$19,$V34:$EX34)</f>
        <v/>
      </c>
      <c r="N34" s="279" t="n"/>
      <c r="O34" s="280">
        <f>SUMIF($V$5:$EX$5,O$7,$V34:$EX34)</f>
        <v/>
      </c>
      <c r="P34" s="280">
        <f>SUMIF($V$5:$EX$5,P$7,$V34:$EX34)</f>
        <v/>
      </c>
      <c r="Q34" s="280">
        <f>SUMIF($V$5:$EX$5,Q$7,$V34:$EX34)</f>
        <v/>
      </c>
      <c r="R34" s="280">
        <f>SUMIF($V$5:$EX$5,R$7,$V34:$EX34)</f>
        <v/>
      </c>
      <c r="S34" s="280">
        <f>SUMIF($V$5:$EX$5,S$7,$V34:$EX34)</f>
        <v/>
      </c>
      <c r="T34" s="280">
        <f>SUMIF($V$5:$EX$5,T$7,$V34:$EX34)</f>
        <v/>
      </c>
      <c r="U34" s="279" t="n"/>
      <c r="V34" s="25" t="n">
        <v>0</v>
      </c>
      <c r="W34" s="253">
        <f>-IFERROR(INDEX($D76:$H76,MATCH(YEAR(W$6),$D$72:$H$72,0)),$H$76)*(SUM(W$24,W$30))</f>
        <v/>
      </c>
      <c r="X34" s="253">
        <f>-IFERROR(INDEX($D76:$H76,MATCH(YEAR(X$6),$D$72:$H$72,0)),$H$76)*(SUM(X$24,X$30))</f>
        <v/>
      </c>
      <c r="Y34" s="253">
        <f>-IFERROR(INDEX($D76:$H76,MATCH(YEAR(Y$6),$D$72:$H$72,0)),$H$76)*(SUM(Y$24,Y$30))</f>
        <v/>
      </c>
      <c r="Z34" s="253">
        <f>-IFERROR(INDEX($D76:$H76,MATCH(YEAR(Z$6),$D$72:$H$72,0)),$H$76)*(SUM(Z$24,Z$30))</f>
        <v/>
      </c>
      <c r="AA34" s="253">
        <f>-IFERROR(INDEX($D76:$H76,MATCH(YEAR(AA$6),$D$72:$H$72,0)),$H$76)*(SUM(AA$24,AA$30))</f>
        <v/>
      </c>
      <c r="AB34" s="253">
        <f>-IFERROR(INDEX($D76:$H76,MATCH(YEAR(AB$6),$D$72:$H$72,0)),$H$76)*(SUM(AB$24,AB$30))</f>
        <v/>
      </c>
      <c r="AC34" s="253">
        <f>-IFERROR(INDEX($D76:$H76,MATCH(YEAR(AC$6),$D$72:$H$72,0)),$H$76)*(SUM(AC$24,AC$30))</f>
        <v/>
      </c>
      <c r="AD34" s="253">
        <f>-IFERROR(INDEX($D76:$H76,MATCH(YEAR(AD$6),$D$72:$H$72,0)),$H$76)*(SUM(AD$24,AD$30))</f>
        <v/>
      </c>
      <c r="AE34" s="253">
        <f>-IFERROR(INDEX($D76:$H76,MATCH(YEAR(AE$6),$D$72:$H$72,0)),$H$76)*(SUM(AE$24,AE$30))</f>
        <v/>
      </c>
      <c r="AF34" s="253">
        <f>-IFERROR(INDEX($D76:$H76,MATCH(YEAR(AF$6),$D$72:$H$72,0)),$H$76)*(SUM(AF$24,AF$30))</f>
        <v/>
      </c>
      <c r="AG34" s="253">
        <f>-IFERROR(INDEX($D76:$H76,MATCH(YEAR(AG$6),$D$72:$H$72,0)),$H$76)*(SUM(AG$24,AG$30))</f>
        <v/>
      </c>
      <c r="AH34" s="253">
        <f>-IFERROR(INDEX($D76:$H76,MATCH(YEAR(AH$6),$D$72:$H$72,0)),$H$76)*(SUM(AH$24,AH$30))</f>
        <v/>
      </c>
      <c r="AI34" s="253">
        <f>-IFERROR(INDEX($D76:$H76,MATCH(YEAR(AI$6),$D$72:$H$72,0)),$H$76)*(SUM(AI$24,AI$30))</f>
        <v/>
      </c>
      <c r="AJ34" s="253">
        <f>-IFERROR(INDEX($D76:$H76,MATCH(YEAR(AJ$6),$D$72:$H$72,0)),$H$76)*(SUM(AJ$24,AJ$30))</f>
        <v/>
      </c>
      <c r="AK34" s="253">
        <f>-IFERROR(INDEX($D76:$H76,MATCH(YEAR(AK$6),$D$72:$H$72,0)),$H$76)*(SUM(AK$24,AK$30))</f>
        <v/>
      </c>
      <c r="AL34" s="253">
        <f>-IFERROR(INDEX($D76:$H76,MATCH(YEAR(AL$6),$D$72:$H$72,0)),$H$76)*(SUM(AL$24,AL$30))</f>
        <v/>
      </c>
      <c r="AM34" s="253">
        <f>-IFERROR(INDEX($D76:$H76,MATCH(YEAR(AM$6),$D$72:$H$72,0)),$H$76)*(SUM(AM$24,AM$30))</f>
        <v/>
      </c>
      <c r="AN34" s="253">
        <f>-IFERROR(INDEX($D76:$H76,MATCH(YEAR(AN$6),$D$72:$H$72,0)),$H$76)*(SUM(AN$24,AN$30))</f>
        <v/>
      </c>
      <c r="AO34" s="253">
        <f>-IFERROR(INDEX($D76:$H76,MATCH(YEAR(AO$6),$D$72:$H$72,0)),$H$76)*(SUM(AO$24,AO$30))</f>
        <v/>
      </c>
      <c r="AP34" s="253">
        <f>-IFERROR(INDEX($D76:$H76,MATCH(YEAR(AP$6),$D$72:$H$72,0)),$H$76)*(SUM(AP$24,AP$30))</f>
        <v/>
      </c>
      <c r="AQ34" s="253">
        <f>-IFERROR(INDEX($D76:$H76,MATCH(YEAR(AQ$6),$D$72:$H$72,0)),$H$76)*(SUM(AQ$24,AQ$30))</f>
        <v/>
      </c>
      <c r="AR34" s="253">
        <f>-IFERROR(INDEX($D76:$H76,MATCH(YEAR(AR$6),$D$72:$H$72,0)),$H$76)*(SUM(AR$24,AR$30))</f>
        <v/>
      </c>
      <c r="AS34" s="253">
        <f>-IFERROR(INDEX($D76:$H76,MATCH(YEAR(AS$6),$D$72:$H$72,0)),$H$76)*(SUM(AS$24,AS$30))</f>
        <v/>
      </c>
      <c r="AT34" s="253">
        <f>-IFERROR(INDEX($D76:$H76,MATCH(YEAR(AT$6),$D$72:$H$72,0)),$H$76)*(SUM(AT$24,AT$30))</f>
        <v/>
      </c>
      <c r="AU34" s="253">
        <f>-IFERROR(INDEX($D76:$H76,MATCH(YEAR(AU$6),$D$72:$H$72,0)),$H$76)*(SUM(AU$24,AU$30))</f>
        <v/>
      </c>
      <c r="AV34" s="253">
        <f>-IFERROR(INDEX($D76:$H76,MATCH(YEAR(AV$6),$D$72:$H$72,0)),$H$76)*(SUM(AV$24,AV$30))</f>
        <v/>
      </c>
      <c r="AW34" s="253">
        <f>-IFERROR(INDEX($D76:$H76,MATCH(YEAR(AW$6),$D$72:$H$72,0)),$H$76)*(SUM(AW$24,AW$30))</f>
        <v/>
      </c>
      <c r="AX34" s="253">
        <f>-IFERROR(INDEX($D76:$H76,MATCH(YEAR(AX$6),$D$72:$H$72,0)),$H$76)*(SUM(AX$24,AX$30))</f>
        <v/>
      </c>
      <c r="AY34" s="253">
        <f>-IFERROR(INDEX($D76:$H76,MATCH(YEAR(AY$6),$D$72:$H$72,0)),$H$76)*(SUM(AY$24,AY$30))</f>
        <v/>
      </c>
      <c r="AZ34" s="253">
        <f>-IFERROR(INDEX($D76:$H76,MATCH(YEAR(AZ$6),$D$72:$H$72,0)),$H$76)*(SUM(AZ$24,AZ$30))</f>
        <v/>
      </c>
      <c r="BA34" s="253">
        <f>-IFERROR(INDEX($D76:$H76,MATCH(YEAR(BA$6),$D$72:$H$72,0)),$H$76)*(SUM(BA$24,BA$30))</f>
        <v/>
      </c>
      <c r="BB34" s="253">
        <f>-IFERROR(INDEX($D76:$H76,MATCH(YEAR(BB$6),$D$72:$H$72,0)),$H$76)*(SUM(BB$24,BB$30))</f>
        <v/>
      </c>
      <c r="BC34" s="253">
        <f>-IFERROR(INDEX($D76:$H76,MATCH(YEAR(BC$6),$D$72:$H$72,0)),$H$76)*(SUM(BC$24,BC$30))</f>
        <v/>
      </c>
      <c r="BD34" s="253">
        <f>-IFERROR(INDEX($D76:$H76,MATCH(YEAR(BD$6),$D$72:$H$72,0)),$H$76)*(SUM(BD$24,BD$30))</f>
        <v/>
      </c>
      <c r="BE34" s="253">
        <f>-IFERROR(INDEX($D76:$H76,MATCH(YEAR(BE$6),$D$72:$H$72,0)),$H$76)*(SUM(BE$24,BE$30))</f>
        <v/>
      </c>
      <c r="BF34" s="253">
        <f>-IFERROR(INDEX($D76:$H76,MATCH(YEAR(BF$6),$D$72:$H$72,0)),$H$76)*(SUM(BF$24,BF$30))</f>
        <v/>
      </c>
      <c r="BG34" s="253">
        <f>-IFERROR(INDEX($D76:$H76,MATCH(YEAR(BG$6),$D$72:$H$72,0)),$H$76)*(SUM(BG$24,BG$30))</f>
        <v/>
      </c>
      <c r="BH34" s="253">
        <f>-IFERROR(INDEX($D76:$H76,MATCH(YEAR(BH$6),$D$72:$H$72,0)),$H$76)*(SUM(BH$24,BH$30))</f>
        <v/>
      </c>
      <c r="BI34" s="253">
        <f>-IFERROR(INDEX($D76:$H76,MATCH(YEAR(BI$6),$D$72:$H$72,0)),$H$76)*(SUM(BI$24,BI$30))</f>
        <v/>
      </c>
      <c r="BJ34" s="253">
        <f>-IFERROR(INDEX($D76:$H76,MATCH(YEAR(BJ$6),$D$72:$H$72,0)),$H$76)*(SUM(BJ$24,BJ$30))</f>
        <v/>
      </c>
      <c r="BK34" s="253">
        <f>-IFERROR(INDEX($D76:$H76,MATCH(YEAR(BK$6),$D$72:$H$72,0)),$H$76)*(SUM(BK$24,BK$30))</f>
        <v/>
      </c>
      <c r="BL34" s="253">
        <f>-IFERROR(INDEX($D76:$H76,MATCH(YEAR(BL$6),$D$72:$H$72,0)),$H$76)*(SUM(BL$24,BL$30))</f>
        <v/>
      </c>
      <c r="BM34" s="253">
        <f>-IFERROR(INDEX($D76:$H76,MATCH(YEAR(BM$6),$D$72:$H$72,0)),$H$76)*(SUM(BM$24,BM$30))</f>
        <v/>
      </c>
      <c r="BN34" s="253">
        <f>-IFERROR(INDEX($D76:$H76,MATCH(YEAR(BN$6),$D$72:$H$72,0)),$H$76)*(SUM(BN$24,BN$30))</f>
        <v/>
      </c>
      <c r="BO34" s="253">
        <f>-IFERROR(INDEX($D76:$H76,MATCH(YEAR(BO$6),$D$72:$H$72,0)),$H$76)*(SUM(BO$24,BO$30))</f>
        <v/>
      </c>
      <c r="BP34" s="253">
        <f>-IFERROR(INDEX($D76:$H76,MATCH(YEAR(BP$6),$D$72:$H$72,0)),$H$76)*(SUM(BP$24,BP$30))</f>
        <v/>
      </c>
      <c r="BQ34" s="253">
        <f>-IFERROR(INDEX($D76:$H76,MATCH(YEAR(BQ$6),$D$72:$H$72,0)),$H$76)*(SUM(BQ$24,BQ$30))</f>
        <v/>
      </c>
      <c r="BR34" s="253">
        <f>-IFERROR(INDEX($D76:$H76,MATCH(YEAR(BR$6),$D$72:$H$72,0)),$H$76)*(SUM(BR$24,BR$30))</f>
        <v/>
      </c>
      <c r="BS34" s="253">
        <f>-IFERROR(INDEX($D76:$H76,MATCH(YEAR(BS$6),$D$72:$H$72,0)),$H$76)*(SUM(BS$24,BS$30))</f>
        <v/>
      </c>
      <c r="BT34" s="253">
        <f>-IFERROR(INDEX($D76:$H76,MATCH(YEAR(BT$6),$D$72:$H$72,0)),$H$76)*(SUM(BT$24,BT$30))</f>
        <v/>
      </c>
      <c r="BU34" s="253">
        <f>-IFERROR(INDEX($D76:$H76,MATCH(YEAR(BU$6),$D$72:$H$72,0)),$H$76)*(SUM(BU$24,BU$30))</f>
        <v/>
      </c>
      <c r="BV34" s="253">
        <f>-IFERROR(INDEX($D76:$H76,MATCH(YEAR(BV$6),$D$72:$H$72,0)),$H$76)*(SUM(BV$24,BV$30))</f>
        <v/>
      </c>
      <c r="BW34" s="253">
        <f>-IFERROR(INDEX($D76:$H76,MATCH(YEAR(BW$6),$D$72:$H$72,0)),$H$76)*(SUM(BW$24,BW$30))</f>
        <v/>
      </c>
      <c r="BX34" s="253">
        <f>-IFERROR(INDEX($D76:$H76,MATCH(YEAR(BX$6),$D$72:$H$72,0)),$H$76)*(SUM(BX$24,BX$30))</f>
        <v/>
      </c>
      <c r="BY34" s="253">
        <f>-IFERROR(INDEX($D76:$H76,MATCH(YEAR(BY$6),$D$72:$H$72,0)),$H$76)*(SUM(BY$24,BY$30))</f>
        <v/>
      </c>
      <c r="BZ34" s="253">
        <f>-IFERROR(INDEX($D76:$H76,MATCH(YEAR(BZ$6),$D$72:$H$72,0)),$H$76)*(SUM(BZ$24,BZ$30))</f>
        <v/>
      </c>
      <c r="CA34" s="253">
        <f>-IFERROR(INDEX($D76:$H76,MATCH(YEAR(CA$6),$D$72:$H$72,0)),$H$76)*(SUM(CA$24,CA$30))</f>
        <v/>
      </c>
      <c r="CB34" s="253">
        <f>-IFERROR(INDEX($D76:$H76,MATCH(YEAR(CB$6),$D$72:$H$72,0)),$H$76)*(SUM(CB$24,CB$30))</f>
        <v/>
      </c>
      <c r="CC34" s="253">
        <f>-IFERROR(INDEX($D76:$H76,MATCH(YEAR(CC$6),$D$72:$H$72,0)),$H$76)*(SUM(CC$24,CC$30))</f>
        <v/>
      </c>
      <c r="CD34" s="253">
        <f>-IFERROR(INDEX($D76:$H76,MATCH(YEAR(CD$6),$D$72:$H$72,0)),$H$76)*(SUM(CD$24,CD$30))</f>
        <v/>
      </c>
      <c r="CE34" s="253">
        <f>-IFERROR(INDEX($D76:$H76,MATCH(YEAR(CE$6),$D$72:$H$72,0)),$H$76)*(SUM(CE$24,CE$30))</f>
        <v/>
      </c>
      <c r="CF34" s="253">
        <f>-IFERROR(INDEX($D76:$H76,MATCH(YEAR(CF$6),$D$72:$H$72,0)),$H$76)*(SUM(CF$24,CF$30))</f>
        <v/>
      </c>
      <c r="CG34" s="253">
        <f>-IFERROR(INDEX($D76:$H76,MATCH(YEAR(CG$6),$D$72:$H$72,0)),$H$76)*(SUM(CG$24,CG$30))</f>
        <v/>
      </c>
      <c r="CH34" s="253">
        <f>-IFERROR(INDEX($D76:$H76,MATCH(YEAR(CH$6),$D$72:$H$72,0)),$H$76)*(SUM(CH$24,CH$30))</f>
        <v/>
      </c>
      <c r="CI34" s="253">
        <f>-IFERROR(INDEX($D76:$H76,MATCH(YEAR(CI$6),$D$72:$H$72,0)),$H$76)*(SUM(CI$24,CI$30))</f>
        <v/>
      </c>
      <c r="CJ34" s="253">
        <f>-IFERROR(INDEX($D76:$H76,MATCH(YEAR(CJ$6),$D$72:$H$72,0)),$H$76)*(SUM(CJ$24,CJ$30))</f>
        <v/>
      </c>
      <c r="CK34" s="253">
        <f>-IFERROR(INDEX($D76:$H76,MATCH(YEAR(CK$6),$D$72:$H$72,0)),$H$76)*(SUM(CK$24,CK$30))</f>
        <v/>
      </c>
      <c r="CL34" s="253">
        <f>-IFERROR(INDEX($D76:$H76,MATCH(YEAR(CL$6),$D$72:$H$72,0)),$H$76)*(SUM(CL$24,CL$30))</f>
        <v/>
      </c>
      <c r="CM34" s="253">
        <f>-IFERROR(INDEX($D76:$H76,MATCH(YEAR(CM$6),$D$72:$H$72,0)),$H$76)*(SUM(CM$24,CM$30))</f>
        <v/>
      </c>
      <c r="CN34" s="253">
        <f>-IFERROR(INDEX($D76:$H76,MATCH(YEAR(CN$6),$D$72:$H$72,0)),$H$76)*(SUM(CN$24,CN$30))</f>
        <v/>
      </c>
      <c r="CO34" s="253">
        <f>-IFERROR(INDEX($D76:$H76,MATCH(YEAR(CO$6),$D$72:$H$72,0)),$H$76)*(SUM(CO$24,CO$30))</f>
        <v/>
      </c>
      <c r="CP34" s="253">
        <f>-IFERROR(INDEX($D76:$H76,MATCH(YEAR(CP$6),$D$72:$H$72,0)),$H$76)*(SUM(CP$24,CP$30))</f>
        <v/>
      </c>
      <c r="CQ34" s="253">
        <f>-IFERROR(INDEX($D76:$H76,MATCH(YEAR(CQ$6),$D$72:$H$72,0)),$H$76)*(SUM(CQ$24,CQ$30))</f>
        <v/>
      </c>
      <c r="CR34" s="253">
        <f>-IFERROR(INDEX($D76:$H76,MATCH(YEAR(CR$6),$D$72:$H$72,0)),$H$76)*(SUM(CR$24,CR$30))</f>
        <v/>
      </c>
      <c r="CS34" s="253">
        <f>-IFERROR(INDEX($D76:$H76,MATCH(YEAR(CS$6),$D$72:$H$72,0)),$H$76)*(SUM(CS$24,CS$30))</f>
        <v/>
      </c>
      <c r="CT34" s="253">
        <f>-IFERROR(INDEX($D76:$H76,MATCH(YEAR(CT$6),$D$72:$H$72,0)),$H$76)*(SUM(CT$24,CT$30))</f>
        <v/>
      </c>
      <c r="CU34" s="253">
        <f>-IFERROR(INDEX($D76:$H76,MATCH(YEAR(CU$6),$D$72:$H$72,0)),$H$76)*(SUM(CU$24,CU$30))</f>
        <v/>
      </c>
      <c r="CV34" s="253">
        <f>-IFERROR(INDEX($D76:$H76,MATCH(YEAR(CV$6),$D$72:$H$72,0)),$H$76)*(SUM(CV$24,CV$30))</f>
        <v/>
      </c>
      <c r="CW34" s="253">
        <f>-IFERROR(INDEX($D76:$H76,MATCH(YEAR(CW$6),$D$72:$H$72,0)),$H$76)*(SUM(CW$24,CW$30))</f>
        <v/>
      </c>
      <c r="CX34" s="253">
        <f>-IFERROR(INDEX($D76:$H76,MATCH(YEAR(CX$6),$D$72:$H$72,0)),$H$76)*(SUM(CX$24,CX$30))</f>
        <v/>
      </c>
      <c r="CY34" s="253">
        <f>-IFERROR(INDEX($D76:$H76,MATCH(YEAR(CY$6),$D$72:$H$72,0)),$H$76)*(SUM(CY$24,CY$30))</f>
        <v/>
      </c>
      <c r="CZ34" s="253">
        <f>-IFERROR(INDEX($D76:$H76,MATCH(YEAR(CZ$6),$D$72:$H$72,0)),$H$76)*(SUM(CZ$24,CZ$30))</f>
        <v/>
      </c>
      <c r="DA34" s="253">
        <f>-IFERROR(INDEX($D76:$H76,MATCH(YEAR(DA$6),$D$72:$H$72,0)),$H$76)*(SUM(DA$24,DA$30))</f>
        <v/>
      </c>
      <c r="DB34" s="253">
        <f>-IFERROR(INDEX($D76:$H76,MATCH(YEAR(DB$6),$D$72:$H$72,0)),$H$76)*(SUM(DB$24,DB$30))</f>
        <v/>
      </c>
      <c r="DC34" s="253">
        <f>-IFERROR(INDEX($D76:$H76,MATCH(YEAR(DC$6),$D$72:$H$72,0)),$H$76)*(SUM(DC$24,DC$30))</f>
        <v/>
      </c>
      <c r="DD34" s="253">
        <f>-IFERROR(INDEX($D76:$H76,MATCH(YEAR(DD$6),$D$72:$H$72,0)),$H$76)*(SUM(DD$24,DD$30))</f>
        <v/>
      </c>
      <c r="DE34" s="253">
        <f>-IFERROR(INDEX($D76:$H76,MATCH(YEAR(DE$6),$D$72:$H$72,0)),$H$76)*(SUM(DE$24,DE$30))</f>
        <v/>
      </c>
      <c r="DF34" s="253">
        <f>-IFERROR(INDEX($D76:$H76,MATCH(YEAR(DF$6),$D$72:$H$72,0)),$H$76)*(SUM(DF$24,DF$30))</f>
        <v/>
      </c>
      <c r="DG34" s="253">
        <f>-IFERROR(INDEX($D76:$H76,MATCH(YEAR(DG$6),$D$72:$H$72,0)),$H$76)*(SUM(DG$24,DG$30))</f>
        <v/>
      </c>
      <c r="DH34" s="253">
        <f>-IFERROR(INDEX($D76:$H76,MATCH(YEAR(DH$6),$D$72:$H$72,0)),$H$76)*(SUM(DH$24,DH$30))</f>
        <v/>
      </c>
      <c r="DI34" s="253">
        <f>-IFERROR(INDEX($D76:$H76,MATCH(YEAR(DI$6),$D$72:$H$72,0)),$H$76)*(SUM(DI$24,DI$30))</f>
        <v/>
      </c>
      <c r="DJ34" s="253">
        <f>-IFERROR(INDEX($D76:$H76,MATCH(YEAR(DJ$6),$D$72:$H$72,0)),$H$76)*(SUM(DJ$24,DJ$30))</f>
        <v/>
      </c>
      <c r="DK34" s="253">
        <f>-IFERROR(INDEX($D76:$H76,MATCH(YEAR(DK$6),$D$72:$H$72,0)),$H$76)*(SUM(DK$24,DK$30))</f>
        <v/>
      </c>
      <c r="DL34" s="253">
        <f>-IFERROR(INDEX($D76:$H76,MATCH(YEAR(DL$6),$D$72:$H$72,0)),$H$76)*(SUM(DL$24,DL$30))</f>
        <v/>
      </c>
      <c r="DM34" s="253">
        <f>-IFERROR(INDEX($D76:$H76,MATCH(YEAR(DM$6),$D$72:$H$72,0)),$H$76)*(SUM(DM$24,DM$30))</f>
        <v/>
      </c>
      <c r="DN34" s="253">
        <f>-IFERROR(INDEX($D76:$H76,MATCH(YEAR(DN$6),$D$72:$H$72,0)),$H$76)*(SUM(DN$24,DN$30))</f>
        <v/>
      </c>
      <c r="DO34" s="253">
        <f>-IFERROR(INDEX($D76:$H76,MATCH(YEAR(DO$6),$D$72:$H$72,0)),$H$76)*(SUM(DO$24,DO$30))</f>
        <v/>
      </c>
      <c r="DP34" s="253">
        <f>-IFERROR(INDEX($D76:$H76,MATCH(YEAR(DP$6),$D$72:$H$72,0)),$H$76)*(SUM(DP$24,DP$30))</f>
        <v/>
      </c>
      <c r="DQ34" s="253">
        <f>-IFERROR(INDEX($D76:$H76,MATCH(YEAR(DQ$6),$D$72:$H$72,0)),$H$76)*(SUM(DQ$24,DQ$30))</f>
        <v/>
      </c>
      <c r="DR34" s="253">
        <f>-IFERROR(INDEX($D76:$H76,MATCH(YEAR(DR$6),$D$72:$H$72,0)),$H$76)*(SUM(DR$24,DR$30))</f>
        <v/>
      </c>
      <c r="DS34" s="253">
        <f>-IFERROR(INDEX($D76:$H76,MATCH(YEAR(DS$6),$D$72:$H$72,0)),$H$76)*(SUM(DS$24,DS$30))</f>
        <v/>
      </c>
      <c r="DT34" s="253">
        <f>-IFERROR(INDEX($D76:$H76,MATCH(YEAR(DT$6),$D$72:$H$72,0)),$H$76)*(SUM(DT$24,DT$30))</f>
        <v/>
      </c>
      <c r="DU34" s="253">
        <f>-IFERROR(INDEX($D76:$H76,MATCH(YEAR(DU$6),$D$72:$H$72,0)),$H$76)*(SUM(DU$24,DU$30))</f>
        <v/>
      </c>
      <c r="DV34" s="253">
        <f>-IFERROR(INDEX($D76:$H76,MATCH(YEAR(DV$6),$D$72:$H$72,0)),$H$76)*(SUM(DV$24,DV$30))</f>
        <v/>
      </c>
      <c r="DW34" s="253">
        <f>-IFERROR(INDEX($D76:$H76,MATCH(YEAR(DW$6),$D$72:$H$72,0)),$H$76)*(SUM(DW$24,DW$30))</f>
        <v/>
      </c>
      <c r="DX34" s="253">
        <f>-IFERROR(INDEX($D76:$H76,MATCH(YEAR(DX$6),$D$72:$H$72,0)),$H$76)*(SUM(DX$24,DX$30))</f>
        <v/>
      </c>
      <c r="DY34" s="253">
        <f>-IFERROR(INDEX($D76:$H76,MATCH(YEAR(DY$6),$D$72:$H$72,0)),$H$76)*(SUM(DY$24,DY$30))</f>
        <v/>
      </c>
      <c r="DZ34" s="253">
        <f>-IFERROR(INDEX($D76:$H76,MATCH(YEAR(DZ$6),$D$72:$H$72,0)),$H$76)*(SUM(DZ$24,DZ$30))</f>
        <v/>
      </c>
      <c r="EA34" s="253">
        <f>-IFERROR(INDEX($D76:$H76,MATCH(YEAR(EA$6),$D$72:$H$72,0)),$H$76)*(SUM(EA$24,EA$30))</f>
        <v/>
      </c>
      <c r="EB34" s="253">
        <f>-IFERROR(INDEX($D76:$H76,MATCH(YEAR(EB$6),$D$72:$H$72,0)),$H$76)*(SUM(EB$24,EB$30))</f>
        <v/>
      </c>
      <c r="EC34" s="253">
        <f>-IFERROR(INDEX($D76:$H76,MATCH(YEAR(EC$6),$D$72:$H$72,0)),$H$76)*(SUM(EC$24,EC$30))</f>
        <v/>
      </c>
      <c r="ED34" s="253">
        <f>-IFERROR(INDEX($D76:$H76,MATCH(YEAR(ED$6),$D$72:$H$72,0)),$H$76)*(SUM(ED$24,ED$30))</f>
        <v/>
      </c>
      <c r="EE34" s="253">
        <f>-IFERROR(INDEX($D76:$H76,MATCH(YEAR(EE$6),$D$72:$H$72,0)),$H$76)*(SUM(EE$24,EE$30))</f>
        <v/>
      </c>
      <c r="EF34" s="253">
        <f>-IFERROR(INDEX($D76:$H76,MATCH(YEAR(EF$6),$D$72:$H$72,0)),$H$76)*(SUM(EF$24,EF$30))</f>
        <v/>
      </c>
      <c r="EG34" s="253">
        <f>-IFERROR(INDEX($D76:$H76,MATCH(YEAR(EG$6),$D$72:$H$72,0)),$H$76)*(SUM(EG$24,EG$30))</f>
        <v/>
      </c>
      <c r="EH34" s="253">
        <f>-IFERROR(INDEX($D76:$H76,MATCH(YEAR(EH$6),$D$72:$H$72,0)),$H$76)*(SUM(EH$24,EH$30))</f>
        <v/>
      </c>
      <c r="EI34" s="253">
        <f>-IFERROR(INDEX($D76:$H76,MATCH(YEAR(EI$6),$D$72:$H$72,0)),$H$76)*(SUM(EI$24,EI$30))</f>
        <v/>
      </c>
      <c r="EJ34" s="253">
        <f>-IFERROR(INDEX($D76:$H76,MATCH(YEAR(EJ$6),$D$72:$H$72,0)),$H$76)*(SUM(EJ$24,EJ$30))</f>
        <v/>
      </c>
      <c r="EK34" s="253">
        <f>-IFERROR(INDEX($D76:$H76,MATCH(YEAR(EK$6),$D$72:$H$72,0)),$H$76)*(SUM(EK$24,EK$30))</f>
        <v/>
      </c>
      <c r="EL34" s="253">
        <f>-IFERROR(INDEX($D76:$H76,MATCH(YEAR(EL$6),$D$72:$H$72,0)),$H$76)*(SUM(EL$24,EL$30))</f>
        <v/>
      </c>
      <c r="EM34" s="253">
        <f>-IFERROR(INDEX($D76:$H76,MATCH(YEAR(EM$6),$D$72:$H$72,0)),$H$76)*(SUM(EM$24,EM$30))</f>
        <v/>
      </c>
      <c r="EN34" s="253">
        <f>-IFERROR(INDEX($D76:$H76,MATCH(YEAR(EN$6),$D$72:$H$72,0)),$H$76)*(SUM(EN$24,EN$30))</f>
        <v/>
      </c>
      <c r="EO34" s="253">
        <f>-IFERROR(INDEX($D76:$H76,MATCH(YEAR(EO$6),$D$72:$H$72,0)),$H$76)*(SUM(EO$24,EO$30))</f>
        <v/>
      </c>
      <c r="EP34" s="253">
        <f>-IFERROR(INDEX($D76:$H76,MATCH(YEAR(EP$6),$D$72:$H$72,0)),$H$76)*(SUM(EP$24,EP$30))</f>
        <v/>
      </c>
      <c r="EQ34" s="253">
        <f>-IFERROR(INDEX($D76:$H76,MATCH(YEAR(EQ$6),$D$72:$H$72,0)),$H$76)*(SUM(EQ$24,EQ$30))</f>
        <v/>
      </c>
      <c r="ER34" s="253">
        <f>-IFERROR(INDEX($D76:$H76,MATCH(YEAR(ER$6),$D$72:$H$72,0)),$H$76)*(SUM(ER$24,ER$30))</f>
        <v/>
      </c>
      <c r="ES34" s="253">
        <f>-IFERROR(INDEX($D76:$H76,MATCH(YEAR(ES$6),$D$72:$H$72,0)),$H$76)*(SUM(ES$24,ES$30))</f>
        <v/>
      </c>
      <c r="ET34" s="253">
        <f>-IFERROR(INDEX($D76:$H76,MATCH(YEAR(ET$6),$D$72:$H$72,0)),$H$76)*(SUM(ET$24,ET$30))</f>
        <v/>
      </c>
      <c r="EU34" s="253">
        <f>-IFERROR(INDEX($D76:$H76,MATCH(YEAR(EU$6),$D$72:$H$72,0)),$H$76)*(SUM(EU$24,EU$30))</f>
        <v/>
      </c>
      <c r="EV34" s="253">
        <f>-IFERROR(INDEX($D76:$H76,MATCH(YEAR(EV$6),$D$72:$H$72,0)),$H$76)*(SUM(EV$24,EV$30))</f>
        <v/>
      </c>
      <c r="EW34" s="253">
        <f>-IFERROR(INDEX($D76:$H76,MATCH(YEAR(EW$6),$D$72:$H$72,0)),$H$76)*(SUM(EW$24,EW$30))</f>
        <v/>
      </c>
      <c r="EX34" s="253">
        <f>-IFERROR(INDEX($D76:$H76,MATCH(YEAR(EX$6),$D$72:$H$72,0)),$H$76)*(SUM(EX$24,EX$30))</f>
        <v/>
      </c>
    </row>
    <row r="35">
      <c r="C35" s="166" t="inlineStr">
        <is>
          <t>Total</t>
        </is>
      </c>
      <c r="D35" s="217">
        <f>E35/$E$35</f>
        <v/>
      </c>
      <c r="E35" s="269">
        <f>SUM(E32:E34)</f>
        <v/>
      </c>
      <c r="F35" s="240">
        <f>G35/$G$35</f>
        <v/>
      </c>
      <c r="G35" s="269">
        <f>G25</f>
        <v/>
      </c>
      <c r="H35" s="292">
        <f>H25</f>
        <v/>
      </c>
      <c r="J35" s="9" t="inlineStr">
        <is>
          <t>Model Unit Loss</t>
        </is>
      </c>
      <c r="M35" s="200">
        <f>SUMIF($V$4:$EX$4,"&lt;="&amp;$H$19,$V35:$EX35)</f>
        <v/>
      </c>
      <c r="N35" s="279" t="n"/>
      <c r="O35" s="283">
        <f>SUMIF($V$5:$EX$5,O$7,$V35:$EX35)</f>
        <v/>
      </c>
      <c r="P35" s="283">
        <f>SUMIF($V$5:$EX$5,P$7,$V35:$EX35)</f>
        <v/>
      </c>
      <c r="Q35" s="283">
        <f>SUMIF($V$5:$EX$5,Q$7,$V35:$EX35)</f>
        <v/>
      </c>
      <c r="R35" s="283">
        <f>SUMIF($V$5:$EX$5,R$7,$V35:$EX35)</f>
        <v/>
      </c>
      <c r="S35" s="283">
        <f>SUMIF($V$5:$EX$5,S$7,$V35:$EX35)</f>
        <v/>
      </c>
      <c r="T35" s="283">
        <f>SUMIF($V$5:$EX$5,T$7,$V35:$EX35)</f>
        <v/>
      </c>
      <c r="U35" s="279" t="n"/>
      <c r="V35" s="200">
        <f>(-IFERROR(INDEX($D77:$H77,MATCH(YEAR(V$6),$D$72:$H$72,0)),$H$77)*V19)*(V4&gt;=1)</f>
        <v/>
      </c>
      <c r="W35" s="200">
        <f>(-IFERROR(INDEX($D77:$H77,MATCH(YEAR(W$6),$D$72:$H$72,0)),$H$77)*W19)*(W4&gt;=1)</f>
        <v/>
      </c>
      <c r="X35" s="200">
        <f>(-IFERROR(INDEX($D77:$H77,MATCH(YEAR(X$6),$D$72:$H$72,0)),$H$77)*X19)*(X4&gt;=1)</f>
        <v/>
      </c>
      <c r="Y35" s="200">
        <f>(-IFERROR(INDEX($D77:$H77,MATCH(YEAR(Y$6),$D$72:$H$72,0)),$H$77)*Y19)*(Y4&gt;=1)</f>
        <v/>
      </c>
      <c r="Z35" s="200">
        <f>(-IFERROR(INDEX($D77:$H77,MATCH(YEAR(Z$6),$D$72:$H$72,0)),$H$77)*Z19)*(Z4&gt;=1)</f>
        <v/>
      </c>
      <c r="AA35" s="200">
        <f>(-IFERROR(INDEX($D77:$H77,MATCH(YEAR(AA$6),$D$72:$H$72,0)),$H$77)*AA19)*(AA4&gt;=1)</f>
        <v/>
      </c>
      <c r="AB35" s="200">
        <f>(-IFERROR(INDEX($D77:$H77,MATCH(YEAR(AB$6),$D$72:$H$72,0)),$H$77)*AB19)*(AB4&gt;=1)</f>
        <v/>
      </c>
      <c r="AC35" s="200">
        <f>(-IFERROR(INDEX($D77:$H77,MATCH(YEAR(AC$6),$D$72:$H$72,0)),$H$77)*AC19)*(AC4&gt;=1)</f>
        <v/>
      </c>
      <c r="AD35" s="200">
        <f>(-IFERROR(INDEX($D77:$H77,MATCH(YEAR(AD$6),$D$72:$H$72,0)),$H$77)*AD19)*(AD4&gt;=1)</f>
        <v/>
      </c>
      <c r="AE35" s="200">
        <f>(-IFERROR(INDEX($D77:$H77,MATCH(YEAR(AE$6),$D$72:$H$72,0)),$H$77)*AE19)*(AE4&gt;=1)</f>
        <v/>
      </c>
      <c r="AF35" s="200">
        <f>(-IFERROR(INDEX($D77:$H77,MATCH(YEAR(AF$6),$D$72:$H$72,0)),$H$77)*AF19)*(AF4&gt;=1)</f>
        <v/>
      </c>
      <c r="AG35" s="200">
        <f>(-IFERROR(INDEX($D77:$H77,MATCH(YEAR(AG$6),$D$72:$H$72,0)),$H$77)*AG19)*(AG4&gt;=1)</f>
        <v/>
      </c>
      <c r="AH35" s="200">
        <f>(-IFERROR(INDEX($D77:$H77,MATCH(YEAR(AH$6),$D$72:$H$72,0)),$H$77)*AH19)*(AH4&gt;=1)</f>
        <v/>
      </c>
      <c r="AI35" s="200">
        <f>(-IFERROR(INDEX($D77:$H77,MATCH(YEAR(AI$6),$D$72:$H$72,0)),$H$77)*AI19)*(AI4&gt;=1)</f>
        <v/>
      </c>
      <c r="AJ35" s="200">
        <f>(-IFERROR(INDEX($D77:$H77,MATCH(YEAR(AJ$6),$D$72:$H$72,0)),$H$77)*AJ19)*(AJ4&gt;=1)</f>
        <v/>
      </c>
      <c r="AK35" s="200">
        <f>(-IFERROR(INDEX($D77:$H77,MATCH(YEAR(AK$6),$D$72:$H$72,0)),$H$77)*AK19)*(AK4&gt;=1)</f>
        <v/>
      </c>
      <c r="AL35" s="200">
        <f>(-IFERROR(INDEX($D77:$H77,MATCH(YEAR(AL$6),$D$72:$H$72,0)),$H$77)*AL19)*(AL4&gt;=1)</f>
        <v/>
      </c>
      <c r="AM35" s="200">
        <f>(-IFERROR(INDEX($D77:$H77,MATCH(YEAR(AM$6),$D$72:$H$72,0)),$H$77)*AM19)*(AM4&gt;=1)</f>
        <v/>
      </c>
      <c r="AN35" s="200">
        <f>(-IFERROR(INDEX($D77:$H77,MATCH(YEAR(AN$6),$D$72:$H$72,0)),$H$77)*AN19)*(AN4&gt;=1)</f>
        <v/>
      </c>
      <c r="AO35" s="200">
        <f>(-IFERROR(INDEX($D77:$H77,MATCH(YEAR(AO$6),$D$72:$H$72,0)),$H$77)*AO19)*(AO4&gt;=1)</f>
        <v/>
      </c>
      <c r="AP35" s="200">
        <f>(-IFERROR(INDEX($D77:$H77,MATCH(YEAR(AP$6),$D$72:$H$72,0)),$H$77)*AP19)*(AP4&gt;=1)</f>
        <v/>
      </c>
      <c r="AQ35" s="200">
        <f>(-IFERROR(INDEX($D77:$H77,MATCH(YEAR(AQ$6),$D$72:$H$72,0)),$H$77)*AQ19)*(AQ4&gt;=1)</f>
        <v/>
      </c>
      <c r="AR35" s="200">
        <f>(-IFERROR(INDEX($D77:$H77,MATCH(YEAR(AR$6),$D$72:$H$72,0)),$H$77)*AR19)*(AR4&gt;=1)</f>
        <v/>
      </c>
      <c r="AS35" s="200">
        <f>(-IFERROR(INDEX($D77:$H77,MATCH(YEAR(AS$6),$D$72:$H$72,0)),$H$77)*AS19)*(AS4&gt;=1)</f>
        <v/>
      </c>
      <c r="AT35" s="200">
        <f>(-IFERROR(INDEX($D77:$H77,MATCH(YEAR(AT$6),$D$72:$H$72,0)),$H$77)*AT19)*(AT4&gt;=1)</f>
        <v/>
      </c>
      <c r="AU35" s="200">
        <f>(-IFERROR(INDEX($D77:$H77,MATCH(YEAR(AU$6),$D$72:$H$72,0)),$H$77)*AU19)*(AU4&gt;=1)</f>
        <v/>
      </c>
      <c r="AV35" s="200">
        <f>(-IFERROR(INDEX($D77:$H77,MATCH(YEAR(AV$6),$D$72:$H$72,0)),$H$77)*AV19)*(AV4&gt;=1)</f>
        <v/>
      </c>
      <c r="AW35" s="200">
        <f>(-IFERROR(INDEX($D77:$H77,MATCH(YEAR(AW$6),$D$72:$H$72,0)),$H$77)*AW19)*(AW4&gt;=1)</f>
        <v/>
      </c>
      <c r="AX35" s="200">
        <f>(-IFERROR(INDEX($D77:$H77,MATCH(YEAR(AX$6),$D$72:$H$72,0)),$H$77)*AX19)*(AX4&gt;=1)</f>
        <v/>
      </c>
      <c r="AY35" s="200">
        <f>(-IFERROR(INDEX($D77:$H77,MATCH(YEAR(AY$6),$D$72:$H$72,0)),$H$77)*AY19)*(AY4&gt;=1)</f>
        <v/>
      </c>
      <c r="AZ35" s="200">
        <f>(-IFERROR(INDEX($D77:$H77,MATCH(YEAR(AZ$6),$D$72:$H$72,0)),$H$77)*AZ19)*(AZ4&gt;=1)</f>
        <v/>
      </c>
      <c r="BA35" s="200">
        <f>(-IFERROR(INDEX($D77:$H77,MATCH(YEAR(BA$6),$D$72:$H$72,0)),$H$77)*BA19)*(BA4&gt;=1)</f>
        <v/>
      </c>
      <c r="BB35" s="200">
        <f>(-IFERROR(INDEX($D77:$H77,MATCH(YEAR(BB$6),$D$72:$H$72,0)),$H$77)*BB19)*(BB4&gt;=1)</f>
        <v/>
      </c>
      <c r="BC35" s="200">
        <f>(-IFERROR(INDEX($D77:$H77,MATCH(YEAR(BC$6),$D$72:$H$72,0)),$H$77)*BC19)*(BC4&gt;=1)</f>
        <v/>
      </c>
      <c r="BD35" s="200">
        <f>(-IFERROR(INDEX($D77:$H77,MATCH(YEAR(BD$6),$D$72:$H$72,0)),$H$77)*BD19)*(BD4&gt;=1)</f>
        <v/>
      </c>
      <c r="BE35" s="200">
        <f>(-IFERROR(INDEX($D77:$H77,MATCH(YEAR(BE$6),$D$72:$H$72,0)),$H$77)*BE19)*(BE4&gt;=1)</f>
        <v/>
      </c>
      <c r="BF35" s="200">
        <f>(-IFERROR(INDEX($D77:$H77,MATCH(YEAR(BF$6),$D$72:$H$72,0)),$H$77)*BF19)*(BF4&gt;=1)</f>
        <v/>
      </c>
      <c r="BG35" s="200">
        <f>(-IFERROR(INDEX($D77:$H77,MATCH(YEAR(BG$6),$D$72:$H$72,0)),$H$77)*BG19)*(BG4&gt;=1)</f>
        <v/>
      </c>
      <c r="BH35" s="200">
        <f>(-IFERROR(INDEX($D77:$H77,MATCH(YEAR(BH$6),$D$72:$H$72,0)),$H$77)*BH19)*(BH4&gt;=1)</f>
        <v/>
      </c>
      <c r="BI35" s="200">
        <f>(-IFERROR(INDEX($D77:$H77,MATCH(YEAR(BI$6),$D$72:$H$72,0)),$H$77)*BI19)*(BI4&gt;=1)</f>
        <v/>
      </c>
      <c r="BJ35" s="200">
        <f>(-IFERROR(INDEX($D77:$H77,MATCH(YEAR(BJ$6),$D$72:$H$72,0)),$H$77)*BJ19)*(BJ4&gt;=1)</f>
        <v/>
      </c>
      <c r="BK35" s="200">
        <f>(-IFERROR(INDEX($D77:$H77,MATCH(YEAR(BK$6),$D$72:$H$72,0)),$H$77)*BK19)*(BK4&gt;=1)</f>
        <v/>
      </c>
      <c r="BL35" s="200">
        <f>(-IFERROR(INDEX($D77:$H77,MATCH(YEAR(BL$6),$D$72:$H$72,0)),$H$77)*BL19)*(BL4&gt;=1)</f>
        <v/>
      </c>
      <c r="BM35" s="200">
        <f>(-IFERROR(INDEX($D77:$H77,MATCH(YEAR(BM$6),$D$72:$H$72,0)),$H$77)*BM19)*(BM4&gt;=1)</f>
        <v/>
      </c>
      <c r="BN35" s="200">
        <f>(-IFERROR(INDEX($D77:$H77,MATCH(YEAR(BN$6),$D$72:$H$72,0)),$H$77)*BN19)*(BN4&gt;=1)</f>
        <v/>
      </c>
      <c r="BO35" s="200">
        <f>(-IFERROR(INDEX($D77:$H77,MATCH(YEAR(BO$6),$D$72:$H$72,0)),$H$77)*BO19)*(BO4&gt;=1)</f>
        <v/>
      </c>
      <c r="BP35" s="200">
        <f>(-IFERROR(INDEX($D77:$H77,MATCH(YEAR(BP$6),$D$72:$H$72,0)),$H$77)*BP19)*(BP4&gt;=1)</f>
        <v/>
      </c>
      <c r="BQ35" s="200">
        <f>(-IFERROR(INDEX($D77:$H77,MATCH(YEAR(BQ$6),$D$72:$H$72,0)),$H$77)*BQ19)*(BQ4&gt;=1)</f>
        <v/>
      </c>
      <c r="BR35" s="200">
        <f>(-IFERROR(INDEX($D77:$H77,MATCH(YEAR(BR$6),$D$72:$H$72,0)),$H$77)*BR19)*(BR4&gt;=1)</f>
        <v/>
      </c>
      <c r="BS35" s="200">
        <f>(-IFERROR(INDEX($D77:$H77,MATCH(YEAR(BS$6),$D$72:$H$72,0)),$H$77)*BS19)*(BS4&gt;=1)</f>
        <v/>
      </c>
      <c r="BT35" s="200">
        <f>(-IFERROR(INDEX($D77:$H77,MATCH(YEAR(BT$6),$D$72:$H$72,0)),$H$77)*BT19)*(BT4&gt;=1)</f>
        <v/>
      </c>
      <c r="BU35" s="200">
        <f>(-IFERROR(INDEX($D77:$H77,MATCH(YEAR(BU$6),$D$72:$H$72,0)),$H$77)*BU19)*(BU4&gt;=1)</f>
        <v/>
      </c>
      <c r="BV35" s="200">
        <f>(-IFERROR(INDEX($D77:$H77,MATCH(YEAR(BV$6),$D$72:$H$72,0)),$H$77)*BV19)*(BV4&gt;=1)</f>
        <v/>
      </c>
      <c r="BW35" s="200">
        <f>(-IFERROR(INDEX($D77:$H77,MATCH(YEAR(BW$6),$D$72:$H$72,0)),$H$77)*BW19)*(BW4&gt;=1)</f>
        <v/>
      </c>
      <c r="BX35" s="200">
        <f>(-IFERROR(INDEX($D77:$H77,MATCH(YEAR(BX$6),$D$72:$H$72,0)),$H$77)*BX19)*(BX4&gt;=1)</f>
        <v/>
      </c>
      <c r="BY35" s="200">
        <f>(-IFERROR(INDEX($D77:$H77,MATCH(YEAR(BY$6),$D$72:$H$72,0)),$H$77)*BY19)*(BY4&gt;=1)</f>
        <v/>
      </c>
      <c r="BZ35" s="200">
        <f>(-IFERROR(INDEX($D77:$H77,MATCH(YEAR(BZ$6),$D$72:$H$72,0)),$H$77)*BZ19)*(BZ4&gt;=1)</f>
        <v/>
      </c>
      <c r="CA35" s="200">
        <f>(-IFERROR(INDEX($D77:$H77,MATCH(YEAR(CA$6),$D$72:$H$72,0)),$H$77)*CA19)*(CA4&gt;=1)</f>
        <v/>
      </c>
      <c r="CB35" s="200">
        <f>(-IFERROR(INDEX($D77:$H77,MATCH(YEAR(CB$6),$D$72:$H$72,0)),$H$77)*CB19)*(CB4&gt;=1)</f>
        <v/>
      </c>
      <c r="CC35" s="200">
        <f>(-IFERROR(INDEX($D77:$H77,MATCH(YEAR(CC$6),$D$72:$H$72,0)),$H$77)*CC19)*(CC4&gt;=1)</f>
        <v/>
      </c>
      <c r="CD35" s="200">
        <f>(-IFERROR(INDEX($D77:$H77,MATCH(YEAR(CD$6),$D$72:$H$72,0)),$H$77)*CD19)*(CD4&gt;=1)</f>
        <v/>
      </c>
      <c r="CE35" s="200">
        <f>(-IFERROR(INDEX($D77:$H77,MATCH(YEAR(CE$6),$D$72:$H$72,0)),$H$77)*CE19)*(CE4&gt;=1)</f>
        <v/>
      </c>
      <c r="CF35" s="200">
        <f>(-IFERROR(INDEX($D77:$H77,MATCH(YEAR(CF$6),$D$72:$H$72,0)),$H$77)*CF19)*(CF4&gt;=1)</f>
        <v/>
      </c>
      <c r="CG35" s="200">
        <f>(-IFERROR(INDEX($D77:$H77,MATCH(YEAR(CG$6),$D$72:$H$72,0)),$H$77)*CG19)*(CG4&gt;=1)</f>
        <v/>
      </c>
      <c r="CH35" s="200">
        <f>(-IFERROR(INDEX($D77:$H77,MATCH(YEAR(CH$6),$D$72:$H$72,0)),$H$77)*CH19)*(CH4&gt;=1)</f>
        <v/>
      </c>
      <c r="CI35" s="200">
        <f>(-IFERROR(INDEX($D77:$H77,MATCH(YEAR(CI$6),$D$72:$H$72,0)),$H$77)*CI19)*(CI4&gt;=1)</f>
        <v/>
      </c>
      <c r="CJ35" s="200">
        <f>(-IFERROR(INDEX($D77:$H77,MATCH(YEAR(CJ$6),$D$72:$H$72,0)),$H$77)*CJ19)*(CJ4&gt;=1)</f>
        <v/>
      </c>
      <c r="CK35" s="200">
        <f>(-IFERROR(INDEX($D77:$H77,MATCH(YEAR(CK$6),$D$72:$H$72,0)),$H$77)*CK19)*(CK4&gt;=1)</f>
        <v/>
      </c>
      <c r="CL35" s="200">
        <f>(-IFERROR(INDEX($D77:$H77,MATCH(YEAR(CL$6),$D$72:$H$72,0)),$H$77)*CL19)*(CL4&gt;=1)</f>
        <v/>
      </c>
      <c r="CM35" s="200">
        <f>(-IFERROR(INDEX($D77:$H77,MATCH(YEAR(CM$6),$D$72:$H$72,0)),$H$77)*CM19)*(CM4&gt;=1)</f>
        <v/>
      </c>
      <c r="CN35" s="200">
        <f>(-IFERROR(INDEX($D77:$H77,MATCH(YEAR(CN$6),$D$72:$H$72,0)),$H$77)*CN19)*(CN4&gt;=1)</f>
        <v/>
      </c>
      <c r="CO35" s="200">
        <f>(-IFERROR(INDEX($D77:$H77,MATCH(YEAR(CO$6),$D$72:$H$72,0)),$H$77)*CO19)*(CO4&gt;=1)</f>
        <v/>
      </c>
      <c r="CP35" s="200">
        <f>(-IFERROR(INDEX($D77:$H77,MATCH(YEAR(CP$6),$D$72:$H$72,0)),$H$77)*CP19)*(CP4&gt;=1)</f>
        <v/>
      </c>
      <c r="CQ35" s="200">
        <f>(-IFERROR(INDEX($D77:$H77,MATCH(YEAR(CQ$6),$D$72:$H$72,0)),$H$77)*CQ19)*(CQ4&gt;=1)</f>
        <v/>
      </c>
      <c r="CR35" s="200">
        <f>(-IFERROR(INDEX($D77:$H77,MATCH(YEAR(CR$6),$D$72:$H$72,0)),$H$77)*CR19)*(CR4&gt;=1)</f>
        <v/>
      </c>
      <c r="CS35" s="200">
        <f>(-IFERROR(INDEX($D77:$H77,MATCH(YEAR(CS$6),$D$72:$H$72,0)),$H$77)*CS19)*(CS4&gt;=1)</f>
        <v/>
      </c>
      <c r="CT35" s="200">
        <f>(-IFERROR(INDEX($D77:$H77,MATCH(YEAR(CT$6),$D$72:$H$72,0)),$H$77)*CT19)*(CT4&gt;=1)</f>
        <v/>
      </c>
      <c r="CU35" s="200">
        <f>(-IFERROR(INDEX($D77:$H77,MATCH(YEAR(CU$6),$D$72:$H$72,0)),$H$77)*CU19)*(CU4&gt;=1)</f>
        <v/>
      </c>
      <c r="CV35" s="200">
        <f>(-IFERROR(INDEX($D77:$H77,MATCH(YEAR(CV$6),$D$72:$H$72,0)),$H$77)*CV19)*(CV4&gt;=1)</f>
        <v/>
      </c>
      <c r="CW35" s="200">
        <f>(-IFERROR(INDEX($D77:$H77,MATCH(YEAR(CW$6),$D$72:$H$72,0)),$H$77)*CW19)*(CW4&gt;=1)</f>
        <v/>
      </c>
      <c r="CX35" s="200">
        <f>(-IFERROR(INDEX($D77:$H77,MATCH(YEAR(CX$6),$D$72:$H$72,0)),$H$77)*CX19)*(CX4&gt;=1)</f>
        <v/>
      </c>
      <c r="CY35" s="200">
        <f>(-IFERROR(INDEX($D77:$H77,MATCH(YEAR(CY$6),$D$72:$H$72,0)),$H$77)*CY19)*(CY4&gt;=1)</f>
        <v/>
      </c>
      <c r="CZ35" s="200">
        <f>(-IFERROR(INDEX($D77:$H77,MATCH(YEAR(CZ$6),$D$72:$H$72,0)),$H$77)*CZ19)*(CZ4&gt;=1)</f>
        <v/>
      </c>
      <c r="DA35" s="200">
        <f>(-IFERROR(INDEX($D77:$H77,MATCH(YEAR(DA$6),$D$72:$H$72,0)),$H$77)*DA19)*(DA4&gt;=1)</f>
        <v/>
      </c>
      <c r="DB35" s="200">
        <f>(-IFERROR(INDEX($D77:$H77,MATCH(YEAR(DB$6),$D$72:$H$72,0)),$H$77)*DB19)*(DB4&gt;=1)</f>
        <v/>
      </c>
      <c r="DC35" s="200">
        <f>(-IFERROR(INDEX($D77:$H77,MATCH(YEAR(DC$6),$D$72:$H$72,0)),$H$77)*DC19)*(DC4&gt;=1)</f>
        <v/>
      </c>
      <c r="DD35" s="200">
        <f>(-IFERROR(INDEX($D77:$H77,MATCH(YEAR(DD$6),$D$72:$H$72,0)),$H$77)*DD19)*(DD4&gt;=1)</f>
        <v/>
      </c>
      <c r="DE35" s="200">
        <f>(-IFERROR(INDEX($D77:$H77,MATCH(YEAR(DE$6),$D$72:$H$72,0)),$H$77)*DE19)*(DE4&gt;=1)</f>
        <v/>
      </c>
      <c r="DF35" s="200">
        <f>(-IFERROR(INDEX($D77:$H77,MATCH(YEAR(DF$6),$D$72:$H$72,0)),$H$77)*DF19)*(DF4&gt;=1)</f>
        <v/>
      </c>
      <c r="DG35" s="200">
        <f>(-IFERROR(INDEX($D77:$H77,MATCH(YEAR(DG$6),$D$72:$H$72,0)),$H$77)*DG19)*(DG4&gt;=1)</f>
        <v/>
      </c>
      <c r="DH35" s="200">
        <f>(-IFERROR(INDEX($D77:$H77,MATCH(YEAR(DH$6),$D$72:$H$72,0)),$H$77)*DH19)*(DH4&gt;=1)</f>
        <v/>
      </c>
      <c r="DI35" s="200">
        <f>(-IFERROR(INDEX($D77:$H77,MATCH(YEAR(DI$6),$D$72:$H$72,0)),$H$77)*DI19)*(DI4&gt;=1)</f>
        <v/>
      </c>
      <c r="DJ35" s="200">
        <f>(-IFERROR(INDEX($D77:$H77,MATCH(YEAR(DJ$6),$D$72:$H$72,0)),$H$77)*DJ19)*(DJ4&gt;=1)</f>
        <v/>
      </c>
      <c r="DK35" s="200">
        <f>(-IFERROR(INDEX($D77:$H77,MATCH(YEAR(DK$6),$D$72:$H$72,0)),$H$77)*DK19)*(DK4&gt;=1)</f>
        <v/>
      </c>
      <c r="DL35" s="200">
        <f>(-IFERROR(INDEX($D77:$H77,MATCH(YEAR(DL$6),$D$72:$H$72,0)),$H$77)*DL19)*(DL4&gt;=1)</f>
        <v/>
      </c>
      <c r="DM35" s="200">
        <f>(-IFERROR(INDEX($D77:$H77,MATCH(YEAR(DM$6),$D$72:$H$72,0)),$H$77)*DM19)*(DM4&gt;=1)</f>
        <v/>
      </c>
      <c r="DN35" s="200">
        <f>(-IFERROR(INDEX($D77:$H77,MATCH(YEAR(DN$6),$D$72:$H$72,0)),$H$77)*DN19)*(DN4&gt;=1)</f>
        <v/>
      </c>
      <c r="DO35" s="200">
        <f>(-IFERROR(INDEX($D77:$H77,MATCH(YEAR(DO$6),$D$72:$H$72,0)),$H$77)*DO19)*(DO4&gt;=1)</f>
        <v/>
      </c>
      <c r="DP35" s="200">
        <f>(-IFERROR(INDEX($D77:$H77,MATCH(YEAR(DP$6),$D$72:$H$72,0)),$H$77)*DP19)*(DP4&gt;=1)</f>
        <v/>
      </c>
      <c r="DQ35" s="200">
        <f>(-IFERROR(INDEX($D77:$H77,MATCH(YEAR(DQ$6),$D$72:$H$72,0)),$H$77)*DQ19)*(DQ4&gt;=1)</f>
        <v/>
      </c>
      <c r="DR35" s="200">
        <f>(-IFERROR(INDEX($D77:$H77,MATCH(YEAR(DR$6),$D$72:$H$72,0)),$H$77)*DR19)*(DR4&gt;=1)</f>
        <v/>
      </c>
      <c r="DS35" s="200">
        <f>(-IFERROR(INDEX($D77:$H77,MATCH(YEAR(DS$6),$D$72:$H$72,0)),$H$77)*DS19)*(DS4&gt;=1)</f>
        <v/>
      </c>
      <c r="DT35" s="200">
        <f>(-IFERROR(INDEX($D77:$H77,MATCH(YEAR(DT$6),$D$72:$H$72,0)),$H$77)*DT19)*(DT4&gt;=1)</f>
        <v/>
      </c>
      <c r="DU35" s="200">
        <f>(-IFERROR(INDEX($D77:$H77,MATCH(YEAR(DU$6),$D$72:$H$72,0)),$H$77)*DU19)*(DU4&gt;=1)</f>
        <v/>
      </c>
      <c r="DV35" s="200">
        <f>(-IFERROR(INDEX($D77:$H77,MATCH(YEAR(DV$6),$D$72:$H$72,0)),$H$77)*DV19)*(DV4&gt;=1)</f>
        <v/>
      </c>
      <c r="DW35" s="200">
        <f>(-IFERROR(INDEX($D77:$H77,MATCH(YEAR(DW$6),$D$72:$H$72,0)),$H$77)*DW19)*(DW4&gt;=1)</f>
        <v/>
      </c>
      <c r="DX35" s="200">
        <f>(-IFERROR(INDEX($D77:$H77,MATCH(YEAR(DX$6),$D$72:$H$72,0)),$H$77)*DX19)*(DX4&gt;=1)</f>
        <v/>
      </c>
      <c r="DY35" s="200">
        <f>(-IFERROR(INDEX($D77:$H77,MATCH(YEAR(DY$6),$D$72:$H$72,0)),$H$77)*DY19)*(DY4&gt;=1)</f>
        <v/>
      </c>
      <c r="DZ35" s="200">
        <f>(-IFERROR(INDEX($D77:$H77,MATCH(YEAR(DZ$6),$D$72:$H$72,0)),$H$77)*DZ19)*(DZ4&gt;=1)</f>
        <v/>
      </c>
      <c r="EA35" s="200">
        <f>(-IFERROR(INDEX($D77:$H77,MATCH(YEAR(EA$6),$D$72:$H$72,0)),$H$77)*EA19)*(EA4&gt;=1)</f>
        <v/>
      </c>
      <c r="EB35" s="200">
        <f>(-IFERROR(INDEX($D77:$H77,MATCH(YEAR(EB$6),$D$72:$H$72,0)),$H$77)*EB19)*(EB4&gt;=1)</f>
        <v/>
      </c>
      <c r="EC35" s="200">
        <f>(-IFERROR(INDEX($D77:$H77,MATCH(YEAR(EC$6),$D$72:$H$72,0)),$H$77)*EC19)*(EC4&gt;=1)</f>
        <v/>
      </c>
      <c r="ED35" s="200">
        <f>(-IFERROR(INDEX($D77:$H77,MATCH(YEAR(ED$6),$D$72:$H$72,0)),$H$77)*ED19)*(ED4&gt;=1)</f>
        <v/>
      </c>
      <c r="EE35" s="200">
        <f>(-IFERROR(INDEX($D77:$H77,MATCH(YEAR(EE$6),$D$72:$H$72,0)),$H$77)*EE19)*(EE4&gt;=1)</f>
        <v/>
      </c>
      <c r="EF35" s="200">
        <f>(-IFERROR(INDEX($D77:$H77,MATCH(YEAR(EF$6),$D$72:$H$72,0)),$H$77)*EF19)*(EF4&gt;=1)</f>
        <v/>
      </c>
      <c r="EG35" s="200">
        <f>(-IFERROR(INDEX($D77:$H77,MATCH(YEAR(EG$6),$D$72:$H$72,0)),$H$77)*EG19)*(EG4&gt;=1)</f>
        <v/>
      </c>
      <c r="EH35" s="200">
        <f>(-IFERROR(INDEX($D77:$H77,MATCH(YEAR(EH$6),$D$72:$H$72,0)),$H$77)*EH19)*(EH4&gt;=1)</f>
        <v/>
      </c>
      <c r="EI35" s="200">
        <f>(-IFERROR(INDEX($D77:$H77,MATCH(YEAR(EI$6),$D$72:$H$72,0)),$H$77)*EI19)*(EI4&gt;=1)</f>
        <v/>
      </c>
      <c r="EJ35" s="200">
        <f>(-IFERROR(INDEX($D77:$H77,MATCH(YEAR(EJ$6),$D$72:$H$72,0)),$H$77)*EJ19)*(EJ4&gt;=1)</f>
        <v/>
      </c>
      <c r="EK35" s="200">
        <f>(-IFERROR(INDEX($D77:$H77,MATCH(YEAR(EK$6),$D$72:$H$72,0)),$H$77)*EK19)*(EK4&gt;=1)</f>
        <v/>
      </c>
      <c r="EL35" s="200">
        <f>(-IFERROR(INDEX($D77:$H77,MATCH(YEAR(EL$6),$D$72:$H$72,0)),$H$77)*EL19)*(EL4&gt;=1)</f>
        <v/>
      </c>
      <c r="EM35" s="200">
        <f>(-IFERROR(INDEX($D77:$H77,MATCH(YEAR(EM$6),$D$72:$H$72,0)),$H$77)*EM19)*(EM4&gt;=1)</f>
        <v/>
      </c>
      <c r="EN35" s="200">
        <f>(-IFERROR(INDEX($D77:$H77,MATCH(YEAR(EN$6),$D$72:$H$72,0)),$H$77)*EN19)*(EN4&gt;=1)</f>
        <v/>
      </c>
      <c r="EO35" s="200">
        <f>(-IFERROR(INDEX($D77:$H77,MATCH(YEAR(EO$6),$D$72:$H$72,0)),$H$77)*EO19)*(EO4&gt;=1)</f>
        <v/>
      </c>
      <c r="EP35" s="200">
        <f>(-IFERROR(INDEX($D77:$H77,MATCH(YEAR(EP$6),$D$72:$H$72,0)),$H$77)*EP19)*(EP4&gt;=1)</f>
        <v/>
      </c>
      <c r="EQ35" s="200">
        <f>(-IFERROR(INDEX($D77:$H77,MATCH(YEAR(EQ$6),$D$72:$H$72,0)),$H$77)*EQ19)*(EQ4&gt;=1)</f>
        <v/>
      </c>
      <c r="ER35" s="200">
        <f>(-IFERROR(INDEX($D77:$H77,MATCH(YEAR(ER$6),$D$72:$H$72,0)),$H$77)*ER19)*(ER4&gt;=1)</f>
        <v/>
      </c>
      <c r="ES35" s="200">
        <f>(-IFERROR(INDEX($D77:$H77,MATCH(YEAR(ES$6),$D$72:$H$72,0)),$H$77)*ES19)*(ES4&gt;=1)</f>
        <v/>
      </c>
      <c r="ET35" s="200">
        <f>(-IFERROR(INDEX($D77:$H77,MATCH(YEAR(ET$6),$D$72:$H$72,0)),$H$77)*ET19)*(ET4&gt;=1)</f>
        <v/>
      </c>
      <c r="EU35" s="200">
        <f>(-IFERROR(INDEX($D77:$H77,MATCH(YEAR(EU$6),$D$72:$H$72,0)),$H$77)*EU19)*(EU4&gt;=1)</f>
        <v/>
      </c>
      <c r="EV35" s="200">
        <f>(-IFERROR(INDEX($D77:$H77,MATCH(YEAR(EV$6),$D$72:$H$72,0)),$H$77)*EV19)*(EV4&gt;=1)</f>
        <v/>
      </c>
      <c r="EW35" s="200">
        <f>(-IFERROR(INDEX($D77:$H77,MATCH(YEAR(EW$6),$D$72:$H$72,0)),$H$77)*EW19)*(EW4&gt;=1)</f>
        <v/>
      </c>
      <c r="EX35" s="200">
        <f>(-IFERROR(INDEX($D77:$H77,MATCH(YEAR(EX$6),$D$72:$H$72,0)),$H$77)*EX19)*(EX4&gt;=1)</f>
        <v/>
      </c>
    </row>
    <row r="36">
      <c r="C36" s="16" t="n"/>
      <c r="D36" s="16" t="n"/>
      <c r="E36" s="16" t="n"/>
      <c r="F36" s="266" t="n"/>
      <c r="G36" s="16" t="n"/>
      <c r="J36" s="269" t="inlineStr">
        <is>
          <t xml:space="preserve">Total Vacancy &amp; Collection </t>
        </is>
      </c>
      <c r="K36" s="269" t="n"/>
      <c r="L36" s="270" t="n"/>
      <c r="M36" s="266">
        <f>SUMIF($V$4:$EX$4,"&lt;="&amp;$H$19,$V36:$EX36)</f>
        <v/>
      </c>
      <c r="N36" s="270" t="n"/>
      <c r="O36" s="266">
        <f>SUMIF($V$5:$EX$5,O$7,$V36:$EX36)</f>
        <v/>
      </c>
      <c r="P36" s="266">
        <f>SUMIF($V$5:$EX$5,P$7,$V36:$EX36)</f>
        <v/>
      </c>
      <c r="Q36" s="266">
        <f>SUMIF($V$5:$EX$5,Q$7,$V36:$EX36)</f>
        <v/>
      </c>
      <c r="R36" s="266">
        <f>SUMIF($V$5:$EX$5,R$7,$V36:$EX36)</f>
        <v/>
      </c>
      <c r="S36" s="266">
        <f>SUMIF($V$5:$EX$5,S$7,$V36:$EX36)</f>
        <v/>
      </c>
      <c r="T36" s="266">
        <f>SUMIF($V$5:$EX$5,T$7,$V36:$EX36)</f>
        <v/>
      </c>
      <c r="U36" s="270" t="n"/>
      <c r="V36" s="266">
        <f>SUM(V32:V35)</f>
        <v/>
      </c>
      <c r="W36" s="266">
        <f>SUM(W32:W35)</f>
        <v/>
      </c>
      <c r="X36" s="266">
        <f>SUM(X32:X35)</f>
        <v/>
      </c>
      <c r="Y36" s="266">
        <f>SUM(Y32:Y35)</f>
        <v/>
      </c>
      <c r="Z36" s="266">
        <f>SUM(Z32:Z35)</f>
        <v/>
      </c>
      <c r="AA36" s="266">
        <f>SUM(AA32:AA35)</f>
        <v/>
      </c>
      <c r="AB36" s="266">
        <f>SUM(AB32:AB35)</f>
        <v/>
      </c>
      <c r="AC36" s="266">
        <f>SUM(AC32:AC35)</f>
        <v/>
      </c>
      <c r="AD36" s="266">
        <f>SUM(AD32:AD35)</f>
        <v/>
      </c>
      <c r="AE36" s="266">
        <f>SUM(AE32:AE35)</f>
        <v/>
      </c>
      <c r="AF36" s="266">
        <f>SUM(AF32:AF35)</f>
        <v/>
      </c>
      <c r="AG36" s="266">
        <f>SUM(AG32:AG35)</f>
        <v/>
      </c>
      <c r="AH36" s="266">
        <f>SUM(AH32:AH35)</f>
        <v/>
      </c>
      <c r="AI36" s="266">
        <f>SUM(AI32:AI35)</f>
        <v/>
      </c>
      <c r="AJ36" s="266">
        <f>SUM(AJ32:AJ35)</f>
        <v/>
      </c>
      <c r="AK36" s="266">
        <f>SUM(AK32:AK35)</f>
        <v/>
      </c>
      <c r="AL36" s="266">
        <f>SUM(AL32:AL35)</f>
        <v/>
      </c>
      <c r="AM36" s="266">
        <f>SUM(AM32:AM35)</f>
        <v/>
      </c>
      <c r="AN36" s="266">
        <f>SUM(AN32:AN35)</f>
        <v/>
      </c>
      <c r="AO36" s="266">
        <f>SUM(AO32:AO35)</f>
        <v/>
      </c>
      <c r="AP36" s="266">
        <f>SUM(AP32:AP35)</f>
        <v/>
      </c>
      <c r="AQ36" s="266">
        <f>SUM(AQ32:AQ35)</f>
        <v/>
      </c>
      <c r="AR36" s="266">
        <f>SUM(AR32:AR35)</f>
        <v/>
      </c>
      <c r="AS36" s="266">
        <f>SUM(AS32:AS35)</f>
        <v/>
      </c>
      <c r="AT36" s="266">
        <f>SUM(AT32:AT35)</f>
        <v/>
      </c>
      <c r="AU36" s="266">
        <f>SUM(AU32:AU35)</f>
        <v/>
      </c>
      <c r="AV36" s="266">
        <f>SUM(AV32:AV35)</f>
        <v/>
      </c>
      <c r="AW36" s="266">
        <f>SUM(AW32:AW35)</f>
        <v/>
      </c>
      <c r="AX36" s="266">
        <f>SUM(AX32:AX35)</f>
        <v/>
      </c>
      <c r="AY36" s="266">
        <f>SUM(AY32:AY35)</f>
        <v/>
      </c>
      <c r="AZ36" s="266">
        <f>SUM(AZ32:AZ35)</f>
        <v/>
      </c>
      <c r="BA36" s="266">
        <f>SUM(BA32:BA35)</f>
        <v/>
      </c>
      <c r="BB36" s="266">
        <f>SUM(BB32:BB35)</f>
        <v/>
      </c>
      <c r="BC36" s="266">
        <f>SUM(BC32:BC35)</f>
        <v/>
      </c>
      <c r="BD36" s="266">
        <f>SUM(BD32:BD35)</f>
        <v/>
      </c>
      <c r="BE36" s="266">
        <f>SUM(BE32:BE35)</f>
        <v/>
      </c>
      <c r="BF36" s="266">
        <f>SUM(BF32:BF35)</f>
        <v/>
      </c>
      <c r="BG36" s="266">
        <f>SUM(BG32:BG35)</f>
        <v/>
      </c>
      <c r="BH36" s="266">
        <f>SUM(BH32:BH35)</f>
        <v/>
      </c>
      <c r="BI36" s="266">
        <f>SUM(BI32:BI35)</f>
        <v/>
      </c>
      <c r="BJ36" s="266">
        <f>SUM(BJ32:BJ35)</f>
        <v/>
      </c>
      <c r="BK36" s="266">
        <f>SUM(BK32:BK35)</f>
        <v/>
      </c>
      <c r="BL36" s="266">
        <f>SUM(BL32:BL35)</f>
        <v/>
      </c>
      <c r="BM36" s="266">
        <f>SUM(BM32:BM35)</f>
        <v/>
      </c>
      <c r="BN36" s="266">
        <f>SUM(BN32:BN35)</f>
        <v/>
      </c>
      <c r="BO36" s="266">
        <f>SUM(BO32:BO35)</f>
        <v/>
      </c>
      <c r="BP36" s="266">
        <f>SUM(BP32:BP35)</f>
        <v/>
      </c>
      <c r="BQ36" s="266">
        <f>SUM(BQ32:BQ35)</f>
        <v/>
      </c>
      <c r="BR36" s="266">
        <f>SUM(BR32:BR35)</f>
        <v/>
      </c>
      <c r="BS36" s="266">
        <f>SUM(BS32:BS35)</f>
        <v/>
      </c>
      <c r="BT36" s="266">
        <f>SUM(BT32:BT35)</f>
        <v/>
      </c>
      <c r="BU36" s="266">
        <f>SUM(BU32:BU35)</f>
        <v/>
      </c>
      <c r="BV36" s="266">
        <f>SUM(BV32:BV35)</f>
        <v/>
      </c>
      <c r="BW36" s="266">
        <f>SUM(BW32:BW35)</f>
        <v/>
      </c>
      <c r="BX36" s="266">
        <f>SUM(BX32:BX35)</f>
        <v/>
      </c>
      <c r="BY36" s="266">
        <f>SUM(BY32:BY35)</f>
        <v/>
      </c>
      <c r="BZ36" s="266">
        <f>SUM(BZ32:BZ35)</f>
        <v/>
      </c>
      <c r="CA36" s="266">
        <f>SUM(CA32:CA35)</f>
        <v/>
      </c>
      <c r="CB36" s="266">
        <f>SUM(CB32:CB35)</f>
        <v/>
      </c>
      <c r="CC36" s="266">
        <f>SUM(CC32:CC35)</f>
        <v/>
      </c>
      <c r="CD36" s="266">
        <f>SUM(CD32:CD35)</f>
        <v/>
      </c>
      <c r="CE36" s="266">
        <f>SUM(CE32:CE35)</f>
        <v/>
      </c>
      <c r="CF36" s="266">
        <f>SUM(CF32:CF35)</f>
        <v/>
      </c>
      <c r="CG36" s="266">
        <f>SUM(CG32:CG35)</f>
        <v/>
      </c>
      <c r="CH36" s="266">
        <f>SUM(CH32:CH35)</f>
        <v/>
      </c>
      <c r="CI36" s="266">
        <f>SUM(CI32:CI35)</f>
        <v/>
      </c>
      <c r="CJ36" s="266">
        <f>SUM(CJ32:CJ35)</f>
        <v/>
      </c>
      <c r="CK36" s="266">
        <f>SUM(CK32:CK35)</f>
        <v/>
      </c>
      <c r="CL36" s="266">
        <f>SUM(CL32:CL35)</f>
        <v/>
      </c>
      <c r="CM36" s="266">
        <f>SUM(CM32:CM35)</f>
        <v/>
      </c>
      <c r="CN36" s="266">
        <f>SUM(CN32:CN35)</f>
        <v/>
      </c>
      <c r="CO36" s="266">
        <f>SUM(CO32:CO35)</f>
        <v/>
      </c>
      <c r="CP36" s="266">
        <f>SUM(CP32:CP35)</f>
        <v/>
      </c>
      <c r="CQ36" s="266">
        <f>SUM(CQ32:CQ35)</f>
        <v/>
      </c>
      <c r="CR36" s="266">
        <f>SUM(CR32:CR35)</f>
        <v/>
      </c>
      <c r="CS36" s="266">
        <f>SUM(CS32:CS35)</f>
        <v/>
      </c>
      <c r="CT36" s="266">
        <f>SUM(CT32:CT35)</f>
        <v/>
      </c>
      <c r="CU36" s="266">
        <f>SUM(CU32:CU35)</f>
        <v/>
      </c>
      <c r="CV36" s="266">
        <f>SUM(CV32:CV35)</f>
        <v/>
      </c>
      <c r="CW36" s="266">
        <f>SUM(CW32:CW35)</f>
        <v/>
      </c>
      <c r="CX36" s="266">
        <f>SUM(CX32:CX35)</f>
        <v/>
      </c>
      <c r="CY36" s="266">
        <f>SUM(CY32:CY35)</f>
        <v/>
      </c>
      <c r="CZ36" s="266">
        <f>SUM(CZ32:CZ35)</f>
        <v/>
      </c>
      <c r="DA36" s="266">
        <f>SUM(DA32:DA35)</f>
        <v/>
      </c>
      <c r="DB36" s="266">
        <f>SUM(DB32:DB35)</f>
        <v/>
      </c>
      <c r="DC36" s="266">
        <f>SUM(DC32:DC35)</f>
        <v/>
      </c>
      <c r="DD36" s="266">
        <f>SUM(DD32:DD35)</f>
        <v/>
      </c>
      <c r="DE36" s="266">
        <f>SUM(DE32:DE35)</f>
        <v/>
      </c>
      <c r="DF36" s="266">
        <f>SUM(DF32:DF35)</f>
        <v/>
      </c>
      <c r="DG36" s="266">
        <f>SUM(DG32:DG35)</f>
        <v/>
      </c>
      <c r="DH36" s="266">
        <f>SUM(DH32:DH35)</f>
        <v/>
      </c>
      <c r="DI36" s="266">
        <f>SUM(DI32:DI35)</f>
        <v/>
      </c>
      <c r="DJ36" s="266">
        <f>SUM(DJ32:DJ35)</f>
        <v/>
      </c>
      <c r="DK36" s="266">
        <f>SUM(DK32:DK35)</f>
        <v/>
      </c>
      <c r="DL36" s="266">
        <f>SUM(DL32:DL35)</f>
        <v/>
      </c>
      <c r="DM36" s="266">
        <f>SUM(DM32:DM35)</f>
        <v/>
      </c>
      <c r="DN36" s="266">
        <f>SUM(DN32:DN35)</f>
        <v/>
      </c>
      <c r="DO36" s="266">
        <f>SUM(DO32:DO35)</f>
        <v/>
      </c>
      <c r="DP36" s="266">
        <f>SUM(DP32:DP35)</f>
        <v/>
      </c>
      <c r="DQ36" s="266">
        <f>SUM(DQ32:DQ35)</f>
        <v/>
      </c>
      <c r="DR36" s="266">
        <f>SUM(DR32:DR35)</f>
        <v/>
      </c>
      <c r="DS36" s="266">
        <f>SUM(DS32:DS35)</f>
        <v/>
      </c>
      <c r="DT36" s="266">
        <f>SUM(DT32:DT35)</f>
        <v/>
      </c>
      <c r="DU36" s="266">
        <f>SUM(DU32:DU35)</f>
        <v/>
      </c>
      <c r="DV36" s="266">
        <f>SUM(DV32:DV35)</f>
        <v/>
      </c>
      <c r="DW36" s="266">
        <f>SUM(DW32:DW35)</f>
        <v/>
      </c>
      <c r="DX36" s="266">
        <f>SUM(DX32:DX35)</f>
        <v/>
      </c>
      <c r="DY36" s="266">
        <f>SUM(DY32:DY35)</f>
        <v/>
      </c>
      <c r="DZ36" s="266">
        <f>SUM(DZ32:DZ35)</f>
        <v/>
      </c>
      <c r="EA36" s="266">
        <f>SUM(EA32:EA35)</f>
        <v/>
      </c>
      <c r="EB36" s="266">
        <f>SUM(EB32:EB35)</f>
        <v/>
      </c>
      <c r="EC36" s="266">
        <f>SUM(EC32:EC35)</f>
        <v/>
      </c>
      <c r="ED36" s="266">
        <f>SUM(ED32:ED35)</f>
        <v/>
      </c>
      <c r="EE36" s="266">
        <f>SUM(EE32:EE35)</f>
        <v/>
      </c>
      <c r="EF36" s="266">
        <f>SUM(EF32:EF35)</f>
        <v/>
      </c>
      <c r="EG36" s="266">
        <f>SUM(EG32:EG35)</f>
        <v/>
      </c>
      <c r="EH36" s="266">
        <f>SUM(EH32:EH35)</f>
        <v/>
      </c>
      <c r="EI36" s="266">
        <f>SUM(EI32:EI35)</f>
        <v/>
      </c>
      <c r="EJ36" s="266">
        <f>SUM(EJ32:EJ35)</f>
        <v/>
      </c>
      <c r="EK36" s="266">
        <f>SUM(EK32:EK35)</f>
        <v/>
      </c>
      <c r="EL36" s="266">
        <f>SUM(EL32:EL35)</f>
        <v/>
      </c>
      <c r="EM36" s="266">
        <f>SUM(EM32:EM35)</f>
        <v/>
      </c>
      <c r="EN36" s="266">
        <f>SUM(EN32:EN35)</f>
        <v/>
      </c>
      <c r="EO36" s="266">
        <f>SUM(EO32:EO35)</f>
        <v/>
      </c>
      <c r="EP36" s="266">
        <f>SUM(EP32:EP35)</f>
        <v/>
      </c>
      <c r="EQ36" s="266">
        <f>SUM(EQ32:EQ35)</f>
        <v/>
      </c>
      <c r="ER36" s="266">
        <f>SUM(ER32:ER35)</f>
        <v/>
      </c>
      <c r="ES36" s="266">
        <f>SUM(ES32:ES35)</f>
        <v/>
      </c>
      <c r="ET36" s="266">
        <f>SUM(ET32:ET35)</f>
        <v/>
      </c>
      <c r="EU36" s="266">
        <f>SUM(EU32:EU35)</f>
        <v/>
      </c>
      <c r="EV36" s="266">
        <f>SUM(EV32:EV35)</f>
        <v/>
      </c>
      <c r="EW36" s="266">
        <f>SUM(EW32:EW35)</f>
        <v/>
      </c>
      <c r="EX36" s="266">
        <f>SUM(EX32:EX35)</f>
        <v/>
      </c>
    </row>
    <row r="37">
      <c r="C37" s="37" t="inlineStr">
        <is>
          <t>Uses</t>
        </is>
      </c>
      <c r="D37" s="46" t="inlineStr">
        <is>
          <t>$/Unit</t>
        </is>
      </c>
      <c r="E37" s="46" t="inlineStr">
        <is>
          <t>Total</t>
        </is>
      </c>
      <c r="F37" s="237" t="inlineStr">
        <is>
          <t>At Closing</t>
        </is>
      </c>
      <c r="G37" s="46" t="inlineStr">
        <is>
          <t>Start Month</t>
        </is>
      </c>
      <c r="H37" s="46" t="inlineStr">
        <is>
          <t>Duration</t>
        </is>
      </c>
    </row>
    <row r="38" ht="15.75" customHeight="1">
      <c r="C38" s="9" t="inlineStr">
        <is>
          <t>Acquisition Price</t>
        </is>
      </c>
      <c r="D38" s="264">
        <f>E38/$D$64</f>
        <v/>
      </c>
      <c r="E38" s="264">
        <f>E25</f>
        <v/>
      </c>
      <c r="F38" s="246" t="n">
        <v>1</v>
      </c>
      <c r="G38" s="178" t="n">
        <v>1</v>
      </c>
      <c r="H38" s="293" t="n">
        <v>1</v>
      </c>
      <c r="J38" s="294" t="inlineStr">
        <is>
          <t>Effective Gross Income</t>
        </is>
      </c>
      <c r="K38" s="295" t="n"/>
      <c r="L38" s="282" t="n"/>
      <c r="M38" s="294">
        <f>SUMIF($V$4:$EX$4,"&lt;="&amp;$H$19,$V38:$EX38)</f>
        <v/>
      </c>
      <c r="N38" s="270" t="n"/>
      <c r="O38" s="294">
        <f>SUMIF($V$5:$EX$5,O$7,$V38:$EX38)</f>
        <v/>
      </c>
      <c r="P38" s="294">
        <f>SUMIF($V$5:$EX$5,P$7,$V38:$EX38)</f>
        <v/>
      </c>
      <c r="Q38" s="294">
        <f>SUMIF($V$5:$EX$5,Q$7,$V38:$EX38)</f>
        <v/>
      </c>
      <c r="R38" s="294">
        <f>SUMIF($V$5:$EX$5,R$7,$V38:$EX38)</f>
        <v/>
      </c>
      <c r="S38" s="294">
        <f>SUMIF($V$5:$EX$5,S$7,$V38:$EX38)</f>
        <v/>
      </c>
      <c r="T38" s="294">
        <f>SUMIF($V$5:$EX$5,T$7,$V38:$EX38)</f>
        <v/>
      </c>
      <c r="U38" s="270" t="n"/>
      <c r="V38" s="294">
        <f>SUM(V24,V30,V36)</f>
        <v/>
      </c>
      <c r="W38" s="294">
        <f>SUM(W24,W30,W36)</f>
        <v/>
      </c>
      <c r="X38" s="294">
        <f>SUM(X24,X30,X36)</f>
        <v/>
      </c>
      <c r="Y38" s="294">
        <f>SUM(Y24,Y30,Y36)</f>
        <v/>
      </c>
      <c r="Z38" s="294">
        <f>SUM(Z24,Z30,Z36)</f>
        <v/>
      </c>
      <c r="AA38" s="294">
        <f>SUM(AA24,AA30,AA36)</f>
        <v/>
      </c>
      <c r="AB38" s="294">
        <f>SUM(AB24,AB30,AB36)</f>
        <v/>
      </c>
      <c r="AC38" s="294">
        <f>SUM(AC24,AC30,AC36)</f>
        <v/>
      </c>
      <c r="AD38" s="294">
        <f>SUM(AD24,AD30,AD36)</f>
        <v/>
      </c>
      <c r="AE38" s="294">
        <f>SUM(AE24,AE30,AE36)</f>
        <v/>
      </c>
      <c r="AF38" s="294">
        <f>SUM(AF24,AF30,AF36)</f>
        <v/>
      </c>
      <c r="AG38" s="294">
        <f>SUM(AG24,AG30,AG36)</f>
        <v/>
      </c>
      <c r="AH38" s="294">
        <f>SUM(AH24,AH30,AH36)</f>
        <v/>
      </c>
      <c r="AI38" s="294">
        <f>SUM(AI24,AI30,AI36)</f>
        <v/>
      </c>
      <c r="AJ38" s="294">
        <f>SUM(AJ24,AJ30,AJ36)</f>
        <v/>
      </c>
      <c r="AK38" s="294">
        <f>SUM(AK24,AK30,AK36)</f>
        <v/>
      </c>
      <c r="AL38" s="294">
        <f>SUM(AL24,AL30,AL36)</f>
        <v/>
      </c>
      <c r="AM38" s="294">
        <f>SUM(AM24,AM30,AM36)</f>
        <v/>
      </c>
      <c r="AN38" s="294">
        <f>SUM(AN24,AN30,AN36)</f>
        <v/>
      </c>
      <c r="AO38" s="294">
        <f>SUM(AO24,AO30,AO36)</f>
        <v/>
      </c>
      <c r="AP38" s="294">
        <f>SUM(AP24,AP30,AP36)</f>
        <v/>
      </c>
      <c r="AQ38" s="294">
        <f>SUM(AQ24,AQ30,AQ36)</f>
        <v/>
      </c>
      <c r="AR38" s="294">
        <f>SUM(AR24,AR30,AR36)</f>
        <v/>
      </c>
      <c r="AS38" s="294">
        <f>SUM(AS24,AS30,AS36)</f>
        <v/>
      </c>
      <c r="AT38" s="294">
        <f>SUM(AT24,AT30,AT36)</f>
        <v/>
      </c>
      <c r="AU38" s="294">
        <f>SUM(AU24,AU30,AU36)</f>
        <v/>
      </c>
      <c r="AV38" s="294">
        <f>SUM(AV24,AV30,AV36)</f>
        <v/>
      </c>
      <c r="AW38" s="294">
        <f>SUM(AW24,AW30,AW36)</f>
        <v/>
      </c>
      <c r="AX38" s="294">
        <f>SUM(AX24,AX30,AX36)</f>
        <v/>
      </c>
      <c r="AY38" s="294">
        <f>SUM(AY24,AY30,AY36)</f>
        <v/>
      </c>
      <c r="AZ38" s="294">
        <f>SUM(AZ24,AZ30,AZ36)</f>
        <v/>
      </c>
      <c r="BA38" s="294">
        <f>SUM(BA24,BA30,BA36)</f>
        <v/>
      </c>
      <c r="BB38" s="294">
        <f>SUM(BB24,BB30,BB36)</f>
        <v/>
      </c>
      <c r="BC38" s="294">
        <f>SUM(BC24,BC30,BC36)</f>
        <v/>
      </c>
      <c r="BD38" s="294">
        <f>SUM(BD24,BD30,BD36)</f>
        <v/>
      </c>
      <c r="BE38" s="294">
        <f>SUM(BE24,BE30,BE36)</f>
        <v/>
      </c>
      <c r="BF38" s="294">
        <f>SUM(BF24,BF30,BF36)</f>
        <v/>
      </c>
      <c r="BG38" s="294">
        <f>SUM(BG24,BG30,BG36)</f>
        <v/>
      </c>
      <c r="BH38" s="294">
        <f>SUM(BH24,BH30,BH36)</f>
        <v/>
      </c>
      <c r="BI38" s="294">
        <f>SUM(BI24,BI30,BI36)</f>
        <v/>
      </c>
      <c r="BJ38" s="294">
        <f>SUM(BJ24,BJ30,BJ36)</f>
        <v/>
      </c>
      <c r="BK38" s="294">
        <f>SUM(BK24,BK30,BK36)</f>
        <v/>
      </c>
      <c r="BL38" s="294">
        <f>SUM(BL24,BL30,BL36)</f>
        <v/>
      </c>
      <c r="BM38" s="294">
        <f>SUM(BM24,BM30,BM36)</f>
        <v/>
      </c>
      <c r="BN38" s="294">
        <f>SUM(BN24,BN30,BN36)</f>
        <v/>
      </c>
      <c r="BO38" s="294">
        <f>SUM(BO24,BO30,BO36)</f>
        <v/>
      </c>
      <c r="BP38" s="294">
        <f>SUM(BP24,BP30,BP36)</f>
        <v/>
      </c>
      <c r="BQ38" s="294">
        <f>SUM(BQ24,BQ30,BQ36)</f>
        <v/>
      </c>
      <c r="BR38" s="294">
        <f>SUM(BR24,BR30,BR36)</f>
        <v/>
      </c>
      <c r="BS38" s="294">
        <f>SUM(BS24,BS30,BS36)</f>
        <v/>
      </c>
      <c r="BT38" s="294">
        <f>SUM(BT24,BT30,BT36)</f>
        <v/>
      </c>
      <c r="BU38" s="294">
        <f>SUM(BU24,BU30,BU36)</f>
        <v/>
      </c>
      <c r="BV38" s="294">
        <f>SUM(BV24,BV30,BV36)</f>
        <v/>
      </c>
      <c r="BW38" s="294">
        <f>SUM(BW24,BW30,BW36)</f>
        <v/>
      </c>
      <c r="BX38" s="294">
        <f>SUM(BX24,BX30,BX36)</f>
        <v/>
      </c>
      <c r="BY38" s="294">
        <f>SUM(BY24,BY30,BY36)</f>
        <v/>
      </c>
      <c r="BZ38" s="294">
        <f>SUM(BZ24,BZ30,BZ36)</f>
        <v/>
      </c>
      <c r="CA38" s="294">
        <f>SUM(CA24,CA30,CA36)</f>
        <v/>
      </c>
      <c r="CB38" s="294">
        <f>SUM(CB24,CB30,CB36)</f>
        <v/>
      </c>
      <c r="CC38" s="294">
        <f>SUM(CC24,CC30,CC36)</f>
        <v/>
      </c>
      <c r="CD38" s="294">
        <f>SUM(CD24,CD30,CD36)</f>
        <v/>
      </c>
      <c r="CE38" s="294">
        <f>SUM(CE24,CE30,CE36)</f>
        <v/>
      </c>
      <c r="CF38" s="294">
        <f>SUM(CF24,CF30,CF36)</f>
        <v/>
      </c>
      <c r="CG38" s="294">
        <f>SUM(CG24,CG30,CG36)</f>
        <v/>
      </c>
      <c r="CH38" s="294">
        <f>SUM(CH24,CH30,CH36)</f>
        <v/>
      </c>
      <c r="CI38" s="294">
        <f>SUM(CI24,CI30,CI36)</f>
        <v/>
      </c>
      <c r="CJ38" s="294">
        <f>SUM(CJ24,CJ30,CJ36)</f>
        <v/>
      </c>
      <c r="CK38" s="294">
        <f>SUM(CK24,CK30,CK36)</f>
        <v/>
      </c>
      <c r="CL38" s="294">
        <f>SUM(CL24,CL30,CL36)</f>
        <v/>
      </c>
      <c r="CM38" s="294">
        <f>SUM(CM24,CM30,CM36)</f>
        <v/>
      </c>
      <c r="CN38" s="294">
        <f>SUM(CN24,CN30,CN36)</f>
        <v/>
      </c>
      <c r="CO38" s="294">
        <f>SUM(CO24,CO30,CO36)</f>
        <v/>
      </c>
      <c r="CP38" s="294">
        <f>SUM(CP24,CP30,CP36)</f>
        <v/>
      </c>
      <c r="CQ38" s="294">
        <f>SUM(CQ24,CQ30,CQ36)</f>
        <v/>
      </c>
      <c r="CR38" s="294">
        <f>SUM(CR24,CR30,CR36)</f>
        <v/>
      </c>
      <c r="CS38" s="294">
        <f>SUM(CS24,CS30,CS36)</f>
        <v/>
      </c>
      <c r="CT38" s="294">
        <f>SUM(CT24,CT30,CT36)</f>
        <v/>
      </c>
      <c r="CU38" s="294">
        <f>SUM(CU24,CU30,CU36)</f>
        <v/>
      </c>
      <c r="CV38" s="294">
        <f>SUM(CV24,CV30,CV36)</f>
        <v/>
      </c>
      <c r="CW38" s="294">
        <f>SUM(CW24,CW30,CW36)</f>
        <v/>
      </c>
      <c r="CX38" s="294">
        <f>SUM(CX24,CX30,CX36)</f>
        <v/>
      </c>
      <c r="CY38" s="294">
        <f>SUM(CY24,CY30,CY36)</f>
        <v/>
      </c>
      <c r="CZ38" s="294">
        <f>SUM(CZ24,CZ30,CZ36)</f>
        <v/>
      </c>
      <c r="DA38" s="294">
        <f>SUM(DA24,DA30,DA36)</f>
        <v/>
      </c>
      <c r="DB38" s="294">
        <f>SUM(DB24,DB30,DB36)</f>
        <v/>
      </c>
      <c r="DC38" s="294">
        <f>SUM(DC24,DC30,DC36)</f>
        <v/>
      </c>
      <c r="DD38" s="294">
        <f>SUM(DD24,DD30,DD36)</f>
        <v/>
      </c>
      <c r="DE38" s="294">
        <f>SUM(DE24,DE30,DE36)</f>
        <v/>
      </c>
      <c r="DF38" s="294">
        <f>SUM(DF24,DF30,DF36)</f>
        <v/>
      </c>
      <c r="DG38" s="294">
        <f>SUM(DG24,DG30,DG36)</f>
        <v/>
      </c>
      <c r="DH38" s="294">
        <f>SUM(DH24,DH30,DH36)</f>
        <v/>
      </c>
      <c r="DI38" s="294">
        <f>SUM(DI24,DI30,DI36)</f>
        <v/>
      </c>
      <c r="DJ38" s="294">
        <f>SUM(DJ24,DJ30,DJ36)</f>
        <v/>
      </c>
      <c r="DK38" s="294">
        <f>SUM(DK24,DK30,DK36)</f>
        <v/>
      </c>
      <c r="DL38" s="294">
        <f>SUM(DL24,DL30,DL36)</f>
        <v/>
      </c>
      <c r="DM38" s="294">
        <f>SUM(DM24,DM30,DM36)</f>
        <v/>
      </c>
      <c r="DN38" s="294">
        <f>SUM(DN24,DN30,DN36)</f>
        <v/>
      </c>
      <c r="DO38" s="294">
        <f>SUM(DO24,DO30,DO36)</f>
        <v/>
      </c>
      <c r="DP38" s="294">
        <f>SUM(DP24,DP30,DP36)</f>
        <v/>
      </c>
      <c r="DQ38" s="294">
        <f>SUM(DQ24,DQ30,DQ36)</f>
        <v/>
      </c>
      <c r="DR38" s="294">
        <f>SUM(DR24,DR30,DR36)</f>
        <v/>
      </c>
      <c r="DS38" s="294">
        <f>SUM(DS24,DS30,DS36)</f>
        <v/>
      </c>
      <c r="DT38" s="294">
        <f>SUM(DT24,DT30,DT36)</f>
        <v/>
      </c>
      <c r="DU38" s="294">
        <f>SUM(DU24,DU30,DU36)</f>
        <v/>
      </c>
      <c r="DV38" s="294">
        <f>SUM(DV24,DV30,DV36)</f>
        <v/>
      </c>
      <c r="DW38" s="294">
        <f>SUM(DW24,DW30,DW36)</f>
        <v/>
      </c>
      <c r="DX38" s="294">
        <f>SUM(DX24,DX30,DX36)</f>
        <v/>
      </c>
      <c r="DY38" s="294">
        <f>SUM(DY24,DY30,DY36)</f>
        <v/>
      </c>
      <c r="DZ38" s="294">
        <f>SUM(DZ24,DZ30,DZ36)</f>
        <v/>
      </c>
      <c r="EA38" s="294">
        <f>SUM(EA24,EA30,EA36)</f>
        <v/>
      </c>
      <c r="EB38" s="294">
        <f>SUM(EB24,EB30,EB36)</f>
        <v/>
      </c>
      <c r="EC38" s="294">
        <f>SUM(EC24,EC30,EC36)</f>
        <v/>
      </c>
      <c r="ED38" s="294">
        <f>SUM(ED24,ED30,ED36)</f>
        <v/>
      </c>
      <c r="EE38" s="294">
        <f>SUM(EE24,EE30,EE36)</f>
        <v/>
      </c>
      <c r="EF38" s="294">
        <f>SUM(EF24,EF30,EF36)</f>
        <v/>
      </c>
      <c r="EG38" s="294">
        <f>SUM(EG24,EG30,EG36)</f>
        <v/>
      </c>
      <c r="EH38" s="294">
        <f>SUM(EH24,EH30,EH36)</f>
        <v/>
      </c>
      <c r="EI38" s="294">
        <f>SUM(EI24,EI30,EI36)</f>
        <v/>
      </c>
      <c r="EJ38" s="294">
        <f>SUM(EJ24,EJ30,EJ36)</f>
        <v/>
      </c>
      <c r="EK38" s="294">
        <f>SUM(EK24,EK30,EK36)</f>
        <v/>
      </c>
      <c r="EL38" s="294">
        <f>SUM(EL24,EL30,EL36)</f>
        <v/>
      </c>
      <c r="EM38" s="294">
        <f>SUM(EM24,EM30,EM36)</f>
        <v/>
      </c>
      <c r="EN38" s="294">
        <f>SUM(EN24,EN30,EN36)</f>
        <v/>
      </c>
      <c r="EO38" s="294">
        <f>SUM(EO24,EO30,EO36)</f>
        <v/>
      </c>
      <c r="EP38" s="294">
        <f>SUM(EP24,EP30,EP36)</f>
        <v/>
      </c>
      <c r="EQ38" s="294">
        <f>SUM(EQ24,EQ30,EQ36)</f>
        <v/>
      </c>
      <c r="ER38" s="294">
        <f>SUM(ER24,ER30,ER36)</f>
        <v/>
      </c>
      <c r="ES38" s="294">
        <f>SUM(ES24,ES30,ES36)</f>
        <v/>
      </c>
      <c r="ET38" s="294">
        <f>SUM(ET24,ET30,ET36)</f>
        <v/>
      </c>
      <c r="EU38" s="294">
        <f>SUM(EU24,EU30,EU36)</f>
        <v/>
      </c>
      <c r="EV38" s="294">
        <f>SUM(EV24,EV30,EV36)</f>
        <v/>
      </c>
      <c r="EW38" s="294">
        <f>SUM(EW24,EW30,EW36)</f>
        <v/>
      </c>
      <c r="EX38" s="294">
        <f>SUM(EX24,EX30,EX36)</f>
        <v/>
      </c>
    </row>
    <row r="39" ht="15.75" customHeight="1">
      <c r="C39" s="296" t="n">
        <v>0.01</v>
      </c>
      <c r="D39" s="264">
        <f>E39/$D$64</f>
        <v/>
      </c>
      <c r="E39" s="264">
        <f>C39*E38</f>
        <v/>
      </c>
      <c r="F39" s="246" t="n">
        <v>1</v>
      </c>
      <c r="G39" s="178" t="n">
        <v>1</v>
      </c>
      <c r="H39" s="293" t="n">
        <v>1</v>
      </c>
      <c r="V39" s="297" t="n"/>
      <c r="W39" s="297" t="n"/>
      <c r="X39" s="297" t="n"/>
      <c r="Y39" s="297" t="n"/>
      <c r="Z39" s="297" t="n"/>
      <c r="AA39" s="297" t="n"/>
      <c r="AB39" s="297" t="n"/>
      <c r="AC39" s="297" t="n"/>
      <c r="AD39" s="297" t="n"/>
      <c r="AE39" s="297" t="n"/>
      <c r="AF39" s="297" t="n"/>
      <c r="AG39" s="297" t="n"/>
      <c r="AH39" s="297" t="n"/>
      <c r="AI39" s="297" t="n"/>
      <c r="AJ39" s="297" t="n"/>
      <c r="AK39" s="297" t="n"/>
      <c r="AL39" s="297" t="n"/>
      <c r="AM39" s="297" t="n"/>
      <c r="AN39" s="297" t="n"/>
      <c r="AO39" s="297" t="n"/>
      <c r="AP39" s="297" t="n"/>
      <c r="AQ39" s="297" t="n"/>
      <c r="AR39" s="297" t="n"/>
      <c r="AS39" s="297" t="n"/>
      <c r="AT39" s="297" t="n"/>
      <c r="AU39" s="297" t="n"/>
      <c r="AV39" s="297" t="n"/>
      <c r="AW39" s="297" t="n"/>
      <c r="AX39" s="297" t="n"/>
      <c r="AY39" s="297" t="n"/>
      <c r="AZ39" s="297" t="n"/>
      <c r="BA39" s="297" t="n"/>
      <c r="BB39" s="297" t="n"/>
      <c r="BC39" s="297" t="n"/>
      <c r="BD39" s="297" t="n"/>
      <c r="BE39" s="297" t="n"/>
      <c r="BF39" s="297" t="n"/>
      <c r="BG39" s="297" t="n"/>
      <c r="BH39" s="297" t="n"/>
      <c r="BI39" s="297" t="n"/>
      <c r="BJ39" s="297" t="n"/>
      <c r="BK39" s="297" t="n"/>
      <c r="BL39" s="297" t="n"/>
      <c r="BM39" s="297" t="n"/>
      <c r="BN39" s="297" t="n"/>
      <c r="BO39" s="297" t="n"/>
      <c r="BP39" s="297" t="n"/>
      <c r="BQ39" s="297" t="n"/>
      <c r="BR39" s="297" t="n"/>
      <c r="BS39" s="297" t="n"/>
      <c r="BT39" s="297" t="n"/>
      <c r="BU39" s="297" t="n"/>
      <c r="BV39" s="297" t="n"/>
      <c r="BW39" s="297" t="n"/>
      <c r="BX39" s="297" t="n"/>
      <c r="BY39" s="297" t="n"/>
      <c r="BZ39" s="297" t="n"/>
      <c r="CA39" s="297" t="n"/>
      <c r="CB39" s="297" t="n"/>
      <c r="CC39" s="297" t="n"/>
      <c r="CD39" s="297" t="n"/>
      <c r="CE39" s="297" t="n"/>
      <c r="CF39" s="297" t="n"/>
      <c r="CG39" s="297" t="n"/>
      <c r="CH39" s="297" t="n"/>
      <c r="CI39" s="297" t="n"/>
      <c r="CJ39" s="297" t="n"/>
      <c r="CK39" s="297" t="n"/>
      <c r="CL39" s="297" t="n"/>
      <c r="CM39" s="297" t="n"/>
      <c r="CN39" s="297" t="n"/>
      <c r="CO39" s="297" t="n"/>
      <c r="CP39" s="297" t="n"/>
      <c r="CQ39" s="297" t="n"/>
      <c r="CR39" s="297" t="n"/>
      <c r="CS39" s="297" t="n"/>
      <c r="CT39" s="297" t="n"/>
      <c r="CU39" s="297" t="n"/>
      <c r="CV39" s="297" t="n"/>
      <c r="CW39" s="297" t="n"/>
      <c r="CX39" s="297" t="n"/>
      <c r="CY39" s="297" t="n"/>
      <c r="CZ39" s="297" t="n"/>
      <c r="DA39" s="297" t="n"/>
      <c r="DB39" s="297" t="n"/>
      <c r="DC39" s="297" t="n"/>
      <c r="DD39" s="297" t="n"/>
      <c r="DE39" s="297" t="n"/>
      <c r="DF39" s="297" t="n"/>
      <c r="DG39" s="297" t="n"/>
      <c r="DH39" s="297" t="n"/>
      <c r="DI39" s="297" t="n"/>
      <c r="DJ39" s="297" t="n"/>
      <c r="DK39" s="297" t="n"/>
      <c r="DL39" s="297" t="n"/>
      <c r="DM39" s="297" t="n"/>
      <c r="DN39" s="297" t="n"/>
      <c r="DO39" s="297" t="n"/>
      <c r="DP39" s="297" t="n"/>
      <c r="DQ39" s="297" t="n"/>
      <c r="DR39" s="297" t="n"/>
      <c r="DS39" s="297" t="n"/>
      <c r="DT39" s="297" t="n"/>
      <c r="DU39" s="297" t="n"/>
      <c r="DV39" s="297" t="n"/>
      <c r="DW39" s="297" t="n"/>
      <c r="DX39" s="297" t="n"/>
      <c r="DY39" s="297" t="n"/>
      <c r="DZ39" s="297" t="n"/>
      <c r="EA39" s="297" t="n"/>
      <c r="EB39" s="297" t="n"/>
      <c r="EC39" s="297" t="n"/>
      <c r="ED39" s="297" t="n"/>
      <c r="EE39" s="297" t="n"/>
      <c r="EF39" s="297" t="n"/>
      <c r="EG39" s="297" t="n"/>
      <c r="EH39" s="297" t="n"/>
      <c r="EI39" s="297" t="n"/>
      <c r="EJ39" s="297" t="n"/>
      <c r="EK39" s="297" t="n"/>
      <c r="EL39" s="297" t="n"/>
      <c r="EM39" s="297" t="n"/>
      <c r="EN39" s="297" t="n"/>
      <c r="EO39" s="297" t="n"/>
      <c r="EP39" s="297" t="n"/>
      <c r="EQ39" s="297" t="n"/>
      <c r="ER39" s="297" t="n"/>
      <c r="ES39" s="297" t="n"/>
      <c r="ET39" s="297" t="n"/>
      <c r="EU39" s="297" t="n"/>
      <c r="EV39" s="297" t="n"/>
      <c r="EW39" s="297" t="n"/>
      <c r="EX39" s="297" t="n"/>
    </row>
    <row r="40" ht="15.75" customHeight="1">
      <c r="C40" s="296" t="inlineStr">
        <is>
          <t>Other Cost</t>
        </is>
      </c>
      <c r="D40" s="264">
        <f>E40/$D$64</f>
        <v/>
      </c>
      <c r="E40" s="264" t="n">
        <v>0</v>
      </c>
      <c r="F40" s="246" t="n">
        <v>1</v>
      </c>
      <c r="G40" s="178" t="n">
        <v>1</v>
      </c>
      <c r="H40" s="293" t="n">
        <v>1</v>
      </c>
      <c r="J40" s="54" t="inlineStr">
        <is>
          <t>Operating Expenses</t>
        </is>
      </c>
      <c r="K40" s="54" t="n"/>
      <c r="L40" s="191" t="n"/>
    </row>
    <row r="41" ht="15.75" customHeight="1">
      <c r="C41" s="67" t="inlineStr">
        <is>
          <t>Financing Costs</t>
        </is>
      </c>
      <c r="D41" s="298">
        <f>E41/$D$64</f>
        <v/>
      </c>
      <c r="E41" s="298">
        <f>E50</f>
        <v/>
      </c>
      <c r="F41" s="246" t="n">
        <v>1</v>
      </c>
      <c r="G41" s="178" t="n">
        <v>1</v>
      </c>
      <c r="H41" s="293" t="n">
        <v>1</v>
      </c>
      <c r="J41" s="16" t="inlineStr">
        <is>
          <t>Controllable Expenses</t>
        </is>
      </c>
      <c r="K41" s="75" t="n"/>
      <c r="L41" s="76" t="n"/>
      <c r="M41" s="202" t="inlineStr">
        <is>
          <t>Total</t>
        </is>
      </c>
      <c r="N41" s="76" t="n"/>
      <c r="O41" s="75" t="n"/>
      <c r="P41" s="75" t="n"/>
      <c r="Q41" s="75" t="n"/>
      <c r="R41" s="75" t="n"/>
      <c r="S41" s="75" t="n"/>
      <c r="T41" s="75" t="n"/>
      <c r="U41" s="76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  <c r="DE41" s="25" t="n"/>
      <c r="DF41" s="25" t="n"/>
      <c r="DG41" s="25" t="n"/>
      <c r="DH41" s="25" t="n"/>
      <c r="DI41" s="25" t="n"/>
      <c r="DJ41" s="25" t="n"/>
      <c r="DK41" s="25" t="n"/>
      <c r="DL41" s="25" t="n"/>
      <c r="DM41" s="25" t="n"/>
      <c r="DN41" s="25" t="n"/>
      <c r="DO41" s="25" t="n"/>
      <c r="DP41" s="25" t="n"/>
      <c r="DQ41" s="25" t="n"/>
      <c r="DR41" s="25" t="n"/>
      <c r="DS41" s="25" t="n"/>
      <c r="DT41" s="25" t="n"/>
      <c r="DU41" s="25" t="n"/>
      <c r="DV41" s="25" t="n"/>
      <c r="DW41" s="25" t="n"/>
      <c r="DX41" s="25" t="n"/>
      <c r="DY41" s="25" t="n"/>
      <c r="DZ41" s="25" t="n"/>
      <c r="EA41" s="25" t="n"/>
      <c r="EB41" s="25" t="n"/>
      <c r="EC41" s="25" t="n"/>
      <c r="ED41" s="25" t="n"/>
      <c r="EE41" s="25" t="n"/>
      <c r="EF41" s="25" t="n"/>
      <c r="EG41" s="25" t="n"/>
      <c r="EH41" s="25" t="n"/>
      <c r="EI41" s="25" t="n"/>
      <c r="EJ41" s="25" t="n"/>
      <c r="EK41" s="25" t="n"/>
      <c r="EL41" s="25" t="n"/>
      <c r="EM41" s="25" t="n"/>
      <c r="EN41" s="25" t="n"/>
      <c r="EO41" s="25" t="n"/>
      <c r="EP41" s="25" t="n"/>
      <c r="EQ41" s="25" t="n"/>
      <c r="ER41" s="25" t="n"/>
      <c r="ES41" s="25" t="n"/>
      <c r="ET41" s="25" t="n"/>
      <c r="EU41" s="25" t="n"/>
      <c r="EV41" s="25" t="n"/>
      <c r="EW41" s="25" t="n"/>
      <c r="EX41" s="25" t="n"/>
    </row>
    <row r="42">
      <c r="C42" s="16" t="inlineStr">
        <is>
          <t>Total</t>
        </is>
      </c>
      <c r="D42" s="266">
        <f>E42/$D$64</f>
        <v/>
      </c>
      <c r="E42" s="266">
        <f>SUM(E38:E41)</f>
        <v/>
      </c>
      <c r="F42" s="247" t="n"/>
      <c r="J42" s="9" t="inlineStr">
        <is>
          <t>Payroll</t>
        </is>
      </c>
      <c r="K42" s="267" t="n"/>
      <c r="L42" s="279" t="n"/>
      <c r="M42" s="25">
        <f>SUMIF($V$4:$EX$4,"&lt;="&amp;$H$19,$V42:$EX42)</f>
        <v/>
      </c>
      <c r="N42" s="279" t="n"/>
      <c r="O42" s="280">
        <f>SUMIF($V$5:$EX$5,O$7,$V42:$EX42)</f>
        <v/>
      </c>
      <c r="P42" s="280">
        <f>SUMIF($V$5:$EX$5,P$7,$V42:$EX42)</f>
        <v/>
      </c>
      <c r="Q42" s="280">
        <f>SUMIF($V$5:$EX$5,Q$7,$V42:$EX42)</f>
        <v/>
      </c>
      <c r="R42" s="280">
        <f>SUMIF($V$5:$EX$5,R$7,$V42:$EX42)</f>
        <v/>
      </c>
      <c r="S42" s="280">
        <f>SUMIF($V$5:$EX$5,S$7,$V42:$EX42)</f>
        <v/>
      </c>
      <c r="T42" s="280">
        <f>SUMIF($V$5:$EX$5,T$7,$V42:$EX42)</f>
        <v/>
      </c>
      <c r="U42" s="279" t="n"/>
      <c r="V42" s="25" t="n">
        <v>0</v>
      </c>
      <c r="W42" s="25">
        <f>$K42/12*W$14*$D$64</f>
        <v/>
      </c>
      <c r="X42" s="25">
        <f>$K42/12*X$14*$D$64</f>
        <v/>
      </c>
      <c r="Y42" s="25">
        <f>$K42/12*Y$14*$D$64</f>
        <v/>
      </c>
      <c r="Z42" s="25">
        <f>$K42/12*Z$14*$D$64</f>
        <v/>
      </c>
      <c r="AA42" s="25">
        <f>$K42/12*AA$14*$D$64</f>
        <v/>
      </c>
      <c r="AB42" s="25">
        <f>$K42/12*AB$14*$D$64</f>
        <v/>
      </c>
      <c r="AC42" s="25">
        <f>$K42/12*AC$14*$D$64</f>
        <v/>
      </c>
      <c r="AD42" s="25">
        <f>$K42/12*AD$14*$D$64</f>
        <v/>
      </c>
      <c r="AE42" s="25">
        <f>$K42/12*AE$14*$D$64</f>
        <v/>
      </c>
      <c r="AF42" s="25">
        <f>$K42/12*AF$14*$D$64</f>
        <v/>
      </c>
      <c r="AG42" s="25">
        <f>$K42/12*AG$14*$D$64</f>
        <v/>
      </c>
      <c r="AH42" s="25">
        <f>$K42/12*AH$14*$D$64</f>
        <v/>
      </c>
      <c r="AI42" s="25">
        <f>$K42/12*AI$14*$D$64</f>
        <v/>
      </c>
      <c r="AJ42" s="25">
        <f>$K42/12*AJ$14*$D$64</f>
        <v/>
      </c>
      <c r="AK42" s="25">
        <f>$K42/12*AK$14*$D$64</f>
        <v/>
      </c>
      <c r="AL42" s="25">
        <f>$K42/12*AL$14*$D$64</f>
        <v/>
      </c>
      <c r="AM42" s="25">
        <f>$K42/12*AM$14*$D$64</f>
        <v/>
      </c>
      <c r="AN42" s="25">
        <f>$K42/12*AN$14*$D$64</f>
        <v/>
      </c>
      <c r="AO42" s="25">
        <f>$K42/12*AO$14*$D$64</f>
        <v/>
      </c>
      <c r="AP42" s="25">
        <f>$K42/12*AP$14*$D$64</f>
        <v/>
      </c>
      <c r="AQ42" s="25">
        <f>$K42/12*AQ$14*$D$64</f>
        <v/>
      </c>
      <c r="AR42" s="25">
        <f>$K42/12*AR$14*$D$64</f>
        <v/>
      </c>
      <c r="AS42" s="25">
        <f>$K42/12*AS$14*$D$64</f>
        <v/>
      </c>
      <c r="AT42" s="25">
        <f>$K42/12*AT$14*$D$64</f>
        <v/>
      </c>
      <c r="AU42" s="25">
        <f>$K42/12*AU$14*$D$64</f>
        <v/>
      </c>
      <c r="AV42" s="25">
        <f>$K42/12*AV$14*$D$64</f>
        <v/>
      </c>
      <c r="AW42" s="25">
        <f>$K42/12*AW$14*$D$64</f>
        <v/>
      </c>
      <c r="AX42" s="25">
        <f>$K42/12*AX$14*$D$64</f>
        <v/>
      </c>
      <c r="AY42" s="25">
        <f>$K42/12*AY$14*$D$64</f>
        <v/>
      </c>
      <c r="AZ42" s="25">
        <f>$K42/12*AZ$14*$D$64</f>
        <v/>
      </c>
      <c r="BA42" s="25">
        <f>$K42/12*BA$14*$D$64</f>
        <v/>
      </c>
      <c r="BB42" s="25">
        <f>$K42/12*BB$14*$D$64</f>
        <v/>
      </c>
      <c r="BC42" s="25">
        <f>$K42/12*BC$14*$D$64</f>
        <v/>
      </c>
      <c r="BD42" s="25">
        <f>$K42/12*BD$14*$D$64</f>
        <v/>
      </c>
      <c r="BE42" s="25">
        <f>$K42/12*BE$14*$D$64</f>
        <v/>
      </c>
      <c r="BF42" s="25">
        <f>$K42/12*BF$14*$D$64</f>
        <v/>
      </c>
      <c r="BG42" s="25">
        <f>$K42/12*BG$14*$D$64</f>
        <v/>
      </c>
      <c r="BH42" s="25">
        <f>$K42/12*BH$14*$D$64</f>
        <v/>
      </c>
      <c r="BI42" s="25">
        <f>$K42/12*BI$14*$D$64</f>
        <v/>
      </c>
      <c r="BJ42" s="25">
        <f>$K42/12*BJ$14*$D$64</f>
        <v/>
      </c>
      <c r="BK42" s="25">
        <f>$K42/12*BK$14*$D$64</f>
        <v/>
      </c>
      <c r="BL42" s="25">
        <f>$K42/12*BL$14*$D$64</f>
        <v/>
      </c>
      <c r="BM42" s="25">
        <f>$K42/12*BM$14*$D$64</f>
        <v/>
      </c>
      <c r="BN42" s="25">
        <f>$K42/12*BN$14*$D$64</f>
        <v/>
      </c>
      <c r="BO42" s="25">
        <f>$K42/12*BO$14*$D$64</f>
        <v/>
      </c>
      <c r="BP42" s="25">
        <f>$K42/12*BP$14*$D$64</f>
        <v/>
      </c>
      <c r="BQ42" s="25">
        <f>$K42/12*BQ$14*$D$64</f>
        <v/>
      </c>
      <c r="BR42" s="25">
        <f>$K42/12*BR$14*$D$64</f>
        <v/>
      </c>
      <c r="BS42" s="25">
        <f>$K42/12*BS$14*$D$64</f>
        <v/>
      </c>
      <c r="BT42" s="25">
        <f>$K42/12*BT$14*$D$64</f>
        <v/>
      </c>
      <c r="BU42" s="25">
        <f>$K42/12*BU$14*$D$64</f>
        <v/>
      </c>
      <c r="BV42" s="25">
        <f>$K42/12*BV$14*$D$64</f>
        <v/>
      </c>
      <c r="BW42" s="25">
        <f>$K42/12*BW$14*$D$64</f>
        <v/>
      </c>
      <c r="BX42" s="25">
        <f>$K42/12*BX$14*$D$64</f>
        <v/>
      </c>
      <c r="BY42" s="25">
        <f>$K42/12*BY$14*$D$64</f>
        <v/>
      </c>
      <c r="BZ42" s="25">
        <f>$K42/12*BZ$14*$D$64</f>
        <v/>
      </c>
      <c r="CA42" s="25">
        <f>$K42/12*CA$14*$D$64</f>
        <v/>
      </c>
      <c r="CB42" s="25">
        <f>$K42/12*CB$14*$D$64</f>
        <v/>
      </c>
      <c r="CC42" s="25">
        <f>$K42/12*CC$14*$D$64</f>
        <v/>
      </c>
      <c r="CD42" s="25">
        <f>$K42/12*CD$14*$D$64</f>
        <v/>
      </c>
      <c r="CE42" s="25">
        <f>$K42/12*CE$14*$D$64</f>
        <v/>
      </c>
      <c r="CF42" s="25">
        <f>$K42/12*CF$14*$D$64</f>
        <v/>
      </c>
      <c r="CG42" s="25">
        <f>$K42/12*CG$14*$D$64</f>
        <v/>
      </c>
      <c r="CH42" s="25">
        <f>$K42/12*CH$14*$D$64</f>
        <v/>
      </c>
      <c r="CI42" s="25">
        <f>$K42/12*CI$14*$D$64</f>
        <v/>
      </c>
      <c r="CJ42" s="25">
        <f>$K42/12*CJ$14*$D$64</f>
        <v/>
      </c>
      <c r="CK42" s="25">
        <f>$K42/12*CK$14*$D$64</f>
        <v/>
      </c>
      <c r="CL42" s="25">
        <f>$K42/12*CL$14*$D$64</f>
        <v/>
      </c>
      <c r="CM42" s="25">
        <f>$K42/12*CM$14*$D$64</f>
        <v/>
      </c>
      <c r="CN42" s="25">
        <f>$K42/12*CN$14*$D$64</f>
        <v/>
      </c>
      <c r="CO42" s="25">
        <f>$K42/12*CO$14*$D$64</f>
        <v/>
      </c>
      <c r="CP42" s="25">
        <f>$K42/12*CP$14*$D$64</f>
        <v/>
      </c>
      <c r="CQ42" s="25">
        <f>$K42/12*CQ$14*$D$64</f>
        <v/>
      </c>
      <c r="CR42" s="25">
        <f>$K42/12*CR$14*$D$64</f>
        <v/>
      </c>
      <c r="CS42" s="25">
        <f>$K42/12*CS$14*$D$64</f>
        <v/>
      </c>
      <c r="CT42" s="25">
        <f>$K42/12*CT$14*$D$64</f>
        <v/>
      </c>
      <c r="CU42" s="25">
        <f>$K42/12*CU$14*$D$64</f>
        <v/>
      </c>
      <c r="CV42" s="25">
        <f>$K42/12*CV$14*$D$64</f>
        <v/>
      </c>
      <c r="CW42" s="25">
        <f>$K42/12*CW$14*$D$64</f>
        <v/>
      </c>
      <c r="CX42" s="25">
        <f>$K42/12*CX$14*$D$64</f>
        <v/>
      </c>
      <c r="CY42" s="25">
        <f>$K42/12*CY$14*$D$64</f>
        <v/>
      </c>
      <c r="CZ42" s="25">
        <f>$K42/12*CZ$14*$D$64</f>
        <v/>
      </c>
      <c r="DA42" s="25">
        <f>$K42/12*DA$14*$D$64</f>
        <v/>
      </c>
      <c r="DB42" s="25">
        <f>$K42/12*DB$14*$D$64</f>
        <v/>
      </c>
      <c r="DC42" s="25">
        <f>$K42/12*DC$14*$D$64</f>
        <v/>
      </c>
      <c r="DD42" s="25">
        <f>$K42/12*DD$14*$D$64</f>
        <v/>
      </c>
      <c r="DE42" s="25">
        <f>$K42/12*DE$14*$D$64</f>
        <v/>
      </c>
      <c r="DF42" s="25">
        <f>$K42/12*DF$14*$D$64</f>
        <v/>
      </c>
      <c r="DG42" s="25">
        <f>$K42/12*DG$14*$D$64</f>
        <v/>
      </c>
      <c r="DH42" s="25">
        <f>$K42/12*DH$14*$D$64</f>
        <v/>
      </c>
      <c r="DI42" s="25">
        <f>$K42/12*DI$14*$D$64</f>
        <v/>
      </c>
      <c r="DJ42" s="25">
        <f>$K42/12*DJ$14*$D$64</f>
        <v/>
      </c>
      <c r="DK42" s="25">
        <f>$K42/12*DK$14*$D$64</f>
        <v/>
      </c>
      <c r="DL42" s="25">
        <f>$K42/12*DL$14*$D$64</f>
        <v/>
      </c>
      <c r="DM42" s="25">
        <f>$K42/12*DM$14*$D$64</f>
        <v/>
      </c>
      <c r="DN42" s="25">
        <f>$K42/12*DN$14*$D$64</f>
        <v/>
      </c>
      <c r="DO42" s="25">
        <f>$K42/12*DO$14*$D$64</f>
        <v/>
      </c>
      <c r="DP42" s="25">
        <f>$K42/12*DP$14*$D$64</f>
        <v/>
      </c>
      <c r="DQ42" s="25">
        <f>$K42/12*DQ$14*$D$64</f>
        <v/>
      </c>
      <c r="DR42" s="25">
        <f>$K42/12*DR$14*$D$64</f>
        <v/>
      </c>
      <c r="DS42" s="25">
        <f>$K42/12*DS$14*$D$64</f>
        <v/>
      </c>
      <c r="DT42" s="25">
        <f>$K42/12*DT$14*$D$64</f>
        <v/>
      </c>
      <c r="DU42" s="25">
        <f>$K42/12*DU$14*$D$64</f>
        <v/>
      </c>
      <c r="DV42" s="25">
        <f>$K42/12*DV$14*$D$64</f>
        <v/>
      </c>
      <c r="DW42" s="25">
        <f>$K42/12*DW$14*$D$64</f>
        <v/>
      </c>
      <c r="DX42" s="25">
        <f>$K42/12*DX$14*$D$64</f>
        <v/>
      </c>
      <c r="DY42" s="25">
        <f>$K42/12*DY$14*$D$64</f>
        <v/>
      </c>
      <c r="DZ42" s="25">
        <f>$K42/12*DZ$14*$D$64</f>
        <v/>
      </c>
      <c r="EA42" s="25">
        <f>$K42/12*EA$14*$D$64</f>
        <v/>
      </c>
      <c r="EB42" s="25">
        <f>$K42/12*EB$14*$D$64</f>
        <v/>
      </c>
      <c r="EC42" s="25">
        <f>$K42/12*EC$14*$D$64</f>
        <v/>
      </c>
      <c r="ED42" s="25">
        <f>$K42/12*ED$14*$D$64</f>
        <v/>
      </c>
      <c r="EE42" s="25">
        <f>$K42/12*EE$14*$D$64</f>
        <v/>
      </c>
      <c r="EF42" s="25">
        <f>$K42/12*EF$14*$D$64</f>
        <v/>
      </c>
      <c r="EG42" s="25">
        <f>$K42/12*EG$14*$D$64</f>
        <v/>
      </c>
      <c r="EH42" s="25">
        <f>$K42/12*EH$14*$D$64</f>
        <v/>
      </c>
      <c r="EI42" s="25">
        <f>$K42/12*EI$14*$D$64</f>
        <v/>
      </c>
      <c r="EJ42" s="25">
        <f>$K42/12*EJ$14*$D$64</f>
        <v/>
      </c>
      <c r="EK42" s="25">
        <f>$K42/12*EK$14*$D$64</f>
        <v/>
      </c>
      <c r="EL42" s="25">
        <f>$K42/12*EL$14*$D$64</f>
        <v/>
      </c>
      <c r="EM42" s="25">
        <f>$K42/12*EM$14*$D$64</f>
        <v/>
      </c>
      <c r="EN42" s="25">
        <f>$K42/12*EN$14*$D$64</f>
        <v/>
      </c>
      <c r="EO42" s="25">
        <f>$K42/12*EO$14*$D$64</f>
        <v/>
      </c>
      <c r="EP42" s="25">
        <f>$K42/12*EP$14*$D$64</f>
        <v/>
      </c>
      <c r="EQ42" s="25">
        <f>$K42/12*EQ$14*$D$64</f>
        <v/>
      </c>
      <c r="ER42" s="25">
        <f>$K42/12*ER$14*$D$64</f>
        <v/>
      </c>
      <c r="ES42" s="25">
        <f>$K42/12*ES$14*$D$64</f>
        <v/>
      </c>
      <c r="ET42" s="25">
        <f>$K42/12*ET$14*$D$64</f>
        <v/>
      </c>
      <c r="EU42" s="25">
        <f>$K42/12*EU$14*$D$64</f>
        <v/>
      </c>
      <c r="EV42" s="25">
        <f>$K42/12*EV$14*$D$64</f>
        <v/>
      </c>
      <c r="EW42" s="25">
        <f>$K42/12*EW$14*$D$64</f>
        <v/>
      </c>
      <c r="EX42" s="25">
        <f>$K42/12*EX$14*$D$64</f>
        <v/>
      </c>
    </row>
    <row r="43">
      <c r="C43" s="16" t="n"/>
      <c r="D43" s="16" t="n"/>
      <c r="E43" s="16" t="n"/>
      <c r="F43" s="266" t="n"/>
      <c r="G43" s="16" t="n"/>
      <c r="J43" s="9" t="inlineStr">
        <is>
          <t>Admin</t>
        </is>
      </c>
      <c r="K43" s="267" t="n"/>
      <c r="L43" s="279" t="n"/>
      <c r="M43" s="25">
        <f>SUMIF($V$4:$EX$4,"&lt;="&amp;$H$19,$V43:$EX43)</f>
        <v/>
      </c>
      <c r="N43" s="279" t="n"/>
      <c r="O43" s="280">
        <f>SUMIF($V$5:$EX$5,O$7,$V43:$EX43)</f>
        <v/>
      </c>
      <c r="P43" s="280">
        <f>SUMIF($V$5:$EX$5,P$7,$V43:$EX43)</f>
        <v/>
      </c>
      <c r="Q43" s="280">
        <f>SUMIF($V$5:$EX$5,Q$7,$V43:$EX43)</f>
        <v/>
      </c>
      <c r="R43" s="280">
        <f>SUMIF($V$5:$EX$5,R$7,$V43:$EX43)</f>
        <v/>
      </c>
      <c r="S43" s="280">
        <f>SUMIF($V$5:$EX$5,S$7,$V43:$EX43)</f>
        <v/>
      </c>
      <c r="T43" s="280">
        <f>SUMIF($V$5:$EX$5,T$7,$V43:$EX43)</f>
        <v/>
      </c>
      <c r="U43" s="279" t="n"/>
      <c r="V43" s="25" t="n">
        <v>0</v>
      </c>
      <c r="W43" s="25">
        <f>$K43/12*W$14*$D$64</f>
        <v/>
      </c>
      <c r="X43" s="25">
        <f>$K43/12*X$14*$D$64</f>
        <v/>
      </c>
      <c r="Y43" s="25">
        <f>$K43/12*Y$14*$D$64</f>
        <v/>
      </c>
      <c r="Z43" s="25">
        <f>$K43/12*Z$14*$D$64</f>
        <v/>
      </c>
      <c r="AA43" s="25">
        <f>$K43/12*AA$14*$D$64</f>
        <v/>
      </c>
      <c r="AB43" s="25">
        <f>$K43/12*AB$14*$D$64</f>
        <v/>
      </c>
      <c r="AC43" s="25">
        <f>$K43/12*AC$14*$D$64</f>
        <v/>
      </c>
      <c r="AD43" s="25">
        <f>$K43/12*AD$14*$D$64</f>
        <v/>
      </c>
      <c r="AE43" s="25">
        <f>$K43/12*AE$14*$D$64</f>
        <v/>
      </c>
      <c r="AF43" s="25">
        <f>$K43/12*AF$14*$D$64</f>
        <v/>
      </c>
      <c r="AG43" s="25">
        <f>$K43/12*AG$14*$D$64</f>
        <v/>
      </c>
      <c r="AH43" s="25">
        <f>$K43/12*AH$14*$D$64</f>
        <v/>
      </c>
      <c r="AI43" s="25">
        <f>$K43/12*AI$14*$D$64</f>
        <v/>
      </c>
      <c r="AJ43" s="25">
        <f>$K43/12*AJ$14*$D$64</f>
        <v/>
      </c>
      <c r="AK43" s="25">
        <f>$K43/12*AK$14*$D$64</f>
        <v/>
      </c>
      <c r="AL43" s="25">
        <f>$K43/12*AL$14*$D$64</f>
        <v/>
      </c>
      <c r="AM43" s="25">
        <f>$K43/12*AM$14*$D$64</f>
        <v/>
      </c>
      <c r="AN43" s="25">
        <f>$K43/12*AN$14*$D$64</f>
        <v/>
      </c>
      <c r="AO43" s="25">
        <f>$K43/12*AO$14*$D$64</f>
        <v/>
      </c>
      <c r="AP43" s="25">
        <f>$K43/12*AP$14*$D$64</f>
        <v/>
      </c>
      <c r="AQ43" s="25">
        <f>$K43/12*AQ$14*$D$64</f>
        <v/>
      </c>
      <c r="AR43" s="25">
        <f>$K43/12*AR$14*$D$64</f>
        <v/>
      </c>
      <c r="AS43" s="25">
        <f>$K43/12*AS$14*$D$64</f>
        <v/>
      </c>
      <c r="AT43" s="25">
        <f>$K43/12*AT$14*$D$64</f>
        <v/>
      </c>
      <c r="AU43" s="25">
        <f>$K43/12*AU$14*$D$64</f>
        <v/>
      </c>
      <c r="AV43" s="25">
        <f>$K43/12*AV$14*$D$64</f>
        <v/>
      </c>
      <c r="AW43" s="25">
        <f>$K43/12*AW$14*$D$64</f>
        <v/>
      </c>
      <c r="AX43" s="25">
        <f>$K43/12*AX$14*$D$64</f>
        <v/>
      </c>
      <c r="AY43" s="25">
        <f>$K43/12*AY$14*$D$64</f>
        <v/>
      </c>
      <c r="AZ43" s="25">
        <f>$K43/12*AZ$14*$D$64</f>
        <v/>
      </c>
      <c r="BA43" s="25">
        <f>$K43/12*BA$14*$D$64</f>
        <v/>
      </c>
      <c r="BB43" s="25">
        <f>$K43/12*BB$14*$D$64</f>
        <v/>
      </c>
      <c r="BC43" s="25">
        <f>$K43/12*BC$14*$D$64</f>
        <v/>
      </c>
      <c r="BD43" s="25">
        <f>$K43/12*BD$14*$D$64</f>
        <v/>
      </c>
      <c r="BE43" s="25">
        <f>$K43/12*BE$14*$D$64</f>
        <v/>
      </c>
      <c r="BF43" s="25">
        <f>$K43/12*BF$14*$D$64</f>
        <v/>
      </c>
      <c r="BG43" s="25">
        <f>$K43/12*BG$14*$D$64</f>
        <v/>
      </c>
      <c r="BH43" s="25">
        <f>$K43/12*BH$14*$D$64</f>
        <v/>
      </c>
      <c r="BI43" s="25">
        <f>$K43/12*BI$14*$D$64</f>
        <v/>
      </c>
      <c r="BJ43" s="25">
        <f>$K43/12*BJ$14*$D$64</f>
        <v/>
      </c>
      <c r="BK43" s="25">
        <f>$K43/12*BK$14*$D$64</f>
        <v/>
      </c>
      <c r="BL43" s="25">
        <f>$K43/12*BL$14*$D$64</f>
        <v/>
      </c>
      <c r="BM43" s="25">
        <f>$K43/12*BM$14*$D$64</f>
        <v/>
      </c>
      <c r="BN43" s="25">
        <f>$K43/12*BN$14*$D$64</f>
        <v/>
      </c>
      <c r="BO43" s="25">
        <f>$K43/12*BO$14*$D$64</f>
        <v/>
      </c>
      <c r="BP43" s="25">
        <f>$K43/12*BP$14*$D$64</f>
        <v/>
      </c>
      <c r="BQ43" s="25">
        <f>$K43/12*BQ$14*$D$64</f>
        <v/>
      </c>
      <c r="BR43" s="25">
        <f>$K43/12*BR$14*$D$64</f>
        <v/>
      </c>
      <c r="BS43" s="25">
        <f>$K43/12*BS$14*$D$64</f>
        <v/>
      </c>
      <c r="BT43" s="25">
        <f>$K43/12*BT$14*$D$64</f>
        <v/>
      </c>
      <c r="BU43" s="25">
        <f>$K43/12*BU$14*$D$64</f>
        <v/>
      </c>
      <c r="BV43" s="25">
        <f>$K43/12*BV$14*$D$64</f>
        <v/>
      </c>
      <c r="BW43" s="25">
        <f>$K43/12*BW$14*$D$64</f>
        <v/>
      </c>
      <c r="BX43" s="25">
        <f>$K43/12*BX$14*$D$64</f>
        <v/>
      </c>
      <c r="BY43" s="25">
        <f>$K43/12*BY$14*$D$64</f>
        <v/>
      </c>
      <c r="BZ43" s="25">
        <f>$K43/12*BZ$14*$D$64</f>
        <v/>
      </c>
      <c r="CA43" s="25">
        <f>$K43/12*CA$14*$D$64</f>
        <v/>
      </c>
      <c r="CB43" s="25">
        <f>$K43/12*CB$14*$D$64</f>
        <v/>
      </c>
      <c r="CC43" s="25">
        <f>$K43/12*CC$14*$D$64</f>
        <v/>
      </c>
      <c r="CD43" s="25">
        <f>$K43/12*CD$14*$D$64</f>
        <v/>
      </c>
      <c r="CE43" s="25">
        <f>$K43/12*CE$14*$D$64</f>
        <v/>
      </c>
      <c r="CF43" s="25">
        <f>$K43/12*CF$14*$D$64</f>
        <v/>
      </c>
      <c r="CG43" s="25">
        <f>$K43/12*CG$14*$D$64</f>
        <v/>
      </c>
      <c r="CH43" s="25">
        <f>$K43/12*CH$14*$D$64</f>
        <v/>
      </c>
      <c r="CI43" s="25">
        <f>$K43/12*CI$14*$D$64</f>
        <v/>
      </c>
      <c r="CJ43" s="25">
        <f>$K43/12*CJ$14*$D$64</f>
        <v/>
      </c>
      <c r="CK43" s="25">
        <f>$K43/12*CK$14*$D$64</f>
        <v/>
      </c>
      <c r="CL43" s="25">
        <f>$K43/12*CL$14*$D$64</f>
        <v/>
      </c>
      <c r="CM43" s="25">
        <f>$K43/12*CM$14*$D$64</f>
        <v/>
      </c>
      <c r="CN43" s="25">
        <f>$K43/12*CN$14*$D$64</f>
        <v/>
      </c>
      <c r="CO43" s="25">
        <f>$K43/12*CO$14*$D$64</f>
        <v/>
      </c>
      <c r="CP43" s="25">
        <f>$K43/12*CP$14*$D$64</f>
        <v/>
      </c>
      <c r="CQ43" s="25">
        <f>$K43/12*CQ$14*$D$64</f>
        <v/>
      </c>
      <c r="CR43" s="25">
        <f>$K43/12*CR$14*$D$64</f>
        <v/>
      </c>
      <c r="CS43" s="25">
        <f>$K43/12*CS$14*$D$64</f>
        <v/>
      </c>
      <c r="CT43" s="25">
        <f>$K43/12*CT$14*$D$64</f>
        <v/>
      </c>
      <c r="CU43" s="25">
        <f>$K43/12*CU$14*$D$64</f>
        <v/>
      </c>
      <c r="CV43" s="25">
        <f>$K43/12*CV$14*$D$64</f>
        <v/>
      </c>
      <c r="CW43" s="25">
        <f>$K43/12*CW$14*$D$64</f>
        <v/>
      </c>
      <c r="CX43" s="25">
        <f>$K43/12*CX$14*$D$64</f>
        <v/>
      </c>
      <c r="CY43" s="25">
        <f>$K43/12*CY$14*$D$64</f>
        <v/>
      </c>
      <c r="CZ43" s="25">
        <f>$K43/12*CZ$14*$D$64</f>
        <v/>
      </c>
      <c r="DA43" s="25">
        <f>$K43/12*DA$14*$D$64</f>
        <v/>
      </c>
      <c r="DB43" s="25">
        <f>$K43/12*DB$14*$D$64</f>
        <v/>
      </c>
      <c r="DC43" s="25">
        <f>$K43/12*DC$14*$D$64</f>
        <v/>
      </c>
      <c r="DD43" s="25">
        <f>$K43/12*DD$14*$D$64</f>
        <v/>
      </c>
      <c r="DE43" s="25">
        <f>$K43/12*DE$14*$D$64</f>
        <v/>
      </c>
      <c r="DF43" s="25">
        <f>$K43/12*DF$14*$D$64</f>
        <v/>
      </c>
      <c r="DG43" s="25">
        <f>$K43/12*DG$14*$D$64</f>
        <v/>
      </c>
      <c r="DH43" s="25">
        <f>$K43/12*DH$14*$D$64</f>
        <v/>
      </c>
      <c r="DI43" s="25">
        <f>$K43/12*DI$14*$D$64</f>
        <v/>
      </c>
      <c r="DJ43" s="25">
        <f>$K43/12*DJ$14*$D$64</f>
        <v/>
      </c>
      <c r="DK43" s="25">
        <f>$K43/12*DK$14*$D$64</f>
        <v/>
      </c>
      <c r="DL43" s="25">
        <f>$K43/12*DL$14*$D$64</f>
        <v/>
      </c>
      <c r="DM43" s="25">
        <f>$K43/12*DM$14*$D$64</f>
        <v/>
      </c>
      <c r="DN43" s="25">
        <f>$K43/12*DN$14*$D$64</f>
        <v/>
      </c>
      <c r="DO43" s="25">
        <f>$K43/12*DO$14*$D$64</f>
        <v/>
      </c>
      <c r="DP43" s="25">
        <f>$K43/12*DP$14*$D$64</f>
        <v/>
      </c>
      <c r="DQ43" s="25">
        <f>$K43/12*DQ$14*$D$64</f>
        <v/>
      </c>
      <c r="DR43" s="25">
        <f>$K43/12*DR$14*$D$64</f>
        <v/>
      </c>
      <c r="DS43" s="25">
        <f>$K43/12*DS$14*$D$64</f>
        <v/>
      </c>
      <c r="DT43" s="25">
        <f>$K43/12*DT$14*$D$64</f>
        <v/>
      </c>
      <c r="DU43" s="25">
        <f>$K43/12*DU$14*$D$64</f>
        <v/>
      </c>
      <c r="DV43" s="25">
        <f>$K43/12*DV$14*$D$64</f>
        <v/>
      </c>
      <c r="DW43" s="25">
        <f>$K43/12*DW$14*$D$64</f>
        <v/>
      </c>
      <c r="DX43" s="25">
        <f>$K43/12*DX$14*$D$64</f>
        <v/>
      </c>
      <c r="DY43" s="25">
        <f>$K43/12*DY$14*$D$64</f>
        <v/>
      </c>
      <c r="DZ43" s="25">
        <f>$K43/12*DZ$14*$D$64</f>
        <v/>
      </c>
      <c r="EA43" s="25">
        <f>$K43/12*EA$14*$D$64</f>
        <v/>
      </c>
      <c r="EB43" s="25">
        <f>$K43/12*EB$14*$D$64</f>
        <v/>
      </c>
      <c r="EC43" s="25">
        <f>$K43/12*EC$14*$D$64</f>
        <v/>
      </c>
      <c r="ED43" s="25">
        <f>$K43/12*ED$14*$D$64</f>
        <v/>
      </c>
      <c r="EE43" s="25">
        <f>$K43/12*EE$14*$D$64</f>
        <v/>
      </c>
      <c r="EF43" s="25">
        <f>$K43/12*EF$14*$D$64</f>
        <v/>
      </c>
      <c r="EG43" s="25">
        <f>$K43/12*EG$14*$D$64</f>
        <v/>
      </c>
      <c r="EH43" s="25">
        <f>$K43/12*EH$14*$D$64</f>
        <v/>
      </c>
      <c r="EI43" s="25">
        <f>$K43/12*EI$14*$D$64</f>
        <v/>
      </c>
      <c r="EJ43" s="25">
        <f>$K43/12*EJ$14*$D$64</f>
        <v/>
      </c>
      <c r="EK43" s="25">
        <f>$K43/12*EK$14*$D$64</f>
        <v/>
      </c>
      <c r="EL43" s="25">
        <f>$K43/12*EL$14*$D$64</f>
        <v/>
      </c>
      <c r="EM43" s="25">
        <f>$K43/12*EM$14*$D$64</f>
        <v/>
      </c>
      <c r="EN43" s="25">
        <f>$K43/12*EN$14*$D$64</f>
        <v/>
      </c>
      <c r="EO43" s="25">
        <f>$K43/12*EO$14*$D$64</f>
        <v/>
      </c>
      <c r="EP43" s="25">
        <f>$K43/12*EP$14*$D$64</f>
        <v/>
      </c>
      <c r="EQ43" s="25">
        <f>$K43/12*EQ$14*$D$64</f>
        <v/>
      </c>
      <c r="ER43" s="25">
        <f>$K43/12*ER$14*$D$64</f>
        <v/>
      </c>
      <c r="ES43" s="25">
        <f>$K43/12*ES$14*$D$64</f>
        <v/>
      </c>
      <c r="ET43" s="25">
        <f>$K43/12*ET$14*$D$64</f>
        <v/>
      </c>
      <c r="EU43" s="25">
        <f>$K43/12*EU$14*$D$64</f>
        <v/>
      </c>
      <c r="EV43" s="25">
        <f>$K43/12*EV$14*$D$64</f>
        <v/>
      </c>
      <c r="EW43" s="25">
        <f>$K43/12*EW$14*$D$64</f>
        <v/>
      </c>
      <c r="EX43" s="25">
        <f>$K43/12*EX$14*$D$64</f>
        <v/>
      </c>
    </row>
    <row r="44">
      <c r="C44" s="7" t="inlineStr">
        <is>
          <t>Financing Assumptions</t>
        </is>
      </c>
      <c r="D44" s="7" t="n"/>
      <c r="E44" s="7" t="n"/>
      <c r="F44" s="7" t="n"/>
      <c r="G44" s="7" t="n"/>
      <c r="H44" s="7" t="n"/>
      <c r="J44" s="9" t="inlineStr">
        <is>
          <t>Marketing</t>
        </is>
      </c>
      <c r="K44" s="267" t="n"/>
      <c r="L44" s="279" t="n"/>
      <c r="M44" s="25">
        <f>SUMIF($V$4:$EX$4,"&lt;="&amp;$H$19,$V44:$EX44)</f>
        <v/>
      </c>
      <c r="N44" s="279" t="n"/>
      <c r="O44" s="280">
        <f>SUMIF($V$5:$EX$5,O$7,$V44:$EX44)</f>
        <v/>
      </c>
      <c r="P44" s="280">
        <f>SUMIF($V$5:$EX$5,P$7,$V44:$EX44)</f>
        <v/>
      </c>
      <c r="Q44" s="280">
        <f>SUMIF($V$5:$EX$5,Q$7,$V44:$EX44)</f>
        <v/>
      </c>
      <c r="R44" s="280">
        <f>SUMIF($V$5:$EX$5,R$7,$V44:$EX44)</f>
        <v/>
      </c>
      <c r="S44" s="280">
        <f>SUMIF($V$5:$EX$5,S$7,$V44:$EX44)</f>
        <v/>
      </c>
      <c r="T44" s="280">
        <f>SUMIF($V$5:$EX$5,T$7,$V44:$EX44)</f>
        <v/>
      </c>
      <c r="U44" s="279" t="n"/>
      <c r="V44" s="25" t="n">
        <v>0</v>
      </c>
      <c r="W44" s="25">
        <f>$K44/12*W$14*$D$64</f>
        <v/>
      </c>
      <c r="X44" s="25">
        <f>$K44/12*X$14*$D$64</f>
        <v/>
      </c>
      <c r="Y44" s="25">
        <f>$K44/12*Y$14*$D$64</f>
        <v/>
      </c>
      <c r="Z44" s="25">
        <f>$K44/12*Z$14*$D$64</f>
        <v/>
      </c>
      <c r="AA44" s="25">
        <f>$K44/12*AA$14*$D$64</f>
        <v/>
      </c>
      <c r="AB44" s="25">
        <f>$K44/12*AB$14*$D$64</f>
        <v/>
      </c>
      <c r="AC44" s="25">
        <f>$K44/12*AC$14*$D$64</f>
        <v/>
      </c>
      <c r="AD44" s="25">
        <f>$K44/12*AD$14*$D$64</f>
        <v/>
      </c>
      <c r="AE44" s="25">
        <f>$K44/12*AE$14*$D$64</f>
        <v/>
      </c>
      <c r="AF44" s="25">
        <f>$K44/12*AF$14*$D$64</f>
        <v/>
      </c>
      <c r="AG44" s="25">
        <f>$K44/12*AG$14*$D$64</f>
        <v/>
      </c>
      <c r="AH44" s="25">
        <f>$K44/12*AH$14*$D$64</f>
        <v/>
      </c>
      <c r="AI44" s="25">
        <f>$K44/12*AI$14*$D$64</f>
        <v/>
      </c>
      <c r="AJ44" s="25">
        <f>$K44/12*AJ$14*$D$64</f>
        <v/>
      </c>
      <c r="AK44" s="25">
        <f>$K44/12*AK$14*$D$64</f>
        <v/>
      </c>
      <c r="AL44" s="25">
        <f>$K44/12*AL$14*$D$64</f>
        <v/>
      </c>
      <c r="AM44" s="25">
        <f>$K44/12*AM$14*$D$64</f>
        <v/>
      </c>
      <c r="AN44" s="25">
        <f>$K44/12*AN$14*$D$64</f>
        <v/>
      </c>
      <c r="AO44" s="25">
        <f>$K44/12*AO$14*$D$64</f>
        <v/>
      </c>
      <c r="AP44" s="25">
        <f>$K44/12*AP$14*$D$64</f>
        <v/>
      </c>
      <c r="AQ44" s="25">
        <f>$K44/12*AQ$14*$D$64</f>
        <v/>
      </c>
      <c r="AR44" s="25">
        <f>$K44/12*AR$14*$D$64</f>
        <v/>
      </c>
      <c r="AS44" s="25">
        <f>$K44/12*AS$14*$D$64</f>
        <v/>
      </c>
      <c r="AT44" s="25">
        <f>$K44/12*AT$14*$D$64</f>
        <v/>
      </c>
      <c r="AU44" s="25">
        <f>$K44/12*AU$14*$D$64</f>
        <v/>
      </c>
      <c r="AV44" s="25">
        <f>$K44/12*AV$14*$D$64</f>
        <v/>
      </c>
      <c r="AW44" s="25">
        <f>$K44/12*AW$14*$D$64</f>
        <v/>
      </c>
      <c r="AX44" s="25">
        <f>$K44/12*AX$14*$D$64</f>
        <v/>
      </c>
      <c r="AY44" s="25">
        <f>$K44/12*AY$14*$D$64</f>
        <v/>
      </c>
      <c r="AZ44" s="25">
        <f>$K44/12*AZ$14*$D$64</f>
        <v/>
      </c>
      <c r="BA44" s="25">
        <f>$K44/12*BA$14*$D$64</f>
        <v/>
      </c>
      <c r="BB44" s="25">
        <f>$K44/12*BB$14*$D$64</f>
        <v/>
      </c>
      <c r="BC44" s="25">
        <f>$K44/12*BC$14*$D$64</f>
        <v/>
      </c>
      <c r="BD44" s="25">
        <f>$K44/12*BD$14*$D$64</f>
        <v/>
      </c>
      <c r="BE44" s="25">
        <f>$K44/12*BE$14*$D$64</f>
        <v/>
      </c>
      <c r="BF44" s="25">
        <f>$K44/12*BF$14*$D$64</f>
        <v/>
      </c>
      <c r="BG44" s="25">
        <f>$K44/12*BG$14*$D$64</f>
        <v/>
      </c>
      <c r="BH44" s="25">
        <f>$K44/12*BH$14*$D$64</f>
        <v/>
      </c>
      <c r="BI44" s="25">
        <f>$K44/12*BI$14*$D$64</f>
        <v/>
      </c>
      <c r="BJ44" s="25">
        <f>$K44/12*BJ$14*$D$64</f>
        <v/>
      </c>
      <c r="BK44" s="25">
        <f>$K44/12*BK$14*$D$64</f>
        <v/>
      </c>
      <c r="BL44" s="25">
        <f>$K44/12*BL$14*$D$64</f>
        <v/>
      </c>
      <c r="BM44" s="25">
        <f>$K44/12*BM$14*$D$64</f>
        <v/>
      </c>
      <c r="BN44" s="25">
        <f>$K44/12*BN$14*$D$64</f>
        <v/>
      </c>
      <c r="BO44" s="25">
        <f>$K44/12*BO$14*$D$64</f>
        <v/>
      </c>
      <c r="BP44" s="25">
        <f>$K44/12*BP$14*$D$64</f>
        <v/>
      </c>
      <c r="BQ44" s="25">
        <f>$K44/12*BQ$14*$D$64</f>
        <v/>
      </c>
      <c r="BR44" s="25">
        <f>$K44/12*BR$14*$D$64</f>
        <v/>
      </c>
      <c r="BS44" s="25">
        <f>$K44/12*BS$14*$D$64</f>
        <v/>
      </c>
      <c r="BT44" s="25">
        <f>$K44/12*BT$14*$D$64</f>
        <v/>
      </c>
      <c r="BU44" s="25">
        <f>$K44/12*BU$14*$D$64</f>
        <v/>
      </c>
      <c r="BV44" s="25">
        <f>$K44/12*BV$14*$D$64</f>
        <v/>
      </c>
      <c r="BW44" s="25">
        <f>$K44/12*BW$14*$D$64</f>
        <v/>
      </c>
      <c r="BX44" s="25">
        <f>$K44/12*BX$14*$D$64</f>
        <v/>
      </c>
      <c r="BY44" s="25">
        <f>$K44/12*BY$14*$D$64</f>
        <v/>
      </c>
      <c r="BZ44" s="25">
        <f>$K44/12*BZ$14*$D$64</f>
        <v/>
      </c>
      <c r="CA44" s="25">
        <f>$K44/12*CA$14*$D$64</f>
        <v/>
      </c>
      <c r="CB44" s="25">
        <f>$K44/12*CB$14*$D$64</f>
        <v/>
      </c>
      <c r="CC44" s="25">
        <f>$K44/12*CC$14*$D$64</f>
        <v/>
      </c>
      <c r="CD44" s="25">
        <f>$K44/12*CD$14*$D$64</f>
        <v/>
      </c>
      <c r="CE44" s="25">
        <f>$K44/12*CE$14*$D$64</f>
        <v/>
      </c>
      <c r="CF44" s="25">
        <f>$K44/12*CF$14*$D$64</f>
        <v/>
      </c>
      <c r="CG44" s="25">
        <f>$K44/12*CG$14*$D$64</f>
        <v/>
      </c>
      <c r="CH44" s="25">
        <f>$K44/12*CH$14*$D$64</f>
        <v/>
      </c>
      <c r="CI44" s="25">
        <f>$K44/12*CI$14*$D$64</f>
        <v/>
      </c>
      <c r="CJ44" s="25">
        <f>$K44/12*CJ$14*$D$64</f>
        <v/>
      </c>
      <c r="CK44" s="25">
        <f>$K44/12*CK$14*$D$64</f>
        <v/>
      </c>
      <c r="CL44" s="25">
        <f>$K44/12*CL$14*$D$64</f>
        <v/>
      </c>
      <c r="CM44" s="25">
        <f>$K44/12*CM$14*$D$64</f>
        <v/>
      </c>
      <c r="CN44" s="25">
        <f>$K44/12*CN$14*$D$64</f>
        <v/>
      </c>
      <c r="CO44" s="25">
        <f>$K44/12*CO$14*$D$64</f>
        <v/>
      </c>
      <c r="CP44" s="25">
        <f>$K44/12*CP$14*$D$64</f>
        <v/>
      </c>
      <c r="CQ44" s="25">
        <f>$K44/12*CQ$14*$D$64</f>
        <v/>
      </c>
      <c r="CR44" s="25">
        <f>$K44/12*CR$14*$D$64</f>
        <v/>
      </c>
      <c r="CS44" s="25">
        <f>$K44/12*CS$14*$D$64</f>
        <v/>
      </c>
      <c r="CT44" s="25">
        <f>$K44/12*CT$14*$D$64</f>
        <v/>
      </c>
      <c r="CU44" s="25">
        <f>$K44/12*CU$14*$D$64</f>
        <v/>
      </c>
      <c r="CV44" s="25">
        <f>$K44/12*CV$14*$D$64</f>
        <v/>
      </c>
      <c r="CW44" s="25">
        <f>$K44/12*CW$14*$D$64</f>
        <v/>
      </c>
      <c r="CX44" s="25">
        <f>$K44/12*CX$14*$D$64</f>
        <v/>
      </c>
      <c r="CY44" s="25">
        <f>$K44/12*CY$14*$D$64</f>
        <v/>
      </c>
      <c r="CZ44" s="25">
        <f>$K44/12*CZ$14*$D$64</f>
        <v/>
      </c>
      <c r="DA44" s="25">
        <f>$K44/12*DA$14*$D$64</f>
        <v/>
      </c>
      <c r="DB44" s="25">
        <f>$K44/12*DB$14*$D$64</f>
        <v/>
      </c>
      <c r="DC44" s="25">
        <f>$K44/12*DC$14*$D$64</f>
        <v/>
      </c>
      <c r="DD44" s="25">
        <f>$K44/12*DD$14*$D$64</f>
        <v/>
      </c>
      <c r="DE44" s="25">
        <f>$K44/12*DE$14*$D$64</f>
        <v/>
      </c>
      <c r="DF44" s="25">
        <f>$K44/12*DF$14*$D$64</f>
        <v/>
      </c>
      <c r="DG44" s="25">
        <f>$K44/12*DG$14*$D$64</f>
        <v/>
      </c>
      <c r="DH44" s="25">
        <f>$K44/12*DH$14*$D$64</f>
        <v/>
      </c>
      <c r="DI44" s="25">
        <f>$K44/12*DI$14*$D$64</f>
        <v/>
      </c>
      <c r="DJ44" s="25">
        <f>$K44/12*DJ$14*$D$64</f>
        <v/>
      </c>
      <c r="DK44" s="25">
        <f>$K44/12*DK$14*$D$64</f>
        <v/>
      </c>
      <c r="DL44" s="25">
        <f>$K44/12*DL$14*$D$64</f>
        <v/>
      </c>
      <c r="DM44" s="25">
        <f>$K44/12*DM$14*$D$64</f>
        <v/>
      </c>
      <c r="DN44" s="25">
        <f>$K44/12*DN$14*$D$64</f>
        <v/>
      </c>
      <c r="DO44" s="25">
        <f>$K44/12*DO$14*$D$64</f>
        <v/>
      </c>
      <c r="DP44" s="25">
        <f>$K44/12*DP$14*$D$64</f>
        <v/>
      </c>
      <c r="DQ44" s="25">
        <f>$K44/12*DQ$14*$D$64</f>
        <v/>
      </c>
      <c r="DR44" s="25">
        <f>$K44/12*DR$14*$D$64</f>
        <v/>
      </c>
      <c r="DS44" s="25">
        <f>$K44/12*DS$14*$D$64</f>
        <v/>
      </c>
      <c r="DT44" s="25">
        <f>$K44/12*DT$14*$D$64</f>
        <v/>
      </c>
      <c r="DU44" s="25">
        <f>$K44/12*DU$14*$D$64</f>
        <v/>
      </c>
      <c r="DV44" s="25">
        <f>$K44/12*DV$14*$D$64</f>
        <v/>
      </c>
      <c r="DW44" s="25">
        <f>$K44/12*DW$14*$D$64</f>
        <v/>
      </c>
      <c r="DX44" s="25">
        <f>$K44/12*DX$14*$D$64</f>
        <v/>
      </c>
      <c r="DY44" s="25">
        <f>$K44/12*DY$14*$D$64</f>
        <v/>
      </c>
      <c r="DZ44" s="25">
        <f>$K44/12*DZ$14*$D$64</f>
        <v/>
      </c>
      <c r="EA44" s="25">
        <f>$K44/12*EA$14*$D$64</f>
        <v/>
      </c>
      <c r="EB44" s="25">
        <f>$K44/12*EB$14*$D$64</f>
        <v/>
      </c>
      <c r="EC44" s="25">
        <f>$K44/12*EC$14*$D$64</f>
        <v/>
      </c>
      <c r="ED44" s="25">
        <f>$K44/12*ED$14*$D$64</f>
        <v/>
      </c>
      <c r="EE44" s="25">
        <f>$K44/12*EE$14*$D$64</f>
        <v/>
      </c>
      <c r="EF44" s="25">
        <f>$K44/12*EF$14*$D$64</f>
        <v/>
      </c>
      <c r="EG44" s="25">
        <f>$K44/12*EG$14*$D$64</f>
        <v/>
      </c>
      <c r="EH44" s="25">
        <f>$K44/12*EH$14*$D$64</f>
        <v/>
      </c>
      <c r="EI44" s="25">
        <f>$K44/12*EI$14*$D$64</f>
        <v/>
      </c>
      <c r="EJ44" s="25">
        <f>$K44/12*EJ$14*$D$64</f>
        <v/>
      </c>
      <c r="EK44" s="25">
        <f>$K44/12*EK$14*$D$64</f>
        <v/>
      </c>
      <c r="EL44" s="25">
        <f>$K44/12*EL$14*$D$64</f>
        <v/>
      </c>
      <c r="EM44" s="25">
        <f>$K44/12*EM$14*$D$64</f>
        <v/>
      </c>
      <c r="EN44" s="25">
        <f>$K44/12*EN$14*$D$64</f>
        <v/>
      </c>
      <c r="EO44" s="25">
        <f>$K44/12*EO$14*$D$64</f>
        <v/>
      </c>
      <c r="EP44" s="25">
        <f>$K44/12*EP$14*$D$64</f>
        <v/>
      </c>
      <c r="EQ44" s="25">
        <f>$K44/12*EQ$14*$D$64</f>
        <v/>
      </c>
      <c r="ER44" s="25">
        <f>$K44/12*ER$14*$D$64</f>
        <v/>
      </c>
      <c r="ES44" s="25">
        <f>$K44/12*ES$14*$D$64</f>
        <v/>
      </c>
      <c r="ET44" s="25">
        <f>$K44/12*ET$14*$D$64</f>
        <v/>
      </c>
      <c r="EU44" s="25">
        <f>$K44/12*EU$14*$D$64</f>
        <v/>
      </c>
      <c r="EV44" s="25">
        <f>$K44/12*EV$14*$D$64</f>
        <v/>
      </c>
      <c r="EW44" s="25">
        <f>$K44/12*EW$14*$D$64</f>
        <v/>
      </c>
      <c r="EX44" s="25">
        <f>$K44/12*EX$14*$D$64</f>
        <v/>
      </c>
    </row>
    <row r="45">
      <c r="C45" s="36" t="inlineStr">
        <is>
          <t>Senior Financing</t>
        </is>
      </c>
      <c r="D45" s="37" t="inlineStr">
        <is>
          <t>Senior Financing</t>
        </is>
      </c>
      <c r="E45" s="37" t="n"/>
      <c r="F45" s="77" t="n"/>
      <c r="G45" s="37" t="inlineStr">
        <is>
          <t>Refinance</t>
        </is>
      </c>
      <c r="H45" s="37" t="n"/>
      <c r="J45" s="9" t="inlineStr">
        <is>
          <t>R&amp;M</t>
        </is>
      </c>
      <c r="K45" s="267" t="n">
        <v>2798.435490196079</v>
      </c>
      <c r="L45" s="279" t="n"/>
      <c r="M45" s="25">
        <f>SUMIF($V$4:$EX$4,"&lt;="&amp;$H$19,$V45:$EX45)</f>
        <v/>
      </c>
      <c r="N45" s="279" t="n"/>
      <c r="O45" s="280">
        <f>SUMIF($V$5:$EX$5,O$7,$V45:$EX45)</f>
        <v/>
      </c>
      <c r="P45" s="280">
        <f>SUMIF($V$5:$EX$5,P$7,$V45:$EX45)</f>
        <v/>
      </c>
      <c r="Q45" s="280">
        <f>SUMIF($V$5:$EX$5,Q$7,$V45:$EX45)</f>
        <v/>
      </c>
      <c r="R45" s="280">
        <f>SUMIF($V$5:$EX$5,R$7,$V45:$EX45)</f>
        <v/>
      </c>
      <c r="S45" s="280">
        <f>SUMIF($V$5:$EX$5,S$7,$V45:$EX45)</f>
        <v/>
      </c>
      <c r="T45" s="280">
        <f>SUMIF($V$5:$EX$5,T$7,$V45:$EX45)</f>
        <v/>
      </c>
      <c r="U45" s="279" t="n"/>
      <c r="V45" s="25" t="n">
        <v>0</v>
      </c>
      <c r="W45" s="25">
        <f>$K45/12*W$14*$D$64</f>
        <v/>
      </c>
      <c r="X45" s="25">
        <f>$K45/12*X$14*$D$64</f>
        <v/>
      </c>
      <c r="Y45" s="25">
        <f>$K45/12*Y$14*$D$64</f>
        <v/>
      </c>
      <c r="Z45" s="25">
        <f>$K45/12*Z$14*$D$64</f>
        <v/>
      </c>
      <c r="AA45" s="25">
        <f>$K45/12*AA$14*$D$64</f>
        <v/>
      </c>
      <c r="AB45" s="25">
        <f>$K45/12*AB$14*$D$64</f>
        <v/>
      </c>
      <c r="AC45" s="25">
        <f>$K45/12*AC$14*$D$64</f>
        <v/>
      </c>
      <c r="AD45" s="25">
        <f>$K45/12*AD$14*$D$64</f>
        <v/>
      </c>
      <c r="AE45" s="25">
        <f>$K45/12*AE$14*$D$64</f>
        <v/>
      </c>
      <c r="AF45" s="25">
        <f>$K45/12*AF$14*$D$64</f>
        <v/>
      </c>
      <c r="AG45" s="25">
        <f>$K45/12*AG$14*$D$64</f>
        <v/>
      </c>
      <c r="AH45" s="25">
        <f>$K45/12*AH$14*$D$64</f>
        <v/>
      </c>
      <c r="AI45" s="25">
        <f>$K45/12*AI$14*$D$64</f>
        <v/>
      </c>
      <c r="AJ45" s="25">
        <f>$K45/12*AJ$14*$D$64</f>
        <v/>
      </c>
      <c r="AK45" s="25">
        <f>$K45/12*AK$14*$D$64</f>
        <v/>
      </c>
      <c r="AL45" s="25">
        <f>$K45/12*AL$14*$D$64</f>
        <v/>
      </c>
      <c r="AM45" s="25">
        <f>$K45/12*AM$14*$D$64</f>
        <v/>
      </c>
      <c r="AN45" s="25">
        <f>$K45/12*AN$14*$D$64</f>
        <v/>
      </c>
      <c r="AO45" s="25">
        <f>$K45/12*AO$14*$D$64</f>
        <v/>
      </c>
      <c r="AP45" s="25">
        <f>$K45/12*AP$14*$D$64</f>
        <v/>
      </c>
      <c r="AQ45" s="25">
        <f>$K45/12*AQ$14*$D$64</f>
        <v/>
      </c>
      <c r="AR45" s="25">
        <f>$K45/12*AR$14*$D$64</f>
        <v/>
      </c>
      <c r="AS45" s="25">
        <f>$K45/12*AS$14*$D$64</f>
        <v/>
      </c>
      <c r="AT45" s="25">
        <f>$K45/12*AT$14*$D$64</f>
        <v/>
      </c>
      <c r="AU45" s="25">
        <f>$K45/12*AU$14*$D$64</f>
        <v/>
      </c>
      <c r="AV45" s="25">
        <f>$K45/12*AV$14*$D$64</f>
        <v/>
      </c>
      <c r="AW45" s="25">
        <f>$K45/12*AW$14*$D$64</f>
        <v/>
      </c>
      <c r="AX45" s="25">
        <f>$K45/12*AX$14*$D$64</f>
        <v/>
      </c>
      <c r="AY45" s="25">
        <f>$K45/12*AY$14*$D$64</f>
        <v/>
      </c>
      <c r="AZ45" s="25">
        <f>$K45/12*AZ$14*$D$64</f>
        <v/>
      </c>
      <c r="BA45" s="25">
        <f>$K45/12*BA$14*$D$64</f>
        <v/>
      </c>
      <c r="BB45" s="25">
        <f>$K45/12*BB$14*$D$64</f>
        <v/>
      </c>
      <c r="BC45" s="25">
        <f>$K45/12*BC$14*$D$64</f>
        <v/>
      </c>
      <c r="BD45" s="25">
        <f>$K45/12*BD$14*$D$64</f>
        <v/>
      </c>
      <c r="BE45" s="25">
        <f>$K45/12*BE$14*$D$64</f>
        <v/>
      </c>
      <c r="BF45" s="25">
        <f>$K45/12*BF$14*$D$64</f>
        <v/>
      </c>
      <c r="BG45" s="25">
        <f>$K45/12*BG$14*$D$64</f>
        <v/>
      </c>
      <c r="BH45" s="25">
        <f>$K45/12*BH$14*$D$64</f>
        <v/>
      </c>
      <c r="BI45" s="25">
        <f>$K45/12*BI$14*$D$64</f>
        <v/>
      </c>
      <c r="BJ45" s="25">
        <f>$K45/12*BJ$14*$D$64</f>
        <v/>
      </c>
      <c r="BK45" s="25">
        <f>$K45/12*BK$14*$D$64</f>
        <v/>
      </c>
      <c r="BL45" s="25">
        <f>$K45/12*BL$14*$D$64</f>
        <v/>
      </c>
      <c r="BM45" s="25">
        <f>$K45/12*BM$14*$D$64</f>
        <v/>
      </c>
      <c r="BN45" s="25">
        <f>$K45/12*BN$14*$D$64</f>
        <v/>
      </c>
      <c r="BO45" s="25">
        <f>$K45/12*BO$14*$D$64</f>
        <v/>
      </c>
      <c r="BP45" s="25">
        <f>$K45/12*BP$14*$D$64</f>
        <v/>
      </c>
      <c r="BQ45" s="25">
        <f>$K45/12*BQ$14*$D$64</f>
        <v/>
      </c>
      <c r="BR45" s="25">
        <f>$K45/12*BR$14*$D$64</f>
        <v/>
      </c>
      <c r="BS45" s="25">
        <f>$K45/12*BS$14*$D$64</f>
        <v/>
      </c>
      <c r="BT45" s="25">
        <f>$K45/12*BT$14*$D$64</f>
        <v/>
      </c>
      <c r="BU45" s="25">
        <f>$K45/12*BU$14*$D$64</f>
        <v/>
      </c>
      <c r="BV45" s="25">
        <f>$K45/12*BV$14*$D$64</f>
        <v/>
      </c>
      <c r="BW45" s="25">
        <f>$K45/12*BW$14*$D$64</f>
        <v/>
      </c>
      <c r="BX45" s="25">
        <f>$K45/12*BX$14*$D$64</f>
        <v/>
      </c>
      <c r="BY45" s="25">
        <f>$K45/12*BY$14*$D$64</f>
        <v/>
      </c>
      <c r="BZ45" s="25">
        <f>$K45/12*BZ$14*$D$64</f>
        <v/>
      </c>
      <c r="CA45" s="25">
        <f>$K45/12*CA$14*$D$64</f>
        <v/>
      </c>
      <c r="CB45" s="25">
        <f>$K45/12*CB$14*$D$64</f>
        <v/>
      </c>
      <c r="CC45" s="25">
        <f>$K45/12*CC$14*$D$64</f>
        <v/>
      </c>
      <c r="CD45" s="25">
        <f>$K45/12*CD$14*$D$64</f>
        <v/>
      </c>
      <c r="CE45" s="25">
        <f>$K45/12*CE$14*$D$64</f>
        <v/>
      </c>
      <c r="CF45" s="25">
        <f>$K45/12*CF$14*$D$64</f>
        <v/>
      </c>
      <c r="CG45" s="25">
        <f>$K45/12*CG$14*$D$64</f>
        <v/>
      </c>
      <c r="CH45" s="25">
        <f>$K45/12*CH$14*$D$64</f>
        <v/>
      </c>
      <c r="CI45" s="25">
        <f>$K45/12*CI$14*$D$64</f>
        <v/>
      </c>
      <c r="CJ45" s="25">
        <f>$K45/12*CJ$14*$D$64</f>
        <v/>
      </c>
      <c r="CK45" s="25">
        <f>$K45/12*CK$14*$D$64</f>
        <v/>
      </c>
      <c r="CL45" s="25">
        <f>$K45/12*CL$14*$D$64</f>
        <v/>
      </c>
      <c r="CM45" s="25">
        <f>$K45/12*CM$14*$D$64</f>
        <v/>
      </c>
      <c r="CN45" s="25">
        <f>$K45/12*CN$14*$D$64</f>
        <v/>
      </c>
      <c r="CO45" s="25">
        <f>$K45/12*CO$14*$D$64</f>
        <v/>
      </c>
      <c r="CP45" s="25">
        <f>$K45/12*CP$14*$D$64</f>
        <v/>
      </c>
      <c r="CQ45" s="25">
        <f>$K45/12*CQ$14*$D$64</f>
        <v/>
      </c>
      <c r="CR45" s="25">
        <f>$K45/12*CR$14*$D$64</f>
        <v/>
      </c>
      <c r="CS45" s="25">
        <f>$K45/12*CS$14*$D$64</f>
        <v/>
      </c>
      <c r="CT45" s="25">
        <f>$K45/12*CT$14*$D$64</f>
        <v/>
      </c>
      <c r="CU45" s="25">
        <f>$K45/12*CU$14*$D$64</f>
        <v/>
      </c>
      <c r="CV45" s="25">
        <f>$K45/12*CV$14*$D$64</f>
        <v/>
      </c>
      <c r="CW45" s="25">
        <f>$K45/12*CW$14*$D$64</f>
        <v/>
      </c>
      <c r="CX45" s="25">
        <f>$K45/12*CX$14*$D$64</f>
        <v/>
      </c>
      <c r="CY45" s="25">
        <f>$K45/12*CY$14*$D$64</f>
        <v/>
      </c>
      <c r="CZ45" s="25">
        <f>$K45/12*CZ$14*$D$64</f>
        <v/>
      </c>
      <c r="DA45" s="25">
        <f>$K45/12*DA$14*$D$64</f>
        <v/>
      </c>
      <c r="DB45" s="25">
        <f>$K45/12*DB$14*$D$64</f>
        <v/>
      </c>
      <c r="DC45" s="25">
        <f>$K45/12*DC$14*$D$64</f>
        <v/>
      </c>
      <c r="DD45" s="25">
        <f>$K45/12*DD$14*$D$64</f>
        <v/>
      </c>
      <c r="DE45" s="25">
        <f>$K45/12*DE$14*$D$64</f>
        <v/>
      </c>
      <c r="DF45" s="25">
        <f>$K45/12*DF$14*$D$64</f>
        <v/>
      </c>
      <c r="DG45" s="25">
        <f>$K45/12*DG$14*$D$64</f>
        <v/>
      </c>
      <c r="DH45" s="25">
        <f>$K45/12*DH$14*$D$64</f>
        <v/>
      </c>
      <c r="DI45" s="25">
        <f>$K45/12*DI$14*$D$64</f>
        <v/>
      </c>
      <c r="DJ45" s="25">
        <f>$K45/12*DJ$14*$D$64</f>
        <v/>
      </c>
      <c r="DK45" s="25">
        <f>$K45/12*DK$14*$D$64</f>
        <v/>
      </c>
      <c r="DL45" s="25">
        <f>$K45/12*DL$14*$D$64</f>
        <v/>
      </c>
      <c r="DM45" s="25">
        <f>$K45/12*DM$14*$D$64</f>
        <v/>
      </c>
      <c r="DN45" s="25">
        <f>$K45/12*DN$14*$D$64</f>
        <v/>
      </c>
      <c r="DO45" s="25">
        <f>$K45/12*DO$14*$D$64</f>
        <v/>
      </c>
      <c r="DP45" s="25">
        <f>$K45/12*DP$14*$D$64</f>
        <v/>
      </c>
      <c r="DQ45" s="25">
        <f>$K45/12*DQ$14*$D$64</f>
        <v/>
      </c>
      <c r="DR45" s="25">
        <f>$K45/12*DR$14*$D$64</f>
        <v/>
      </c>
      <c r="DS45" s="25">
        <f>$K45/12*DS$14*$D$64</f>
        <v/>
      </c>
      <c r="DT45" s="25">
        <f>$K45/12*DT$14*$D$64</f>
        <v/>
      </c>
      <c r="DU45" s="25">
        <f>$K45/12*DU$14*$D$64</f>
        <v/>
      </c>
      <c r="DV45" s="25">
        <f>$K45/12*DV$14*$D$64</f>
        <v/>
      </c>
      <c r="DW45" s="25">
        <f>$K45/12*DW$14*$D$64</f>
        <v/>
      </c>
      <c r="DX45" s="25">
        <f>$K45/12*DX$14*$D$64</f>
        <v/>
      </c>
      <c r="DY45" s="25">
        <f>$K45/12*DY$14*$D$64</f>
        <v/>
      </c>
      <c r="DZ45" s="25">
        <f>$K45/12*DZ$14*$D$64</f>
        <v/>
      </c>
      <c r="EA45" s="25">
        <f>$K45/12*EA$14*$D$64</f>
        <v/>
      </c>
      <c r="EB45" s="25">
        <f>$K45/12*EB$14*$D$64</f>
        <v/>
      </c>
      <c r="EC45" s="25">
        <f>$K45/12*EC$14*$D$64</f>
        <v/>
      </c>
      <c r="ED45" s="25">
        <f>$K45/12*ED$14*$D$64</f>
        <v/>
      </c>
      <c r="EE45" s="25">
        <f>$K45/12*EE$14*$D$64</f>
        <v/>
      </c>
      <c r="EF45" s="25">
        <f>$K45/12*EF$14*$D$64</f>
        <v/>
      </c>
      <c r="EG45" s="25">
        <f>$K45/12*EG$14*$D$64</f>
        <v/>
      </c>
      <c r="EH45" s="25">
        <f>$K45/12*EH$14*$D$64</f>
        <v/>
      </c>
      <c r="EI45" s="25">
        <f>$K45/12*EI$14*$D$64</f>
        <v/>
      </c>
      <c r="EJ45" s="25">
        <f>$K45/12*EJ$14*$D$64</f>
        <v/>
      </c>
      <c r="EK45" s="25">
        <f>$K45/12*EK$14*$D$64</f>
        <v/>
      </c>
      <c r="EL45" s="25">
        <f>$K45/12*EL$14*$D$64</f>
        <v/>
      </c>
      <c r="EM45" s="25">
        <f>$K45/12*EM$14*$D$64</f>
        <v/>
      </c>
      <c r="EN45" s="25">
        <f>$K45/12*EN$14*$D$64</f>
        <v/>
      </c>
      <c r="EO45" s="25">
        <f>$K45/12*EO$14*$D$64</f>
        <v/>
      </c>
      <c r="EP45" s="25">
        <f>$K45/12*EP$14*$D$64</f>
        <v/>
      </c>
      <c r="EQ45" s="25">
        <f>$K45/12*EQ$14*$D$64</f>
        <v/>
      </c>
      <c r="ER45" s="25">
        <f>$K45/12*ER$14*$D$64</f>
        <v/>
      </c>
      <c r="ES45" s="25">
        <f>$K45/12*ES$14*$D$64</f>
        <v/>
      </c>
      <c r="ET45" s="25">
        <f>$K45/12*ET$14*$D$64</f>
        <v/>
      </c>
      <c r="EU45" s="25">
        <f>$K45/12*EU$14*$D$64</f>
        <v/>
      </c>
      <c r="EV45" s="25">
        <f>$K45/12*EV$14*$D$64</f>
        <v/>
      </c>
      <c r="EW45" s="25">
        <f>$K45/12*EW$14*$D$64</f>
        <v/>
      </c>
      <c r="EX45" s="25">
        <f>$K45/12*EX$14*$D$64</f>
        <v/>
      </c>
    </row>
    <row r="46">
      <c r="C46" s="78" t="inlineStr">
        <is>
          <t>Lender</t>
        </is>
      </c>
      <c r="D46" s="79" t="n"/>
      <c r="E46" s="80" t="inlineStr">
        <is>
          <t>TBD</t>
        </is>
      </c>
      <c r="F46" s="81" t="inlineStr">
        <is>
          <t>Lender</t>
        </is>
      </c>
      <c r="G46" s="299" t="n"/>
      <c r="H46" s="80" t="inlineStr">
        <is>
          <t>TBD</t>
        </is>
      </c>
      <c r="J46" s="9" t="inlineStr">
        <is>
          <t>Contract Service</t>
        </is>
      </c>
      <c r="K46" s="267" t="n">
        <v>0</v>
      </c>
      <c r="L46" s="279" t="n"/>
      <c r="M46" s="25">
        <f>SUMIF($V$4:$EX$4,"&lt;="&amp;$H$19,$V46:$EX46)</f>
        <v/>
      </c>
      <c r="N46" s="279" t="n"/>
      <c r="O46" s="280">
        <f>SUMIF($V$5:$EX$5,O$7,$V46:$EX46)</f>
        <v/>
      </c>
      <c r="P46" s="280">
        <f>SUMIF($V$5:$EX$5,P$7,$V46:$EX46)</f>
        <v/>
      </c>
      <c r="Q46" s="280">
        <f>SUMIF($V$5:$EX$5,Q$7,$V46:$EX46)</f>
        <v/>
      </c>
      <c r="R46" s="280">
        <f>SUMIF($V$5:$EX$5,R$7,$V46:$EX46)</f>
        <v/>
      </c>
      <c r="S46" s="280">
        <f>SUMIF($V$5:$EX$5,S$7,$V46:$EX46)</f>
        <v/>
      </c>
      <c r="T46" s="280">
        <f>SUMIF($V$5:$EX$5,T$7,$V46:$EX46)</f>
        <v/>
      </c>
      <c r="U46" s="279" t="n"/>
      <c r="V46" s="25" t="n">
        <v>0</v>
      </c>
      <c r="W46" s="25">
        <f>$K46/12*W$14*$D$64</f>
        <v/>
      </c>
      <c r="X46" s="25">
        <f>$K46/12*X$14*$D$64</f>
        <v/>
      </c>
      <c r="Y46" s="25">
        <f>$K46/12*Y$14*$D$64</f>
        <v/>
      </c>
      <c r="Z46" s="25">
        <f>$K46/12*Z$14*$D$64</f>
        <v/>
      </c>
      <c r="AA46" s="25">
        <f>$K46/12*AA$14*$D$64</f>
        <v/>
      </c>
      <c r="AB46" s="25">
        <f>$K46/12*AB$14*$D$64</f>
        <v/>
      </c>
      <c r="AC46" s="25">
        <f>$K46/12*AC$14*$D$64</f>
        <v/>
      </c>
      <c r="AD46" s="25">
        <f>$K46/12*AD$14*$D$64</f>
        <v/>
      </c>
      <c r="AE46" s="25">
        <f>$K46/12*AE$14*$D$64</f>
        <v/>
      </c>
      <c r="AF46" s="25">
        <f>$K46/12*AF$14*$D$64</f>
        <v/>
      </c>
      <c r="AG46" s="25">
        <f>$K46/12*AG$14*$D$64</f>
        <v/>
      </c>
      <c r="AH46" s="25">
        <f>$K46/12*AH$14*$D$64</f>
        <v/>
      </c>
      <c r="AI46" s="25">
        <f>$K46/12*AI$14*$D$64</f>
        <v/>
      </c>
      <c r="AJ46" s="25">
        <f>$K46/12*AJ$14*$D$64</f>
        <v/>
      </c>
      <c r="AK46" s="25">
        <f>$K46/12*AK$14*$D$64</f>
        <v/>
      </c>
      <c r="AL46" s="25">
        <f>$K46/12*AL$14*$D$64</f>
        <v/>
      </c>
      <c r="AM46" s="25">
        <f>$K46/12*AM$14*$D$64</f>
        <v/>
      </c>
      <c r="AN46" s="25">
        <f>$K46/12*AN$14*$D$64</f>
        <v/>
      </c>
      <c r="AO46" s="25">
        <f>$K46/12*AO$14*$D$64</f>
        <v/>
      </c>
      <c r="AP46" s="25">
        <f>$K46/12*AP$14*$D$64</f>
        <v/>
      </c>
      <c r="AQ46" s="25">
        <f>$K46/12*AQ$14*$D$64</f>
        <v/>
      </c>
      <c r="AR46" s="25">
        <f>$K46/12*AR$14*$D$64</f>
        <v/>
      </c>
      <c r="AS46" s="25">
        <f>$K46/12*AS$14*$D$64</f>
        <v/>
      </c>
      <c r="AT46" s="25">
        <f>$K46/12*AT$14*$D$64</f>
        <v/>
      </c>
      <c r="AU46" s="25">
        <f>$K46/12*AU$14*$D$64</f>
        <v/>
      </c>
      <c r="AV46" s="25">
        <f>$K46/12*AV$14*$D$64</f>
        <v/>
      </c>
      <c r="AW46" s="25">
        <f>$K46/12*AW$14*$D$64</f>
        <v/>
      </c>
      <c r="AX46" s="25">
        <f>$K46/12*AX$14*$D$64</f>
        <v/>
      </c>
      <c r="AY46" s="25">
        <f>$K46/12*AY$14*$D$64</f>
        <v/>
      </c>
      <c r="AZ46" s="25">
        <f>$K46/12*AZ$14*$D$64</f>
        <v/>
      </c>
      <c r="BA46" s="25">
        <f>$K46/12*BA$14*$D$64</f>
        <v/>
      </c>
      <c r="BB46" s="25">
        <f>$K46/12*BB$14*$D$64</f>
        <v/>
      </c>
      <c r="BC46" s="25">
        <f>$K46/12*BC$14*$D$64</f>
        <v/>
      </c>
      <c r="BD46" s="25">
        <f>$K46/12*BD$14*$D$64</f>
        <v/>
      </c>
      <c r="BE46" s="25">
        <f>$K46/12*BE$14*$D$64</f>
        <v/>
      </c>
      <c r="BF46" s="25">
        <f>$K46/12*BF$14*$D$64</f>
        <v/>
      </c>
      <c r="BG46" s="25">
        <f>$K46/12*BG$14*$D$64</f>
        <v/>
      </c>
      <c r="BH46" s="25">
        <f>$K46/12*BH$14*$D$64</f>
        <v/>
      </c>
      <c r="BI46" s="25">
        <f>$K46/12*BI$14*$D$64</f>
        <v/>
      </c>
      <c r="BJ46" s="25">
        <f>$K46/12*BJ$14*$D$64</f>
        <v/>
      </c>
      <c r="BK46" s="25">
        <f>$K46/12*BK$14*$D$64</f>
        <v/>
      </c>
      <c r="BL46" s="25">
        <f>$K46/12*BL$14*$D$64</f>
        <v/>
      </c>
      <c r="BM46" s="25">
        <f>$K46/12*BM$14*$D$64</f>
        <v/>
      </c>
      <c r="BN46" s="25">
        <f>$K46/12*BN$14*$D$64</f>
        <v/>
      </c>
      <c r="BO46" s="25">
        <f>$K46/12*BO$14*$D$64</f>
        <v/>
      </c>
      <c r="BP46" s="25">
        <f>$K46/12*BP$14*$D$64</f>
        <v/>
      </c>
      <c r="BQ46" s="25">
        <f>$K46/12*BQ$14*$D$64</f>
        <v/>
      </c>
      <c r="BR46" s="25">
        <f>$K46/12*BR$14*$D$64</f>
        <v/>
      </c>
      <c r="BS46" s="25">
        <f>$K46/12*BS$14*$D$64</f>
        <v/>
      </c>
      <c r="BT46" s="25">
        <f>$K46/12*BT$14*$D$64</f>
        <v/>
      </c>
      <c r="BU46" s="25">
        <f>$K46/12*BU$14*$D$64</f>
        <v/>
      </c>
      <c r="BV46" s="25">
        <f>$K46/12*BV$14*$D$64</f>
        <v/>
      </c>
      <c r="BW46" s="25">
        <f>$K46/12*BW$14*$D$64</f>
        <v/>
      </c>
      <c r="BX46" s="25">
        <f>$K46/12*BX$14*$D$64</f>
        <v/>
      </c>
      <c r="BY46" s="25">
        <f>$K46/12*BY$14*$D$64</f>
        <v/>
      </c>
      <c r="BZ46" s="25">
        <f>$K46/12*BZ$14*$D$64</f>
        <v/>
      </c>
      <c r="CA46" s="25">
        <f>$K46/12*CA$14*$D$64</f>
        <v/>
      </c>
      <c r="CB46" s="25">
        <f>$K46/12*CB$14*$D$64</f>
        <v/>
      </c>
      <c r="CC46" s="25">
        <f>$K46/12*CC$14*$D$64</f>
        <v/>
      </c>
      <c r="CD46" s="25">
        <f>$K46/12*CD$14*$D$64</f>
        <v/>
      </c>
      <c r="CE46" s="25">
        <f>$K46/12*CE$14*$D$64</f>
        <v/>
      </c>
      <c r="CF46" s="25">
        <f>$K46/12*CF$14*$D$64</f>
        <v/>
      </c>
      <c r="CG46" s="25">
        <f>$K46/12*CG$14*$D$64</f>
        <v/>
      </c>
      <c r="CH46" s="25">
        <f>$K46/12*CH$14*$D$64</f>
        <v/>
      </c>
      <c r="CI46" s="25">
        <f>$K46/12*CI$14*$D$64</f>
        <v/>
      </c>
      <c r="CJ46" s="25">
        <f>$K46/12*CJ$14*$D$64</f>
        <v/>
      </c>
      <c r="CK46" s="25">
        <f>$K46/12*CK$14*$D$64</f>
        <v/>
      </c>
      <c r="CL46" s="25">
        <f>$K46/12*CL$14*$D$64</f>
        <v/>
      </c>
      <c r="CM46" s="25">
        <f>$K46/12*CM$14*$D$64</f>
        <v/>
      </c>
      <c r="CN46" s="25">
        <f>$K46/12*CN$14*$D$64</f>
        <v/>
      </c>
      <c r="CO46" s="25">
        <f>$K46/12*CO$14*$D$64</f>
        <v/>
      </c>
      <c r="CP46" s="25">
        <f>$K46/12*CP$14*$D$64</f>
        <v/>
      </c>
      <c r="CQ46" s="25">
        <f>$K46/12*CQ$14*$D$64</f>
        <v/>
      </c>
      <c r="CR46" s="25">
        <f>$K46/12*CR$14*$D$64</f>
        <v/>
      </c>
      <c r="CS46" s="25">
        <f>$K46/12*CS$14*$D$64</f>
        <v/>
      </c>
      <c r="CT46" s="25">
        <f>$K46/12*CT$14*$D$64</f>
        <v/>
      </c>
      <c r="CU46" s="25">
        <f>$K46/12*CU$14*$D$64</f>
        <v/>
      </c>
      <c r="CV46" s="25">
        <f>$K46/12*CV$14*$D$64</f>
        <v/>
      </c>
      <c r="CW46" s="25">
        <f>$K46/12*CW$14*$D$64</f>
        <v/>
      </c>
      <c r="CX46" s="25">
        <f>$K46/12*CX$14*$D$64</f>
        <v/>
      </c>
      <c r="CY46" s="25">
        <f>$K46/12*CY$14*$D$64</f>
        <v/>
      </c>
      <c r="CZ46" s="25">
        <f>$K46/12*CZ$14*$D$64</f>
        <v/>
      </c>
      <c r="DA46" s="25">
        <f>$K46/12*DA$14*$D$64</f>
        <v/>
      </c>
      <c r="DB46" s="25">
        <f>$K46/12*DB$14*$D$64</f>
        <v/>
      </c>
      <c r="DC46" s="25">
        <f>$K46/12*DC$14*$D$64</f>
        <v/>
      </c>
      <c r="DD46" s="25">
        <f>$K46/12*DD$14*$D$64</f>
        <v/>
      </c>
      <c r="DE46" s="25">
        <f>$K46/12*DE$14*$D$64</f>
        <v/>
      </c>
      <c r="DF46" s="25">
        <f>$K46/12*DF$14*$D$64</f>
        <v/>
      </c>
      <c r="DG46" s="25">
        <f>$K46/12*DG$14*$D$64</f>
        <v/>
      </c>
      <c r="DH46" s="25">
        <f>$K46/12*DH$14*$D$64</f>
        <v/>
      </c>
      <c r="DI46" s="25">
        <f>$K46/12*DI$14*$D$64</f>
        <v/>
      </c>
      <c r="DJ46" s="25">
        <f>$K46/12*DJ$14*$D$64</f>
        <v/>
      </c>
      <c r="DK46" s="25">
        <f>$K46/12*DK$14*$D$64</f>
        <v/>
      </c>
      <c r="DL46" s="25">
        <f>$K46/12*DL$14*$D$64</f>
        <v/>
      </c>
      <c r="DM46" s="25">
        <f>$K46/12*DM$14*$D$64</f>
        <v/>
      </c>
      <c r="DN46" s="25">
        <f>$K46/12*DN$14*$D$64</f>
        <v/>
      </c>
      <c r="DO46" s="25">
        <f>$K46/12*DO$14*$D$64</f>
        <v/>
      </c>
      <c r="DP46" s="25">
        <f>$K46/12*DP$14*$D$64</f>
        <v/>
      </c>
      <c r="DQ46" s="25">
        <f>$K46/12*DQ$14*$D$64</f>
        <v/>
      </c>
      <c r="DR46" s="25">
        <f>$K46/12*DR$14*$D$64</f>
        <v/>
      </c>
      <c r="DS46" s="25">
        <f>$K46/12*DS$14*$D$64</f>
        <v/>
      </c>
      <c r="DT46" s="25">
        <f>$K46/12*DT$14*$D$64</f>
        <v/>
      </c>
      <c r="DU46" s="25">
        <f>$K46/12*DU$14*$D$64</f>
        <v/>
      </c>
      <c r="DV46" s="25">
        <f>$K46/12*DV$14*$D$64</f>
        <v/>
      </c>
      <c r="DW46" s="25">
        <f>$K46/12*DW$14*$D$64</f>
        <v/>
      </c>
      <c r="DX46" s="25">
        <f>$K46/12*DX$14*$D$64</f>
        <v/>
      </c>
      <c r="DY46" s="25">
        <f>$K46/12*DY$14*$D$64</f>
        <v/>
      </c>
      <c r="DZ46" s="25">
        <f>$K46/12*DZ$14*$D$64</f>
        <v/>
      </c>
      <c r="EA46" s="25">
        <f>$K46/12*EA$14*$D$64</f>
        <v/>
      </c>
      <c r="EB46" s="25">
        <f>$K46/12*EB$14*$D$64</f>
        <v/>
      </c>
      <c r="EC46" s="25">
        <f>$K46/12*EC$14*$D$64</f>
        <v/>
      </c>
      <c r="ED46" s="25">
        <f>$K46/12*ED$14*$D$64</f>
        <v/>
      </c>
      <c r="EE46" s="25">
        <f>$K46/12*EE$14*$D$64</f>
        <v/>
      </c>
      <c r="EF46" s="25">
        <f>$K46/12*EF$14*$D$64</f>
        <v/>
      </c>
      <c r="EG46" s="25">
        <f>$K46/12*EG$14*$D$64</f>
        <v/>
      </c>
      <c r="EH46" s="25">
        <f>$K46/12*EH$14*$D$64</f>
        <v/>
      </c>
      <c r="EI46" s="25">
        <f>$K46/12*EI$14*$D$64</f>
        <v/>
      </c>
      <c r="EJ46" s="25">
        <f>$K46/12*EJ$14*$D$64</f>
        <v/>
      </c>
      <c r="EK46" s="25">
        <f>$K46/12*EK$14*$D$64</f>
        <v/>
      </c>
      <c r="EL46" s="25">
        <f>$K46/12*EL$14*$D$64</f>
        <v/>
      </c>
      <c r="EM46" s="25">
        <f>$K46/12*EM$14*$D$64</f>
        <v/>
      </c>
      <c r="EN46" s="25">
        <f>$K46/12*EN$14*$D$64</f>
        <v/>
      </c>
      <c r="EO46" s="25">
        <f>$K46/12*EO$14*$D$64</f>
        <v/>
      </c>
      <c r="EP46" s="25">
        <f>$K46/12*EP$14*$D$64</f>
        <v/>
      </c>
      <c r="EQ46" s="25">
        <f>$K46/12*EQ$14*$D$64</f>
        <v/>
      </c>
      <c r="ER46" s="25">
        <f>$K46/12*ER$14*$D$64</f>
        <v/>
      </c>
      <c r="ES46" s="25">
        <f>$K46/12*ES$14*$D$64</f>
        <v/>
      </c>
      <c r="ET46" s="25">
        <f>$K46/12*ET$14*$D$64</f>
        <v/>
      </c>
      <c r="EU46" s="25">
        <f>$K46/12*EU$14*$D$64</f>
        <v/>
      </c>
      <c r="EV46" s="25">
        <f>$K46/12*EV$14*$D$64</f>
        <v/>
      </c>
      <c r="EW46" s="25">
        <f>$K46/12*EW$14*$D$64</f>
        <v/>
      </c>
      <c r="EX46" s="25">
        <f>$K46/12*EX$14*$D$64</f>
        <v/>
      </c>
    </row>
    <row r="47">
      <c r="C47" s="78" t="inlineStr">
        <is>
          <t>Loan Proceeds</t>
        </is>
      </c>
      <c r="D47" s="300" t="n"/>
      <c r="E47" s="301">
        <f>D47*E42</f>
        <v/>
      </c>
      <c r="F47" s="81" t="inlineStr">
        <is>
          <t>Loan Proceeds</t>
        </is>
      </c>
      <c r="G47" s="100" t="inlineStr">
        <is>
          <t>DSCR</t>
        </is>
      </c>
      <c r="H47" s="302">
        <f>INDEX($H$53:$H$55,MATCH(G47,$F$53:$F$55,0))</f>
        <v/>
      </c>
      <c r="J47" s="9" t="inlineStr">
        <is>
          <t>Turnover</t>
        </is>
      </c>
      <c r="K47" s="267" t="n">
        <v>0</v>
      </c>
      <c r="L47" s="279" t="n"/>
      <c r="M47" s="25">
        <f>SUMIF($V$4:$EX$4,"&lt;="&amp;$H$19,$V47:$EX47)</f>
        <v/>
      </c>
      <c r="N47" s="279" t="n"/>
      <c r="O47" s="280">
        <f>SUMIF($V$5:$EX$5,O$7,$V47:$EX47)</f>
        <v/>
      </c>
      <c r="P47" s="280">
        <f>SUMIF($V$5:$EX$5,P$7,$V47:$EX47)</f>
        <v/>
      </c>
      <c r="Q47" s="280">
        <f>SUMIF($V$5:$EX$5,Q$7,$V47:$EX47)</f>
        <v/>
      </c>
      <c r="R47" s="280">
        <f>SUMIF($V$5:$EX$5,R$7,$V47:$EX47)</f>
        <v/>
      </c>
      <c r="S47" s="280">
        <f>SUMIF($V$5:$EX$5,S$7,$V47:$EX47)</f>
        <v/>
      </c>
      <c r="T47" s="280">
        <f>SUMIF($V$5:$EX$5,T$7,$V47:$EX47)</f>
        <v/>
      </c>
      <c r="U47" s="279" t="n"/>
      <c r="V47" s="25" t="n">
        <v>0</v>
      </c>
      <c r="W47" s="25">
        <f>$K47/12*W$14*$D$64</f>
        <v/>
      </c>
      <c r="X47" s="25">
        <f>$K47/12*X$14*$D$64</f>
        <v/>
      </c>
      <c r="Y47" s="25">
        <f>$K47/12*Y$14*$D$64</f>
        <v/>
      </c>
      <c r="Z47" s="25">
        <f>$K47/12*Z$14*$D$64</f>
        <v/>
      </c>
      <c r="AA47" s="25">
        <f>$K47/12*AA$14*$D$64</f>
        <v/>
      </c>
      <c r="AB47" s="25">
        <f>$K47/12*AB$14*$D$64</f>
        <v/>
      </c>
      <c r="AC47" s="25">
        <f>$K47/12*AC$14*$D$64</f>
        <v/>
      </c>
      <c r="AD47" s="25">
        <f>$K47/12*AD$14*$D$64</f>
        <v/>
      </c>
      <c r="AE47" s="25">
        <f>$K47/12*AE$14*$D$64</f>
        <v/>
      </c>
      <c r="AF47" s="25">
        <f>$K47/12*AF$14*$D$64</f>
        <v/>
      </c>
      <c r="AG47" s="25">
        <f>$K47/12*AG$14*$D$64</f>
        <v/>
      </c>
      <c r="AH47" s="25">
        <f>$K47/12*AH$14*$D$64</f>
        <v/>
      </c>
      <c r="AI47" s="25">
        <f>$K47/12*AI$14*$D$64</f>
        <v/>
      </c>
      <c r="AJ47" s="25">
        <f>$K47/12*AJ$14*$D$64</f>
        <v/>
      </c>
      <c r="AK47" s="25">
        <f>$K47/12*AK$14*$D$64</f>
        <v/>
      </c>
      <c r="AL47" s="25">
        <f>$K47/12*AL$14*$D$64</f>
        <v/>
      </c>
      <c r="AM47" s="25">
        <f>$K47/12*AM$14*$D$64</f>
        <v/>
      </c>
      <c r="AN47" s="25">
        <f>$K47/12*AN$14*$D$64</f>
        <v/>
      </c>
      <c r="AO47" s="25">
        <f>$K47/12*AO$14*$D$64</f>
        <v/>
      </c>
      <c r="AP47" s="25">
        <f>$K47/12*AP$14*$D$64</f>
        <v/>
      </c>
      <c r="AQ47" s="25">
        <f>$K47/12*AQ$14*$D$64</f>
        <v/>
      </c>
      <c r="AR47" s="25">
        <f>$K47/12*AR$14*$D$64</f>
        <v/>
      </c>
      <c r="AS47" s="25">
        <f>$K47/12*AS$14*$D$64</f>
        <v/>
      </c>
      <c r="AT47" s="25">
        <f>$K47/12*AT$14*$D$64</f>
        <v/>
      </c>
      <c r="AU47" s="25">
        <f>$K47/12*AU$14*$D$64</f>
        <v/>
      </c>
      <c r="AV47" s="25">
        <f>$K47/12*AV$14*$D$64</f>
        <v/>
      </c>
      <c r="AW47" s="25">
        <f>$K47/12*AW$14*$D$64</f>
        <v/>
      </c>
      <c r="AX47" s="25">
        <f>$K47/12*AX$14*$D$64</f>
        <v/>
      </c>
      <c r="AY47" s="25">
        <f>$K47/12*AY$14*$D$64</f>
        <v/>
      </c>
      <c r="AZ47" s="25">
        <f>$K47/12*AZ$14*$D$64</f>
        <v/>
      </c>
      <c r="BA47" s="25">
        <f>$K47/12*BA$14*$D$64</f>
        <v/>
      </c>
      <c r="BB47" s="25">
        <f>$K47/12*BB$14*$D$64</f>
        <v/>
      </c>
      <c r="BC47" s="25">
        <f>$K47/12*BC$14*$D$64</f>
        <v/>
      </c>
      <c r="BD47" s="25">
        <f>$K47/12*BD$14*$D$64</f>
        <v/>
      </c>
      <c r="BE47" s="25">
        <f>$K47/12*BE$14*$D$64</f>
        <v/>
      </c>
      <c r="BF47" s="25">
        <f>$K47/12*BF$14*$D$64</f>
        <v/>
      </c>
      <c r="BG47" s="25">
        <f>$K47/12*BG$14*$D$64</f>
        <v/>
      </c>
      <c r="BH47" s="25">
        <f>$K47/12*BH$14*$D$64</f>
        <v/>
      </c>
      <c r="BI47" s="25">
        <f>$K47/12*BI$14*$D$64</f>
        <v/>
      </c>
      <c r="BJ47" s="25">
        <f>$K47/12*BJ$14*$D$64</f>
        <v/>
      </c>
      <c r="BK47" s="25">
        <f>$K47/12*BK$14*$D$64</f>
        <v/>
      </c>
      <c r="BL47" s="25">
        <f>$K47/12*BL$14*$D$64</f>
        <v/>
      </c>
      <c r="BM47" s="25">
        <f>$K47/12*BM$14*$D$64</f>
        <v/>
      </c>
      <c r="BN47" s="25">
        <f>$K47/12*BN$14*$D$64</f>
        <v/>
      </c>
      <c r="BO47" s="25">
        <f>$K47/12*BO$14*$D$64</f>
        <v/>
      </c>
      <c r="BP47" s="25">
        <f>$K47/12*BP$14*$D$64</f>
        <v/>
      </c>
      <c r="BQ47" s="25">
        <f>$K47/12*BQ$14*$D$64</f>
        <v/>
      </c>
      <c r="BR47" s="25">
        <f>$K47/12*BR$14*$D$64</f>
        <v/>
      </c>
      <c r="BS47" s="25">
        <f>$K47/12*BS$14*$D$64</f>
        <v/>
      </c>
      <c r="BT47" s="25">
        <f>$K47/12*BT$14*$D$64</f>
        <v/>
      </c>
      <c r="BU47" s="25">
        <f>$K47/12*BU$14*$D$64</f>
        <v/>
      </c>
      <c r="BV47" s="25">
        <f>$K47/12*BV$14*$D$64</f>
        <v/>
      </c>
      <c r="BW47" s="25">
        <f>$K47/12*BW$14*$D$64</f>
        <v/>
      </c>
      <c r="BX47" s="25">
        <f>$K47/12*BX$14*$D$64</f>
        <v/>
      </c>
      <c r="BY47" s="25">
        <f>$K47/12*BY$14*$D$64</f>
        <v/>
      </c>
      <c r="BZ47" s="25">
        <f>$K47/12*BZ$14*$D$64</f>
        <v/>
      </c>
      <c r="CA47" s="25">
        <f>$K47/12*CA$14*$D$64</f>
        <v/>
      </c>
      <c r="CB47" s="25">
        <f>$K47/12*CB$14*$D$64</f>
        <v/>
      </c>
      <c r="CC47" s="25">
        <f>$K47/12*CC$14*$D$64</f>
        <v/>
      </c>
      <c r="CD47" s="25">
        <f>$K47/12*CD$14*$D$64</f>
        <v/>
      </c>
      <c r="CE47" s="25">
        <f>$K47/12*CE$14*$D$64</f>
        <v/>
      </c>
      <c r="CF47" s="25">
        <f>$K47/12*CF$14*$D$64</f>
        <v/>
      </c>
      <c r="CG47" s="25">
        <f>$K47/12*CG$14*$D$64</f>
        <v/>
      </c>
      <c r="CH47" s="25">
        <f>$K47/12*CH$14*$D$64</f>
        <v/>
      </c>
      <c r="CI47" s="25">
        <f>$K47/12*CI$14*$D$64</f>
        <v/>
      </c>
      <c r="CJ47" s="25">
        <f>$K47/12*CJ$14*$D$64</f>
        <v/>
      </c>
      <c r="CK47" s="25">
        <f>$K47/12*CK$14*$D$64</f>
        <v/>
      </c>
      <c r="CL47" s="25">
        <f>$K47/12*CL$14*$D$64</f>
        <v/>
      </c>
      <c r="CM47" s="25">
        <f>$K47/12*CM$14*$D$64</f>
        <v/>
      </c>
      <c r="CN47" s="25">
        <f>$K47/12*CN$14*$D$64</f>
        <v/>
      </c>
      <c r="CO47" s="25">
        <f>$K47/12*CO$14*$D$64</f>
        <v/>
      </c>
      <c r="CP47" s="25">
        <f>$K47/12*CP$14*$D$64</f>
        <v/>
      </c>
      <c r="CQ47" s="25">
        <f>$K47/12*CQ$14*$D$64</f>
        <v/>
      </c>
      <c r="CR47" s="25">
        <f>$K47/12*CR$14*$D$64</f>
        <v/>
      </c>
      <c r="CS47" s="25">
        <f>$K47/12*CS$14*$D$64</f>
        <v/>
      </c>
      <c r="CT47" s="25">
        <f>$K47/12*CT$14*$D$64</f>
        <v/>
      </c>
      <c r="CU47" s="25">
        <f>$K47/12*CU$14*$D$64</f>
        <v/>
      </c>
      <c r="CV47" s="25">
        <f>$K47/12*CV$14*$D$64</f>
        <v/>
      </c>
      <c r="CW47" s="25">
        <f>$K47/12*CW$14*$D$64</f>
        <v/>
      </c>
      <c r="CX47" s="25">
        <f>$K47/12*CX$14*$D$64</f>
        <v/>
      </c>
      <c r="CY47" s="25">
        <f>$K47/12*CY$14*$D$64</f>
        <v/>
      </c>
      <c r="CZ47" s="25">
        <f>$K47/12*CZ$14*$D$64</f>
        <v/>
      </c>
      <c r="DA47" s="25">
        <f>$K47/12*DA$14*$D$64</f>
        <v/>
      </c>
      <c r="DB47" s="25">
        <f>$K47/12*DB$14*$D$64</f>
        <v/>
      </c>
      <c r="DC47" s="25">
        <f>$K47/12*DC$14*$D$64</f>
        <v/>
      </c>
      <c r="DD47" s="25">
        <f>$K47/12*DD$14*$D$64</f>
        <v/>
      </c>
      <c r="DE47" s="25">
        <f>$K47/12*DE$14*$D$64</f>
        <v/>
      </c>
      <c r="DF47" s="25">
        <f>$K47/12*DF$14*$D$64</f>
        <v/>
      </c>
      <c r="DG47" s="25">
        <f>$K47/12*DG$14*$D$64</f>
        <v/>
      </c>
      <c r="DH47" s="25">
        <f>$K47/12*DH$14*$D$64</f>
        <v/>
      </c>
      <c r="DI47" s="25">
        <f>$K47/12*DI$14*$D$64</f>
        <v/>
      </c>
      <c r="DJ47" s="25">
        <f>$K47/12*DJ$14*$D$64</f>
        <v/>
      </c>
      <c r="DK47" s="25">
        <f>$K47/12*DK$14*$D$64</f>
        <v/>
      </c>
      <c r="DL47" s="25">
        <f>$K47/12*DL$14*$D$64</f>
        <v/>
      </c>
      <c r="DM47" s="25">
        <f>$K47/12*DM$14*$D$64</f>
        <v/>
      </c>
      <c r="DN47" s="25">
        <f>$K47/12*DN$14*$D$64</f>
        <v/>
      </c>
      <c r="DO47" s="25">
        <f>$K47/12*DO$14*$D$64</f>
        <v/>
      </c>
      <c r="DP47" s="25">
        <f>$K47/12*DP$14*$D$64</f>
        <v/>
      </c>
      <c r="DQ47" s="25">
        <f>$K47/12*DQ$14*$D$64</f>
        <v/>
      </c>
      <c r="DR47" s="25">
        <f>$K47/12*DR$14*$D$64</f>
        <v/>
      </c>
      <c r="DS47" s="25">
        <f>$K47/12*DS$14*$D$64</f>
        <v/>
      </c>
      <c r="DT47" s="25">
        <f>$K47/12*DT$14*$D$64</f>
        <v/>
      </c>
      <c r="DU47" s="25">
        <f>$K47/12*DU$14*$D$64</f>
        <v/>
      </c>
      <c r="DV47" s="25">
        <f>$K47/12*DV$14*$D$64</f>
        <v/>
      </c>
      <c r="DW47" s="25">
        <f>$K47/12*DW$14*$D$64</f>
        <v/>
      </c>
      <c r="DX47" s="25">
        <f>$K47/12*DX$14*$D$64</f>
        <v/>
      </c>
      <c r="DY47" s="25">
        <f>$K47/12*DY$14*$D$64</f>
        <v/>
      </c>
      <c r="DZ47" s="25">
        <f>$K47/12*DZ$14*$D$64</f>
        <v/>
      </c>
      <c r="EA47" s="25">
        <f>$K47/12*EA$14*$D$64</f>
        <v/>
      </c>
      <c r="EB47" s="25">
        <f>$K47/12*EB$14*$D$64</f>
        <v/>
      </c>
      <c r="EC47" s="25">
        <f>$K47/12*EC$14*$D$64</f>
        <v/>
      </c>
      <c r="ED47" s="25">
        <f>$K47/12*ED$14*$D$64</f>
        <v/>
      </c>
      <c r="EE47" s="25">
        <f>$K47/12*EE$14*$D$64</f>
        <v/>
      </c>
      <c r="EF47" s="25">
        <f>$K47/12*EF$14*$D$64</f>
        <v/>
      </c>
      <c r="EG47" s="25">
        <f>$K47/12*EG$14*$D$64</f>
        <v/>
      </c>
      <c r="EH47" s="25">
        <f>$K47/12*EH$14*$D$64</f>
        <v/>
      </c>
      <c r="EI47" s="25">
        <f>$K47/12*EI$14*$D$64</f>
        <v/>
      </c>
      <c r="EJ47" s="25">
        <f>$K47/12*EJ$14*$D$64</f>
        <v/>
      </c>
      <c r="EK47" s="25">
        <f>$K47/12*EK$14*$D$64</f>
        <v/>
      </c>
      <c r="EL47" s="25">
        <f>$K47/12*EL$14*$D$64</f>
        <v/>
      </c>
      <c r="EM47" s="25">
        <f>$K47/12*EM$14*$D$64</f>
        <v/>
      </c>
      <c r="EN47" s="25">
        <f>$K47/12*EN$14*$D$64</f>
        <v/>
      </c>
      <c r="EO47" s="25">
        <f>$K47/12*EO$14*$D$64</f>
        <v/>
      </c>
      <c r="EP47" s="25">
        <f>$K47/12*EP$14*$D$64</f>
        <v/>
      </c>
      <c r="EQ47" s="25">
        <f>$K47/12*EQ$14*$D$64</f>
        <v/>
      </c>
      <c r="ER47" s="25">
        <f>$K47/12*ER$14*$D$64</f>
        <v/>
      </c>
      <c r="ES47" s="25">
        <f>$K47/12*ES$14*$D$64</f>
        <v/>
      </c>
      <c r="ET47" s="25">
        <f>$K47/12*ET$14*$D$64</f>
        <v/>
      </c>
      <c r="EU47" s="25">
        <f>$K47/12*EU$14*$D$64</f>
        <v/>
      </c>
      <c r="EV47" s="25">
        <f>$K47/12*EV$14*$D$64</f>
        <v/>
      </c>
      <c r="EW47" s="25">
        <f>$K47/12*EW$14*$D$64</f>
        <v/>
      </c>
      <c r="EX47" s="25">
        <f>$K47/12*EX$14*$D$64</f>
        <v/>
      </c>
    </row>
    <row r="48">
      <c r="C48" s="78" t="inlineStr">
        <is>
          <t>Term</t>
        </is>
      </c>
      <c r="D48" s="303" t="n"/>
      <c r="E48" s="86">
        <f>EOMONTH(E16,D48-1)</f>
        <v/>
      </c>
      <c r="F48" s="81" t="inlineStr">
        <is>
          <t>Term</t>
        </is>
      </c>
      <c r="G48" s="304" t="n"/>
      <c r="H48" s="86">
        <f>EOMONTH(E48,G48-1)</f>
        <v/>
      </c>
      <c r="J48" s="67" t="inlineStr">
        <is>
          <t>Other</t>
        </is>
      </c>
      <c r="K48" s="305" t="n">
        <v>0</v>
      </c>
      <c r="L48" s="279" t="n"/>
      <c r="M48" s="200">
        <f>SUMIF($V$4:$EX$4,"&lt;="&amp;$H$19,$V48:$EX48)</f>
        <v/>
      </c>
      <c r="N48" s="279" t="n"/>
      <c r="O48" s="283">
        <f>SUMIF($V$5:$EX$5,O$7,$V48:$EX48)</f>
        <v/>
      </c>
      <c r="P48" s="283">
        <f>SUMIF($V$5:$EX$5,P$7,$V48:$EX48)</f>
        <v/>
      </c>
      <c r="Q48" s="283">
        <f>SUMIF($V$5:$EX$5,Q$7,$V48:$EX48)</f>
        <v/>
      </c>
      <c r="R48" s="283">
        <f>SUMIF($V$5:$EX$5,R$7,$V48:$EX48)</f>
        <v/>
      </c>
      <c r="S48" s="283">
        <f>SUMIF($V$5:$EX$5,S$7,$V48:$EX48)</f>
        <v/>
      </c>
      <c r="T48" s="283">
        <f>SUMIF($V$5:$EX$5,T$7,$V48:$EX48)</f>
        <v/>
      </c>
      <c r="U48" s="279" t="n"/>
      <c r="V48" s="200" t="n">
        <v>0</v>
      </c>
      <c r="W48" s="200">
        <f>$K48/12*W$14*$D$64</f>
        <v/>
      </c>
      <c r="X48" s="200">
        <f>$K48/12*X$14*$D$64</f>
        <v/>
      </c>
      <c r="Y48" s="200">
        <f>$K48/12*Y$14*$D$64</f>
        <v/>
      </c>
      <c r="Z48" s="200">
        <f>$K48/12*Z$14*$D$64</f>
        <v/>
      </c>
      <c r="AA48" s="200">
        <f>$K48/12*AA$14*$D$64</f>
        <v/>
      </c>
      <c r="AB48" s="200">
        <f>$K48/12*AB$14*$D$64</f>
        <v/>
      </c>
      <c r="AC48" s="200">
        <f>$K48/12*AC$14*$D$64</f>
        <v/>
      </c>
      <c r="AD48" s="200">
        <f>$K48/12*AD$14*$D$64</f>
        <v/>
      </c>
      <c r="AE48" s="200">
        <f>$K48/12*AE$14*$D$64</f>
        <v/>
      </c>
      <c r="AF48" s="200">
        <f>$K48/12*AF$14*$D$64</f>
        <v/>
      </c>
      <c r="AG48" s="200">
        <f>$K48/12*AG$14*$D$64</f>
        <v/>
      </c>
      <c r="AH48" s="200">
        <f>$K48/12*AH$14*$D$64</f>
        <v/>
      </c>
      <c r="AI48" s="200">
        <f>$K48/12*AI$14*$D$64</f>
        <v/>
      </c>
      <c r="AJ48" s="200">
        <f>$K48/12*AJ$14*$D$64</f>
        <v/>
      </c>
      <c r="AK48" s="200">
        <f>$K48/12*AK$14*$D$64</f>
        <v/>
      </c>
      <c r="AL48" s="200">
        <f>$K48/12*AL$14*$D$64</f>
        <v/>
      </c>
      <c r="AM48" s="200">
        <f>$K48/12*AM$14*$D$64</f>
        <v/>
      </c>
      <c r="AN48" s="200">
        <f>$K48/12*AN$14*$D$64</f>
        <v/>
      </c>
      <c r="AO48" s="200">
        <f>$K48/12*AO$14*$D$64</f>
        <v/>
      </c>
      <c r="AP48" s="200">
        <f>$K48/12*AP$14*$D$64</f>
        <v/>
      </c>
      <c r="AQ48" s="200">
        <f>$K48/12*AQ$14*$D$64</f>
        <v/>
      </c>
      <c r="AR48" s="200">
        <f>$K48/12*AR$14*$D$64</f>
        <v/>
      </c>
      <c r="AS48" s="200">
        <f>$K48/12*AS$14*$D$64</f>
        <v/>
      </c>
      <c r="AT48" s="200">
        <f>$K48/12*AT$14*$D$64</f>
        <v/>
      </c>
      <c r="AU48" s="200">
        <f>$K48/12*AU$14*$D$64</f>
        <v/>
      </c>
      <c r="AV48" s="200">
        <f>$K48/12*AV$14*$D$64</f>
        <v/>
      </c>
      <c r="AW48" s="200">
        <f>$K48/12*AW$14*$D$64</f>
        <v/>
      </c>
      <c r="AX48" s="200">
        <f>$K48/12*AX$14*$D$64</f>
        <v/>
      </c>
      <c r="AY48" s="200">
        <f>$K48/12*AY$14*$D$64</f>
        <v/>
      </c>
      <c r="AZ48" s="200">
        <f>$K48/12*AZ$14*$D$64</f>
        <v/>
      </c>
      <c r="BA48" s="200">
        <f>$K48/12*BA$14*$D$64</f>
        <v/>
      </c>
      <c r="BB48" s="200">
        <f>$K48/12*BB$14*$D$64</f>
        <v/>
      </c>
      <c r="BC48" s="200">
        <f>$K48/12*BC$14*$D$64</f>
        <v/>
      </c>
      <c r="BD48" s="200">
        <f>$K48/12*BD$14*$D$64</f>
        <v/>
      </c>
      <c r="BE48" s="200">
        <f>$K48/12*BE$14*$D$64</f>
        <v/>
      </c>
      <c r="BF48" s="200">
        <f>$K48/12*BF$14*$D$64</f>
        <v/>
      </c>
      <c r="BG48" s="200">
        <f>$K48/12*BG$14*$D$64</f>
        <v/>
      </c>
      <c r="BH48" s="200">
        <f>$K48/12*BH$14*$D$64</f>
        <v/>
      </c>
      <c r="BI48" s="200">
        <f>$K48/12*BI$14*$D$64</f>
        <v/>
      </c>
      <c r="BJ48" s="200">
        <f>$K48/12*BJ$14*$D$64</f>
        <v/>
      </c>
      <c r="BK48" s="200">
        <f>$K48/12*BK$14*$D$64</f>
        <v/>
      </c>
      <c r="BL48" s="200">
        <f>$K48/12*BL$14*$D$64</f>
        <v/>
      </c>
      <c r="BM48" s="200">
        <f>$K48/12*BM$14*$D$64</f>
        <v/>
      </c>
      <c r="BN48" s="200">
        <f>$K48/12*BN$14*$D$64</f>
        <v/>
      </c>
      <c r="BO48" s="200">
        <f>$K48/12*BO$14*$D$64</f>
        <v/>
      </c>
      <c r="BP48" s="200">
        <f>$K48/12*BP$14*$D$64</f>
        <v/>
      </c>
      <c r="BQ48" s="200">
        <f>$K48/12*BQ$14*$D$64</f>
        <v/>
      </c>
      <c r="BR48" s="200">
        <f>$K48/12*BR$14*$D$64</f>
        <v/>
      </c>
      <c r="BS48" s="200">
        <f>$K48/12*BS$14*$D$64</f>
        <v/>
      </c>
      <c r="BT48" s="200">
        <f>$K48/12*BT$14*$D$64</f>
        <v/>
      </c>
      <c r="BU48" s="200">
        <f>$K48/12*BU$14*$D$64</f>
        <v/>
      </c>
      <c r="BV48" s="200">
        <f>$K48/12*BV$14*$D$64</f>
        <v/>
      </c>
      <c r="BW48" s="200">
        <f>$K48/12*BW$14*$D$64</f>
        <v/>
      </c>
      <c r="BX48" s="200">
        <f>$K48/12*BX$14*$D$64</f>
        <v/>
      </c>
      <c r="BY48" s="200">
        <f>$K48/12*BY$14*$D$64</f>
        <v/>
      </c>
      <c r="BZ48" s="200">
        <f>$K48/12*BZ$14*$D$64</f>
        <v/>
      </c>
      <c r="CA48" s="200">
        <f>$K48/12*CA$14*$D$64</f>
        <v/>
      </c>
      <c r="CB48" s="200">
        <f>$K48/12*CB$14*$D$64</f>
        <v/>
      </c>
      <c r="CC48" s="200">
        <f>$K48/12*CC$14*$D$64</f>
        <v/>
      </c>
      <c r="CD48" s="200">
        <f>$K48/12*CD$14*$D$64</f>
        <v/>
      </c>
      <c r="CE48" s="200">
        <f>$K48/12*CE$14*$D$64</f>
        <v/>
      </c>
      <c r="CF48" s="200">
        <f>$K48/12*CF$14*$D$64</f>
        <v/>
      </c>
      <c r="CG48" s="200">
        <f>$K48/12*CG$14*$D$64</f>
        <v/>
      </c>
      <c r="CH48" s="200">
        <f>$K48/12*CH$14*$D$64</f>
        <v/>
      </c>
      <c r="CI48" s="200">
        <f>$K48/12*CI$14*$D$64</f>
        <v/>
      </c>
      <c r="CJ48" s="200">
        <f>$K48/12*CJ$14*$D$64</f>
        <v/>
      </c>
      <c r="CK48" s="200">
        <f>$K48/12*CK$14*$D$64</f>
        <v/>
      </c>
      <c r="CL48" s="200">
        <f>$K48/12*CL$14*$D$64</f>
        <v/>
      </c>
      <c r="CM48" s="200">
        <f>$K48/12*CM$14*$D$64</f>
        <v/>
      </c>
      <c r="CN48" s="200">
        <f>$K48/12*CN$14*$D$64</f>
        <v/>
      </c>
      <c r="CO48" s="200">
        <f>$K48/12*CO$14*$D$64</f>
        <v/>
      </c>
      <c r="CP48" s="200">
        <f>$K48/12*CP$14*$D$64</f>
        <v/>
      </c>
      <c r="CQ48" s="200">
        <f>$K48/12*CQ$14*$D$64</f>
        <v/>
      </c>
      <c r="CR48" s="200">
        <f>$K48/12*CR$14*$D$64</f>
        <v/>
      </c>
      <c r="CS48" s="200">
        <f>$K48/12*CS$14*$D$64</f>
        <v/>
      </c>
      <c r="CT48" s="200">
        <f>$K48/12*CT$14*$D$64</f>
        <v/>
      </c>
      <c r="CU48" s="200">
        <f>$K48/12*CU$14*$D$64</f>
        <v/>
      </c>
      <c r="CV48" s="200">
        <f>$K48/12*CV$14*$D$64</f>
        <v/>
      </c>
      <c r="CW48" s="200">
        <f>$K48/12*CW$14*$D$64</f>
        <v/>
      </c>
      <c r="CX48" s="200">
        <f>$K48/12*CX$14*$D$64</f>
        <v/>
      </c>
      <c r="CY48" s="200">
        <f>$K48/12*CY$14*$D$64</f>
        <v/>
      </c>
      <c r="CZ48" s="200">
        <f>$K48/12*CZ$14*$D$64</f>
        <v/>
      </c>
      <c r="DA48" s="200">
        <f>$K48/12*DA$14*$D$64</f>
        <v/>
      </c>
      <c r="DB48" s="200">
        <f>$K48/12*DB$14*$D$64</f>
        <v/>
      </c>
      <c r="DC48" s="200">
        <f>$K48/12*DC$14*$D$64</f>
        <v/>
      </c>
      <c r="DD48" s="200">
        <f>$K48/12*DD$14*$D$64</f>
        <v/>
      </c>
      <c r="DE48" s="200">
        <f>$K48/12*DE$14*$D$64</f>
        <v/>
      </c>
      <c r="DF48" s="200">
        <f>$K48/12*DF$14*$D$64</f>
        <v/>
      </c>
      <c r="DG48" s="200">
        <f>$K48/12*DG$14*$D$64</f>
        <v/>
      </c>
      <c r="DH48" s="200">
        <f>$K48/12*DH$14*$D$64</f>
        <v/>
      </c>
      <c r="DI48" s="200">
        <f>$K48/12*DI$14*$D$64</f>
        <v/>
      </c>
      <c r="DJ48" s="200">
        <f>$K48/12*DJ$14*$D$64</f>
        <v/>
      </c>
      <c r="DK48" s="200">
        <f>$K48/12*DK$14*$D$64</f>
        <v/>
      </c>
      <c r="DL48" s="200">
        <f>$K48/12*DL$14*$D$64</f>
        <v/>
      </c>
      <c r="DM48" s="200">
        <f>$K48/12*DM$14*$D$64</f>
        <v/>
      </c>
      <c r="DN48" s="200">
        <f>$K48/12*DN$14*$D$64</f>
        <v/>
      </c>
      <c r="DO48" s="200">
        <f>$K48/12*DO$14*$D$64</f>
        <v/>
      </c>
      <c r="DP48" s="200">
        <f>$K48/12*DP$14*$D$64</f>
        <v/>
      </c>
      <c r="DQ48" s="200">
        <f>$K48/12*DQ$14*$D$64</f>
        <v/>
      </c>
      <c r="DR48" s="200">
        <f>$K48/12*DR$14*$D$64</f>
        <v/>
      </c>
      <c r="DS48" s="200">
        <f>$K48/12*DS$14*$D$64</f>
        <v/>
      </c>
      <c r="DT48" s="200">
        <f>$K48/12*DT$14*$D$64</f>
        <v/>
      </c>
      <c r="DU48" s="200">
        <f>$K48/12*DU$14*$D$64</f>
        <v/>
      </c>
      <c r="DV48" s="200">
        <f>$K48/12*DV$14*$D$64</f>
        <v/>
      </c>
      <c r="DW48" s="200">
        <f>$K48/12*DW$14*$D$64</f>
        <v/>
      </c>
      <c r="DX48" s="200">
        <f>$K48/12*DX$14*$D$64</f>
        <v/>
      </c>
      <c r="DY48" s="200">
        <f>$K48/12*DY$14*$D$64</f>
        <v/>
      </c>
      <c r="DZ48" s="200">
        <f>$K48/12*DZ$14*$D$64</f>
        <v/>
      </c>
      <c r="EA48" s="200">
        <f>$K48/12*EA$14*$D$64</f>
        <v/>
      </c>
      <c r="EB48" s="200">
        <f>$K48/12*EB$14*$D$64</f>
        <v/>
      </c>
      <c r="EC48" s="200">
        <f>$K48/12*EC$14*$D$64</f>
        <v/>
      </c>
      <c r="ED48" s="200">
        <f>$K48/12*ED$14*$D$64</f>
        <v/>
      </c>
      <c r="EE48" s="200">
        <f>$K48/12*EE$14*$D$64</f>
        <v/>
      </c>
      <c r="EF48" s="200">
        <f>$K48/12*EF$14*$D$64</f>
        <v/>
      </c>
      <c r="EG48" s="200">
        <f>$K48/12*EG$14*$D$64</f>
        <v/>
      </c>
      <c r="EH48" s="200">
        <f>$K48/12*EH$14*$D$64</f>
        <v/>
      </c>
      <c r="EI48" s="200">
        <f>$K48/12*EI$14*$D$64</f>
        <v/>
      </c>
      <c r="EJ48" s="200">
        <f>$K48/12*EJ$14*$D$64</f>
        <v/>
      </c>
      <c r="EK48" s="200">
        <f>$K48/12*EK$14*$D$64</f>
        <v/>
      </c>
      <c r="EL48" s="200">
        <f>$K48/12*EL$14*$D$64</f>
        <v/>
      </c>
      <c r="EM48" s="200">
        <f>$K48/12*EM$14*$D$64</f>
        <v/>
      </c>
      <c r="EN48" s="200">
        <f>$K48/12*EN$14*$D$64</f>
        <v/>
      </c>
      <c r="EO48" s="200">
        <f>$K48/12*EO$14*$D$64</f>
        <v/>
      </c>
      <c r="EP48" s="200">
        <f>$K48/12*EP$14*$D$64</f>
        <v/>
      </c>
      <c r="EQ48" s="200">
        <f>$K48/12*EQ$14*$D$64</f>
        <v/>
      </c>
      <c r="ER48" s="200">
        <f>$K48/12*ER$14*$D$64</f>
        <v/>
      </c>
      <c r="ES48" s="200">
        <f>$K48/12*ES$14*$D$64</f>
        <v/>
      </c>
      <c r="ET48" s="200">
        <f>$K48/12*ET$14*$D$64</f>
        <v/>
      </c>
      <c r="EU48" s="200">
        <f>$K48/12*EU$14*$D$64</f>
        <v/>
      </c>
      <c r="EV48" s="200">
        <f>$K48/12*EV$14*$D$64</f>
        <v/>
      </c>
      <c r="EW48" s="200">
        <f>$K48/12*EW$14*$D$64</f>
        <v/>
      </c>
      <c r="EX48" s="200">
        <f>$K48/12*EX$14*$D$64</f>
        <v/>
      </c>
    </row>
    <row r="49">
      <c r="B49" s="16" t="n"/>
      <c r="C49" s="78" t="inlineStr">
        <is>
          <t>Interest Rate</t>
        </is>
      </c>
      <c r="D49" s="306" t="inlineStr">
        <is>
          <t>Fixed</t>
        </is>
      </c>
      <c r="E49" s="256" t="n"/>
      <c r="F49" s="81" t="inlineStr">
        <is>
          <t>Interest Rate</t>
        </is>
      </c>
      <c r="G49" s="306" t="n"/>
      <c r="H49" s="258">
        <f>E49-0.5%</f>
        <v/>
      </c>
      <c r="J49" s="269" t="inlineStr">
        <is>
          <t>Total Controllable Opex</t>
        </is>
      </c>
      <c r="K49" s="307" t="n"/>
      <c r="L49" s="308" t="n"/>
      <c r="M49" s="269">
        <f>SUMIF($V$4:$EX$4,"&lt;="&amp;$H$19,$V49:$EX49)</f>
        <v/>
      </c>
      <c r="N49" s="270" t="n"/>
      <c r="O49" s="269">
        <f>SUMIF($V$5:$EX$5,O$7,$V49:$EX49)</f>
        <v/>
      </c>
      <c r="P49" s="269">
        <f>SUMIF($V$5:$EX$5,P$7,$V49:$EX49)</f>
        <v/>
      </c>
      <c r="Q49" s="269">
        <f>SUMIF($V$5:$EX$5,Q$7,$V49:$EX49)</f>
        <v/>
      </c>
      <c r="R49" s="269">
        <f>SUMIF($V$5:$EX$5,R$7,$V49:$EX49)</f>
        <v/>
      </c>
      <c r="S49" s="269">
        <f>SUMIF($V$5:$EX$5,S$7,$V49:$EX49)</f>
        <v/>
      </c>
      <c r="T49" s="269">
        <f>SUMIF($V$5:$EX$5,T$7,$V49:$EX49)</f>
        <v/>
      </c>
      <c r="U49" s="270" t="n"/>
      <c r="V49" s="269">
        <f>SUM(V42:V48)</f>
        <v/>
      </c>
      <c r="W49" s="269">
        <f>SUM(W42:W48)</f>
        <v/>
      </c>
      <c r="X49" s="269">
        <f>SUM(X42:X48)</f>
        <v/>
      </c>
      <c r="Y49" s="269">
        <f>SUM(Y42:Y48)</f>
        <v/>
      </c>
      <c r="Z49" s="269">
        <f>SUM(Z42:Z48)</f>
        <v/>
      </c>
      <c r="AA49" s="269">
        <f>SUM(AA42:AA48)</f>
        <v/>
      </c>
      <c r="AB49" s="269">
        <f>SUM(AB42:AB48)</f>
        <v/>
      </c>
      <c r="AC49" s="269">
        <f>SUM(AC42:AC48)</f>
        <v/>
      </c>
      <c r="AD49" s="269">
        <f>SUM(AD42:AD48)</f>
        <v/>
      </c>
      <c r="AE49" s="269">
        <f>SUM(AE42:AE48)</f>
        <v/>
      </c>
      <c r="AF49" s="269">
        <f>SUM(AF42:AF48)</f>
        <v/>
      </c>
      <c r="AG49" s="269">
        <f>SUM(AG42:AG48)</f>
        <v/>
      </c>
      <c r="AH49" s="269">
        <f>SUM(AH42:AH48)</f>
        <v/>
      </c>
      <c r="AI49" s="269">
        <f>SUM(AI42:AI48)</f>
        <v/>
      </c>
      <c r="AJ49" s="269">
        <f>SUM(AJ42:AJ48)</f>
        <v/>
      </c>
      <c r="AK49" s="269">
        <f>SUM(AK42:AK48)</f>
        <v/>
      </c>
      <c r="AL49" s="269">
        <f>SUM(AL42:AL48)</f>
        <v/>
      </c>
      <c r="AM49" s="269">
        <f>SUM(AM42:AM48)</f>
        <v/>
      </c>
      <c r="AN49" s="269">
        <f>SUM(AN42:AN48)</f>
        <v/>
      </c>
      <c r="AO49" s="269">
        <f>SUM(AO42:AO48)</f>
        <v/>
      </c>
      <c r="AP49" s="269">
        <f>SUM(AP42:AP48)</f>
        <v/>
      </c>
      <c r="AQ49" s="269">
        <f>SUM(AQ42:AQ48)</f>
        <v/>
      </c>
      <c r="AR49" s="269">
        <f>SUM(AR42:AR48)</f>
        <v/>
      </c>
      <c r="AS49" s="269">
        <f>SUM(AS42:AS48)</f>
        <v/>
      </c>
      <c r="AT49" s="269">
        <f>SUM(AT42:AT48)</f>
        <v/>
      </c>
      <c r="AU49" s="269">
        <f>SUM(AU42:AU48)</f>
        <v/>
      </c>
      <c r="AV49" s="269">
        <f>SUM(AV42:AV48)</f>
        <v/>
      </c>
      <c r="AW49" s="269">
        <f>SUM(AW42:AW48)</f>
        <v/>
      </c>
      <c r="AX49" s="269">
        <f>SUM(AX42:AX48)</f>
        <v/>
      </c>
      <c r="AY49" s="269">
        <f>SUM(AY42:AY48)</f>
        <v/>
      </c>
      <c r="AZ49" s="269">
        <f>SUM(AZ42:AZ48)</f>
        <v/>
      </c>
      <c r="BA49" s="269">
        <f>SUM(BA42:BA48)</f>
        <v/>
      </c>
      <c r="BB49" s="269">
        <f>SUM(BB42:BB48)</f>
        <v/>
      </c>
      <c r="BC49" s="269">
        <f>SUM(BC42:BC48)</f>
        <v/>
      </c>
      <c r="BD49" s="269">
        <f>SUM(BD42:BD48)</f>
        <v/>
      </c>
      <c r="BE49" s="269">
        <f>SUM(BE42:BE48)</f>
        <v/>
      </c>
      <c r="BF49" s="269">
        <f>SUM(BF42:BF48)</f>
        <v/>
      </c>
      <c r="BG49" s="269">
        <f>SUM(BG42:BG48)</f>
        <v/>
      </c>
      <c r="BH49" s="269">
        <f>SUM(BH42:BH48)</f>
        <v/>
      </c>
      <c r="BI49" s="269">
        <f>SUM(BI42:BI48)</f>
        <v/>
      </c>
      <c r="BJ49" s="269">
        <f>SUM(BJ42:BJ48)</f>
        <v/>
      </c>
      <c r="BK49" s="269">
        <f>SUM(BK42:BK48)</f>
        <v/>
      </c>
      <c r="BL49" s="269">
        <f>SUM(BL42:BL48)</f>
        <v/>
      </c>
      <c r="BM49" s="269">
        <f>SUM(BM42:BM48)</f>
        <v/>
      </c>
      <c r="BN49" s="269">
        <f>SUM(BN42:BN48)</f>
        <v/>
      </c>
      <c r="BO49" s="269">
        <f>SUM(BO42:BO48)</f>
        <v/>
      </c>
      <c r="BP49" s="269">
        <f>SUM(BP42:BP48)</f>
        <v/>
      </c>
      <c r="BQ49" s="269">
        <f>SUM(BQ42:BQ48)</f>
        <v/>
      </c>
      <c r="BR49" s="269">
        <f>SUM(BR42:BR48)</f>
        <v/>
      </c>
      <c r="BS49" s="269">
        <f>SUM(BS42:BS48)</f>
        <v/>
      </c>
      <c r="BT49" s="269">
        <f>SUM(BT42:BT48)</f>
        <v/>
      </c>
      <c r="BU49" s="269">
        <f>SUM(BU42:BU48)</f>
        <v/>
      </c>
      <c r="BV49" s="269">
        <f>SUM(BV42:BV48)</f>
        <v/>
      </c>
      <c r="BW49" s="269">
        <f>SUM(BW42:BW48)</f>
        <v/>
      </c>
      <c r="BX49" s="269">
        <f>SUM(BX42:BX48)</f>
        <v/>
      </c>
      <c r="BY49" s="269">
        <f>SUM(BY42:BY48)</f>
        <v/>
      </c>
      <c r="BZ49" s="269">
        <f>SUM(BZ42:BZ48)</f>
        <v/>
      </c>
      <c r="CA49" s="269">
        <f>SUM(CA42:CA48)</f>
        <v/>
      </c>
      <c r="CB49" s="269">
        <f>SUM(CB42:CB48)</f>
        <v/>
      </c>
      <c r="CC49" s="269">
        <f>SUM(CC42:CC48)</f>
        <v/>
      </c>
      <c r="CD49" s="269">
        <f>SUM(CD42:CD48)</f>
        <v/>
      </c>
      <c r="CE49" s="269">
        <f>SUM(CE42:CE48)</f>
        <v/>
      </c>
      <c r="CF49" s="269">
        <f>SUM(CF42:CF48)</f>
        <v/>
      </c>
      <c r="CG49" s="269">
        <f>SUM(CG42:CG48)</f>
        <v/>
      </c>
      <c r="CH49" s="269">
        <f>SUM(CH42:CH48)</f>
        <v/>
      </c>
      <c r="CI49" s="269">
        <f>SUM(CI42:CI48)</f>
        <v/>
      </c>
      <c r="CJ49" s="269">
        <f>SUM(CJ42:CJ48)</f>
        <v/>
      </c>
      <c r="CK49" s="269">
        <f>SUM(CK42:CK48)</f>
        <v/>
      </c>
      <c r="CL49" s="269">
        <f>SUM(CL42:CL48)</f>
        <v/>
      </c>
      <c r="CM49" s="269">
        <f>SUM(CM42:CM48)</f>
        <v/>
      </c>
      <c r="CN49" s="269">
        <f>SUM(CN42:CN48)</f>
        <v/>
      </c>
      <c r="CO49" s="269">
        <f>SUM(CO42:CO48)</f>
        <v/>
      </c>
      <c r="CP49" s="269">
        <f>SUM(CP42:CP48)</f>
        <v/>
      </c>
      <c r="CQ49" s="269">
        <f>SUM(CQ42:CQ48)</f>
        <v/>
      </c>
      <c r="CR49" s="269">
        <f>SUM(CR42:CR48)</f>
        <v/>
      </c>
      <c r="CS49" s="269">
        <f>SUM(CS42:CS48)</f>
        <v/>
      </c>
      <c r="CT49" s="269">
        <f>SUM(CT42:CT48)</f>
        <v/>
      </c>
      <c r="CU49" s="269">
        <f>SUM(CU42:CU48)</f>
        <v/>
      </c>
      <c r="CV49" s="269">
        <f>SUM(CV42:CV48)</f>
        <v/>
      </c>
      <c r="CW49" s="269">
        <f>SUM(CW42:CW48)</f>
        <v/>
      </c>
      <c r="CX49" s="269">
        <f>SUM(CX42:CX48)</f>
        <v/>
      </c>
      <c r="CY49" s="269">
        <f>SUM(CY42:CY48)</f>
        <v/>
      </c>
      <c r="CZ49" s="269">
        <f>SUM(CZ42:CZ48)</f>
        <v/>
      </c>
      <c r="DA49" s="269">
        <f>SUM(DA42:DA48)</f>
        <v/>
      </c>
      <c r="DB49" s="269">
        <f>SUM(DB42:DB48)</f>
        <v/>
      </c>
      <c r="DC49" s="269">
        <f>SUM(DC42:DC48)</f>
        <v/>
      </c>
      <c r="DD49" s="269">
        <f>SUM(DD42:DD48)</f>
        <v/>
      </c>
      <c r="DE49" s="269">
        <f>SUM(DE42:DE48)</f>
        <v/>
      </c>
      <c r="DF49" s="269">
        <f>SUM(DF42:DF48)</f>
        <v/>
      </c>
      <c r="DG49" s="269">
        <f>SUM(DG42:DG48)</f>
        <v/>
      </c>
      <c r="DH49" s="269">
        <f>SUM(DH42:DH48)</f>
        <v/>
      </c>
      <c r="DI49" s="269">
        <f>SUM(DI42:DI48)</f>
        <v/>
      </c>
      <c r="DJ49" s="269">
        <f>SUM(DJ42:DJ48)</f>
        <v/>
      </c>
      <c r="DK49" s="269">
        <f>SUM(DK42:DK48)</f>
        <v/>
      </c>
      <c r="DL49" s="269">
        <f>SUM(DL42:DL48)</f>
        <v/>
      </c>
      <c r="DM49" s="269">
        <f>SUM(DM42:DM48)</f>
        <v/>
      </c>
      <c r="DN49" s="269">
        <f>SUM(DN42:DN48)</f>
        <v/>
      </c>
      <c r="DO49" s="269">
        <f>SUM(DO42:DO48)</f>
        <v/>
      </c>
      <c r="DP49" s="269">
        <f>SUM(DP42:DP48)</f>
        <v/>
      </c>
      <c r="DQ49" s="269">
        <f>SUM(DQ42:DQ48)</f>
        <v/>
      </c>
      <c r="DR49" s="269">
        <f>SUM(DR42:DR48)</f>
        <v/>
      </c>
      <c r="DS49" s="269">
        <f>SUM(DS42:DS48)</f>
        <v/>
      </c>
      <c r="DT49" s="269">
        <f>SUM(DT42:DT48)</f>
        <v/>
      </c>
      <c r="DU49" s="269">
        <f>SUM(DU42:DU48)</f>
        <v/>
      </c>
      <c r="DV49" s="269">
        <f>SUM(DV42:DV48)</f>
        <v/>
      </c>
      <c r="DW49" s="269">
        <f>SUM(DW42:DW48)</f>
        <v/>
      </c>
      <c r="DX49" s="269">
        <f>SUM(DX42:DX48)</f>
        <v/>
      </c>
      <c r="DY49" s="269">
        <f>SUM(DY42:DY48)</f>
        <v/>
      </c>
      <c r="DZ49" s="269">
        <f>SUM(DZ42:DZ48)</f>
        <v/>
      </c>
      <c r="EA49" s="269">
        <f>SUM(EA42:EA48)</f>
        <v/>
      </c>
      <c r="EB49" s="269">
        <f>SUM(EB42:EB48)</f>
        <v/>
      </c>
      <c r="EC49" s="269">
        <f>SUM(EC42:EC48)</f>
        <v/>
      </c>
      <c r="ED49" s="269">
        <f>SUM(ED42:ED48)</f>
        <v/>
      </c>
      <c r="EE49" s="269">
        <f>SUM(EE42:EE48)</f>
        <v/>
      </c>
      <c r="EF49" s="269">
        <f>SUM(EF42:EF48)</f>
        <v/>
      </c>
      <c r="EG49" s="269">
        <f>SUM(EG42:EG48)</f>
        <v/>
      </c>
      <c r="EH49" s="269">
        <f>SUM(EH42:EH48)</f>
        <v/>
      </c>
      <c r="EI49" s="269">
        <f>SUM(EI42:EI48)</f>
        <v/>
      </c>
      <c r="EJ49" s="269">
        <f>SUM(EJ42:EJ48)</f>
        <v/>
      </c>
      <c r="EK49" s="269">
        <f>SUM(EK42:EK48)</f>
        <v/>
      </c>
      <c r="EL49" s="269">
        <f>SUM(EL42:EL48)</f>
        <v/>
      </c>
      <c r="EM49" s="269">
        <f>SUM(EM42:EM48)</f>
        <v/>
      </c>
      <c r="EN49" s="269">
        <f>SUM(EN42:EN48)</f>
        <v/>
      </c>
      <c r="EO49" s="269">
        <f>SUM(EO42:EO48)</f>
        <v/>
      </c>
      <c r="EP49" s="269">
        <f>SUM(EP42:EP48)</f>
        <v/>
      </c>
      <c r="EQ49" s="269">
        <f>SUM(EQ42:EQ48)</f>
        <v/>
      </c>
      <c r="ER49" s="269">
        <f>SUM(ER42:ER48)</f>
        <v/>
      </c>
      <c r="ES49" s="269">
        <f>SUM(ES42:ES48)</f>
        <v/>
      </c>
      <c r="ET49" s="269">
        <f>SUM(ET42:ET48)</f>
        <v/>
      </c>
      <c r="EU49" s="269">
        <f>SUM(EU42:EU48)</f>
        <v/>
      </c>
      <c r="EV49" s="269">
        <f>SUM(EV42:EV48)</f>
        <v/>
      </c>
      <c r="EW49" s="269">
        <f>SUM(EW42:EW48)</f>
        <v/>
      </c>
      <c r="EX49" s="269">
        <f>SUM(EX42:EX48)</f>
        <v/>
      </c>
    </row>
    <row r="50">
      <c r="A50" s="16" t="n"/>
      <c r="B50" s="16" t="n"/>
      <c r="C50" s="228" t="inlineStr">
        <is>
          <t>Financing Costs</t>
        </is>
      </c>
      <c r="D50" s="229" t="n"/>
      <c r="E50" s="309">
        <f>D50*E47</f>
        <v/>
      </c>
      <c r="F50" s="231" t="inlineStr">
        <is>
          <t>Financing Costs</t>
        </is>
      </c>
      <c r="G50" s="232" t="n"/>
      <c r="H50" s="310">
        <f>G50*H47</f>
        <v/>
      </c>
      <c r="I50" s="14" t="n"/>
      <c r="J50" s="54" t="n"/>
      <c r="K50" s="54" t="n"/>
      <c r="L50" s="191" t="n"/>
    </row>
    <row r="51">
      <c r="A51" s="16" t="n"/>
      <c r="B51" s="16" t="n"/>
      <c r="C51" s="78" t="inlineStr">
        <is>
          <t>IO Periods/Amortization</t>
        </is>
      </c>
      <c r="D51" s="311" t="n"/>
      <c r="E51" s="301">
        <f>PMT(E49/12,360,-E47,0,)</f>
        <v/>
      </c>
      <c r="F51" s="81" t="inlineStr">
        <is>
          <t>IO Periods/Amortization</t>
        </is>
      </c>
      <c r="G51" s="311" t="n"/>
      <c r="H51" s="301">
        <f>PMT(H49/12,360,-H47,0,)</f>
        <v/>
      </c>
      <c r="J51" s="16" t="inlineStr">
        <is>
          <t>Non-controllable Expenses</t>
        </is>
      </c>
      <c r="K51" s="75">
        <f>K41</f>
        <v/>
      </c>
      <c r="L51" s="76" t="n"/>
      <c r="M51" s="202" t="inlineStr">
        <is>
          <t>Total</t>
        </is>
      </c>
      <c r="N51" s="76" t="n"/>
      <c r="O51" s="75" t="n"/>
      <c r="P51" s="75" t="n"/>
      <c r="Q51" s="75" t="n"/>
      <c r="R51" s="75" t="n"/>
      <c r="S51" s="75" t="n"/>
      <c r="T51" s="75" t="n"/>
      <c r="U51" s="76" t="n"/>
    </row>
    <row r="52" customFormat="1" s="16">
      <c r="A52" s="33" t="n"/>
      <c r="C52" s="36" t="inlineStr">
        <is>
          <t>Debt Metrics</t>
        </is>
      </c>
      <c r="D52" s="36" t="n"/>
      <c r="E52" s="90" t="n"/>
      <c r="F52" s="77" t="inlineStr">
        <is>
          <t>Debt Metrics</t>
        </is>
      </c>
      <c r="G52" s="36" t="n"/>
      <c r="H52" s="36" t="n"/>
      <c r="I52" s="34" t="n"/>
      <c r="J52" s="9" t="inlineStr">
        <is>
          <t>Insurance</t>
        </is>
      </c>
      <c r="K52" s="267" t="n"/>
      <c r="L52" s="279" t="n"/>
      <c r="M52" s="25">
        <f>SUMIF($V$4:$EX$4,"&lt;="&amp;$H$19,$V52:$EX52)</f>
        <v/>
      </c>
      <c r="N52" s="279" t="n"/>
      <c r="O52" s="280" t="n"/>
      <c r="P52" s="280" t="n"/>
      <c r="Q52" s="280" t="n"/>
      <c r="R52" s="280" t="n"/>
      <c r="S52" s="280" t="n"/>
      <c r="T52" s="280" t="n"/>
      <c r="U52" s="279" t="n"/>
      <c r="V52" s="25" t="n">
        <v>0</v>
      </c>
      <c r="W52" s="25">
        <f>$K52/12*W$14*$D$64</f>
        <v/>
      </c>
      <c r="X52" s="25">
        <f>$K52/12*X$14*$D$64</f>
        <v/>
      </c>
      <c r="Y52" s="25">
        <f>$K52/12*Y$14*$D$64</f>
        <v/>
      </c>
      <c r="Z52" s="25">
        <f>$K52/12*Z$14*$D$64</f>
        <v/>
      </c>
      <c r="AA52" s="25">
        <f>$K52/12*AA$14*$D$64</f>
        <v/>
      </c>
      <c r="AB52" s="25">
        <f>$K52/12*AB$14*$D$64</f>
        <v/>
      </c>
      <c r="AC52" s="25">
        <f>$K52/12*AC$14*$D$64</f>
        <v/>
      </c>
      <c r="AD52" s="25">
        <f>$K52/12*AD$14*$D$64</f>
        <v/>
      </c>
      <c r="AE52" s="25">
        <f>$K52/12*AE$14*$D$64</f>
        <v/>
      </c>
      <c r="AF52" s="25">
        <f>$K52/12*AF$14*$D$64</f>
        <v/>
      </c>
      <c r="AG52" s="25">
        <f>$K52/12*AG$14*$D$64</f>
        <v/>
      </c>
      <c r="AH52" s="25">
        <f>$K52/12*AH$14*$D$64</f>
        <v/>
      </c>
      <c r="AI52" s="25">
        <f>$K52/12*AI$14*$D$64</f>
        <v/>
      </c>
      <c r="AJ52" s="25">
        <f>$K52/12*AJ$14*$D$64</f>
        <v/>
      </c>
      <c r="AK52" s="25">
        <f>$K52/12*AK$14*$D$64</f>
        <v/>
      </c>
      <c r="AL52" s="25">
        <f>$K52/12*AL$14*$D$64</f>
        <v/>
      </c>
      <c r="AM52" s="25">
        <f>$K52/12*AM$14*$D$64</f>
        <v/>
      </c>
      <c r="AN52" s="25">
        <f>$K52/12*AN$14*$D$64</f>
        <v/>
      </c>
      <c r="AO52" s="25">
        <f>$K52/12*AO$14*$D$64</f>
        <v/>
      </c>
      <c r="AP52" s="25">
        <f>$K52/12*AP$14*$D$64</f>
        <v/>
      </c>
      <c r="AQ52" s="25">
        <f>$K52/12*AQ$14*$D$64</f>
        <v/>
      </c>
      <c r="AR52" s="25">
        <f>$K52/12*AR$14*$D$64</f>
        <v/>
      </c>
      <c r="AS52" s="25">
        <f>$K52/12*AS$14*$D$64</f>
        <v/>
      </c>
      <c r="AT52" s="25">
        <f>$K52/12*AT$14*$D$64</f>
        <v/>
      </c>
      <c r="AU52" s="25">
        <f>$K52/12*AU$14*$D$64</f>
        <v/>
      </c>
      <c r="AV52" s="25">
        <f>$K52/12*AV$14*$D$64</f>
        <v/>
      </c>
      <c r="AW52" s="25">
        <f>$K52/12*AW$14*$D$64</f>
        <v/>
      </c>
      <c r="AX52" s="25">
        <f>$K52/12*AX$14*$D$64</f>
        <v/>
      </c>
      <c r="AY52" s="25">
        <f>$K52/12*AY$14*$D$64</f>
        <v/>
      </c>
      <c r="AZ52" s="25">
        <f>$K52/12*AZ$14*$D$64</f>
        <v/>
      </c>
      <c r="BA52" s="25">
        <f>$K52/12*BA$14*$D$64</f>
        <v/>
      </c>
      <c r="BB52" s="25">
        <f>$K52/12*BB$14*$D$64</f>
        <v/>
      </c>
      <c r="BC52" s="25">
        <f>$K52/12*BC$14*$D$64</f>
        <v/>
      </c>
      <c r="BD52" s="25">
        <f>$K52/12*BD$14*$D$64</f>
        <v/>
      </c>
      <c r="BE52" s="25">
        <f>$K52/12*BE$14*$D$64</f>
        <v/>
      </c>
      <c r="BF52" s="25">
        <f>$K52/12*BF$14*$D$64</f>
        <v/>
      </c>
      <c r="BG52" s="25">
        <f>$K52/12*BG$14*$D$64</f>
        <v/>
      </c>
      <c r="BH52" s="25">
        <f>$K52/12*BH$14*$D$64</f>
        <v/>
      </c>
      <c r="BI52" s="25">
        <f>$K52/12*BI$14*$D$64</f>
        <v/>
      </c>
      <c r="BJ52" s="25">
        <f>$K52/12*BJ$14*$D$64</f>
        <v/>
      </c>
      <c r="BK52" s="25">
        <f>$K52/12*BK$14*$D$64</f>
        <v/>
      </c>
      <c r="BL52" s="25">
        <f>$K52/12*BL$14*$D$64</f>
        <v/>
      </c>
      <c r="BM52" s="25">
        <f>$K52/12*BM$14*$D$64</f>
        <v/>
      </c>
      <c r="BN52" s="25">
        <f>$K52/12*BN$14*$D$64</f>
        <v/>
      </c>
      <c r="BO52" s="25">
        <f>$K52/12*BO$14*$D$64</f>
        <v/>
      </c>
      <c r="BP52" s="25">
        <f>$K52/12*BP$14*$D$64</f>
        <v/>
      </c>
      <c r="BQ52" s="25">
        <f>$K52/12*BQ$14*$D$64</f>
        <v/>
      </c>
      <c r="BR52" s="25">
        <f>$K52/12*BR$14*$D$64</f>
        <v/>
      </c>
      <c r="BS52" s="25">
        <f>$K52/12*BS$14*$D$64</f>
        <v/>
      </c>
      <c r="BT52" s="25">
        <f>$K52/12*BT$14*$D$64</f>
        <v/>
      </c>
      <c r="BU52" s="25">
        <f>$K52/12*BU$14*$D$64</f>
        <v/>
      </c>
      <c r="BV52" s="25">
        <f>$K52/12*BV$14*$D$64</f>
        <v/>
      </c>
      <c r="BW52" s="25">
        <f>$K52/12*BW$14*$D$64</f>
        <v/>
      </c>
      <c r="BX52" s="25">
        <f>$K52/12*BX$14*$D$64</f>
        <v/>
      </c>
      <c r="BY52" s="25">
        <f>$K52/12*BY$14*$D$64</f>
        <v/>
      </c>
      <c r="BZ52" s="25">
        <f>$K52/12*BZ$14*$D$64</f>
        <v/>
      </c>
      <c r="CA52" s="25">
        <f>$K52/12*CA$14*$D$64</f>
        <v/>
      </c>
      <c r="CB52" s="25">
        <f>$K52/12*CB$14*$D$64</f>
        <v/>
      </c>
      <c r="CC52" s="25">
        <f>$K52/12*CC$14*$D$64</f>
        <v/>
      </c>
      <c r="CD52" s="25">
        <f>$K52/12*CD$14*$D$64</f>
        <v/>
      </c>
      <c r="CE52" s="25">
        <f>$K52/12*CE$14*$D$64</f>
        <v/>
      </c>
      <c r="CF52" s="25">
        <f>$K52/12*CF$14*$D$64</f>
        <v/>
      </c>
      <c r="CG52" s="25">
        <f>$K52/12*CG$14*$D$64</f>
        <v/>
      </c>
      <c r="CH52" s="25">
        <f>$K52/12*CH$14*$D$64</f>
        <v/>
      </c>
      <c r="CI52" s="25">
        <f>$K52/12*CI$14*$D$64</f>
        <v/>
      </c>
      <c r="CJ52" s="25">
        <f>$K52/12*CJ$14*$D$64</f>
        <v/>
      </c>
      <c r="CK52" s="25">
        <f>$K52/12*CK$14*$D$64</f>
        <v/>
      </c>
      <c r="CL52" s="25">
        <f>$K52/12*CL$14*$D$64</f>
        <v/>
      </c>
      <c r="CM52" s="25">
        <f>$K52/12*CM$14*$D$64</f>
        <v/>
      </c>
      <c r="CN52" s="25">
        <f>$K52/12*CN$14*$D$64</f>
        <v/>
      </c>
      <c r="CO52" s="25">
        <f>$K52/12*CO$14*$D$64</f>
        <v/>
      </c>
      <c r="CP52" s="25">
        <f>$K52/12*CP$14*$D$64</f>
        <v/>
      </c>
      <c r="CQ52" s="25">
        <f>$K52/12*CQ$14*$D$64</f>
        <v/>
      </c>
      <c r="CR52" s="25">
        <f>$K52/12*CR$14*$D$64</f>
        <v/>
      </c>
      <c r="CS52" s="25">
        <f>$K52/12*CS$14*$D$64</f>
        <v/>
      </c>
      <c r="CT52" s="25">
        <f>$K52/12*CT$14*$D$64</f>
        <v/>
      </c>
      <c r="CU52" s="25">
        <f>$K52/12*CU$14*$D$64</f>
        <v/>
      </c>
      <c r="CV52" s="25">
        <f>$K52/12*CV$14*$D$64</f>
        <v/>
      </c>
      <c r="CW52" s="25">
        <f>$K52/12*CW$14*$D$64</f>
        <v/>
      </c>
      <c r="CX52" s="25">
        <f>$K52/12*CX$14*$D$64</f>
        <v/>
      </c>
      <c r="CY52" s="25">
        <f>$K52/12*CY$14*$D$64</f>
        <v/>
      </c>
      <c r="CZ52" s="25">
        <f>$K52/12*CZ$14*$D$64</f>
        <v/>
      </c>
      <c r="DA52" s="25">
        <f>$K52/12*DA$14*$D$64</f>
        <v/>
      </c>
      <c r="DB52" s="25">
        <f>$K52/12*DB$14*$D$64</f>
        <v/>
      </c>
      <c r="DC52" s="25">
        <f>$K52/12*DC$14*$D$64</f>
        <v/>
      </c>
      <c r="DD52" s="25">
        <f>$K52/12*DD$14*$D$64</f>
        <v/>
      </c>
      <c r="DE52" s="25">
        <f>$K52/12*DE$14*$D$64</f>
        <v/>
      </c>
      <c r="DF52" s="25">
        <f>$K52/12*DF$14*$D$64</f>
        <v/>
      </c>
      <c r="DG52" s="25">
        <f>$K52/12*DG$14*$D$64</f>
        <v/>
      </c>
      <c r="DH52" s="25">
        <f>$K52/12*DH$14*$D$64</f>
        <v/>
      </c>
      <c r="DI52" s="25">
        <f>$K52/12*DI$14*$D$64</f>
        <v/>
      </c>
      <c r="DJ52" s="25">
        <f>$K52/12*DJ$14*$D$64</f>
        <v/>
      </c>
      <c r="DK52" s="25">
        <f>$K52/12*DK$14*$D$64</f>
        <v/>
      </c>
      <c r="DL52" s="25">
        <f>$K52/12*DL$14*$D$64</f>
        <v/>
      </c>
      <c r="DM52" s="25">
        <f>$K52/12*DM$14*$D$64</f>
        <v/>
      </c>
      <c r="DN52" s="25">
        <f>$K52/12*DN$14*$D$64</f>
        <v/>
      </c>
      <c r="DO52" s="25">
        <f>$K52/12*DO$14*$D$64</f>
        <v/>
      </c>
      <c r="DP52" s="25">
        <f>$K52/12*DP$14*$D$64</f>
        <v/>
      </c>
      <c r="DQ52" s="25">
        <f>$K52/12*DQ$14*$D$64</f>
        <v/>
      </c>
      <c r="DR52" s="25">
        <f>$K52/12*DR$14*$D$64</f>
        <v/>
      </c>
      <c r="DS52" s="25">
        <f>$K52/12*DS$14*$D$64</f>
        <v/>
      </c>
      <c r="DT52" s="25">
        <f>$K52/12*DT$14*$D$64</f>
        <v/>
      </c>
      <c r="DU52" s="25">
        <f>$K52/12*DU$14*$D$64</f>
        <v/>
      </c>
      <c r="DV52" s="25">
        <f>$K52/12*DV$14*$D$64</f>
        <v/>
      </c>
      <c r="DW52" s="25">
        <f>$K52/12*DW$14*$D$64</f>
        <v/>
      </c>
      <c r="DX52" s="25">
        <f>$K52/12*DX$14*$D$64</f>
        <v/>
      </c>
      <c r="DY52" s="25">
        <f>$K52/12*DY$14*$D$64</f>
        <v/>
      </c>
      <c r="DZ52" s="25">
        <f>$K52/12*DZ$14*$D$64</f>
        <v/>
      </c>
      <c r="EA52" s="25">
        <f>$K52/12*EA$14*$D$64</f>
        <v/>
      </c>
      <c r="EB52" s="25">
        <f>$K52/12*EB$14*$D$64</f>
        <v/>
      </c>
      <c r="EC52" s="25">
        <f>$K52/12*EC$14*$D$64</f>
        <v/>
      </c>
      <c r="ED52" s="25">
        <f>$K52/12*ED$14*$D$64</f>
        <v/>
      </c>
      <c r="EE52" s="25">
        <f>$K52/12*EE$14*$D$64</f>
        <v/>
      </c>
      <c r="EF52" s="25">
        <f>$K52/12*EF$14*$D$64</f>
        <v/>
      </c>
      <c r="EG52" s="25">
        <f>$K52/12*EG$14*$D$64</f>
        <v/>
      </c>
      <c r="EH52" s="25">
        <f>$K52/12*EH$14*$D$64</f>
        <v/>
      </c>
      <c r="EI52" s="25">
        <f>$K52/12*EI$14*$D$64</f>
        <v/>
      </c>
      <c r="EJ52" s="25">
        <f>$K52/12*EJ$14*$D$64</f>
        <v/>
      </c>
      <c r="EK52" s="25">
        <f>$K52/12*EK$14*$D$64</f>
        <v/>
      </c>
      <c r="EL52" s="25">
        <f>$K52/12*EL$14*$D$64</f>
        <v/>
      </c>
      <c r="EM52" s="25">
        <f>$K52/12*EM$14*$D$64</f>
        <v/>
      </c>
      <c r="EN52" s="25">
        <f>$K52/12*EN$14*$D$64</f>
        <v/>
      </c>
      <c r="EO52" s="25">
        <f>$K52/12*EO$14*$D$64</f>
        <v/>
      </c>
      <c r="EP52" s="25">
        <f>$K52/12*EP$14*$D$64</f>
        <v/>
      </c>
      <c r="EQ52" s="25">
        <f>$K52/12*EQ$14*$D$64</f>
        <v/>
      </c>
      <c r="ER52" s="25">
        <f>$K52/12*ER$14*$D$64</f>
        <v/>
      </c>
      <c r="ES52" s="25">
        <f>$K52/12*ES$14*$D$64</f>
        <v/>
      </c>
      <c r="ET52" s="25">
        <f>$K52/12*ET$14*$D$64</f>
        <v/>
      </c>
      <c r="EU52" s="25">
        <f>$K52/12*EU$14*$D$64</f>
        <v/>
      </c>
      <c r="EV52" s="25">
        <f>$K52/12*EV$14*$D$64</f>
        <v/>
      </c>
      <c r="EW52" s="25">
        <f>$K52/12*EW$14*$D$64</f>
        <v/>
      </c>
      <c r="EX52" s="25">
        <f>$K52/12*EX$14*$D$64</f>
        <v/>
      </c>
    </row>
    <row r="53" customFormat="1" s="16">
      <c r="A53" s="9" t="n"/>
      <c r="B53" s="9" t="n"/>
      <c r="C53" s="78" t="inlineStr">
        <is>
          <t>DSCR</t>
        </is>
      </c>
      <c r="D53" s="9" t="n"/>
      <c r="E53" s="312">
        <f>D23/(PMT(6%/12,360,-E47,0)*12)</f>
        <v/>
      </c>
      <c r="F53" s="81" t="inlineStr">
        <is>
          <t>DSCR</t>
        </is>
      </c>
      <c r="G53" s="313" t="n">
        <v>1.25</v>
      </c>
      <c r="H53" s="264">
        <f>PV(H49/12,G48,-G23/12/G53)</f>
        <v/>
      </c>
      <c r="I53" s="12" t="n"/>
      <c r="J53" s="9" t="inlineStr">
        <is>
          <t>Utilities</t>
        </is>
      </c>
      <c r="K53" s="267" t="n"/>
      <c r="L53" s="279" t="n"/>
      <c r="M53" s="25">
        <f>SUMIF($V$4:$EX$4,"&lt;="&amp;$H$19,$V53:$EX53)</f>
        <v/>
      </c>
      <c r="N53" s="279" t="n"/>
      <c r="O53" s="280">
        <f>SUMIF($V$5:$EX$5,O$7,$V53:$EX53)</f>
        <v/>
      </c>
      <c r="P53" s="280">
        <f>SUMIF($V$5:$EX$5,P$7,$V53:$EX53)</f>
        <v/>
      </c>
      <c r="Q53" s="280">
        <f>SUMIF($V$5:$EX$5,Q$7,$V53:$EX53)</f>
        <v/>
      </c>
      <c r="R53" s="280">
        <f>SUMIF($V$5:$EX$5,R$7,$V53:$EX53)</f>
        <v/>
      </c>
      <c r="S53" s="280">
        <f>SUMIF($V$5:$EX$5,S$7,$V53:$EX53)</f>
        <v/>
      </c>
      <c r="T53" s="280">
        <f>SUMIF($V$5:$EX$5,T$7,$V53:$EX53)</f>
        <v/>
      </c>
      <c r="U53" s="279" t="n"/>
      <c r="V53" s="25" t="n">
        <v>0</v>
      </c>
      <c r="W53" s="25">
        <f>$K53/12*W$14*$D$64</f>
        <v/>
      </c>
      <c r="X53" s="25">
        <f>$K53/12*X$14*$D$64</f>
        <v/>
      </c>
      <c r="Y53" s="25">
        <f>$K53/12*Y$14*$D$64</f>
        <v/>
      </c>
      <c r="Z53" s="25">
        <f>$K53/12*Z$14*$D$64</f>
        <v/>
      </c>
      <c r="AA53" s="25">
        <f>$K53/12*AA$14*$D$64</f>
        <v/>
      </c>
      <c r="AB53" s="25">
        <f>$K53/12*AB$14*$D$64</f>
        <v/>
      </c>
      <c r="AC53" s="25">
        <f>$K53/12*AC$14*$D$64</f>
        <v/>
      </c>
      <c r="AD53" s="25">
        <f>$K53/12*AD$14*$D$64</f>
        <v/>
      </c>
      <c r="AE53" s="25">
        <f>$K53/12*AE$14*$D$64</f>
        <v/>
      </c>
      <c r="AF53" s="25">
        <f>$K53/12*AF$14*$D$64</f>
        <v/>
      </c>
      <c r="AG53" s="25">
        <f>$K53/12*AG$14*$D$64</f>
        <v/>
      </c>
      <c r="AH53" s="25">
        <f>$K53/12*AH$14*$D$64</f>
        <v/>
      </c>
      <c r="AI53" s="25">
        <f>$K53/12*AI$14*$D$64</f>
        <v/>
      </c>
      <c r="AJ53" s="25">
        <f>$K53/12*AJ$14*$D$64</f>
        <v/>
      </c>
      <c r="AK53" s="25">
        <f>$K53/12*AK$14*$D$64</f>
        <v/>
      </c>
      <c r="AL53" s="25">
        <f>$K53/12*AL$14*$D$64</f>
        <v/>
      </c>
      <c r="AM53" s="25">
        <f>$K53/12*AM$14*$D$64</f>
        <v/>
      </c>
      <c r="AN53" s="25">
        <f>$K53/12*AN$14*$D$64</f>
        <v/>
      </c>
      <c r="AO53" s="25">
        <f>$K53/12*AO$14*$D$64</f>
        <v/>
      </c>
      <c r="AP53" s="25">
        <f>$K53/12*AP$14*$D$64</f>
        <v/>
      </c>
      <c r="AQ53" s="25">
        <f>$K53/12*AQ$14*$D$64</f>
        <v/>
      </c>
      <c r="AR53" s="25">
        <f>$K53/12*AR$14*$D$64</f>
        <v/>
      </c>
      <c r="AS53" s="25">
        <f>$K53/12*AS$14*$D$64</f>
        <v/>
      </c>
      <c r="AT53" s="25">
        <f>$K53/12*AT$14*$D$64</f>
        <v/>
      </c>
      <c r="AU53" s="25">
        <f>$K53/12*AU$14*$D$64</f>
        <v/>
      </c>
      <c r="AV53" s="25">
        <f>$K53/12*AV$14*$D$64</f>
        <v/>
      </c>
      <c r="AW53" s="25">
        <f>$K53/12*AW$14*$D$64</f>
        <v/>
      </c>
      <c r="AX53" s="25">
        <f>$K53/12*AX$14*$D$64</f>
        <v/>
      </c>
      <c r="AY53" s="25">
        <f>$K53/12*AY$14*$D$64</f>
        <v/>
      </c>
      <c r="AZ53" s="25">
        <f>$K53/12*AZ$14*$D$64</f>
        <v/>
      </c>
      <c r="BA53" s="25">
        <f>$K53/12*BA$14*$D$64</f>
        <v/>
      </c>
      <c r="BB53" s="25">
        <f>$K53/12*BB$14*$D$64</f>
        <v/>
      </c>
      <c r="BC53" s="25">
        <f>$K53/12*BC$14*$D$64</f>
        <v/>
      </c>
      <c r="BD53" s="25">
        <f>$K53/12*BD$14*$D$64</f>
        <v/>
      </c>
      <c r="BE53" s="25">
        <f>$K53/12*BE$14*$D$64</f>
        <v/>
      </c>
      <c r="BF53" s="25">
        <f>$K53/12*BF$14*$D$64</f>
        <v/>
      </c>
      <c r="BG53" s="25">
        <f>$K53/12*BG$14*$D$64</f>
        <v/>
      </c>
      <c r="BH53" s="25">
        <f>$K53/12*BH$14*$D$64</f>
        <v/>
      </c>
      <c r="BI53" s="25">
        <f>$K53/12*BI$14*$D$64</f>
        <v/>
      </c>
      <c r="BJ53" s="25">
        <f>$K53/12*BJ$14*$D$64</f>
        <v/>
      </c>
      <c r="BK53" s="25">
        <f>$K53/12*BK$14*$D$64</f>
        <v/>
      </c>
      <c r="BL53" s="25">
        <f>$K53/12*BL$14*$D$64</f>
        <v/>
      </c>
      <c r="BM53" s="25">
        <f>$K53/12*BM$14*$D$64</f>
        <v/>
      </c>
      <c r="BN53" s="25">
        <f>$K53/12*BN$14*$D$64</f>
        <v/>
      </c>
      <c r="BO53" s="25">
        <f>$K53/12*BO$14*$D$64</f>
        <v/>
      </c>
      <c r="BP53" s="25">
        <f>$K53/12*BP$14*$D$64</f>
        <v/>
      </c>
      <c r="BQ53" s="25">
        <f>$K53/12*BQ$14*$D$64</f>
        <v/>
      </c>
      <c r="BR53" s="25">
        <f>$K53/12*BR$14*$D$64</f>
        <v/>
      </c>
      <c r="BS53" s="25">
        <f>$K53/12*BS$14*$D$64</f>
        <v/>
      </c>
      <c r="BT53" s="25">
        <f>$K53/12*BT$14*$D$64</f>
        <v/>
      </c>
      <c r="BU53" s="25">
        <f>$K53/12*BU$14*$D$64</f>
        <v/>
      </c>
      <c r="BV53" s="25">
        <f>$K53/12*BV$14*$D$64</f>
        <v/>
      </c>
      <c r="BW53" s="25">
        <f>$K53/12*BW$14*$D$64</f>
        <v/>
      </c>
      <c r="BX53" s="25">
        <f>$K53/12*BX$14*$D$64</f>
        <v/>
      </c>
      <c r="BY53" s="25">
        <f>$K53/12*BY$14*$D$64</f>
        <v/>
      </c>
      <c r="BZ53" s="25">
        <f>$K53/12*BZ$14*$D$64</f>
        <v/>
      </c>
      <c r="CA53" s="25">
        <f>$K53/12*CA$14*$D$64</f>
        <v/>
      </c>
      <c r="CB53" s="25">
        <f>$K53/12*CB$14*$D$64</f>
        <v/>
      </c>
      <c r="CC53" s="25">
        <f>$K53/12*CC$14*$D$64</f>
        <v/>
      </c>
      <c r="CD53" s="25">
        <f>$K53/12*CD$14*$D$64</f>
        <v/>
      </c>
      <c r="CE53" s="25">
        <f>$K53/12*CE$14*$D$64</f>
        <v/>
      </c>
      <c r="CF53" s="25">
        <f>$K53/12*CF$14*$D$64</f>
        <v/>
      </c>
      <c r="CG53" s="25">
        <f>$K53/12*CG$14*$D$64</f>
        <v/>
      </c>
      <c r="CH53" s="25">
        <f>$K53/12*CH$14*$D$64</f>
        <v/>
      </c>
      <c r="CI53" s="25">
        <f>$K53/12*CI$14*$D$64</f>
        <v/>
      </c>
      <c r="CJ53" s="25">
        <f>$K53/12*CJ$14*$D$64</f>
        <v/>
      </c>
      <c r="CK53" s="25">
        <f>$K53/12*CK$14*$D$64</f>
        <v/>
      </c>
      <c r="CL53" s="25">
        <f>$K53/12*CL$14*$D$64</f>
        <v/>
      </c>
      <c r="CM53" s="25">
        <f>$K53/12*CM$14*$D$64</f>
        <v/>
      </c>
      <c r="CN53" s="25">
        <f>$K53/12*CN$14*$D$64</f>
        <v/>
      </c>
      <c r="CO53" s="25">
        <f>$K53/12*CO$14*$D$64</f>
        <v/>
      </c>
      <c r="CP53" s="25">
        <f>$K53/12*CP$14*$D$64</f>
        <v/>
      </c>
      <c r="CQ53" s="25">
        <f>$K53/12*CQ$14*$D$64</f>
        <v/>
      </c>
      <c r="CR53" s="25">
        <f>$K53/12*CR$14*$D$64</f>
        <v/>
      </c>
      <c r="CS53" s="25">
        <f>$K53/12*CS$14*$D$64</f>
        <v/>
      </c>
      <c r="CT53" s="25">
        <f>$K53/12*CT$14*$D$64</f>
        <v/>
      </c>
      <c r="CU53" s="25">
        <f>$K53/12*CU$14*$D$64</f>
        <v/>
      </c>
      <c r="CV53" s="25">
        <f>$K53/12*CV$14*$D$64</f>
        <v/>
      </c>
      <c r="CW53" s="25">
        <f>$K53/12*CW$14*$D$64</f>
        <v/>
      </c>
      <c r="CX53" s="25">
        <f>$K53/12*CX$14*$D$64</f>
        <v/>
      </c>
      <c r="CY53" s="25">
        <f>$K53/12*CY$14*$D$64</f>
        <v/>
      </c>
      <c r="CZ53" s="25">
        <f>$K53/12*CZ$14*$D$64</f>
        <v/>
      </c>
      <c r="DA53" s="25">
        <f>$K53/12*DA$14*$D$64</f>
        <v/>
      </c>
      <c r="DB53" s="25">
        <f>$K53/12*DB$14*$D$64</f>
        <v/>
      </c>
      <c r="DC53" s="25">
        <f>$K53/12*DC$14*$D$64</f>
        <v/>
      </c>
      <c r="DD53" s="25">
        <f>$K53/12*DD$14*$D$64</f>
        <v/>
      </c>
      <c r="DE53" s="25">
        <f>$K53/12*DE$14*$D$64</f>
        <v/>
      </c>
      <c r="DF53" s="25">
        <f>$K53/12*DF$14*$D$64</f>
        <v/>
      </c>
      <c r="DG53" s="25">
        <f>$K53/12*DG$14*$D$64</f>
        <v/>
      </c>
      <c r="DH53" s="25">
        <f>$K53/12*DH$14*$D$64</f>
        <v/>
      </c>
      <c r="DI53" s="25">
        <f>$K53/12*DI$14*$D$64</f>
        <v/>
      </c>
      <c r="DJ53" s="25">
        <f>$K53/12*DJ$14*$D$64</f>
        <v/>
      </c>
      <c r="DK53" s="25">
        <f>$K53/12*DK$14*$D$64</f>
        <v/>
      </c>
      <c r="DL53" s="25">
        <f>$K53/12*DL$14*$D$64</f>
        <v/>
      </c>
      <c r="DM53" s="25">
        <f>$K53/12*DM$14*$D$64</f>
        <v/>
      </c>
      <c r="DN53" s="25">
        <f>$K53/12*DN$14*$D$64</f>
        <v/>
      </c>
      <c r="DO53" s="25">
        <f>$K53/12*DO$14*$D$64</f>
        <v/>
      </c>
      <c r="DP53" s="25">
        <f>$K53/12*DP$14*$D$64</f>
        <v/>
      </c>
      <c r="DQ53" s="25">
        <f>$K53/12*DQ$14*$D$64</f>
        <v/>
      </c>
      <c r="DR53" s="25">
        <f>$K53/12*DR$14*$D$64</f>
        <v/>
      </c>
      <c r="DS53" s="25">
        <f>$K53/12*DS$14*$D$64</f>
        <v/>
      </c>
      <c r="DT53" s="25">
        <f>$K53/12*DT$14*$D$64</f>
        <v/>
      </c>
      <c r="DU53" s="25">
        <f>$K53/12*DU$14*$D$64</f>
        <v/>
      </c>
      <c r="DV53" s="25">
        <f>$K53/12*DV$14*$D$64</f>
        <v/>
      </c>
      <c r="DW53" s="25">
        <f>$K53/12*DW$14*$D$64</f>
        <v/>
      </c>
      <c r="DX53" s="25">
        <f>$K53/12*DX$14*$D$64</f>
        <v/>
      </c>
      <c r="DY53" s="25">
        <f>$K53/12*DY$14*$D$64</f>
        <v/>
      </c>
      <c r="DZ53" s="25">
        <f>$K53/12*DZ$14*$D$64</f>
        <v/>
      </c>
      <c r="EA53" s="25">
        <f>$K53/12*EA$14*$D$64</f>
        <v/>
      </c>
      <c r="EB53" s="25">
        <f>$K53/12*EB$14*$D$64</f>
        <v/>
      </c>
      <c r="EC53" s="25">
        <f>$K53/12*EC$14*$D$64</f>
        <v/>
      </c>
      <c r="ED53" s="25">
        <f>$K53/12*ED$14*$D$64</f>
        <v/>
      </c>
      <c r="EE53" s="25">
        <f>$K53/12*EE$14*$D$64</f>
        <v/>
      </c>
      <c r="EF53" s="25">
        <f>$K53/12*EF$14*$D$64</f>
        <v/>
      </c>
      <c r="EG53" s="25">
        <f>$K53/12*EG$14*$D$64</f>
        <v/>
      </c>
      <c r="EH53" s="25">
        <f>$K53/12*EH$14*$D$64</f>
        <v/>
      </c>
      <c r="EI53" s="25">
        <f>$K53/12*EI$14*$D$64</f>
        <v/>
      </c>
      <c r="EJ53" s="25">
        <f>$K53/12*EJ$14*$D$64</f>
        <v/>
      </c>
      <c r="EK53" s="25">
        <f>$K53/12*EK$14*$D$64</f>
        <v/>
      </c>
      <c r="EL53" s="25">
        <f>$K53/12*EL$14*$D$64</f>
        <v/>
      </c>
      <c r="EM53" s="25">
        <f>$K53/12*EM$14*$D$64</f>
        <v/>
      </c>
      <c r="EN53" s="25">
        <f>$K53/12*EN$14*$D$64</f>
        <v/>
      </c>
      <c r="EO53" s="25">
        <f>$K53/12*EO$14*$D$64</f>
        <v/>
      </c>
      <c r="EP53" s="25">
        <f>$K53/12*EP$14*$D$64</f>
        <v/>
      </c>
      <c r="EQ53" s="25">
        <f>$K53/12*EQ$14*$D$64</f>
        <v/>
      </c>
      <c r="ER53" s="25">
        <f>$K53/12*ER$14*$D$64</f>
        <v/>
      </c>
      <c r="ES53" s="25">
        <f>$K53/12*ES$14*$D$64</f>
        <v/>
      </c>
      <c r="ET53" s="25">
        <f>$K53/12*ET$14*$D$64</f>
        <v/>
      </c>
      <c r="EU53" s="25">
        <f>$K53/12*EU$14*$D$64</f>
        <v/>
      </c>
      <c r="EV53" s="25">
        <f>$K53/12*EV$14*$D$64</f>
        <v/>
      </c>
      <c r="EW53" s="25">
        <f>$K53/12*EW$14*$D$64</f>
        <v/>
      </c>
      <c r="EX53" s="25">
        <f>$K53/12*EX$14*$D$64</f>
        <v/>
      </c>
    </row>
    <row r="54" customFormat="1" s="16">
      <c r="A54" s="33" t="n"/>
      <c r="B54" s="9" t="n"/>
      <c r="C54" s="78" t="inlineStr">
        <is>
          <t>DY</t>
        </is>
      </c>
      <c r="D54" s="93" t="n"/>
      <c r="E54" s="94">
        <f>D23/E47</f>
        <v/>
      </c>
      <c r="F54" s="81" t="inlineStr">
        <is>
          <t>DY</t>
        </is>
      </c>
      <c r="G54" s="314" t="n">
        <v>0.09</v>
      </c>
      <c r="H54" s="264">
        <f>G23/G54</f>
        <v/>
      </c>
      <c r="I54" s="34" t="n"/>
      <c r="J54" s="315" t="n">
        <v>0.03</v>
      </c>
      <c r="K54" s="267">
        <f>E139</f>
        <v/>
      </c>
      <c r="L54" s="279" t="n"/>
      <c r="M54" s="25">
        <f>SUMIF($V$4:$EX$4,"&lt;="&amp;$H$19,$V54:$EX54)</f>
        <v/>
      </c>
      <c r="N54" s="279" t="n"/>
      <c r="O54" s="280">
        <f>SUMIF($V$5:$EX$5,O$7,$V54:$EX54)</f>
        <v/>
      </c>
      <c r="P54" s="280">
        <f>SUMIF($V$5:$EX$5,P$7,$V54:$EX54)</f>
        <v/>
      </c>
      <c r="Q54" s="280">
        <f>SUMIF($V$5:$EX$5,Q$7,$V54:$EX54)</f>
        <v/>
      </c>
      <c r="R54" s="280">
        <f>SUMIF($V$5:$EX$5,R$7,$V54:$EX54)</f>
        <v/>
      </c>
      <c r="S54" s="280">
        <f>SUMIF($V$5:$EX$5,S$7,$V54:$EX54)</f>
        <v/>
      </c>
      <c r="T54" s="280">
        <f>SUMIF($V$5:$EX$5,T$7,$V54:$EX54)</f>
        <v/>
      </c>
      <c r="U54" s="279" t="n"/>
      <c r="V54" s="25">
        <f>($J$54*V38)</f>
        <v/>
      </c>
      <c r="W54" s="25">
        <f>($J$54*W38)</f>
        <v/>
      </c>
      <c r="X54" s="25">
        <f>($J$54*X38)</f>
        <v/>
      </c>
      <c r="Y54" s="25">
        <f>($J$54*Y38)</f>
        <v/>
      </c>
      <c r="Z54" s="25">
        <f>($J$54*Z38)</f>
        <v/>
      </c>
      <c r="AA54" s="25">
        <f>($J$54*AA38)</f>
        <v/>
      </c>
      <c r="AB54" s="25">
        <f>($J$54*AB38)</f>
        <v/>
      </c>
      <c r="AC54" s="25">
        <f>($J$54*AC38)</f>
        <v/>
      </c>
      <c r="AD54" s="25">
        <f>($J$54*AD38)</f>
        <v/>
      </c>
      <c r="AE54" s="25">
        <f>($J$54*AE38)</f>
        <v/>
      </c>
      <c r="AF54" s="25">
        <f>($J$54*AF38)</f>
        <v/>
      </c>
      <c r="AG54" s="25">
        <f>($J$54*AG38)</f>
        <v/>
      </c>
      <c r="AH54" s="25">
        <f>($J$54*AH38)</f>
        <v/>
      </c>
      <c r="AI54" s="25">
        <f>($J$54*AI38)</f>
        <v/>
      </c>
      <c r="AJ54" s="25">
        <f>($J$54*AJ38)</f>
        <v/>
      </c>
      <c r="AK54" s="25">
        <f>($J$54*AK38)</f>
        <v/>
      </c>
      <c r="AL54" s="25">
        <f>($J$54*AL38)</f>
        <v/>
      </c>
      <c r="AM54" s="25">
        <f>($J$54*AM38)</f>
        <v/>
      </c>
      <c r="AN54" s="25">
        <f>($J$54*AN38)</f>
        <v/>
      </c>
      <c r="AO54" s="25">
        <f>($J$54*AO38)</f>
        <v/>
      </c>
      <c r="AP54" s="25">
        <f>($J$54*AP38)</f>
        <v/>
      </c>
      <c r="AQ54" s="25">
        <f>($J$54*AQ38)</f>
        <v/>
      </c>
      <c r="AR54" s="25">
        <f>($J$54*AR38)</f>
        <v/>
      </c>
      <c r="AS54" s="25">
        <f>($J$54*AS38)</f>
        <v/>
      </c>
      <c r="AT54" s="25">
        <f>($J$54*AT38)</f>
        <v/>
      </c>
      <c r="AU54" s="25">
        <f>($J$54*AU38)</f>
        <v/>
      </c>
      <c r="AV54" s="25">
        <f>($J$54*AV38)</f>
        <v/>
      </c>
      <c r="AW54" s="25">
        <f>($J$54*AW38)</f>
        <v/>
      </c>
      <c r="AX54" s="25">
        <f>($J$54*AX38)</f>
        <v/>
      </c>
      <c r="AY54" s="25">
        <f>($J$54*AY38)</f>
        <v/>
      </c>
      <c r="AZ54" s="25">
        <f>($J$54*AZ38)</f>
        <v/>
      </c>
      <c r="BA54" s="25">
        <f>($J$54*BA38)</f>
        <v/>
      </c>
      <c r="BB54" s="25">
        <f>($J$54*BB38)</f>
        <v/>
      </c>
      <c r="BC54" s="25">
        <f>($J$54*BC38)</f>
        <v/>
      </c>
      <c r="BD54" s="25">
        <f>($J$54*BD38)</f>
        <v/>
      </c>
      <c r="BE54" s="25">
        <f>($J$54*BE38)</f>
        <v/>
      </c>
      <c r="BF54" s="25">
        <f>($J$54*BF38)</f>
        <v/>
      </c>
      <c r="BG54" s="25">
        <f>($J$54*BG38)</f>
        <v/>
      </c>
      <c r="BH54" s="25">
        <f>($J$54*BH38)</f>
        <v/>
      </c>
      <c r="BI54" s="25">
        <f>($J$54*BI38)</f>
        <v/>
      </c>
      <c r="BJ54" s="25">
        <f>($J$54*BJ38)</f>
        <v/>
      </c>
      <c r="BK54" s="25">
        <f>($J$54*BK38)</f>
        <v/>
      </c>
      <c r="BL54" s="25">
        <f>($J$54*BL38)</f>
        <v/>
      </c>
      <c r="BM54" s="25">
        <f>($J$54*BM38)</f>
        <v/>
      </c>
      <c r="BN54" s="25">
        <f>($J$54*BN38)</f>
        <v/>
      </c>
      <c r="BO54" s="25">
        <f>($J$54*BO38)</f>
        <v/>
      </c>
      <c r="BP54" s="25">
        <f>($J$54*BP38)</f>
        <v/>
      </c>
      <c r="BQ54" s="25">
        <f>($J$54*BQ38)</f>
        <v/>
      </c>
      <c r="BR54" s="25">
        <f>($J$54*BR38)</f>
        <v/>
      </c>
      <c r="BS54" s="25">
        <f>($J$54*BS38)</f>
        <v/>
      </c>
      <c r="BT54" s="25">
        <f>($J$54*BT38)</f>
        <v/>
      </c>
      <c r="BU54" s="25">
        <f>($J$54*BU38)</f>
        <v/>
      </c>
      <c r="BV54" s="25">
        <f>($J$54*BV38)</f>
        <v/>
      </c>
      <c r="BW54" s="25">
        <f>($J$54*BW38)</f>
        <v/>
      </c>
      <c r="BX54" s="25">
        <f>($J$54*BX38)</f>
        <v/>
      </c>
      <c r="BY54" s="25">
        <f>($J$54*BY38)</f>
        <v/>
      </c>
      <c r="BZ54" s="25">
        <f>($J$54*BZ38)</f>
        <v/>
      </c>
      <c r="CA54" s="25">
        <f>($J$54*CA38)</f>
        <v/>
      </c>
      <c r="CB54" s="25">
        <f>($J$54*CB38)</f>
        <v/>
      </c>
      <c r="CC54" s="25">
        <f>($J$54*CC38)</f>
        <v/>
      </c>
      <c r="CD54" s="25">
        <f>($J$54*CD38)</f>
        <v/>
      </c>
      <c r="CE54" s="25">
        <f>($J$54*CE38)</f>
        <v/>
      </c>
      <c r="CF54" s="25">
        <f>($J$54*CF38)</f>
        <v/>
      </c>
      <c r="CG54" s="25">
        <f>($J$54*CG38)</f>
        <v/>
      </c>
      <c r="CH54" s="25">
        <f>($J$54*CH38)</f>
        <v/>
      </c>
      <c r="CI54" s="25">
        <f>($J$54*CI38)</f>
        <v/>
      </c>
      <c r="CJ54" s="25">
        <f>($J$54*CJ38)</f>
        <v/>
      </c>
      <c r="CK54" s="25">
        <f>($J$54*CK38)</f>
        <v/>
      </c>
      <c r="CL54" s="25">
        <f>($J$54*CL38)</f>
        <v/>
      </c>
      <c r="CM54" s="25">
        <f>($J$54*CM38)</f>
        <v/>
      </c>
      <c r="CN54" s="25">
        <f>($J$54*CN38)</f>
        <v/>
      </c>
      <c r="CO54" s="25">
        <f>($J$54*CO38)</f>
        <v/>
      </c>
      <c r="CP54" s="25">
        <f>($J$54*CP38)</f>
        <v/>
      </c>
      <c r="CQ54" s="25">
        <f>($J$54*CQ38)</f>
        <v/>
      </c>
      <c r="CR54" s="25">
        <f>($J$54*CR38)</f>
        <v/>
      </c>
      <c r="CS54" s="25">
        <f>($J$54*CS38)</f>
        <v/>
      </c>
      <c r="CT54" s="25">
        <f>($J$54*CT38)</f>
        <v/>
      </c>
      <c r="CU54" s="25">
        <f>($J$54*CU38)</f>
        <v/>
      </c>
      <c r="CV54" s="25">
        <f>($J$54*CV38)</f>
        <v/>
      </c>
      <c r="CW54" s="25">
        <f>($J$54*CW38)</f>
        <v/>
      </c>
      <c r="CX54" s="25">
        <f>($J$54*CX38)</f>
        <v/>
      </c>
      <c r="CY54" s="25">
        <f>($J$54*CY38)</f>
        <v/>
      </c>
      <c r="CZ54" s="25">
        <f>($J$54*CZ38)</f>
        <v/>
      </c>
      <c r="DA54" s="25">
        <f>($J$54*DA38)</f>
        <v/>
      </c>
      <c r="DB54" s="25">
        <f>($J$54*DB38)</f>
        <v/>
      </c>
      <c r="DC54" s="25">
        <f>($J$54*DC38)</f>
        <v/>
      </c>
      <c r="DD54" s="25">
        <f>($J$54*DD38)</f>
        <v/>
      </c>
      <c r="DE54" s="25">
        <f>($J$54*DE38)</f>
        <v/>
      </c>
      <c r="DF54" s="25">
        <f>($J$54*DF38)</f>
        <v/>
      </c>
      <c r="DG54" s="25">
        <f>($J$54*DG38)</f>
        <v/>
      </c>
      <c r="DH54" s="25">
        <f>($J$54*DH38)</f>
        <v/>
      </c>
      <c r="DI54" s="25">
        <f>($J$54*DI38)</f>
        <v/>
      </c>
      <c r="DJ54" s="25">
        <f>($J$54*DJ38)</f>
        <v/>
      </c>
      <c r="DK54" s="25">
        <f>($J$54*DK38)</f>
        <v/>
      </c>
      <c r="DL54" s="25">
        <f>($J$54*DL38)</f>
        <v/>
      </c>
      <c r="DM54" s="25">
        <f>($J$54*DM38)</f>
        <v/>
      </c>
      <c r="DN54" s="25">
        <f>($J$54*DN38)</f>
        <v/>
      </c>
      <c r="DO54" s="25">
        <f>($J$54*DO38)</f>
        <v/>
      </c>
      <c r="DP54" s="25">
        <f>($J$54*DP38)</f>
        <v/>
      </c>
      <c r="DQ54" s="25">
        <f>($J$54*DQ38)</f>
        <v/>
      </c>
      <c r="DR54" s="25">
        <f>($J$54*DR38)</f>
        <v/>
      </c>
      <c r="DS54" s="25">
        <f>($J$54*DS38)</f>
        <v/>
      </c>
      <c r="DT54" s="25">
        <f>($J$54*DT38)</f>
        <v/>
      </c>
      <c r="DU54" s="25">
        <f>($J$54*DU38)</f>
        <v/>
      </c>
      <c r="DV54" s="25">
        <f>($J$54*DV38)</f>
        <v/>
      </c>
      <c r="DW54" s="25">
        <f>($J$54*DW38)</f>
        <v/>
      </c>
      <c r="DX54" s="25">
        <f>($J$54*DX38)</f>
        <v/>
      </c>
      <c r="DY54" s="25">
        <f>($J$54*DY38)</f>
        <v/>
      </c>
      <c r="DZ54" s="25">
        <f>($J$54*DZ38)</f>
        <v/>
      </c>
      <c r="EA54" s="25">
        <f>($J$54*EA38)</f>
        <v/>
      </c>
      <c r="EB54" s="25">
        <f>($J$54*EB38)</f>
        <v/>
      </c>
      <c r="EC54" s="25">
        <f>($J$54*EC38)</f>
        <v/>
      </c>
      <c r="ED54" s="25">
        <f>($J$54*ED38)</f>
        <v/>
      </c>
      <c r="EE54" s="25">
        <f>($J$54*EE38)</f>
        <v/>
      </c>
      <c r="EF54" s="25">
        <f>($J$54*EF38)</f>
        <v/>
      </c>
      <c r="EG54" s="25">
        <f>($J$54*EG38)</f>
        <v/>
      </c>
      <c r="EH54" s="25">
        <f>($J$54*EH38)</f>
        <v/>
      </c>
      <c r="EI54" s="25">
        <f>($J$54*EI38)</f>
        <v/>
      </c>
      <c r="EJ54" s="25">
        <f>($J$54*EJ38)</f>
        <v/>
      </c>
      <c r="EK54" s="25">
        <f>($J$54*EK38)</f>
        <v/>
      </c>
      <c r="EL54" s="25">
        <f>($J$54*EL38)</f>
        <v/>
      </c>
      <c r="EM54" s="25">
        <f>($J$54*EM38)</f>
        <v/>
      </c>
      <c r="EN54" s="25">
        <f>($J$54*EN38)</f>
        <v/>
      </c>
      <c r="EO54" s="25">
        <f>($J$54*EO38)</f>
        <v/>
      </c>
      <c r="EP54" s="25">
        <f>($J$54*EP38)</f>
        <v/>
      </c>
      <c r="EQ54" s="25">
        <f>($J$54*EQ38)</f>
        <v/>
      </c>
      <c r="ER54" s="25">
        <f>($J$54*ER38)</f>
        <v/>
      </c>
      <c r="ES54" s="25">
        <f>($J$54*ES38)</f>
        <v/>
      </c>
      <c r="ET54" s="25">
        <f>($J$54*ET38)</f>
        <v/>
      </c>
      <c r="EU54" s="25">
        <f>($J$54*EU38)</f>
        <v/>
      </c>
      <c r="EV54" s="25">
        <f>($J$54*EV38)</f>
        <v/>
      </c>
      <c r="EW54" s="25">
        <f>($J$54*EW38)</f>
        <v/>
      </c>
      <c r="EX54" s="25">
        <f>($J$54*EX38)</f>
        <v/>
      </c>
    </row>
    <row r="55" customFormat="1" s="16">
      <c r="A55" s="9" t="n"/>
      <c r="C55" s="9" t="n"/>
      <c r="D55" s="9" t="n"/>
      <c r="E55" s="9" t="n"/>
      <c r="F55" s="55" t="inlineStr">
        <is>
          <t>LTV</t>
        </is>
      </c>
      <c r="G55" s="96" t="n"/>
      <c r="H55" s="264">
        <f>G55*G25</f>
        <v/>
      </c>
      <c r="I55" s="12" t="n"/>
      <c r="J55" s="67" t="inlineStr">
        <is>
          <t>Property Tax</t>
        </is>
      </c>
      <c r="K55" s="305" t="n"/>
      <c r="L55" s="282" t="n"/>
      <c r="M55" s="200">
        <f>SUMIF($V$4:$EX$4,"&lt;="&amp;$H$19,$V55:$EX55)</f>
        <v/>
      </c>
      <c r="N55" s="279" t="n"/>
      <c r="O55" s="283">
        <f>SUMIF($V$5:$EX$5,O$7,$V55:$EX55)</f>
        <v/>
      </c>
      <c r="P55" s="283">
        <f>SUMIF($V$5:$EX$5,P$7,$V55:$EX55)</f>
        <v/>
      </c>
      <c r="Q55" s="283">
        <f>SUMIF($V$5:$EX$5,Q$7,$V55:$EX55)</f>
        <v/>
      </c>
      <c r="R55" s="283">
        <f>SUMIF($V$5:$EX$5,R$7,$V55:$EX55)</f>
        <v/>
      </c>
      <c r="S55" s="283">
        <f>SUMIF($V$5:$EX$5,S$7,$V55:$EX55)</f>
        <v/>
      </c>
      <c r="T55" s="283">
        <f>SUMIF($V$5:$EX$5,T$7,$V55:$EX55)</f>
        <v/>
      </c>
      <c r="U55" s="279" t="n"/>
      <c r="V55" s="200" t="n">
        <v>0</v>
      </c>
      <c r="W55" s="200">
        <f>$K55/12*W$14*$D$64</f>
        <v/>
      </c>
      <c r="X55" s="200">
        <f>$K55/12*X$14*$D$64</f>
        <v/>
      </c>
      <c r="Y55" s="200">
        <f>$K55/12*Y$14*$D$64</f>
        <v/>
      </c>
      <c r="Z55" s="200">
        <f>$K55/12*Z$14*$D$64</f>
        <v/>
      </c>
      <c r="AA55" s="200">
        <f>$K55/12*AA$14*$D$64</f>
        <v/>
      </c>
      <c r="AB55" s="200">
        <f>$K55/12*AB$14*$D$64</f>
        <v/>
      </c>
      <c r="AC55" s="200">
        <f>$K55/12*AC$14*$D$64</f>
        <v/>
      </c>
      <c r="AD55" s="200">
        <f>$K55/12*AD$14*$D$64</f>
        <v/>
      </c>
      <c r="AE55" s="200">
        <f>$K55/12*AE$14*$D$64</f>
        <v/>
      </c>
      <c r="AF55" s="200">
        <f>$K55/12*AF$14*$D$64</f>
        <v/>
      </c>
      <c r="AG55" s="200">
        <f>$K55/12*AG$14*$D$64</f>
        <v/>
      </c>
      <c r="AH55" s="200">
        <f>$K55/12*AH$14*$D$64</f>
        <v/>
      </c>
      <c r="AI55" s="200">
        <f>$K55/12*AI$14*$D$64</f>
        <v/>
      </c>
      <c r="AJ55" s="200">
        <f>$K55/12*AJ$14*$D$64</f>
        <v/>
      </c>
      <c r="AK55" s="200">
        <f>$K55/12*AK$14*$D$64</f>
        <v/>
      </c>
      <c r="AL55" s="200">
        <f>$K55/12*AL$14*$D$64</f>
        <v/>
      </c>
      <c r="AM55" s="200">
        <f>$K55/12*AM$14*$D$64</f>
        <v/>
      </c>
      <c r="AN55" s="200">
        <f>$K55/12*AN$14*$D$64</f>
        <v/>
      </c>
      <c r="AO55" s="200">
        <f>$K55/12*AO$14*$D$64</f>
        <v/>
      </c>
      <c r="AP55" s="200">
        <f>$K55/12*AP$14*$D$64</f>
        <v/>
      </c>
      <c r="AQ55" s="200">
        <f>$K55/12*AQ$14*$D$64</f>
        <v/>
      </c>
      <c r="AR55" s="200">
        <f>$K55/12*AR$14*$D$64</f>
        <v/>
      </c>
      <c r="AS55" s="200">
        <f>$K55/12*AS$14*$D$64</f>
        <v/>
      </c>
      <c r="AT55" s="200">
        <f>$K55/12*AT$14*$D$64</f>
        <v/>
      </c>
      <c r="AU55" s="200">
        <f>$K55/12*AU$14*$D$64</f>
        <v/>
      </c>
      <c r="AV55" s="200">
        <f>$K55/12*AV$14*$D$64</f>
        <v/>
      </c>
      <c r="AW55" s="200">
        <f>$K55/12*AW$14*$D$64</f>
        <v/>
      </c>
      <c r="AX55" s="200">
        <f>$K55/12*AX$14*$D$64</f>
        <v/>
      </c>
      <c r="AY55" s="200">
        <f>$K55/12*AY$14*$D$64</f>
        <v/>
      </c>
      <c r="AZ55" s="200">
        <f>$K55/12*AZ$14*$D$64</f>
        <v/>
      </c>
      <c r="BA55" s="200">
        <f>$K55/12*BA$14*$D$64</f>
        <v/>
      </c>
      <c r="BB55" s="200">
        <f>$K55/12*BB$14*$D$64</f>
        <v/>
      </c>
      <c r="BC55" s="200">
        <f>$K55/12*BC$14*$D$64</f>
        <v/>
      </c>
      <c r="BD55" s="200">
        <f>$K55/12*BD$14*$D$64</f>
        <v/>
      </c>
      <c r="BE55" s="200">
        <f>$K55/12*BE$14*$D$64</f>
        <v/>
      </c>
      <c r="BF55" s="200">
        <f>$K55/12*BF$14*$D$64</f>
        <v/>
      </c>
      <c r="BG55" s="200">
        <f>$K55/12*BG$14*$D$64</f>
        <v/>
      </c>
      <c r="BH55" s="200">
        <f>$K55/12*BH$14*$D$64</f>
        <v/>
      </c>
      <c r="BI55" s="200">
        <f>$K55/12*BI$14*$D$64</f>
        <v/>
      </c>
      <c r="BJ55" s="200">
        <f>$K55/12*BJ$14*$D$64</f>
        <v/>
      </c>
      <c r="BK55" s="200">
        <f>$K55/12*BK$14*$D$64</f>
        <v/>
      </c>
      <c r="BL55" s="200">
        <f>$K55/12*BL$14*$D$64</f>
        <v/>
      </c>
      <c r="BM55" s="200">
        <f>$K55/12*BM$14*$D$64</f>
        <v/>
      </c>
      <c r="BN55" s="200">
        <f>$K55/12*BN$14*$D$64</f>
        <v/>
      </c>
      <c r="BO55" s="200">
        <f>$K55/12*BO$14*$D$64</f>
        <v/>
      </c>
      <c r="BP55" s="200">
        <f>$K55/12*BP$14*$D$64</f>
        <v/>
      </c>
      <c r="BQ55" s="200">
        <f>$K55/12*BQ$14*$D$64</f>
        <v/>
      </c>
      <c r="BR55" s="200">
        <f>$K55/12*BR$14*$D$64</f>
        <v/>
      </c>
      <c r="BS55" s="200">
        <f>$K55/12*BS$14*$D$64</f>
        <v/>
      </c>
      <c r="BT55" s="200">
        <f>$K55/12*BT$14*$D$64</f>
        <v/>
      </c>
      <c r="BU55" s="200">
        <f>$K55/12*BU$14*$D$64</f>
        <v/>
      </c>
      <c r="BV55" s="200">
        <f>$K55/12*BV$14*$D$64</f>
        <v/>
      </c>
      <c r="BW55" s="200">
        <f>$K55/12*BW$14*$D$64</f>
        <v/>
      </c>
      <c r="BX55" s="200">
        <f>$K55/12*BX$14*$D$64</f>
        <v/>
      </c>
      <c r="BY55" s="200">
        <f>$K55/12*BY$14*$D$64</f>
        <v/>
      </c>
      <c r="BZ55" s="200">
        <f>$K55/12*BZ$14*$D$64</f>
        <v/>
      </c>
      <c r="CA55" s="200">
        <f>$K55/12*CA$14*$D$64</f>
        <v/>
      </c>
      <c r="CB55" s="200">
        <f>$K55/12*CB$14*$D$64</f>
        <v/>
      </c>
      <c r="CC55" s="200">
        <f>$K55/12*CC$14*$D$64</f>
        <v/>
      </c>
      <c r="CD55" s="200">
        <f>$K55/12*CD$14*$D$64</f>
        <v/>
      </c>
      <c r="CE55" s="200">
        <f>$K55/12*CE$14*$D$64</f>
        <v/>
      </c>
      <c r="CF55" s="200">
        <f>$K55/12*CF$14*$D$64</f>
        <v/>
      </c>
      <c r="CG55" s="200">
        <f>$K55/12*CG$14*$D$64</f>
        <v/>
      </c>
      <c r="CH55" s="200">
        <f>$K55/12*CH$14*$D$64</f>
        <v/>
      </c>
      <c r="CI55" s="200">
        <f>$K55/12*CI$14*$D$64</f>
        <v/>
      </c>
      <c r="CJ55" s="200">
        <f>$K55/12*CJ$14*$D$64</f>
        <v/>
      </c>
      <c r="CK55" s="200">
        <f>$K55/12*CK$14*$D$64</f>
        <v/>
      </c>
      <c r="CL55" s="200">
        <f>$K55/12*CL$14*$D$64</f>
        <v/>
      </c>
      <c r="CM55" s="200">
        <f>$K55/12*CM$14*$D$64</f>
        <v/>
      </c>
      <c r="CN55" s="200">
        <f>$K55/12*CN$14*$D$64</f>
        <v/>
      </c>
      <c r="CO55" s="200">
        <f>$K55/12*CO$14*$D$64</f>
        <v/>
      </c>
      <c r="CP55" s="200">
        <f>$K55/12*CP$14*$D$64</f>
        <v/>
      </c>
      <c r="CQ55" s="200">
        <f>$K55/12*CQ$14*$D$64</f>
        <v/>
      </c>
      <c r="CR55" s="200">
        <f>$K55/12*CR$14*$D$64</f>
        <v/>
      </c>
      <c r="CS55" s="200">
        <f>$K55/12*CS$14*$D$64</f>
        <v/>
      </c>
      <c r="CT55" s="200">
        <f>$K55/12*CT$14*$D$64</f>
        <v/>
      </c>
      <c r="CU55" s="200">
        <f>$K55/12*CU$14*$D$64</f>
        <v/>
      </c>
      <c r="CV55" s="200">
        <f>$K55/12*CV$14*$D$64</f>
        <v/>
      </c>
      <c r="CW55" s="200">
        <f>$K55/12*CW$14*$D$64</f>
        <v/>
      </c>
      <c r="CX55" s="200">
        <f>$K55/12*CX$14*$D$64</f>
        <v/>
      </c>
      <c r="CY55" s="200">
        <f>$K55/12*CY$14*$D$64</f>
        <v/>
      </c>
      <c r="CZ55" s="200">
        <f>$K55/12*CZ$14*$D$64</f>
        <v/>
      </c>
      <c r="DA55" s="200">
        <f>$K55/12*DA$14*$D$64</f>
        <v/>
      </c>
      <c r="DB55" s="200">
        <f>$K55/12*DB$14*$D$64</f>
        <v/>
      </c>
      <c r="DC55" s="200">
        <f>$K55/12*DC$14*$D$64</f>
        <v/>
      </c>
      <c r="DD55" s="200">
        <f>$K55/12*DD$14*$D$64</f>
        <v/>
      </c>
      <c r="DE55" s="200">
        <f>$K55/12*DE$14*$D$64</f>
        <v/>
      </c>
      <c r="DF55" s="200">
        <f>$K55/12*DF$14*$D$64</f>
        <v/>
      </c>
      <c r="DG55" s="200">
        <f>$K55/12*DG$14*$D$64</f>
        <v/>
      </c>
      <c r="DH55" s="200">
        <f>$K55/12*DH$14*$D$64</f>
        <v/>
      </c>
      <c r="DI55" s="200">
        <f>$K55/12*DI$14*$D$64</f>
        <v/>
      </c>
      <c r="DJ55" s="200">
        <f>$K55/12*DJ$14*$D$64</f>
        <v/>
      </c>
      <c r="DK55" s="200">
        <f>$K55/12*DK$14*$D$64</f>
        <v/>
      </c>
      <c r="DL55" s="200">
        <f>$K55/12*DL$14*$D$64</f>
        <v/>
      </c>
      <c r="DM55" s="200">
        <f>$K55/12*DM$14*$D$64</f>
        <v/>
      </c>
      <c r="DN55" s="200">
        <f>$K55/12*DN$14*$D$64</f>
        <v/>
      </c>
      <c r="DO55" s="200">
        <f>$K55/12*DO$14*$D$64</f>
        <v/>
      </c>
      <c r="DP55" s="200">
        <f>$K55/12*DP$14*$D$64</f>
        <v/>
      </c>
      <c r="DQ55" s="200">
        <f>$K55/12*DQ$14*$D$64</f>
        <v/>
      </c>
      <c r="DR55" s="200">
        <f>$K55/12*DR$14*$D$64</f>
        <v/>
      </c>
      <c r="DS55" s="200">
        <f>$K55/12*DS$14*$D$64</f>
        <v/>
      </c>
      <c r="DT55" s="200">
        <f>$K55/12*DT$14*$D$64</f>
        <v/>
      </c>
      <c r="DU55" s="200">
        <f>$K55/12*DU$14*$D$64</f>
        <v/>
      </c>
      <c r="DV55" s="200">
        <f>$K55/12*DV$14*$D$64</f>
        <v/>
      </c>
      <c r="DW55" s="200">
        <f>$K55/12*DW$14*$D$64</f>
        <v/>
      </c>
      <c r="DX55" s="200">
        <f>$K55/12*DX$14*$D$64</f>
        <v/>
      </c>
      <c r="DY55" s="200">
        <f>$K55/12*DY$14*$D$64</f>
        <v/>
      </c>
      <c r="DZ55" s="200">
        <f>$K55/12*DZ$14*$D$64</f>
        <v/>
      </c>
      <c r="EA55" s="200">
        <f>$K55/12*EA$14*$D$64</f>
        <v/>
      </c>
      <c r="EB55" s="200">
        <f>$K55/12*EB$14*$D$64</f>
        <v/>
      </c>
      <c r="EC55" s="200">
        <f>$K55/12*EC$14*$D$64</f>
        <v/>
      </c>
      <c r="ED55" s="200">
        <f>$K55/12*ED$14*$D$64</f>
        <v/>
      </c>
      <c r="EE55" s="200">
        <f>$K55/12*EE$14*$D$64</f>
        <v/>
      </c>
      <c r="EF55" s="200">
        <f>$K55/12*EF$14*$D$64</f>
        <v/>
      </c>
      <c r="EG55" s="200">
        <f>$K55/12*EG$14*$D$64</f>
        <v/>
      </c>
      <c r="EH55" s="200">
        <f>$K55/12*EH$14*$D$64</f>
        <v/>
      </c>
      <c r="EI55" s="200">
        <f>$K55/12*EI$14*$D$64</f>
        <v/>
      </c>
      <c r="EJ55" s="200">
        <f>$K55/12*EJ$14*$D$64</f>
        <v/>
      </c>
      <c r="EK55" s="200">
        <f>$K55/12*EK$14*$D$64</f>
        <v/>
      </c>
      <c r="EL55" s="200">
        <f>$K55/12*EL$14*$D$64</f>
        <v/>
      </c>
      <c r="EM55" s="200">
        <f>$K55/12*EM$14*$D$64</f>
        <v/>
      </c>
      <c r="EN55" s="200">
        <f>$K55/12*EN$14*$D$64</f>
        <v/>
      </c>
      <c r="EO55" s="200">
        <f>$K55/12*EO$14*$D$64</f>
        <v/>
      </c>
      <c r="EP55" s="200">
        <f>$K55/12*EP$14*$D$64</f>
        <v/>
      </c>
      <c r="EQ55" s="200">
        <f>$K55/12*EQ$14*$D$64</f>
        <v/>
      </c>
      <c r="ER55" s="200">
        <f>$K55/12*ER$14*$D$64</f>
        <v/>
      </c>
      <c r="ES55" s="200">
        <f>$K55/12*ES$14*$D$64</f>
        <v/>
      </c>
      <c r="ET55" s="200">
        <f>$K55/12*ET$14*$D$64</f>
        <v/>
      </c>
      <c r="EU55" s="200">
        <f>$K55/12*EU$14*$D$64</f>
        <v/>
      </c>
      <c r="EV55" s="200">
        <f>$K55/12*EV$14*$D$64</f>
        <v/>
      </c>
      <c r="EW55" s="200">
        <f>$K55/12*EW$14*$D$64</f>
        <v/>
      </c>
      <c r="EX55" s="200">
        <f>$K55/12*EX$14*$D$64</f>
        <v/>
      </c>
    </row>
    <row r="56">
      <c r="A56" s="33" t="n"/>
      <c r="B56" s="16" t="n"/>
      <c r="C56" s="248" t="b">
        <v>0</v>
      </c>
      <c r="I56" s="34" t="n"/>
      <c r="J56" s="266" t="inlineStr">
        <is>
          <t>Total Non-controllable Opex</t>
        </is>
      </c>
      <c r="K56" s="316" t="n"/>
      <c r="L56" s="308" t="n"/>
      <c r="M56" s="266">
        <f>SUMIF($V$4:$EX$4,"&lt;="&amp;$H$19,$V56:$EX56)</f>
        <v/>
      </c>
      <c r="N56" s="270" t="n"/>
      <c r="O56" s="266">
        <f>SUMIF($V$5:$EX$5,O$7,$V56:$EX56)</f>
        <v/>
      </c>
      <c r="P56" s="266">
        <f>SUMIF($V$5:$EX$5,P$7,$V56:$EX56)</f>
        <v/>
      </c>
      <c r="Q56" s="266">
        <f>SUMIF($V$5:$EX$5,Q$7,$V56:$EX56)</f>
        <v/>
      </c>
      <c r="R56" s="266">
        <f>SUMIF($V$5:$EX$5,R$7,$V56:$EX56)</f>
        <v/>
      </c>
      <c r="S56" s="266">
        <f>SUMIF($V$5:$EX$5,S$7,$V56:$EX56)</f>
        <v/>
      </c>
      <c r="T56" s="266">
        <f>SUMIF($V$5:$EX$5,T$7,$V56:$EX56)</f>
        <v/>
      </c>
      <c r="U56" s="270" t="n"/>
      <c r="V56" s="269">
        <f>SUM(V52:V55)</f>
        <v/>
      </c>
      <c r="W56" s="266">
        <f>SUM(W52:W55)</f>
        <v/>
      </c>
      <c r="X56" s="266">
        <f>SUM(X52:X55)</f>
        <v/>
      </c>
      <c r="Y56" s="266">
        <f>SUM(Y52:Y55)</f>
        <v/>
      </c>
      <c r="Z56" s="266">
        <f>SUM(Z52:Z55)</f>
        <v/>
      </c>
      <c r="AA56" s="266">
        <f>SUM(AA52:AA55)</f>
        <v/>
      </c>
      <c r="AB56" s="266">
        <f>SUM(AB52:AB55)</f>
        <v/>
      </c>
      <c r="AC56" s="266">
        <f>SUM(AC52:AC55)</f>
        <v/>
      </c>
      <c r="AD56" s="266">
        <f>SUM(AD52:AD55)</f>
        <v/>
      </c>
      <c r="AE56" s="266">
        <f>SUM(AE52:AE55)</f>
        <v/>
      </c>
      <c r="AF56" s="266">
        <f>SUM(AF52:AF55)</f>
        <v/>
      </c>
      <c r="AG56" s="266">
        <f>SUM(AG52:AG55)</f>
        <v/>
      </c>
      <c r="AH56" s="266">
        <f>SUM(AH52:AH55)</f>
        <v/>
      </c>
      <c r="AI56" s="266">
        <f>SUM(AI52:AI55)</f>
        <v/>
      </c>
      <c r="AJ56" s="266">
        <f>SUM(AJ52:AJ55)</f>
        <v/>
      </c>
      <c r="AK56" s="266">
        <f>SUM(AK52:AK55)</f>
        <v/>
      </c>
      <c r="AL56" s="266">
        <f>SUM(AL52:AL55)</f>
        <v/>
      </c>
      <c r="AM56" s="266">
        <f>SUM(AM52:AM55)</f>
        <v/>
      </c>
      <c r="AN56" s="266">
        <f>SUM(AN52:AN55)</f>
        <v/>
      </c>
      <c r="AO56" s="266">
        <f>SUM(AO52:AO55)</f>
        <v/>
      </c>
      <c r="AP56" s="266">
        <f>SUM(AP52:AP55)</f>
        <v/>
      </c>
      <c r="AQ56" s="266">
        <f>SUM(AQ52:AQ55)</f>
        <v/>
      </c>
      <c r="AR56" s="266">
        <f>SUM(AR52:AR55)</f>
        <v/>
      </c>
      <c r="AS56" s="266">
        <f>SUM(AS52:AS55)</f>
        <v/>
      </c>
      <c r="AT56" s="266">
        <f>SUM(AT52:AT55)</f>
        <v/>
      </c>
      <c r="AU56" s="266">
        <f>SUM(AU52:AU55)</f>
        <v/>
      </c>
      <c r="AV56" s="266">
        <f>SUM(AV52:AV55)</f>
        <v/>
      </c>
      <c r="AW56" s="266">
        <f>SUM(AW52:AW55)</f>
        <v/>
      </c>
      <c r="AX56" s="266">
        <f>SUM(AX52:AX55)</f>
        <v/>
      </c>
      <c r="AY56" s="266">
        <f>SUM(AY52:AY55)</f>
        <v/>
      </c>
      <c r="AZ56" s="266">
        <f>SUM(AZ52:AZ55)</f>
        <v/>
      </c>
      <c r="BA56" s="266">
        <f>SUM(BA52:BA55)</f>
        <v/>
      </c>
      <c r="BB56" s="266">
        <f>SUM(BB52:BB55)</f>
        <v/>
      </c>
      <c r="BC56" s="266">
        <f>SUM(BC52:BC55)</f>
        <v/>
      </c>
      <c r="BD56" s="266">
        <f>SUM(BD52:BD55)</f>
        <v/>
      </c>
      <c r="BE56" s="266">
        <f>SUM(BE52:BE55)</f>
        <v/>
      </c>
      <c r="BF56" s="266">
        <f>SUM(BF52:BF55)</f>
        <v/>
      </c>
      <c r="BG56" s="266">
        <f>SUM(BG52:BG55)</f>
        <v/>
      </c>
      <c r="BH56" s="266">
        <f>SUM(BH52:BH55)</f>
        <v/>
      </c>
      <c r="BI56" s="266">
        <f>SUM(BI52:BI55)</f>
        <v/>
      </c>
      <c r="BJ56" s="266">
        <f>SUM(BJ52:BJ55)</f>
        <v/>
      </c>
      <c r="BK56" s="266">
        <f>SUM(BK52:BK55)</f>
        <v/>
      </c>
      <c r="BL56" s="266">
        <f>SUM(BL52:BL55)</f>
        <v/>
      </c>
      <c r="BM56" s="266">
        <f>SUM(BM52:BM55)</f>
        <v/>
      </c>
      <c r="BN56" s="266">
        <f>SUM(BN52:BN55)</f>
        <v/>
      </c>
      <c r="BO56" s="266">
        <f>SUM(BO52:BO55)</f>
        <v/>
      </c>
      <c r="BP56" s="266">
        <f>SUM(BP52:BP55)</f>
        <v/>
      </c>
      <c r="BQ56" s="266">
        <f>SUM(BQ52:BQ55)</f>
        <v/>
      </c>
      <c r="BR56" s="266">
        <f>SUM(BR52:BR55)</f>
        <v/>
      </c>
      <c r="BS56" s="266">
        <f>SUM(BS52:BS55)</f>
        <v/>
      </c>
      <c r="BT56" s="266">
        <f>SUM(BT52:BT55)</f>
        <v/>
      </c>
      <c r="BU56" s="266">
        <f>SUM(BU52:BU55)</f>
        <v/>
      </c>
      <c r="BV56" s="266">
        <f>SUM(BV52:BV55)</f>
        <v/>
      </c>
      <c r="BW56" s="266">
        <f>SUM(BW52:BW55)</f>
        <v/>
      </c>
      <c r="BX56" s="266">
        <f>SUM(BX52:BX55)</f>
        <v/>
      </c>
      <c r="BY56" s="266">
        <f>SUM(BY52:BY55)</f>
        <v/>
      </c>
      <c r="BZ56" s="266">
        <f>SUM(BZ52:BZ55)</f>
        <v/>
      </c>
      <c r="CA56" s="266">
        <f>SUM(CA52:CA55)</f>
        <v/>
      </c>
      <c r="CB56" s="266">
        <f>SUM(CB52:CB55)</f>
        <v/>
      </c>
      <c r="CC56" s="266">
        <f>SUM(CC52:CC55)</f>
        <v/>
      </c>
      <c r="CD56" s="266">
        <f>SUM(CD52:CD55)</f>
        <v/>
      </c>
      <c r="CE56" s="266">
        <f>SUM(CE52:CE55)</f>
        <v/>
      </c>
      <c r="CF56" s="266">
        <f>SUM(CF52:CF55)</f>
        <v/>
      </c>
      <c r="CG56" s="266">
        <f>SUM(CG52:CG55)</f>
        <v/>
      </c>
      <c r="CH56" s="266">
        <f>SUM(CH52:CH55)</f>
        <v/>
      </c>
      <c r="CI56" s="266">
        <f>SUM(CI52:CI55)</f>
        <v/>
      </c>
      <c r="CJ56" s="266">
        <f>SUM(CJ52:CJ55)</f>
        <v/>
      </c>
      <c r="CK56" s="266">
        <f>SUM(CK52:CK55)</f>
        <v/>
      </c>
      <c r="CL56" s="266">
        <f>SUM(CL52:CL55)</f>
        <v/>
      </c>
      <c r="CM56" s="266">
        <f>SUM(CM52:CM55)</f>
        <v/>
      </c>
      <c r="CN56" s="266">
        <f>SUM(CN52:CN55)</f>
        <v/>
      </c>
      <c r="CO56" s="266">
        <f>SUM(CO52:CO55)</f>
        <v/>
      </c>
      <c r="CP56" s="266">
        <f>SUM(CP52:CP55)</f>
        <v/>
      </c>
      <c r="CQ56" s="266">
        <f>SUM(CQ52:CQ55)</f>
        <v/>
      </c>
      <c r="CR56" s="266">
        <f>SUM(CR52:CR55)</f>
        <v/>
      </c>
      <c r="CS56" s="266">
        <f>SUM(CS52:CS55)</f>
        <v/>
      </c>
      <c r="CT56" s="266">
        <f>SUM(CT52:CT55)</f>
        <v/>
      </c>
      <c r="CU56" s="266">
        <f>SUM(CU52:CU55)</f>
        <v/>
      </c>
      <c r="CV56" s="266">
        <f>SUM(CV52:CV55)</f>
        <v/>
      </c>
      <c r="CW56" s="266">
        <f>SUM(CW52:CW55)</f>
        <v/>
      </c>
      <c r="CX56" s="266">
        <f>SUM(CX52:CX55)</f>
        <v/>
      </c>
      <c r="CY56" s="266">
        <f>SUM(CY52:CY55)</f>
        <v/>
      </c>
      <c r="CZ56" s="266">
        <f>SUM(CZ52:CZ55)</f>
        <v/>
      </c>
      <c r="DA56" s="266">
        <f>SUM(DA52:DA55)</f>
        <v/>
      </c>
      <c r="DB56" s="266">
        <f>SUM(DB52:DB55)</f>
        <v/>
      </c>
      <c r="DC56" s="266">
        <f>SUM(DC52:DC55)</f>
        <v/>
      </c>
      <c r="DD56" s="266">
        <f>SUM(DD52:DD55)</f>
        <v/>
      </c>
      <c r="DE56" s="266">
        <f>SUM(DE52:DE55)</f>
        <v/>
      </c>
      <c r="DF56" s="266">
        <f>SUM(DF52:DF55)</f>
        <v/>
      </c>
      <c r="DG56" s="266">
        <f>SUM(DG52:DG55)</f>
        <v/>
      </c>
      <c r="DH56" s="266">
        <f>SUM(DH52:DH55)</f>
        <v/>
      </c>
      <c r="DI56" s="266">
        <f>SUM(DI52:DI55)</f>
        <v/>
      </c>
      <c r="DJ56" s="266">
        <f>SUM(DJ52:DJ55)</f>
        <v/>
      </c>
      <c r="DK56" s="266">
        <f>SUM(DK52:DK55)</f>
        <v/>
      </c>
      <c r="DL56" s="266">
        <f>SUM(DL52:DL55)</f>
        <v/>
      </c>
      <c r="DM56" s="266">
        <f>SUM(DM52:DM55)</f>
        <v/>
      </c>
      <c r="DN56" s="266">
        <f>SUM(DN52:DN55)</f>
        <v/>
      </c>
      <c r="DO56" s="266">
        <f>SUM(DO52:DO55)</f>
        <v/>
      </c>
      <c r="DP56" s="266">
        <f>SUM(DP52:DP55)</f>
        <v/>
      </c>
      <c r="DQ56" s="266">
        <f>SUM(DQ52:DQ55)</f>
        <v/>
      </c>
      <c r="DR56" s="266">
        <f>SUM(DR52:DR55)</f>
        <v/>
      </c>
      <c r="DS56" s="266">
        <f>SUM(DS52:DS55)</f>
        <v/>
      </c>
      <c r="DT56" s="266">
        <f>SUM(DT52:DT55)</f>
        <v/>
      </c>
      <c r="DU56" s="266">
        <f>SUM(DU52:DU55)</f>
        <v/>
      </c>
      <c r="DV56" s="266">
        <f>SUM(DV52:DV55)</f>
        <v/>
      </c>
      <c r="DW56" s="266">
        <f>SUM(DW52:DW55)</f>
        <v/>
      </c>
      <c r="DX56" s="266">
        <f>SUM(DX52:DX55)</f>
        <v/>
      </c>
      <c r="DY56" s="266">
        <f>SUM(DY52:DY55)</f>
        <v/>
      </c>
      <c r="DZ56" s="266">
        <f>SUM(DZ52:DZ55)</f>
        <v/>
      </c>
      <c r="EA56" s="266">
        <f>SUM(EA52:EA55)</f>
        <v/>
      </c>
      <c r="EB56" s="266">
        <f>SUM(EB52:EB55)</f>
        <v/>
      </c>
      <c r="EC56" s="266">
        <f>SUM(EC52:EC55)</f>
        <v/>
      </c>
      <c r="ED56" s="266">
        <f>SUM(ED52:ED55)</f>
        <v/>
      </c>
      <c r="EE56" s="266">
        <f>SUM(EE52:EE55)</f>
        <v/>
      </c>
      <c r="EF56" s="266">
        <f>SUM(EF52:EF55)</f>
        <v/>
      </c>
      <c r="EG56" s="266">
        <f>SUM(EG52:EG55)</f>
        <v/>
      </c>
      <c r="EH56" s="266">
        <f>SUM(EH52:EH55)</f>
        <v/>
      </c>
      <c r="EI56" s="266">
        <f>SUM(EI52:EI55)</f>
        <v/>
      </c>
      <c r="EJ56" s="266">
        <f>SUM(EJ52:EJ55)</f>
        <v/>
      </c>
      <c r="EK56" s="266">
        <f>SUM(EK52:EK55)</f>
        <v/>
      </c>
      <c r="EL56" s="266">
        <f>SUM(EL52:EL55)</f>
        <v/>
      </c>
      <c r="EM56" s="266">
        <f>SUM(EM52:EM55)</f>
        <v/>
      </c>
      <c r="EN56" s="266">
        <f>SUM(EN52:EN55)</f>
        <v/>
      </c>
      <c r="EO56" s="266">
        <f>SUM(EO52:EO55)</f>
        <v/>
      </c>
      <c r="EP56" s="266">
        <f>SUM(EP52:EP55)</f>
        <v/>
      </c>
      <c r="EQ56" s="266">
        <f>SUM(EQ52:EQ55)</f>
        <v/>
      </c>
      <c r="ER56" s="266">
        <f>SUM(ER52:ER55)</f>
        <v/>
      </c>
      <c r="ES56" s="266">
        <f>SUM(ES52:ES55)</f>
        <v/>
      </c>
      <c r="ET56" s="266">
        <f>SUM(ET52:ET55)</f>
        <v/>
      </c>
      <c r="EU56" s="266">
        <f>SUM(EU52:EU55)</f>
        <v/>
      </c>
      <c r="EV56" s="266">
        <f>SUM(EV52:EV55)</f>
        <v/>
      </c>
      <c r="EW56" s="266">
        <f>SUM(EW52:EW55)</f>
        <v/>
      </c>
      <c r="EX56" s="266">
        <f>SUM(EX52:EX55)</f>
        <v/>
      </c>
    </row>
    <row r="57">
      <c r="B57" s="16" t="n"/>
      <c r="C57" s="16" t="n"/>
      <c r="D57" s="16" t="n"/>
      <c r="E57" s="16" t="n"/>
      <c r="F57" s="16" t="n"/>
      <c r="G57" s="16" t="n"/>
      <c r="N57" s="279" t="n"/>
      <c r="O57" s="280" t="n"/>
      <c r="P57" s="280" t="n"/>
      <c r="Q57" s="280" t="n"/>
      <c r="R57" s="280" t="n"/>
      <c r="S57" s="280" t="n"/>
      <c r="T57" s="280" t="n"/>
      <c r="U57" s="279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  <c r="BI57" s="280" t="n"/>
      <c r="BJ57" s="280" t="n"/>
      <c r="BK57" s="280" t="n"/>
      <c r="BL57" s="280" t="n"/>
      <c r="BM57" s="280" t="n"/>
      <c r="BN57" s="280" t="n"/>
      <c r="BO57" s="280" t="n"/>
      <c r="BP57" s="280" t="n"/>
      <c r="BQ57" s="280" t="n"/>
      <c r="BR57" s="280" t="n"/>
      <c r="BS57" s="280" t="n"/>
      <c r="BT57" s="280" t="n"/>
      <c r="BU57" s="280" t="n"/>
      <c r="BV57" s="280" t="n"/>
      <c r="BW57" s="280" t="n"/>
      <c r="BX57" s="280" t="n"/>
      <c r="BY57" s="280" t="n"/>
      <c r="BZ57" s="280" t="n"/>
      <c r="CA57" s="280" t="n"/>
      <c r="CB57" s="280" t="n"/>
      <c r="CC57" s="280" t="n"/>
      <c r="CD57" s="280" t="n"/>
      <c r="CE57" s="280" t="n"/>
      <c r="CF57" s="280" t="n"/>
      <c r="CG57" s="280" t="n"/>
      <c r="CH57" s="280" t="n"/>
      <c r="CI57" s="280" t="n"/>
      <c r="CJ57" s="280" t="n"/>
      <c r="CK57" s="280" t="n"/>
      <c r="CL57" s="280" t="n"/>
      <c r="CM57" s="280" t="n"/>
      <c r="CN57" s="280" t="n"/>
      <c r="CO57" s="280" t="n"/>
      <c r="CP57" s="280" t="n"/>
      <c r="CQ57" s="280" t="n"/>
      <c r="CR57" s="280" t="n"/>
      <c r="CS57" s="280" t="n"/>
      <c r="CT57" s="280" t="n"/>
      <c r="CU57" s="280" t="n"/>
      <c r="CV57" s="280" t="n"/>
      <c r="CW57" s="280" t="n"/>
      <c r="CX57" s="280" t="n"/>
      <c r="CY57" s="280" t="n"/>
      <c r="CZ57" s="280" t="n"/>
      <c r="DA57" s="280" t="n"/>
      <c r="DB57" s="280" t="n"/>
      <c r="DC57" s="280" t="n"/>
      <c r="DD57" s="280" t="n"/>
      <c r="DE57" s="280" t="n"/>
      <c r="DF57" s="280" t="n"/>
      <c r="DG57" s="280" t="n"/>
      <c r="DH57" s="280" t="n"/>
      <c r="DI57" s="280" t="n"/>
      <c r="DJ57" s="280" t="n"/>
      <c r="DK57" s="280" t="n"/>
      <c r="DL57" s="280" t="n"/>
      <c r="DM57" s="280" t="n"/>
      <c r="DN57" s="280" t="n"/>
      <c r="DO57" s="280" t="n"/>
      <c r="DP57" s="280" t="n"/>
      <c r="DQ57" s="280" t="n"/>
      <c r="DR57" s="280" t="n"/>
      <c r="DS57" s="280" t="n"/>
      <c r="DT57" s="280" t="n"/>
      <c r="DU57" s="280" t="n"/>
      <c r="DV57" s="280" t="n"/>
      <c r="DW57" s="280" t="n"/>
      <c r="DX57" s="280" t="n"/>
      <c r="DY57" s="280" t="n"/>
      <c r="DZ57" s="280" t="n"/>
      <c r="EA57" s="280" t="n"/>
      <c r="EB57" s="280" t="n"/>
      <c r="EC57" s="280" t="n"/>
      <c r="ED57" s="280" t="n"/>
      <c r="EE57" s="280" t="n"/>
      <c r="EF57" s="280" t="n"/>
      <c r="EG57" s="280" t="n"/>
      <c r="EH57" s="280" t="n"/>
      <c r="EI57" s="280" t="n"/>
      <c r="EJ57" s="280" t="n"/>
      <c r="EK57" s="280" t="n"/>
      <c r="EL57" s="280" t="n"/>
      <c r="EM57" s="280" t="n"/>
      <c r="EN57" s="280" t="n"/>
      <c r="EO57" s="280" t="n"/>
      <c r="EP57" s="280" t="n"/>
      <c r="EQ57" s="280" t="n"/>
      <c r="ER57" s="280" t="n"/>
      <c r="ES57" s="280" t="n"/>
      <c r="ET57" s="280" t="n"/>
      <c r="EU57" s="280" t="n"/>
      <c r="EV57" s="280" t="n"/>
      <c r="EW57" s="280" t="n"/>
      <c r="EX57" s="280" t="n"/>
    </row>
    <row r="58">
      <c r="C58" s="7" t="inlineStr">
        <is>
          <t>Pro Forma</t>
        </is>
      </c>
      <c r="D58" s="7" t="n"/>
      <c r="E58" s="7" t="n"/>
      <c r="F58" s="7" t="n"/>
      <c r="G58" s="7" t="n"/>
      <c r="H58" s="7" t="n"/>
      <c r="J58" s="294" t="inlineStr">
        <is>
          <t>Total Opex</t>
        </is>
      </c>
      <c r="K58" s="294" t="n"/>
      <c r="L58" s="270" t="n"/>
      <c r="M58" s="294">
        <f>SUMIF($V$4:$EX$4,"&lt;="&amp;$H$19,$V58:$EX58)</f>
        <v/>
      </c>
      <c r="N58" s="270" t="n"/>
      <c r="O58" s="294">
        <f>SUMIF($V$5:$EX$5,O$7,$V58:$EX58)</f>
        <v/>
      </c>
      <c r="P58" s="294">
        <f>SUMIF($V$5:$EX$5,P$7,$V58:$EX58)</f>
        <v/>
      </c>
      <c r="Q58" s="294">
        <f>SUMIF($V$5:$EX$5,Q$7,$V58:$EX58)</f>
        <v/>
      </c>
      <c r="R58" s="294">
        <f>SUMIF($V$5:$EX$5,R$7,$V58:$EX58)</f>
        <v/>
      </c>
      <c r="S58" s="294">
        <f>SUMIF($V$5:$EX$5,S$7,$V58:$EX58)</f>
        <v/>
      </c>
      <c r="T58" s="294">
        <f>SUMIF($V$5:$EX$5,T$7,$V58:$EX58)</f>
        <v/>
      </c>
      <c r="U58" s="270" t="n"/>
      <c r="V58" s="294">
        <f>SUM(V49,V56)</f>
        <v/>
      </c>
      <c r="W58" s="294">
        <f>SUM(W49,W56)</f>
        <v/>
      </c>
      <c r="X58" s="294">
        <f>SUM(X49,X56)</f>
        <v/>
      </c>
      <c r="Y58" s="294">
        <f>SUM(Y49,Y56)</f>
        <v/>
      </c>
      <c r="Z58" s="294">
        <f>SUM(Z49,Z56)</f>
        <v/>
      </c>
      <c r="AA58" s="294">
        <f>SUM(AA49,AA56)</f>
        <v/>
      </c>
      <c r="AB58" s="294">
        <f>SUM(AB49,AB56)</f>
        <v/>
      </c>
      <c r="AC58" s="294">
        <f>SUM(AC49,AC56)</f>
        <v/>
      </c>
      <c r="AD58" s="294">
        <f>SUM(AD49,AD56)</f>
        <v/>
      </c>
      <c r="AE58" s="294">
        <f>SUM(AE49,AE56)</f>
        <v/>
      </c>
      <c r="AF58" s="294">
        <f>SUM(AF49,AF56)</f>
        <v/>
      </c>
      <c r="AG58" s="294">
        <f>SUM(AG49,AG56)</f>
        <v/>
      </c>
      <c r="AH58" s="294">
        <f>SUM(AH49,AH56)</f>
        <v/>
      </c>
      <c r="AI58" s="294">
        <f>SUM(AI49,AI56)</f>
        <v/>
      </c>
      <c r="AJ58" s="294">
        <f>SUM(AJ49,AJ56)</f>
        <v/>
      </c>
      <c r="AK58" s="294">
        <f>SUM(AK49,AK56)</f>
        <v/>
      </c>
      <c r="AL58" s="294">
        <f>SUM(AL49,AL56)</f>
        <v/>
      </c>
      <c r="AM58" s="294">
        <f>SUM(AM49,AM56)</f>
        <v/>
      </c>
      <c r="AN58" s="294">
        <f>SUM(AN49,AN56)</f>
        <v/>
      </c>
      <c r="AO58" s="294">
        <f>SUM(AO49,AO56)</f>
        <v/>
      </c>
      <c r="AP58" s="294">
        <f>SUM(AP49,AP56)</f>
        <v/>
      </c>
      <c r="AQ58" s="294">
        <f>SUM(AQ49,AQ56)</f>
        <v/>
      </c>
      <c r="AR58" s="294">
        <f>SUM(AR49,AR56)</f>
        <v/>
      </c>
      <c r="AS58" s="294">
        <f>SUM(AS49,AS56)</f>
        <v/>
      </c>
      <c r="AT58" s="294">
        <f>SUM(AT49,AT56)</f>
        <v/>
      </c>
      <c r="AU58" s="294">
        <f>SUM(AU49,AU56)</f>
        <v/>
      </c>
      <c r="AV58" s="294">
        <f>SUM(AV49,AV56)</f>
        <v/>
      </c>
      <c r="AW58" s="294">
        <f>SUM(AW49,AW56)</f>
        <v/>
      </c>
      <c r="AX58" s="294">
        <f>SUM(AX49,AX56)</f>
        <v/>
      </c>
      <c r="AY58" s="294">
        <f>SUM(AY49,AY56)</f>
        <v/>
      </c>
      <c r="AZ58" s="294">
        <f>SUM(AZ49,AZ56)</f>
        <v/>
      </c>
      <c r="BA58" s="294">
        <f>SUM(BA49,BA56)</f>
        <v/>
      </c>
      <c r="BB58" s="294">
        <f>SUM(BB49,BB56)</f>
        <v/>
      </c>
      <c r="BC58" s="294">
        <f>SUM(BC49,BC56)</f>
        <v/>
      </c>
      <c r="BD58" s="294">
        <f>SUM(BD49,BD56)</f>
        <v/>
      </c>
      <c r="BE58" s="294">
        <f>SUM(BE49,BE56)</f>
        <v/>
      </c>
      <c r="BF58" s="294">
        <f>SUM(BF49,BF56)</f>
        <v/>
      </c>
      <c r="BG58" s="294">
        <f>SUM(BG49,BG56)</f>
        <v/>
      </c>
      <c r="BH58" s="294">
        <f>SUM(BH49,BH56)</f>
        <v/>
      </c>
      <c r="BI58" s="294">
        <f>SUM(BI49,BI56)</f>
        <v/>
      </c>
      <c r="BJ58" s="294">
        <f>SUM(BJ49,BJ56)</f>
        <v/>
      </c>
      <c r="BK58" s="294">
        <f>SUM(BK49,BK56)</f>
        <v/>
      </c>
      <c r="BL58" s="294">
        <f>SUM(BL49,BL56)</f>
        <v/>
      </c>
      <c r="BM58" s="294">
        <f>SUM(BM49,BM56)</f>
        <v/>
      </c>
      <c r="BN58" s="294">
        <f>SUM(BN49,BN56)</f>
        <v/>
      </c>
      <c r="BO58" s="294">
        <f>SUM(BO49,BO56)</f>
        <v/>
      </c>
      <c r="BP58" s="294">
        <f>SUM(BP49,BP56)</f>
        <v/>
      </c>
      <c r="BQ58" s="294">
        <f>SUM(BQ49,BQ56)</f>
        <v/>
      </c>
      <c r="BR58" s="294">
        <f>SUM(BR49,BR56)</f>
        <v/>
      </c>
      <c r="BS58" s="294">
        <f>SUM(BS49,BS56)</f>
        <v/>
      </c>
      <c r="BT58" s="294">
        <f>SUM(BT49,BT56)</f>
        <v/>
      </c>
      <c r="BU58" s="294">
        <f>SUM(BU49,BU56)</f>
        <v/>
      </c>
      <c r="BV58" s="294">
        <f>SUM(BV49,BV56)</f>
        <v/>
      </c>
      <c r="BW58" s="294">
        <f>SUM(BW49,BW56)</f>
        <v/>
      </c>
      <c r="BX58" s="294">
        <f>SUM(BX49,BX56)</f>
        <v/>
      </c>
      <c r="BY58" s="294">
        <f>SUM(BY49,BY56)</f>
        <v/>
      </c>
      <c r="BZ58" s="294">
        <f>SUM(BZ49,BZ56)</f>
        <v/>
      </c>
      <c r="CA58" s="294">
        <f>SUM(CA49,CA56)</f>
        <v/>
      </c>
      <c r="CB58" s="294">
        <f>SUM(CB49,CB56)</f>
        <v/>
      </c>
      <c r="CC58" s="294">
        <f>SUM(CC49,CC56)</f>
        <v/>
      </c>
      <c r="CD58" s="294">
        <f>SUM(CD49,CD56)</f>
        <v/>
      </c>
      <c r="CE58" s="294">
        <f>SUM(CE49,CE56)</f>
        <v/>
      </c>
      <c r="CF58" s="294">
        <f>SUM(CF49,CF56)</f>
        <v/>
      </c>
      <c r="CG58" s="294">
        <f>SUM(CG49,CG56)</f>
        <v/>
      </c>
      <c r="CH58" s="294">
        <f>SUM(CH49,CH56)</f>
        <v/>
      </c>
      <c r="CI58" s="294">
        <f>SUM(CI49,CI56)</f>
        <v/>
      </c>
      <c r="CJ58" s="294">
        <f>SUM(CJ49,CJ56)</f>
        <v/>
      </c>
      <c r="CK58" s="294">
        <f>SUM(CK49,CK56)</f>
        <v/>
      </c>
      <c r="CL58" s="294">
        <f>SUM(CL49,CL56)</f>
        <v/>
      </c>
      <c r="CM58" s="294">
        <f>SUM(CM49,CM56)</f>
        <v/>
      </c>
      <c r="CN58" s="294">
        <f>SUM(CN49,CN56)</f>
        <v/>
      </c>
      <c r="CO58" s="294">
        <f>SUM(CO49,CO56)</f>
        <v/>
      </c>
      <c r="CP58" s="294">
        <f>SUM(CP49,CP56)</f>
        <v/>
      </c>
      <c r="CQ58" s="294">
        <f>SUM(CQ49,CQ56)</f>
        <v/>
      </c>
      <c r="CR58" s="294">
        <f>SUM(CR49,CR56)</f>
        <v/>
      </c>
      <c r="CS58" s="294">
        <f>SUM(CS49,CS56)</f>
        <v/>
      </c>
      <c r="CT58" s="294">
        <f>SUM(CT49,CT56)</f>
        <v/>
      </c>
      <c r="CU58" s="294">
        <f>SUM(CU49,CU56)</f>
        <v/>
      </c>
      <c r="CV58" s="294">
        <f>SUM(CV49,CV56)</f>
        <v/>
      </c>
      <c r="CW58" s="294">
        <f>SUM(CW49,CW56)</f>
        <v/>
      </c>
      <c r="CX58" s="294">
        <f>SUM(CX49,CX56)</f>
        <v/>
      </c>
      <c r="CY58" s="294">
        <f>SUM(CY49,CY56)</f>
        <v/>
      </c>
      <c r="CZ58" s="294">
        <f>SUM(CZ49,CZ56)</f>
        <v/>
      </c>
      <c r="DA58" s="294">
        <f>SUM(DA49,DA56)</f>
        <v/>
      </c>
      <c r="DB58" s="294">
        <f>SUM(DB49,DB56)</f>
        <v/>
      </c>
      <c r="DC58" s="294">
        <f>SUM(DC49,DC56)</f>
        <v/>
      </c>
      <c r="DD58" s="294">
        <f>SUM(DD49,DD56)</f>
        <v/>
      </c>
      <c r="DE58" s="294">
        <f>SUM(DE49,DE56)</f>
        <v/>
      </c>
      <c r="DF58" s="294">
        <f>SUM(DF49,DF56)</f>
        <v/>
      </c>
      <c r="DG58" s="294">
        <f>SUM(DG49,DG56)</f>
        <v/>
      </c>
      <c r="DH58" s="294">
        <f>SUM(DH49,DH56)</f>
        <v/>
      </c>
      <c r="DI58" s="294">
        <f>SUM(DI49,DI56)</f>
        <v/>
      </c>
      <c r="DJ58" s="294">
        <f>SUM(DJ49,DJ56)</f>
        <v/>
      </c>
      <c r="DK58" s="294">
        <f>SUM(DK49,DK56)</f>
        <v/>
      </c>
      <c r="DL58" s="294">
        <f>SUM(DL49,DL56)</f>
        <v/>
      </c>
      <c r="DM58" s="294">
        <f>SUM(DM49,DM56)</f>
        <v/>
      </c>
      <c r="DN58" s="294">
        <f>SUM(DN49,DN56)</f>
        <v/>
      </c>
      <c r="DO58" s="294">
        <f>SUM(DO49,DO56)</f>
        <v/>
      </c>
      <c r="DP58" s="294">
        <f>SUM(DP49,DP56)</f>
        <v/>
      </c>
      <c r="DQ58" s="294">
        <f>SUM(DQ49,DQ56)</f>
        <v/>
      </c>
      <c r="DR58" s="294">
        <f>SUM(DR49,DR56)</f>
        <v/>
      </c>
      <c r="DS58" s="294">
        <f>SUM(DS49,DS56)</f>
        <v/>
      </c>
      <c r="DT58" s="294">
        <f>SUM(DT49,DT56)</f>
        <v/>
      </c>
      <c r="DU58" s="294">
        <f>SUM(DU49,DU56)</f>
        <v/>
      </c>
      <c r="DV58" s="294">
        <f>SUM(DV49,DV56)</f>
        <v/>
      </c>
      <c r="DW58" s="294">
        <f>SUM(DW49,DW56)</f>
        <v/>
      </c>
      <c r="DX58" s="294">
        <f>SUM(DX49,DX56)</f>
        <v/>
      </c>
      <c r="DY58" s="294">
        <f>SUM(DY49,DY56)</f>
        <v/>
      </c>
      <c r="DZ58" s="294">
        <f>SUM(DZ49,DZ56)</f>
        <v/>
      </c>
      <c r="EA58" s="294">
        <f>SUM(EA49,EA56)</f>
        <v/>
      </c>
      <c r="EB58" s="294">
        <f>SUM(EB49,EB56)</f>
        <v/>
      </c>
      <c r="EC58" s="294">
        <f>SUM(EC49,EC56)</f>
        <v/>
      </c>
      <c r="ED58" s="294">
        <f>SUM(ED49,ED56)</f>
        <v/>
      </c>
      <c r="EE58" s="294">
        <f>SUM(EE49,EE56)</f>
        <v/>
      </c>
      <c r="EF58" s="294">
        <f>SUM(EF49,EF56)</f>
        <v/>
      </c>
      <c r="EG58" s="294">
        <f>SUM(EG49,EG56)</f>
        <v/>
      </c>
      <c r="EH58" s="294">
        <f>SUM(EH49,EH56)</f>
        <v/>
      </c>
      <c r="EI58" s="294">
        <f>SUM(EI49,EI56)</f>
        <v/>
      </c>
      <c r="EJ58" s="294">
        <f>SUM(EJ49,EJ56)</f>
        <v/>
      </c>
      <c r="EK58" s="294">
        <f>SUM(EK49,EK56)</f>
        <v/>
      </c>
      <c r="EL58" s="294">
        <f>SUM(EL49,EL56)</f>
        <v/>
      </c>
      <c r="EM58" s="294">
        <f>SUM(EM49,EM56)</f>
        <v/>
      </c>
      <c r="EN58" s="294">
        <f>SUM(EN49,EN56)</f>
        <v/>
      </c>
      <c r="EO58" s="294">
        <f>SUM(EO49,EO56)</f>
        <v/>
      </c>
      <c r="EP58" s="294">
        <f>SUM(EP49,EP56)</f>
        <v/>
      </c>
      <c r="EQ58" s="294">
        <f>SUM(EQ49,EQ56)</f>
        <v/>
      </c>
      <c r="ER58" s="294">
        <f>SUM(ER49,ER56)</f>
        <v/>
      </c>
      <c r="ES58" s="294">
        <f>SUM(ES49,ES56)</f>
        <v/>
      </c>
      <c r="ET58" s="294">
        <f>SUM(ET49,ET56)</f>
        <v/>
      </c>
      <c r="EU58" s="294">
        <f>SUM(EU49,EU56)</f>
        <v/>
      </c>
      <c r="EV58" s="294">
        <f>SUM(EV49,EV56)</f>
        <v/>
      </c>
      <c r="EW58" s="294">
        <f>SUM(EW49,EW56)</f>
        <v/>
      </c>
      <c r="EX58" s="294">
        <f>SUM(EX49,EX56)</f>
        <v/>
      </c>
    </row>
    <row r="59" customFormat="1" s="33">
      <c r="A59" s="9" t="n"/>
      <c r="B59" s="9" t="n"/>
      <c r="C59" s="36" t="b">
        <v>1</v>
      </c>
      <c r="D59" s="46" t="inlineStr">
        <is>
          <t>Unit Count</t>
        </is>
      </c>
      <c r="E59" s="46" t="inlineStr">
        <is>
          <t>Rent/Unit</t>
        </is>
      </c>
      <c r="F59" s="46" t="inlineStr">
        <is>
          <t>Average Size</t>
        </is>
      </c>
      <c r="G59" s="46" t="inlineStr">
        <is>
          <t>Rent PSF</t>
        </is>
      </c>
      <c r="H59" s="46" t="inlineStr">
        <is>
          <t>Annual Total</t>
        </is>
      </c>
      <c r="I59" s="12" t="n"/>
      <c r="J59" s="33" t="inlineStr">
        <is>
          <t>Opex Margin</t>
        </is>
      </c>
      <c r="L59" s="34" t="n"/>
      <c r="M59" s="199" t="n"/>
      <c r="N59" s="34" t="n"/>
      <c r="U59" s="34" t="n"/>
      <c r="V59" s="317">
        <f>IFERROR(V58/SUM(V24,V30),0)</f>
        <v/>
      </c>
      <c r="W59" s="105">
        <f>IFERROR(W58/SUM(W24,W30),0)</f>
        <v/>
      </c>
      <c r="X59" s="105">
        <f>IFERROR(X58/SUM(X24,X30),0)</f>
        <v/>
      </c>
      <c r="Y59" s="105">
        <f>IFERROR(Y58/SUM(Y24,Y30),0)</f>
        <v/>
      </c>
      <c r="Z59" s="105">
        <f>IFERROR(Z58/SUM(Z24,Z30),0)</f>
        <v/>
      </c>
      <c r="AA59" s="105">
        <f>IFERROR(AA58/SUM(AA24,AA30),0)</f>
        <v/>
      </c>
      <c r="AB59" s="105">
        <f>IFERROR(AB58/SUM(AB24,AB30),0)</f>
        <v/>
      </c>
      <c r="AC59" s="105">
        <f>IFERROR(AC58/SUM(AC24,AC30),0)</f>
        <v/>
      </c>
      <c r="AD59" s="105">
        <f>IFERROR(AD58/SUM(AD24,AD30),0)</f>
        <v/>
      </c>
      <c r="AE59" s="105">
        <f>IFERROR(AE58/SUM(AE24,AE30),0)</f>
        <v/>
      </c>
      <c r="AF59" s="105">
        <f>IFERROR(AF58/SUM(AF24,AF30),0)</f>
        <v/>
      </c>
      <c r="AG59" s="105">
        <f>IFERROR(AG58/SUM(AG24,AG30),0)</f>
        <v/>
      </c>
      <c r="AH59" s="105">
        <f>IFERROR(AH58/SUM(AH24,AH30),0)</f>
        <v/>
      </c>
      <c r="AI59" s="105">
        <f>IFERROR(AI58/SUM(AI24,AI30),0)</f>
        <v/>
      </c>
      <c r="AJ59" s="105">
        <f>IFERROR(AJ58/SUM(AJ24,AJ30),0)</f>
        <v/>
      </c>
      <c r="AK59" s="105">
        <f>IFERROR(AK58/SUM(AK24,AK30),0)</f>
        <v/>
      </c>
      <c r="AL59" s="105">
        <f>IFERROR(AL58/SUM(AL24,AL30),0)</f>
        <v/>
      </c>
      <c r="AM59" s="105">
        <f>IFERROR(AM58/SUM(AM24,AM30),0)</f>
        <v/>
      </c>
      <c r="AN59" s="105">
        <f>IFERROR(AN58/SUM(AN24,AN30),0)</f>
        <v/>
      </c>
      <c r="AO59" s="105">
        <f>IFERROR(AO58/SUM(AO24,AO30),0)</f>
        <v/>
      </c>
      <c r="AP59" s="105">
        <f>IFERROR(AP58/SUM(AP24,AP30),0)</f>
        <v/>
      </c>
      <c r="AQ59" s="105">
        <f>IFERROR(AQ58/SUM(AQ24,AQ30),0)</f>
        <v/>
      </c>
      <c r="AR59" s="105">
        <f>IFERROR(AR58/SUM(AR24,AR30),0)</f>
        <v/>
      </c>
      <c r="AS59" s="105">
        <f>IFERROR(AS58/SUM(AS24,AS30),0)</f>
        <v/>
      </c>
      <c r="AT59" s="105">
        <f>IFERROR(AT58/SUM(AT24,AT30),0)</f>
        <v/>
      </c>
      <c r="AU59" s="105">
        <f>IFERROR(AU58/SUM(AU24,AU30),0)</f>
        <v/>
      </c>
      <c r="AV59" s="105">
        <f>IFERROR(AV58/SUM(AV24,AV30),0)</f>
        <v/>
      </c>
      <c r="AW59" s="105">
        <f>IFERROR(AW58/SUM(AW24,AW30),0)</f>
        <v/>
      </c>
      <c r="AX59" s="105">
        <f>IFERROR(AX58/SUM(AX24,AX30),0)</f>
        <v/>
      </c>
      <c r="AY59" s="105">
        <f>IFERROR(AY58/SUM(AY24,AY30),0)</f>
        <v/>
      </c>
      <c r="AZ59" s="105">
        <f>IFERROR(AZ58/SUM(AZ24,AZ30),0)</f>
        <v/>
      </c>
      <c r="BA59" s="105">
        <f>IFERROR(BA58/SUM(BA24,BA30),0)</f>
        <v/>
      </c>
      <c r="BB59" s="105">
        <f>IFERROR(BB58/SUM(BB24,BB30),0)</f>
        <v/>
      </c>
      <c r="BC59" s="105">
        <f>IFERROR(BC58/SUM(BC24,BC30),0)</f>
        <v/>
      </c>
      <c r="BD59" s="105">
        <f>IFERROR(BD58/SUM(BD24,BD30),0)</f>
        <v/>
      </c>
      <c r="BE59" s="105">
        <f>IFERROR(BE58/SUM(BE24,BE30),0)</f>
        <v/>
      </c>
      <c r="BF59" s="105">
        <f>IFERROR(BF58/SUM(BF24,BF30),0)</f>
        <v/>
      </c>
      <c r="BG59" s="105">
        <f>IFERROR(BG58/SUM(BG24,BG30),0)</f>
        <v/>
      </c>
      <c r="BH59" s="105">
        <f>IFERROR(BH58/SUM(BH24,BH30),0)</f>
        <v/>
      </c>
      <c r="BI59" s="105">
        <f>IFERROR(BI58/SUM(BI24,BI30),0)</f>
        <v/>
      </c>
      <c r="BJ59" s="105">
        <f>IFERROR(BJ58/SUM(BJ24,BJ30),0)</f>
        <v/>
      </c>
      <c r="BK59" s="105">
        <f>IFERROR(BK58/SUM(BK24,BK30),0)</f>
        <v/>
      </c>
      <c r="BL59" s="105">
        <f>IFERROR(BL58/SUM(BL24,BL30),0)</f>
        <v/>
      </c>
      <c r="BM59" s="105">
        <f>IFERROR(BM58/SUM(BM24,BM30),0)</f>
        <v/>
      </c>
      <c r="BN59" s="105">
        <f>IFERROR(BN58/SUM(BN24,BN30),0)</f>
        <v/>
      </c>
      <c r="BO59" s="105">
        <f>IFERROR(BO58/SUM(BO24,BO30),0)</f>
        <v/>
      </c>
      <c r="BP59" s="105">
        <f>IFERROR(BP58/SUM(BP24,BP30),0)</f>
        <v/>
      </c>
      <c r="BQ59" s="105">
        <f>IFERROR(BQ58/SUM(BQ24,BQ30),0)</f>
        <v/>
      </c>
      <c r="BR59" s="105">
        <f>IFERROR(BR58/SUM(BR24,BR30),0)</f>
        <v/>
      </c>
      <c r="BS59" s="105">
        <f>IFERROR(BS58/SUM(BS24,BS30),0)</f>
        <v/>
      </c>
      <c r="BT59" s="105">
        <f>IFERROR(BT58/SUM(BT24,BT30),0)</f>
        <v/>
      </c>
      <c r="BU59" s="105">
        <f>IFERROR(BU58/SUM(BU24,BU30),0)</f>
        <v/>
      </c>
      <c r="BV59" s="105">
        <f>IFERROR(BV58/SUM(BV24,BV30),0)</f>
        <v/>
      </c>
      <c r="BW59" s="105">
        <f>IFERROR(BW58/SUM(BW24,BW30),0)</f>
        <v/>
      </c>
      <c r="BX59" s="105">
        <f>IFERROR(BX58/SUM(BX24,BX30),0)</f>
        <v/>
      </c>
      <c r="BY59" s="105">
        <f>IFERROR(BY58/SUM(BY24,BY30),0)</f>
        <v/>
      </c>
      <c r="BZ59" s="105">
        <f>IFERROR(BZ58/SUM(BZ24,BZ30),0)</f>
        <v/>
      </c>
      <c r="CA59" s="105">
        <f>IFERROR(CA58/SUM(CA24,CA30),0)</f>
        <v/>
      </c>
      <c r="CB59" s="105">
        <f>IFERROR(CB58/SUM(CB24,CB30),0)</f>
        <v/>
      </c>
      <c r="CC59" s="105">
        <f>IFERROR(CC58/SUM(CC24,CC30),0)</f>
        <v/>
      </c>
      <c r="CD59" s="105">
        <f>IFERROR(CD58/SUM(CD24,CD30),0)</f>
        <v/>
      </c>
      <c r="CE59" s="105">
        <f>IFERROR(CE58/SUM(CE24,CE30),0)</f>
        <v/>
      </c>
      <c r="CF59" s="105">
        <f>IFERROR(CF58/SUM(CF24,CF30),0)</f>
        <v/>
      </c>
      <c r="CG59" s="105">
        <f>IFERROR(CG58/SUM(CG24,CG30),0)</f>
        <v/>
      </c>
      <c r="CH59" s="105">
        <f>IFERROR(CH58/SUM(CH24,CH30),0)</f>
        <v/>
      </c>
      <c r="CI59" s="105">
        <f>IFERROR(CI58/SUM(CI24,CI30),0)</f>
        <v/>
      </c>
      <c r="CJ59" s="105">
        <f>IFERROR(CJ58/SUM(CJ24,CJ30),0)</f>
        <v/>
      </c>
      <c r="CK59" s="105">
        <f>IFERROR(CK58/SUM(CK24,CK30),0)</f>
        <v/>
      </c>
      <c r="CL59" s="105">
        <f>IFERROR(CL58/SUM(CL24,CL30),0)</f>
        <v/>
      </c>
      <c r="CM59" s="105">
        <f>IFERROR(CM58/SUM(CM24,CM30),0)</f>
        <v/>
      </c>
      <c r="CN59" s="105">
        <f>IFERROR(CN58/SUM(CN24,CN30),0)</f>
        <v/>
      </c>
      <c r="CO59" s="105">
        <f>IFERROR(CO58/SUM(CO24,CO30),0)</f>
        <v/>
      </c>
      <c r="CP59" s="105">
        <f>IFERROR(CP58/SUM(CP24,CP30),0)</f>
        <v/>
      </c>
      <c r="CQ59" s="105">
        <f>IFERROR(CQ58/SUM(CQ24,CQ30),0)</f>
        <v/>
      </c>
      <c r="CR59" s="105">
        <f>IFERROR(CR58/SUM(CR24,CR30),0)</f>
        <v/>
      </c>
      <c r="CS59" s="105">
        <f>IFERROR(CS58/SUM(CS24,CS30),0)</f>
        <v/>
      </c>
      <c r="CT59" s="105">
        <f>IFERROR(CT58/SUM(CT24,CT30),0)</f>
        <v/>
      </c>
      <c r="CU59" s="105">
        <f>IFERROR(CU58/SUM(CU24,CU30),0)</f>
        <v/>
      </c>
      <c r="CV59" s="105">
        <f>IFERROR(CV58/SUM(CV24,CV30),0)</f>
        <v/>
      </c>
      <c r="CW59" s="105">
        <f>IFERROR(CW58/SUM(CW24,CW30),0)</f>
        <v/>
      </c>
      <c r="CX59" s="105">
        <f>IFERROR(CX58/SUM(CX24,CX30),0)</f>
        <v/>
      </c>
      <c r="CY59" s="105">
        <f>IFERROR(CY58/SUM(CY24,CY30),0)</f>
        <v/>
      </c>
      <c r="CZ59" s="105">
        <f>IFERROR(CZ58/SUM(CZ24,CZ30),0)</f>
        <v/>
      </c>
      <c r="DA59" s="105">
        <f>IFERROR(DA58/SUM(DA24,DA30),0)</f>
        <v/>
      </c>
      <c r="DB59" s="105">
        <f>IFERROR(DB58/SUM(DB24,DB30),0)</f>
        <v/>
      </c>
      <c r="DC59" s="105">
        <f>IFERROR(DC58/SUM(DC24,DC30),0)</f>
        <v/>
      </c>
      <c r="DD59" s="105">
        <f>IFERROR(DD58/SUM(DD24,DD30),0)</f>
        <v/>
      </c>
      <c r="DE59" s="105">
        <f>IFERROR(DE58/SUM(DE24,DE30),0)</f>
        <v/>
      </c>
      <c r="DF59" s="105">
        <f>IFERROR(DF58/SUM(DF24,DF30),0)</f>
        <v/>
      </c>
      <c r="DG59" s="105">
        <f>IFERROR(DG58/SUM(DG24,DG30),0)</f>
        <v/>
      </c>
      <c r="DH59" s="105">
        <f>IFERROR(DH58/SUM(DH24,DH30),0)</f>
        <v/>
      </c>
      <c r="DI59" s="105">
        <f>IFERROR(DI58/SUM(DI24,DI30),0)</f>
        <v/>
      </c>
      <c r="DJ59" s="105">
        <f>IFERROR(DJ58/SUM(DJ24,DJ30),0)</f>
        <v/>
      </c>
      <c r="DK59" s="105">
        <f>IFERROR(DK58/SUM(DK24,DK30),0)</f>
        <v/>
      </c>
      <c r="DL59" s="105">
        <f>IFERROR(DL58/SUM(DL24,DL30),0)</f>
        <v/>
      </c>
      <c r="DM59" s="105">
        <f>IFERROR(DM58/SUM(DM24,DM30),0)</f>
        <v/>
      </c>
      <c r="DN59" s="105">
        <f>IFERROR(DN58/SUM(DN24,DN30),0)</f>
        <v/>
      </c>
      <c r="DO59" s="105">
        <f>IFERROR(DO58/SUM(DO24,DO30),0)</f>
        <v/>
      </c>
      <c r="DP59" s="105">
        <f>IFERROR(DP58/SUM(DP24,DP30),0)</f>
        <v/>
      </c>
      <c r="DQ59" s="105">
        <f>IFERROR(DQ58/SUM(DQ24,DQ30),0)</f>
        <v/>
      </c>
      <c r="DR59" s="105">
        <f>IFERROR(DR58/SUM(DR24,DR30),0)</f>
        <v/>
      </c>
      <c r="DS59" s="105">
        <f>IFERROR(DS58/SUM(DS24,DS30),0)</f>
        <v/>
      </c>
      <c r="DT59" s="105">
        <f>IFERROR(DT58/SUM(DT24,DT30),0)</f>
        <v/>
      </c>
      <c r="DU59" s="105">
        <f>IFERROR(DU58/SUM(DU24,DU30),0)</f>
        <v/>
      </c>
      <c r="DV59" s="105">
        <f>IFERROR(DV58/SUM(DV24,DV30),0)</f>
        <v/>
      </c>
      <c r="DW59" s="105">
        <f>IFERROR(DW58/SUM(DW24,DW30),0)</f>
        <v/>
      </c>
      <c r="DX59" s="105">
        <f>IFERROR(DX58/SUM(DX24,DX30),0)</f>
        <v/>
      </c>
      <c r="DY59" s="105">
        <f>IFERROR(DY58/SUM(DY24,DY30),0)</f>
        <v/>
      </c>
      <c r="DZ59" s="105">
        <f>IFERROR(DZ58/SUM(DZ24,DZ30),0)</f>
        <v/>
      </c>
      <c r="EA59" s="105">
        <f>IFERROR(EA58/SUM(EA24,EA30),0)</f>
        <v/>
      </c>
      <c r="EB59" s="105">
        <f>IFERROR(EB58/SUM(EB24,EB30),0)</f>
        <v/>
      </c>
      <c r="EC59" s="105">
        <f>IFERROR(EC58/SUM(EC24,EC30),0)</f>
        <v/>
      </c>
      <c r="ED59" s="105">
        <f>IFERROR(ED58/SUM(ED24,ED30),0)</f>
        <v/>
      </c>
      <c r="EE59" s="105">
        <f>IFERROR(EE58/SUM(EE24,EE30),0)</f>
        <v/>
      </c>
      <c r="EF59" s="105">
        <f>IFERROR(EF58/SUM(EF24,EF30),0)</f>
        <v/>
      </c>
      <c r="EG59" s="105">
        <f>IFERROR(EG58/SUM(EG24,EG30),0)</f>
        <v/>
      </c>
      <c r="EH59" s="105">
        <f>IFERROR(EH58/SUM(EH24,EH30),0)</f>
        <v/>
      </c>
      <c r="EI59" s="105">
        <f>IFERROR(EI58/SUM(EI24,EI30),0)</f>
        <v/>
      </c>
      <c r="EJ59" s="105">
        <f>IFERROR(EJ58/SUM(EJ24,EJ30),0)</f>
        <v/>
      </c>
      <c r="EK59" s="105">
        <f>IFERROR(EK58/SUM(EK24,EK30),0)</f>
        <v/>
      </c>
      <c r="EL59" s="105">
        <f>IFERROR(EL58/SUM(EL24,EL30),0)</f>
        <v/>
      </c>
      <c r="EM59" s="105">
        <f>IFERROR(EM58/SUM(EM24,EM30),0)</f>
        <v/>
      </c>
      <c r="EN59" s="105">
        <f>IFERROR(EN58/SUM(EN24,EN30),0)</f>
        <v/>
      </c>
      <c r="EO59" s="105">
        <f>IFERROR(EO58/SUM(EO24,EO30),0)</f>
        <v/>
      </c>
      <c r="EP59" s="105">
        <f>IFERROR(EP58/SUM(EP24,EP30),0)</f>
        <v/>
      </c>
      <c r="EQ59" s="105">
        <f>IFERROR(EQ58/SUM(EQ24,EQ30),0)</f>
        <v/>
      </c>
      <c r="ER59" s="105">
        <f>IFERROR(ER58/SUM(ER24,ER30),0)</f>
        <v/>
      </c>
      <c r="ES59" s="105">
        <f>IFERROR(ES58/SUM(ES24,ES30),0)</f>
        <v/>
      </c>
      <c r="ET59" s="105">
        <f>IFERROR(ET58/SUM(ET24,ET30),0)</f>
        <v/>
      </c>
      <c r="EU59" s="105">
        <f>IFERROR(EU58/SUM(EU24,EU30),0)</f>
        <v/>
      </c>
      <c r="EV59" s="105">
        <f>IFERROR(EV58/SUM(EV24,EV30),0)</f>
        <v/>
      </c>
      <c r="EW59" s="105">
        <f>IFERROR(EW58/SUM(EW24,EW30),0)</f>
        <v/>
      </c>
      <c r="EX59" s="105">
        <f>IFERROR(EX58/SUM(EX24,EX30),0)</f>
        <v/>
      </c>
    </row>
    <row r="60">
      <c r="B60" s="264" t="n"/>
      <c r="C60" s="12" t="inlineStr">
        <is>
          <t>Studio</t>
        </is>
      </c>
      <c r="D60" s="100" t="n">
        <v>0</v>
      </c>
      <c r="E60" s="318" t="n">
        <v>0</v>
      </c>
      <c r="F60" s="102" t="n">
        <v>0</v>
      </c>
      <c r="G60" s="319">
        <f>IFERROR(+E60/F60,0)</f>
        <v/>
      </c>
      <c r="H60" s="320">
        <f>E60*D60*12</f>
        <v/>
      </c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  <c r="BI60" s="280" t="n"/>
      <c r="BJ60" s="280" t="n"/>
      <c r="BK60" s="280" t="n"/>
      <c r="BL60" s="280" t="n"/>
      <c r="BM60" s="280" t="n"/>
      <c r="BN60" s="280" t="n"/>
      <c r="BO60" s="280" t="n"/>
      <c r="BP60" s="280" t="n"/>
      <c r="BQ60" s="280" t="n"/>
      <c r="BR60" s="280" t="n"/>
      <c r="BS60" s="280" t="n"/>
      <c r="BT60" s="280" t="n"/>
      <c r="BU60" s="280" t="n"/>
      <c r="BV60" s="280" t="n"/>
      <c r="BW60" s="280" t="n"/>
      <c r="BX60" s="280" t="n"/>
      <c r="BY60" s="280" t="n"/>
      <c r="BZ60" s="280" t="n"/>
      <c r="CA60" s="280" t="n"/>
      <c r="CB60" s="280" t="n"/>
      <c r="CC60" s="280" t="n"/>
      <c r="CD60" s="280" t="n"/>
      <c r="CE60" s="280" t="n"/>
      <c r="CF60" s="280" t="n"/>
      <c r="CG60" s="280" t="n"/>
      <c r="CH60" s="280" t="n"/>
      <c r="CI60" s="280" t="n"/>
      <c r="CJ60" s="280" t="n"/>
      <c r="CK60" s="280" t="n"/>
      <c r="CL60" s="280" t="n"/>
      <c r="CM60" s="280" t="n"/>
      <c r="CN60" s="280" t="n"/>
      <c r="CO60" s="280" t="n"/>
      <c r="CP60" s="280" t="n"/>
      <c r="CQ60" s="280" t="n"/>
      <c r="CR60" s="280" t="n"/>
      <c r="CS60" s="280" t="n"/>
      <c r="CT60" s="280" t="n"/>
      <c r="CU60" s="280" t="n"/>
      <c r="CV60" s="280" t="n"/>
      <c r="CW60" s="280" t="n"/>
      <c r="CX60" s="280" t="n"/>
      <c r="CY60" s="280" t="n"/>
      <c r="CZ60" s="280" t="n"/>
      <c r="DA60" s="280" t="n"/>
      <c r="DB60" s="280" t="n"/>
      <c r="DC60" s="280" t="n"/>
      <c r="DD60" s="280" t="n"/>
      <c r="DE60" s="280" t="n"/>
      <c r="DF60" s="280" t="n"/>
      <c r="DG60" s="280" t="n"/>
      <c r="DH60" s="280" t="n"/>
      <c r="DI60" s="280" t="n"/>
      <c r="DJ60" s="280" t="n"/>
      <c r="DK60" s="280" t="n"/>
      <c r="DL60" s="280" t="n"/>
      <c r="DM60" s="280" t="n"/>
      <c r="DN60" s="280" t="n"/>
      <c r="DO60" s="280" t="n"/>
      <c r="DP60" s="280" t="n"/>
      <c r="DQ60" s="280" t="n"/>
      <c r="DR60" s="280" t="n"/>
      <c r="DS60" s="280" t="n"/>
      <c r="DT60" s="280" t="n"/>
      <c r="DU60" s="280" t="n"/>
      <c r="DV60" s="280" t="n"/>
      <c r="DW60" s="280" t="n"/>
      <c r="DX60" s="280" t="n"/>
      <c r="DY60" s="280" t="n"/>
      <c r="DZ60" s="280" t="n"/>
      <c r="EA60" s="280" t="n"/>
      <c r="EB60" s="280" t="n"/>
      <c r="EC60" s="280" t="n"/>
      <c r="ED60" s="280" t="n"/>
      <c r="EE60" s="280" t="n"/>
      <c r="EF60" s="280" t="n"/>
      <c r="EG60" s="280" t="n"/>
      <c r="EH60" s="280" t="n"/>
      <c r="EI60" s="280" t="n"/>
      <c r="EJ60" s="280" t="n"/>
      <c r="EK60" s="280" t="n"/>
      <c r="EL60" s="280" t="n"/>
      <c r="EM60" s="280" t="n"/>
      <c r="EN60" s="280" t="n"/>
      <c r="EO60" s="280" t="n"/>
      <c r="EP60" s="280" t="n"/>
      <c r="EQ60" s="280" t="n"/>
      <c r="ER60" s="280" t="n"/>
      <c r="ES60" s="280" t="n"/>
      <c r="ET60" s="280" t="n"/>
      <c r="EU60" s="280" t="n"/>
      <c r="EV60" s="280" t="n"/>
      <c r="EW60" s="280" t="n"/>
      <c r="EX60" s="280" t="n"/>
    </row>
    <row r="61" customFormat="1" s="33">
      <c r="A61" s="9" t="n"/>
      <c r="B61" s="9" t="n"/>
      <c r="C61" s="12" t="inlineStr">
        <is>
          <t>1 Bedroom</t>
        </is>
      </c>
      <c r="D61" s="100" t="n"/>
      <c r="E61" s="318" t="n"/>
      <c r="F61" s="102" t="n">
        <v>766</v>
      </c>
      <c r="G61" s="319">
        <f>IFERROR(+E61/F61,0)</f>
        <v/>
      </c>
      <c r="H61" s="320">
        <f>E61*D61*12</f>
        <v/>
      </c>
      <c r="I61" s="12" t="n"/>
      <c r="J61" s="294" t="inlineStr">
        <is>
          <t>Resi NOI</t>
        </is>
      </c>
      <c r="K61" s="294" t="n"/>
      <c r="L61" s="270" t="n"/>
      <c r="M61" s="294">
        <f>SUMIF($V$4:$EX$4,"&lt;="&amp;$H$19,$V61:$EX61)</f>
        <v/>
      </c>
      <c r="N61" s="270" t="n"/>
      <c r="O61" s="294">
        <f>SUMIF($V$5:$EX$5,O$7,$V61:$EX61)</f>
        <v/>
      </c>
      <c r="P61" s="294">
        <f>SUMIF($V$5:$EX$5,P$7,$V61:$EX61)</f>
        <v/>
      </c>
      <c r="Q61" s="294">
        <f>SUMIF($V$5:$EX$5,Q$7,$V61:$EX61)</f>
        <v/>
      </c>
      <c r="R61" s="294">
        <f>SUMIF($V$5:$EX$5,R$7,$V61:$EX61)</f>
        <v/>
      </c>
      <c r="S61" s="294">
        <f>SUMIF($V$5:$EX$5,S$7,$V61:$EX61)</f>
        <v/>
      </c>
      <c r="T61" s="294">
        <f>SUMIF($V$5:$EX$5,T$7,$V61:$EX61)</f>
        <v/>
      </c>
      <c r="U61" s="270" t="n"/>
      <c r="V61" s="294">
        <f>V38-V58</f>
        <v/>
      </c>
      <c r="W61" s="294">
        <f>W38-W58</f>
        <v/>
      </c>
      <c r="X61" s="294">
        <f>X38-X58</f>
        <v/>
      </c>
      <c r="Y61" s="294">
        <f>Y38-Y58</f>
        <v/>
      </c>
      <c r="Z61" s="294">
        <f>Z38-Z58</f>
        <v/>
      </c>
      <c r="AA61" s="294">
        <f>AA38-AA58</f>
        <v/>
      </c>
      <c r="AB61" s="294">
        <f>AB38-AB58</f>
        <v/>
      </c>
      <c r="AC61" s="294">
        <f>AC38-AC58</f>
        <v/>
      </c>
      <c r="AD61" s="294">
        <f>AD38-AD58</f>
        <v/>
      </c>
      <c r="AE61" s="294">
        <f>AE38-AE58</f>
        <v/>
      </c>
      <c r="AF61" s="294">
        <f>AF38-AF58</f>
        <v/>
      </c>
      <c r="AG61" s="294">
        <f>AG38-AG58</f>
        <v/>
      </c>
      <c r="AH61" s="294">
        <f>AH38-AH58</f>
        <v/>
      </c>
      <c r="AI61" s="294">
        <f>AI38-AI58</f>
        <v/>
      </c>
      <c r="AJ61" s="294">
        <f>AJ38-AJ58</f>
        <v/>
      </c>
      <c r="AK61" s="294">
        <f>AK38-AK58</f>
        <v/>
      </c>
      <c r="AL61" s="294">
        <f>AL38-AL58</f>
        <v/>
      </c>
      <c r="AM61" s="294">
        <f>AM38-AM58</f>
        <v/>
      </c>
      <c r="AN61" s="294">
        <f>AN38-AN58</f>
        <v/>
      </c>
      <c r="AO61" s="294">
        <f>AO38-AO58</f>
        <v/>
      </c>
      <c r="AP61" s="294">
        <f>AP38-AP58</f>
        <v/>
      </c>
      <c r="AQ61" s="294">
        <f>AQ38-AQ58</f>
        <v/>
      </c>
      <c r="AR61" s="294">
        <f>AR38-AR58</f>
        <v/>
      </c>
      <c r="AS61" s="294">
        <f>AS38-AS58</f>
        <v/>
      </c>
      <c r="AT61" s="294">
        <f>AT38-AT58</f>
        <v/>
      </c>
      <c r="AU61" s="294">
        <f>AU38-AU58</f>
        <v/>
      </c>
      <c r="AV61" s="294">
        <f>AV38-AV58</f>
        <v/>
      </c>
      <c r="AW61" s="294">
        <f>AW38-AW58</f>
        <v/>
      </c>
      <c r="AX61" s="294">
        <f>AX38-AX58</f>
        <v/>
      </c>
      <c r="AY61" s="294">
        <f>AY38-AY58</f>
        <v/>
      </c>
      <c r="AZ61" s="294">
        <f>AZ38-AZ58</f>
        <v/>
      </c>
      <c r="BA61" s="294">
        <f>BA38-BA58</f>
        <v/>
      </c>
      <c r="BB61" s="294">
        <f>BB38-BB58</f>
        <v/>
      </c>
      <c r="BC61" s="294">
        <f>BC38-BC58</f>
        <v/>
      </c>
      <c r="BD61" s="294">
        <f>BD38-BD58</f>
        <v/>
      </c>
      <c r="BE61" s="294">
        <f>BE38-BE58</f>
        <v/>
      </c>
      <c r="BF61" s="294">
        <f>BF38-BF58</f>
        <v/>
      </c>
      <c r="BG61" s="294">
        <f>BG38-BG58</f>
        <v/>
      </c>
      <c r="BH61" s="294">
        <f>BH38-BH58</f>
        <v/>
      </c>
      <c r="BI61" s="294">
        <f>BI38-BI58</f>
        <v/>
      </c>
      <c r="BJ61" s="294">
        <f>BJ38-BJ58</f>
        <v/>
      </c>
      <c r="BK61" s="294">
        <f>BK38-BK58</f>
        <v/>
      </c>
      <c r="BL61" s="294">
        <f>BL38-BL58</f>
        <v/>
      </c>
      <c r="BM61" s="294">
        <f>BM38-BM58</f>
        <v/>
      </c>
      <c r="BN61" s="294">
        <f>BN38-BN58</f>
        <v/>
      </c>
      <c r="BO61" s="294">
        <f>BO38-BO58</f>
        <v/>
      </c>
      <c r="BP61" s="294">
        <f>BP38-BP58</f>
        <v/>
      </c>
      <c r="BQ61" s="294">
        <f>BQ38-BQ58</f>
        <v/>
      </c>
      <c r="BR61" s="294">
        <f>BR38-BR58</f>
        <v/>
      </c>
      <c r="BS61" s="294">
        <f>BS38-BS58</f>
        <v/>
      </c>
      <c r="BT61" s="294">
        <f>BT38-BT58</f>
        <v/>
      </c>
      <c r="BU61" s="294">
        <f>BU38-BU58</f>
        <v/>
      </c>
      <c r="BV61" s="294">
        <f>BV38-BV58</f>
        <v/>
      </c>
      <c r="BW61" s="294">
        <f>BW38-BW58</f>
        <v/>
      </c>
      <c r="BX61" s="294">
        <f>BX38-BX58</f>
        <v/>
      </c>
      <c r="BY61" s="294">
        <f>BY38-BY58</f>
        <v/>
      </c>
      <c r="BZ61" s="294">
        <f>BZ38-BZ58</f>
        <v/>
      </c>
      <c r="CA61" s="294">
        <f>CA38-CA58</f>
        <v/>
      </c>
      <c r="CB61" s="294">
        <f>CB38-CB58</f>
        <v/>
      </c>
      <c r="CC61" s="294">
        <f>CC38-CC58</f>
        <v/>
      </c>
      <c r="CD61" s="294">
        <f>CD38-CD58</f>
        <v/>
      </c>
      <c r="CE61" s="294">
        <f>CE38-CE58</f>
        <v/>
      </c>
      <c r="CF61" s="294">
        <f>CF38-CF58</f>
        <v/>
      </c>
      <c r="CG61" s="294">
        <f>CG38-CG58</f>
        <v/>
      </c>
      <c r="CH61" s="294">
        <f>CH38-CH58</f>
        <v/>
      </c>
      <c r="CI61" s="294">
        <f>CI38-CI58</f>
        <v/>
      </c>
      <c r="CJ61" s="294">
        <f>CJ38-CJ58</f>
        <v/>
      </c>
      <c r="CK61" s="294">
        <f>CK38-CK58</f>
        <v/>
      </c>
      <c r="CL61" s="294">
        <f>CL38-CL58</f>
        <v/>
      </c>
      <c r="CM61" s="294">
        <f>CM38-CM58</f>
        <v/>
      </c>
      <c r="CN61" s="294">
        <f>CN38-CN58</f>
        <v/>
      </c>
      <c r="CO61" s="294">
        <f>CO38-CO58</f>
        <v/>
      </c>
      <c r="CP61" s="294">
        <f>CP38-CP58</f>
        <v/>
      </c>
      <c r="CQ61" s="294">
        <f>CQ38-CQ58</f>
        <v/>
      </c>
      <c r="CR61" s="294">
        <f>CR38-CR58</f>
        <v/>
      </c>
      <c r="CS61" s="294">
        <f>CS38-CS58</f>
        <v/>
      </c>
      <c r="CT61" s="294">
        <f>CT38-CT58</f>
        <v/>
      </c>
      <c r="CU61" s="294">
        <f>CU38-CU58</f>
        <v/>
      </c>
      <c r="CV61" s="294">
        <f>CV38-CV58</f>
        <v/>
      </c>
      <c r="CW61" s="294">
        <f>CW38-CW58</f>
        <v/>
      </c>
      <c r="CX61" s="294">
        <f>CX38-CX58</f>
        <v/>
      </c>
      <c r="CY61" s="294">
        <f>CY38-CY58</f>
        <v/>
      </c>
      <c r="CZ61" s="294">
        <f>CZ38-CZ58</f>
        <v/>
      </c>
      <c r="DA61" s="294">
        <f>DA38-DA58</f>
        <v/>
      </c>
      <c r="DB61" s="294">
        <f>DB38-DB58</f>
        <v/>
      </c>
      <c r="DC61" s="294">
        <f>DC38-DC58</f>
        <v/>
      </c>
      <c r="DD61" s="294">
        <f>DD38-DD58</f>
        <v/>
      </c>
      <c r="DE61" s="294">
        <f>DE38-DE58</f>
        <v/>
      </c>
      <c r="DF61" s="294">
        <f>DF38-DF58</f>
        <v/>
      </c>
      <c r="DG61" s="294">
        <f>DG38-DG58</f>
        <v/>
      </c>
      <c r="DH61" s="294">
        <f>DH38-DH58</f>
        <v/>
      </c>
      <c r="DI61" s="294">
        <f>DI38-DI58</f>
        <v/>
      </c>
      <c r="DJ61" s="294">
        <f>DJ38-DJ58</f>
        <v/>
      </c>
      <c r="DK61" s="294">
        <f>DK38-DK58</f>
        <v/>
      </c>
      <c r="DL61" s="294">
        <f>DL38-DL58</f>
        <v/>
      </c>
      <c r="DM61" s="294">
        <f>DM38-DM58</f>
        <v/>
      </c>
      <c r="DN61" s="294">
        <f>DN38-DN58</f>
        <v/>
      </c>
      <c r="DO61" s="294">
        <f>DO38-DO58</f>
        <v/>
      </c>
      <c r="DP61" s="294">
        <f>DP38-DP58</f>
        <v/>
      </c>
      <c r="DQ61" s="294">
        <f>DQ38-DQ58</f>
        <v/>
      </c>
      <c r="DR61" s="294">
        <f>DR38-DR58</f>
        <v/>
      </c>
      <c r="DS61" s="294">
        <f>DS38-DS58</f>
        <v/>
      </c>
      <c r="DT61" s="294">
        <f>DT38-DT58</f>
        <v/>
      </c>
      <c r="DU61" s="294">
        <f>DU38-DU58</f>
        <v/>
      </c>
      <c r="DV61" s="294">
        <f>DV38-DV58</f>
        <v/>
      </c>
      <c r="DW61" s="294">
        <f>DW38-DW58</f>
        <v/>
      </c>
      <c r="DX61" s="294">
        <f>DX38-DX58</f>
        <v/>
      </c>
      <c r="DY61" s="294">
        <f>DY38-DY58</f>
        <v/>
      </c>
      <c r="DZ61" s="294">
        <f>DZ38-DZ58</f>
        <v/>
      </c>
      <c r="EA61" s="294">
        <f>EA38-EA58</f>
        <v/>
      </c>
      <c r="EB61" s="294">
        <f>EB38-EB58</f>
        <v/>
      </c>
      <c r="EC61" s="294">
        <f>EC38-EC58</f>
        <v/>
      </c>
      <c r="ED61" s="294">
        <f>ED38-ED58</f>
        <v/>
      </c>
      <c r="EE61" s="294">
        <f>EE38-EE58</f>
        <v/>
      </c>
      <c r="EF61" s="294">
        <f>EF38-EF58</f>
        <v/>
      </c>
      <c r="EG61" s="294">
        <f>EG38-EG58</f>
        <v/>
      </c>
      <c r="EH61" s="294">
        <f>EH38-EH58</f>
        <v/>
      </c>
      <c r="EI61" s="294">
        <f>EI38-EI58</f>
        <v/>
      </c>
      <c r="EJ61" s="294">
        <f>EJ38-EJ58</f>
        <v/>
      </c>
      <c r="EK61" s="294">
        <f>EK38-EK58</f>
        <v/>
      </c>
      <c r="EL61" s="294">
        <f>EL38-EL58</f>
        <v/>
      </c>
      <c r="EM61" s="294">
        <f>EM38-EM58</f>
        <v/>
      </c>
      <c r="EN61" s="294">
        <f>EN38-EN58</f>
        <v/>
      </c>
      <c r="EO61" s="294">
        <f>EO38-EO58</f>
        <v/>
      </c>
      <c r="EP61" s="294">
        <f>EP38-EP58</f>
        <v/>
      </c>
      <c r="EQ61" s="294">
        <f>EQ38-EQ58</f>
        <v/>
      </c>
      <c r="ER61" s="294">
        <f>ER38-ER58</f>
        <v/>
      </c>
      <c r="ES61" s="294">
        <f>ES38-ES58</f>
        <v/>
      </c>
      <c r="ET61" s="294">
        <f>ET38-ET58</f>
        <v/>
      </c>
      <c r="EU61" s="294">
        <f>EU38-EU58</f>
        <v/>
      </c>
      <c r="EV61" s="294">
        <f>EV38-EV58</f>
        <v/>
      </c>
      <c r="EW61" s="294">
        <f>EW38-EW58</f>
        <v/>
      </c>
      <c r="EX61" s="294">
        <f>EX38-EX58</f>
        <v/>
      </c>
    </row>
    <row r="62">
      <c r="A62" s="25" t="n"/>
      <c r="C62" s="12" t="inlineStr">
        <is>
          <t>2 Bedroom</t>
        </is>
      </c>
      <c r="D62" s="100" t="n">
        <v>0</v>
      </c>
      <c r="E62" s="318" t="n">
        <v>0</v>
      </c>
      <c r="F62" s="102" t="n">
        <v>0</v>
      </c>
      <c r="G62" s="319">
        <f>IFERROR(+E62/F62,0)</f>
        <v/>
      </c>
      <c r="H62" s="320">
        <f>E62*D62*12</f>
        <v/>
      </c>
      <c r="I62" s="56" t="n"/>
      <c r="M62" s="203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  <c r="BI62" s="280" t="n"/>
      <c r="BJ62" s="280" t="n"/>
      <c r="BK62" s="280" t="n"/>
      <c r="BL62" s="280" t="n"/>
      <c r="BM62" s="280" t="n"/>
      <c r="BN62" s="280" t="n"/>
      <c r="BO62" s="280" t="n"/>
      <c r="BP62" s="280" t="n"/>
      <c r="BQ62" s="280" t="n"/>
      <c r="BR62" s="280" t="n"/>
      <c r="BS62" s="280" t="n"/>
      <c r="BT62" s="280" t="n"/>
      <c r="BU62" s="280" t="n"/>
      <c r="BV62" s="280" t="n"/>
      <c r="BW62" s="280" t="n"/>
      <c r="BX62" s="280" t="n"/>
      <c r="BY62" s="280" t="n"/>
      <c r="BZ62" s="280" t="n"/>
      <c r="CA62" s="280" t="n"/>
      <c r="CB62" s="280" t="n"/>
      <c r="CC62" s="280" t="n"/>
      <c r="CD62" s="280" t="n"/>
      <c r="CE62" s="280" t="n"/>
      <c r="CF62" s="280" t="n"/>
      <c r="CG62" s="280" t="n"/>
      <c r="CH62" s="280" t="n"/>
      <c r="CI62" s="280" t="n"/>
      <c r="CJ62" s="280" t="n"/>
      <c r="CK62" s="280" t="n"/>
      <c r="CL62" s="280" t="n"/>
      <c r="CM62" s="280" t="n"/>
      <c r="CN62" s="280" t="n"/>
      <c r="CO62" s="280" t="n"/>
      <c r="CP62" s="280" t="n"/>
      <c r="CQ62" s="280" t="n"/>
      <c r="CR62" s="280" t="n"/>
      <c r="CS62" s="280" t="n"/>
      <c r="CT62" s="280" t="n"/>
      <c r="CU62" s="280" t="n"/>
      <c r="CV62" s="280" t="n"/>
      <c r="CW62" s="280" t="n"/>
      <c r="CX62" s="280" t="n"/>
      <c r="CY62" s="280" t="n"/>
      <c r="CZ62" s="280" t="n"/>
      <c r="DA62" s="280" t="n"/>
      <c r="DB62" s="280" t="n"/>
      <c r="DC62" s="280" t="n"/>
      <c r="DD62" s="280" t="n"/>
      <c r="DE62" s="280" t="n"/>
      <c r="DF62" s="280" t="n"/>
      <c r="DG62" s="280" t="n"/>
      <c r="DH62" s="280" t="n"/>
      <c r="DI62" s="280" t="n"/>
      <c r="DJ62" s="280" t="n"/>
      <c r="DK62" s="280" t="n"/>
      <c r="DL62" s="280" t="n"/>
      <c r="DM62" s="280" t="n"/>
      <c r="DN62" s="280" t="n"/>
      <c r="DO62" s="280" t="n"/>
      <c r="DP62" s="280" t="n"/>
      <c r="DQ62" s="280" t="n"/>
      <c r="DR62" s="280" t="n"/>
      <c r="DS62" s="280" t="n"/>
      <c r="DT62" s="280" t="n"/>
      <c r="DU62" s="280" t="n"/>
      <c r="DV62" s="280" t="n"/>
      <c r="DW62" s="280" t="n"/>
      <c r="DX62" s="280" t="n"/>
      <c r="DY62" s="280" t="n"/>
      <c r="DZ62" s="280" t="n"/>
      <c r="EA62" s="280" t="n"/>
      <c r="EB62" s="280" t="n"/>
      <c r="EC62" s="280" t="n"/>
      <c r="ED62" s="280" t="n"/>
      <c r="EE62" s="280" t="n"/>
      <c r="EF62" s="280" t="n"/>
      <c r="EG62" s="280" t="n"/>
      <c r="EH62" s="280" t="n"/>
      <c r="EI62" s="280" t="n"/>
      <c r="EJ62" s="280" t="n"/>
      <c r="EK62" s="280" t="n"/>
      <c r="EL62" s="280" t="n"/>
      <c r="EM62" s="280" t="n"/>
      <c r="EN62" s="280" t="n"/>
      <c r="EO62" s="280" t="n"/>
      <c r="EP62" s="280" t="n"/>
      <c r="EQ62" s="280" t="n"/>
      <c r="ER62" s="280" t="n"/>
      <c r="ES62" s="280" t="n"/>
      <c r="ET62" s="280" t="n"/>
      <c r="EU62" s="280" t="n"/>
      <c r="EV62" s="280" t="n"/>
      <c r="EW62" s="280" t="n"/>
      <c r="EX62" s="280" t="n"/>
    </row>
    <row r="63" customFormat="1" s="33">
      <c r="A63" s="25" t="n"/>
      <c r="B63" s="9" t="n"/>
      <c r="C63" s="12" t="inlineStr">
        <is>
          <t>3 Bedroom</t>
        </is>
      </c>
      <c r="D63" s="100" t="n">
        <v>0</v>
      </c>
      <c r="E63" s="318" t="n">
        <v>0</v>
      </c>
      <c r="F63" s="102" t="n">
        <v>0</v>
      </c>
      <c r="G63" s="319">
        <f>IFERROR(+E63/F63,0)</f>
        <v/>
      </c>
      <c r="H63" s="320">
        <f>E63*D63*12</f>
        <v/>
      </c>
      <c r="I63" s="56" t="n"/>
      <c r="J63" s="16" t="inlineStr">
        <is>
          <t>Capital Expenditures</t>
        </is>
      </c>
      <c r="K63" s="75">
        <f>K51</f>
        <v/>
      </c>
      <c r="L63" s="76" t="n"/>
      <c r="M63" s="202" t="n"/>
      <c r="N63" s="76" t="n"/>
      <c r="O63" s="75" t="n"/>
      <c r="P63" s="75" t="n"/>
      <c r="Q63" s="75" t="n"/>
      <c r="R63" s="75" t="n"/>
      <c r="S63" s="75" t="n"/>
      <c r="T63" s="75" t="n"/>
      <c r="U63" s="76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  <c r="BI63" s="280" t="n"/>
      <c r="BJ63" s="280" t="n"/>
      <c r="BK63" s="280" t="n"/>
      <c r="BL63" s="280" t="n"/>
      <c r="BM63" s="280" t="n"/>
      <c r="BN63" s="280" t="n"/>
      <c r="BO63" s="280" t="n"/>
      <c r="BP63" s="280" t="n"/>
      <c r="BQ63" s="280" t="n"/>
      <c r="BR63" s="280" t="n"/>
      <c r="BS63" s="280" t="n"/>
      <c r="BT63" s="280" t="n"/>
      <c r="BU63" s="280" t="n"/>
      <c r="BV63" s="280" t="n"/>
      <c r="BW63" s="280" t="n"/>
      <c r="BX63" s="280" t="n"/>
      <c r="BY63" s="280" t="n"/>
      <c r="BZ63" s="280" t="n"/>
      <c r="CA63" s="280" t="n"/>
      <c r="CB63" s="280" t="n"/>
      <c r="CC63" s="280" t="n"/>
      <c r="CD63" s="280" t="n"/>
      <c r="CE63" s="280" t="n"/>
      <c r="CF63" s="280" t="n"/>
      <c r="CG63" s="280" t="n"/>
      <c r="CH63" s="280" t="n"/>
      <c r="CI63" s="280" t="n"/>
      <c r="CJ63" s="280" t="n"/>
      <c r="CK63" s="280" t="n"/>
      <c r="CL63" s="280" t="n"/>
      <c r="CM63" s="280" t="n"/>
      <c r="CN63" s="280" t="n"/>
      <c r="CO63" s="280" t="n"/>
      <c r="CP63" s="280" t="n"/>
      <c r="CQ63" s="280" t="n"/>
      <c r="CR63" s="280" t="n"/>
      <c r="CS63" s="280" t="n"/>
      <c r="CT63" s="280" t="n"/>
      <c r="CU63" s="280" t="n"/>
      <c r="CV63" s="280" t="n"/>
      <c r="CW63" s="280" t="n"/>
      <c r="CX63" s="280" t="n"/>
      <c r="CY63" s="280" t="n"/>
      <c r="CZ63" s="280" t="n"/>
      <c r="DA63" s="280" t="n"/>
      <c r="DB63" s="280" t="n"/>
      <c r="DC63" s="280" t="n"/>
      <c r="DD63" s="280" t="n"/>
      <c r="DE63" s="280" t="n"/>
      <c r="DF63" s="280" t="n"/>
      <c r="DG63" s="280" t="n"/>
      <c r="DH63" s="280" t="n"/>
      <c r="DI63" s="280" t="n"/>
      <c r="DJ63" s="280" t="n"/>
      <c r="DK63" s="280" t="n"/>
      <c r="DL63" s="280" t="n"/>
      <c r="DM63" s="280" t="n"/>
      <c r="DN63" s="280" t="n"/>
      <c r="DO63" s="280" t="n"/>
      <c r="DP63" s="280" t="n"/>
      <c r="DQ63" s="280" t="n"/>
      <c r="DR63" s="280" t="n"/>
      <c r="DS63" s="280" t="n"/>
      <c r="DT63" s="280" t="n"/>
      <c r="DU63" s="280" t="n"/>
      <c r="DV63" s="280" t="n"/>
      <c r="DW63" s="280" t="n"/>
      <c r="DX63" s="280" t="n"/>
      <c r="DY63" s="280" t="n"/>
      <c r="DZ63" s="280" t="n"/>
      <c r="EA63" s="280" t="n"/>
      <c r="EB63" s="280" t="n"/>
      <c r="EC63" s="280" t="n"/>
      <c r="ED63" s="280" t="n"/>
      <c r="EE63" s="280" t="n"/>
      <c r="EF63" s="280" t="n"/>
      <c r="EG63" s="280" t="n"/>
      <c r="EH63" s="280" t="n"/>
      <c r="EI63" s="280" t="n"/>
      <c r="EJ63" s="280" t="n"/>
      <c r="EK63" s="280" t="n"/>
      <c r="EL63" s="280" t="n"/>
      <c r="EM63" s="280" t="n"/>
      <c r="EN63" s="280" t="n"/>
      <c r="EO63" s="280" t="n"/>
      <c r="EP63" s="280" t="n"/>
      <c r="EQ63" s="280" t="n"/>
      <c r="ER63" s="280" t="n"/>
      <c r="ES63" s="280" t="n"/>
      <c r="ET63" s="280" t="n"/>
      <c r="EU63" s="280" t="n"/>
      <c r="EV63" s="280" t="n"/>
      <c r="EW63" s="280" t="n"/>
      <c r="EX63" s="280" t="n"/>
    </row>
    <row r="64">
      <c r="A64" s="266" t="n"/>
      <c r="C64" s="106" t="inlineStr">
        <is>
          <t>Total/Avg</t>
        </is>
      </c>
      <c r="D64" s="107">
        <f>SUM(D60:D63)</f>
        <v/>
      </c>
      <c r="E64" s="321">
        <f>SUMPRODUCT(E60:E63,$D$60:$D$63)/$D$64</f>
        <v/>
      </c>
      <c r="F64" s="107">
        <f>SUMPRODUCT(F60:F63,$D$60:$D$63)/$D$64</f>
        <v/>
      </c>
      <c r="G64" s="322">
        <f>SUMPRODUCT(G60:G63,$D$60:$D$63)/$D$64</f>
        <v/>
      </c>
      <c r="H64" s="321">
        <f>E64*D64*12</f>
        <v/>
      </c>
      <c r="I64" s="270" t="n"/>
      <c r="J64" s="9" t="inlineStr">
        <is>
          <t>Capital Expenditures</t>
        </is>
      </c>
      <c r="K64" s="267" t="n"/>
      <c r="L64" s="282" t="n"/>
      <c r="M64" s="25">
        <f>SUMIF($V$4:$EX$4,"&lt;="&amp;$H$19,$V64:$EX64)</f>
        <v/>
      </c>
      <c r="N64" s="279" t="n"/>
      <c r="O64" s="280">
        <f>SUMIF($V$5:$EX$5,O$7,$V64:$EX64)</f>
        <v/>
      </c>
      <c r="P64" s="280">
        <f>SUMIF($V$5:$EX$5,P$7,$V64:$EX64)</f>
        <v/>
      </c>
      <c r="Q64" s="280">
        <f>SUMIF($V$5:$EX$5,Q$7,$V64:$EX64)</f>
        <v/>
      </c>
      <c r="R64" s="280">
        <f>SUMIF($V$5:$EX$5,R$7,$V64:$EX64)</f>
        <v/>
      </c>
      <c r="S64" s="280">
        <f>SUMIF($V$5:$EX$5,S$7,$V64:$EX64)</f>
        <v/>
      </c>
      <c r="T64" s="280">
        <f>SUMIF($V$5:$EX$5,T$7,$V64:$EX64)</f>
        <v/>
      </c>
      <c r="U64" s="279" t="n"/>
      <c r="V64" s="254" t="n">
        <v>0</v>
      </c>
      <c r="W64" s="254">
        <f>$K64/12*W$14*$D$64</f>
        <v/>
      </c>
      <c r="X64" s="254">
        <f>$K64/12*X$14*$D$64</f>
        <v/>
      </c>
      <c r="Y64" s="254">
        <f>$K64/12*Y$14*$D$64</f>
        <v/>
      </c>
      <c r="Z64" s="254">
        <f>$K64/12*Z$14*$D$64</f>
        <v/>
      </c>
      <c r="AA64" s="254">
        <f>$K64/12*AA$14*$D$64</f>
        <v/>
      </c>
      <c r="AB64" s="254">
        <f>$K64/12*AB$14*$D$64</f>
        <v/>
      </c>
      <c r="AC64" s="254">
        <f>$K64/12*AC$14*$D$64</f>
        <v/>
      </c>
      <c r="AD64" s="254">
        <f>$K64/12*AD$14*$D$64</f>
        <v/>
      </c>
      <c r="AE64" s="254">
        <f>$K64/12*AE$14*$D$64</f>
        <v/>
      </c>
      <c r="AF64" s="254">
        <f>$K64/12*AF$14*$D$64</f>
        <v/>
      </c>
      <c r="AG64" s="254">
        <f>$K64/12*AG$14*$D$64</f>
        <v/>
      </c>
      <c r="AH64" s="254">
        <f>$K64/12*AH$14*$D$64</f>
        <v/>
      </c>
      <c r="AI64" s="254">
        <f>$K64/12*AI$14*$D$64</f>
        <v/>
      </c>
      <c r="AJ64" s="254">
        <f>$K64/12*AJ$14*$D$64</f>
        <v/>
      </c>
      <c r="AK64" s="254">
        <f>$K64/12*AK$14*$D$64</f>
        <v/>
      </c>
      <c r="AL64" s="254">
        <f>$K64/12*AL$14*$D$64</f>
        <v/>
      </c>
      <c r="AM64" s="254">
        <f>$K64/12*AM$14*$D$64</f>
        <v/>
      </c>
      <c r="AN64" s="254">
        <f>$K64/12*AN$14*$D$64</f>
        <v/>
      </c>
      <c r="AO64" s="254">
        <f>$K64/12*AO$14*$D$64</f>
        <v/>
      </c>
      <c r="AP64" s="254">
        <f>$K64/12*AP$14*$D$64</f>
        <v/>
      </c>
      <c r="AQ64" s="254">
        <f>$K64/12*AQ$14*$D$64</f>
        <v/>
      </c>
      <c r="AR64" s="254">
        <f>$K64/12*AR$14*$D$64</f>
        <v/>
      </c>
      <c r="AS64" s="254">
        <f>$K64/12*AS$14*$D$64</f>
        <v/>
      </c>
      <c r="AT64" s="254">
        <f>$K64/12*AT$14*$D$64</f>
        <v/>
      </c>
      <c r="AU64" s="254">
        <f>$K64/12*AU$14*$D$64</f>
        <v/>
      </c>
      <c r="AV64" s="254">
        <f>$K64/12*AV$14*$D$64</f>
        <v/>
      </c>
      <c r="AW64" s="254">
        <f>$K64/12*AW$14*$D$64</f>
        <v/>
      </c>
      <c r="AX64" s="254">
        <f>$K64/12*AX$14*$D$64</f>
        <v/>
      </c>
      <c r="AY64" s="254">
        <f>$K64/12*AY$14*$D$64</f>
        <v/>
      </c>
      <c r="AZ64" s="254">
        <f>$K64/12*AZ$14*$D$64</f>
        <v/>
      </c>
      <c r="BA64" s="254">
        <f>$K64/12*BA$14*$D$64</f>
        <v/>
      </c>
      <c r="BB64" s="254">
        <f>$K64/12*BB$14*$D$64</f>
        <v/>
      </c>
      <c r="BC64" s="254">
        <f>$K64/12*BC$14*$D$64</f>
        <v/>
      </c>
      <c r="BD64" s="254">
        <f>$K64/12*BD$14*$D$64</f>
        <v/>
      </c>
      <c r="BE64" s="254">
        <f>$K64/12*BE$14*$D$64</f>
        <v/>
      </c>
      <c r="BF64" s="254">
        <f>$K64/12*BF$14*$D$64</f>
        <v/>
      </c>
      <c r="BG64" s="254">
        <f>$K64/12*BG$14*$D$64</f>
        <v/>
      </c>
      <c r="BH64" s="254">
        <f>$K64/12*BH$14*$D$64</f>
        <v/>
      </c>
      <c r="BI64" s="254">
        <f>$K64/12*BI$14*$D$64</f>
        <v/>
      </c>
      <c r="BJ64" s="254">
        <f>$K64/12*BJ$14*$D$64</f>
        <v/>
      </c>
      <c r="BK64" s="254">
        <f>$K64/12*BK$14*$D$64</f>
        <v/>
      </c>
      <c r="BL64" s="254">
        <f>$K64/12*BL$14*$D$64</f>
        <v/>
      </c>
      <c r="BM64" s="254">
        <f>$K64/12*BM$14*$D$64</f>
        <v/>
      </c>
      <c r="BN64" s="254">
        <f>$K64/12*BN$14*$D$64</f>
        <v/>
      </c>
      <c r="BO64" s="254">
        <f>$K64/12*BO$14*$D$64</f>
        <v/>
      </c>
      <c r="BP64" s="254">
        <f>$K64/12*BP$14*$D$64</f>
        <v/>
      </c>
      <c r="BQ64" s="254">
        <f>$K64/12*BQ$14*$D$64</f>
        <v/>
      </c>
      <c r="BR64" s="254">
        <f>$K64/12*BR$14*$D$64</f>
        <v/>
      </c>
      <c r="BS64" s="254">
        <f>$K64/12*BS$14*$D$64</f>
        <v/>
      </c>
      <c r="BT64" s="254">
        <f>$K64/12*BT$14*$D$64</f>
        <v/>
      </c>
      <c r="BU64" s="254">
        <f>$K64/12*BU$14*$D$64</f>
        <v/>
      </c>
      <c r="BV64" s="254">
        <f>$K64/12*BV$14*$D$64</f>
        <v/>
      </c>
      <c r="BW64" s="254">
        <f>$K64/12*BW$14*$D$64</f>
        <v/>
      </c>
      <c r="BX64" s="254">
        <f>$K64/12*BX$14*$D$64</f>
        <v/>
      </c>
      <c r="BY64" s="254">
        <f>$K64/12*BY$14*$D$64</f>
        <v/>
      </c>
      <c r="BZ64" s="254">
        <f>$K64/12*BZ$14*$D$64</f>
        <v/>
      </c>
      <c r="CA64" s="254">
        <f>$K64/12*CA$14*$D$64</f>
        <v/>
      </c>
      <c r="CB64" s="254">
        <f>$K64/12*CB$14*$D$64</f>
        <v/>
      </c>
      <c r="CC64" s="254">
        <f>$K64/12*CC$14*$D$64</f>
        <v/>
      </c>
      <c r="CD64" s="254">
        <f>$K64/12*CD$14*$D$64</f>
        <v/>
      </c>
      <c r="CE64" s="254">
        <f>$K64/12*CE$14*$D$64</f>
        <v/>
      </c>
      <c r="CF64" s="254">
        <f>$K64/12*CF$14*$D$64</f>
        <v/>
      </c>
      <c r="CG64" s="254">
        <f>$K64/12*CG$14*$D$64</f>
        <v/>
      </c>
      <c r="CH64" s="254">
        <f>$K64/12*CH$14*$D$64</f>
        <v/>
      </c>
      <c r="CI64" s="254">
        <f>$K64/12*CI$14*$D$64</f>
        <v/>
      </c>
      <c r="CJ64" s="254">
        <f>$K64/12*CJ$14*$D$64</f>
        <v/>
      </c>
      <c r="CK64" s="254">
        <f>$K64/12*CK$14*$D$64</f>
        <v/>
      </c>
      <c r="CL64" s="254">
        <f>$K64/12*CL$14*$D$64</f>
        <v/>
      </c>
      <c r="CM64" s="254">
        <f>$K64/12*CM$14*$D$64</f>
        <v/>
      </c>
      <c r="CN64" s="254">
        <f>$K64/12*CN$14*$D$64</f>
        <v/>
      </c>
      <c r="CO64" s="254">
        <f>$K64/12*CO$14*$D$64</f>
        <v/>
      </c>
      <c r="CP64" s="254">
        <f>$K64/12*CP$14*$D$64</f>
        <v/>
      </c>
      <c r="CQ64" s="254">
        <f>$K64/12*CQ$14*$D$64</f>
        <v/>
      </c>
      <c r="CR64" s="254">
        <f>$K64/12*CR$14*$D$64</f>
        <v/>
      </c>
      <c r="CS64" s="254">
        <f>$K64/12*CS$14*$D$64</f>
        <v/>
      </c>
      <c r="CT64" s="254">
        <f>$K64/12*CT$14*$D$64</f>
        <v/>
      </c>
      <c r="CU64" s="254">
        <f>$K64/12*CU$14*$D$64</f>
        <v/>
      </c>
      <c r="CV64" s="254">
        <f>$K64/12*CV$14*$D$64</f>
        <v/>
      </c>
      <c r="CW64" s="254">
        <f>$K64/12*CW$14*$D$64</f>
        <v/>
      </c>
      <c r="CX64" s="254">
        <f>$K64/12*CX$14*$D$64</f>
        <v/>
      </c>
      <c r="CY64" s="254">
        <f>$K64/12*CY$14*$D$64</f>
        <v/>
      </c>
      <c r="CZ64" s="254">
        <f>$K64/12*CZ$14*$D$64</f>
        <v/>
      </c>
      <c r="DA64" s="254">
        <f>$K64/12*DA$14*$D$64</f>
        <v/>
      </c>
      <c r="DB64" s="254">
        <f>$K64/12*DB$14*$D$64</f>
        <v/>
      </c>
      <c r="DC64" s="254">
        <f>$K64/12*DC$14*$D$64</f>
        <v/>
      </c>
      <c r="DD64" s="254">
        <f>$K64/12*DD$14*$D$64</f>
        <v/>
      </c>
      <c r="DE64" s="254">
        <f>$K64/12*DE$14*$D$64</f>
        <v/>
      </c>
      <c r="DF64" s="254">
        <f>$K64/12*DF$14*$D$64</f>
        <v/>
      </c>
      <c r="DG64" s="254">
        <f>$K64/12*DG$14*$D$64</f>
        <v/>
      </c>
      <c r="DH64" s="254">
        <f>$K64/12*DH$14*$D$64</f>
        <v/>
      </c>
      <c r="DI64" s="254">
        <f>$K64/12*DI$14*$D$64</f>
        <v/>
      </c>
      <c r="DJ64" s="254">
        <f>$K64/12*DJ$14*$D$64</f>
        <v/>
      </c>
      <c r="DK64" s="254">
        <f>$K64/12*DK$14*$D$64</f>
        <v/>
      </c>
      <c r="DL64" s="254">
        <f>$K64/12*DL$14*$D$64</f>
        <v/>
      </c>
      <c r="DM64" s="254">
        <f>$K64/12*DM$14*$D$64</f>
        <v/>
      </c>
      <c r="DN64" s="254">
        <f>$K64/12*DN$14*$D$64</f>
        <v/>
      </c>
      <c r="DO64" s="254">
        <f>$K64/12*DO$14*$D$64</f>
        <v/>
      </c>
      <c r="DP64" s="254">
        <f>$K64/12*DP$14*$D$64</f>
        <v/>
      </c>
      <c r="DQ64" s="254">
        <f>$K64/12*DQ$14*$D$64</f>
        <v/>
      </c>
      <c r="DR64" s="254">
        <f>$K64/12*DR$14*$D$64</f>
        <v/>
      </c>
      <c r="DS64" s="254">
        <f>$K64/12*DS$14*$D$64</f>
        <v/>
      </c>
      <c r="DT64" s="254">
        <f>$K64/12*DT$14*$D$64</f>
        <v/>
      </c>
      <c r="DU64" s="254">
        <f>$K64/12*DU$14*$D$64</f>
        <v/>
      </c>
      <c r="DV64" s="254">
        <f>$K64/12*DV$14*$D$64</f>
        <v/>
      </c>
      <c r="DW64" s="254">
        <f>$K64/12*DW$14*$D$64</f>
        <v/>
      </c>
      <c r="DX64" s="254">
        <f>$K64/12*DX$14*$D$64</f>
        <v/>
      </c>
      <c r="DY64" s="254">
        <f>$K64/12*DY$14*$D$64</f>
        <v/>
      </c>
      <c r="DZ64" s="254">
        <f>$K64/12*DZ$14*$D$64</f>
        <v/>
      </c>
      <c r="EA64" s="254">
        <f>$K64/12*EA$14*$D$64</f>
        <v/>
      </c>
      <c r="EB64" s="254">
        <f>$K64/12*EB$14*$D$64</f>
        <v/>
      </c>
      <c r="EC64" s="254">
        <f>$K64/12*EC$14*$D$64</f>
        <v/>
      </c>
      <c r="ED64" s="254">
        <f>$K64/12*ED$14*$D$64</f>
        <v/>
      </c>
      <c r="EE64" s="254">
        <f>$K64/12*EE$14*$D$64</f>
        <v/>
      </c>
      <c r="EF64" s="254">
        <f>$K64/12*EF$14*$D$64</f>
        <v/>
      </c>
      <c r="EG64" s="254">
        <f>$K64/12*EG$14*$D$64</f>
        <v/>
      </c>
      <c r="EH64" s="254">
        <f>$K64/12*EH$14*$D$64</f>
        <v/>
      </c>
      <c r="EI64" s="254">
        <f>$K64/12*EI$14*$D$64</f>
        <v/>
      </c>
      <c r="EJ64" s="254">
        <f>$K64/12*EJ$14*$D$64</f>
        <v/>
      </c>
      <c r="EK64" s="254">
        <f>$K64/12*EK$14*$D$64</f>
        <v/>
      </c>
      <c r="EL64" s="254">
        <f>$K64/12*EL$14*$D$64</f>
        <v/>
      </c>
      <c r="EM64" s="254">
        <f>$K64/12*EM$14*$D$64</f>
        <v/>
      </c>
      <c r="EN64" s="254">
        <f>$K64/12*EN$14*$D$64</f>
        <v/>
      </c>
      <c r="EO64" s="254">
        <f>$K64/12*EO$14*$D$64</f>
        <v/>
      </c>
      <c r="EP64" s="254">
        <f>$K64/12*EP$14*$D$64</f>
        <v/>
      </c>
      <c r="EQ64" s="254">
        <f>$K64/12*EQ$14*$D$64</f>
        <v/>
      </c>
      <c r="ER64" s="254">
        <f>$K64/12*ER$14*$D$64</f>
        <v/>
      </c>
      <c r="ES64" s="254">
        <f>$K64/12*ES$14*$D$64</f>
        <v/>
      </c>
      <c r="ET64" s="254">
        <f>$K64/12*ET$14*$D$64</f>
        <v/>
      </c>
      <c r="EU64" s="254">
        <f>$K64/12*EU$14*$D$64</f>
        <v/>
      </c>
      <c r="EV64" s="254">
        <f>$K64/12*EV$14*$D$64</f>
        <v/>
      </c>
      <c r="EW64" s="254">
        <f>$K64/12*EW$14*$D$64</f>
        <v/>
      </c>
      <c r="EX64" s="254">
        <f>$K64/12*EX$14*$D$64</f>
        <v/>
      </c>
    </row>
    <row r="65" customFormat="1" s="33">
      <c r="A65" s="9" t="n"/>
      <c r="B65" s="9" t="n"/>
      <c r="C65" s="14" t="n"/>
      <c r="D65" s="14" t="n"/>
      <c r="E65" s="110" t="n"/>
      <c r="F65" s="110" t="n"/>
      <c r="G65" s="323" t="n"/>
      <c r="H65" s="324" t="n"/>
      <c r="I65" s="12" t="n"/>
      <c r="J65" s="269" t="inlineStr">
        <is>
          <t>Total Capex</t>
        </is>
      </c>
      <c r="K65" s="269" t="n"/>
      <c r="L65" s="270" t="n"/>
      <c r="M65" s="325">
        <f>SUMIF($V$4:$EX$4,"&lt;="&amp;$H$19,$V65:$EX65)</f>
        <v/>
      </c>
      <c r="N65" s="326" t="n"/>
      <c r="O65" s="325">
        <f>SUMIF($V$5:$EX$5,O$7,$V65:$EX65)</f>
        <v/>
      </c>
      <c r="P65" s="325">
        <f>SUMIF($V$5:$EX$5,P$7,$V65:$EX65)</f>
        <v/>
      </c>
      <c r="Q65" s="325">
        <f>SUMIF($V$5:$EX$5,Q$7,$V65:$EX65)</f>
        <v/>
      </c>
      <c r="R65" s="325">
        <f>SUMIF($V$5:$EX$5,R$7,$V65:$EX65)</f>
        <v/>
      </c>
      <c r="S65" s="325">
        <f>SUMIF($V$5:$EX$5,S$7,$V65:$EX65)</f>
        <v/>
      </c>
      <c r="T65" s="325">
        <f>SUMIF($V$5:$EX$5,T$7,$V65:$EX65)</f>
        <v/>
      </c>
      <c r="U65" s="326" t="n"/>
      <c r="V65" s="325" t="n">
        <v>0</v>
      </c>
      <c r="W65" s="325">
        <f>SUM(W64:W64)</f>
        <v/>
      </c>
      <c r="X65" s="325">
        <f>SUM(X64:X64)</f>
        <v/>
      </c>
      <c r="Y65" s="325">
        <f>SUM(Y64:Y64)</f>
        <v/>
      </c>
      <c r="Z65" s="325">
        <f>SUM(Z64:Z64)</f>
        <v/>
      </c>
      <c r="AA65" s="325">
        <f>SUM(AA64:AA64)</f>
        <v/>
      </c>
      <c r="AB65" s="325">
        <f>SUM(AB64:AB64)</f>
        <v/>
      </c>
      <c r="AC65" s="325">
        <f>SUM(AC64:AC64)</f>
        <v/>
      </c>
      <c r="AD65" s="325">
        <f>SUM(AD64:AD64)</f>
        <v/>
      </c>
      <c r="AE65" s="325">
        <f>SUM(AE64:AE64)</f>
        <v/>
      </c>
      <c r="AF65" s="325">
        <f>SUM(AF64:AF64)</f>
        <v/>
      </c>
      <c r="AG65" s="325">
        <f>SUM(AG64:AG64)</f>
        <v/>
      </c>
      <c r="AH65" s="325">
        <f>SUM(AH64:AH64)</f>
        <v/>
      </c>
      <c r="AI65" s="325">
        <f>SUM(AI64:AI64)</f>
        <v/>
      </c>
      <c r="AJ65" s="325">
        <f>SUM(AJ64:AJ64)</f>
        <v/>
      </c>
      <c r="AK65" s="325">
        <f>SUM(AK64:AK64)</f>
        <v/>
      </c>
      <c r="AL65" s="325">
        <f>SUM(AL64:AL64)</f>
        <v/>
      </c>
      <c r="AM65" s="325">
        <f>SUM(AM64:AM64)</f>
        <v/>
      </c>
      <c r="AN65" s="325">
        <f>SUM(AN64:AN64)</f>
        <v/>
      </c>
      <c r="AO65" s="325">
        <f>SUM(AO64:AO64)</f>
        <v/>
      </c>
      <c r="AP65" s="325">
        <f>SUM(AP64:AP64)</f>
        <v/>
      </c>
      <c r="AQ65" s="325">
        <f>SUM(AQ64:AQ64)</f>
        <v/>
      </c>
      <c r="AR65" s="325">
        <f>SUM(AR64:AR64)</f>
        <v/>
      </c>
      <c r="AS65" s="325">
        <f>SUM(AS64:AS64)</f>
        <v/>
      </c>
      <c r="AT65" s="325">
        <f>SUM(AT64:AT64)</f>
        <v/>
      </c>
      <c r="AU65" s="325">
        <f>SUM(AU64:AU64)</f>
        <v/>
      </c>
      <c r="AV65" s="325">
        <f>SUM(AV64:AV64)</f>
        <v/>
      </c>
      <c r="AW65" s="325">
        <f>SUM(AW64:AW64)</f>
        <v/>
      </c>
      <c r="AX65" s="325">
        <f>SUM(AX64:AX64)</f>
        <v/>
      </c>
      <c r="AY65" s="325">
        <f>SUM(AY64:AY64)</f>
        <v/>
      </c>
      <c r="AZ65" s="325">
        <f>SUM(AZ64:AZ64)</f>
        <v/>
      </c>
      <c r="BA65" s="325">
        <f>SUM(BA64:BA64)</f>
        <v/>
      </c>
      <c r="BB65" s="325">
        <f>SUM(BB64:BB64)</f>
        <v/>
      </c>
      <c r="BC65" s="325">
        <f>SUM(BC64:BC64)</f>
        <v/>
      </c>
      <c r="BD65" s="325">
        <f>SUM(BD64:BD64)</f>
        <v/>
      </c>
      <c r="BE65" s="325">
        <f>SUM(BE64:BE64)</f>
        <v/>
      </c>
      <c r="BF65" s="325">
        <f>SUM(BF64:BF64)</f>
        <v/>
      </c>
      <c r="BG65" s="325">
        <f>SUM(BG64:BG64)</f>
        <v/>
      </c>
      <c r="BH65" s="325">
        <f>SUM(BH64:BH64)</f>
        <v/>
      </c>
      <c r="BI65" s="325">
        <f>SUM(BI64:BI64)</f>
        <v/>
      </c>
      <c r="BJ65" s="325">
        <f>SUM(BJ64:BJ64)</f>
        <v/>
      </c>
      <c r="BK65" s="325">
        <f>SUM(BK64:BK64)</f>
        <v/>
      </c>
      <c r="BL65" s="325">
        <f>SUM(BL64:BL64)</f>
        <v/>
      </c>
      <c r="BM65" s="325">
        <f>SUM(BM64:BM64)</f>
        <v/>
      </c>
      <c r="BN65" s="325">
        <f>SUM(BN64:BN64)</f>
        <v/>
      </c>
      <c r="BO65" s="325">
        <f>SUM(BO64:BO64)</f>
        <v/>
      </c>
      <c r="BP65" s="325">
        <f>SUM(BP64:BP64)</f>
        <v/>
      </c>
      <c r="BQ65" s="325">
        <f>SUM(BQ64:BQ64)</f>
        <v/>
      </c>
      <c r="BR65" s="325">
        <f>SUM(BR64:BR64)</f>
        <v/>
      </c>
      <c r="BS65" s="325">
        <f>SUM(BS64:BS64)</f>
        <v/>
      </c>
      <c r="BT65" s="325">
        <f>SUM(BT64:BT64)</f>
        <v/>
      </c>
      <c r="BU65" s="325">
        <f>SUM(BU64:BU64)</f>
        <v/>
      </c>
      <c r="BV65" s="325">
        <f>SUM(BV64:BV64)</f>
        <v/>
      </c>
      <c r="BW65" s="325">
        <f>SUM(BW64:BW64)</f>
        <v/>
      </c>
      <c r="BX65" s="325">
        <f>SUM(BX64:BX64)</f>
        <v/>
      </c>
      <c r="BY65" s="325">
        <f>SUM(BY64:BY64)</f>
        <v/>
      </c>
      <c r="BZ65" s="325">
        <f>SUM(BZ64:BZ64)</f>
        <v/>
      </c>
      <c r="CA65" s="325">
        <f>SUM(CA64:CA64)</f>
        <v/>
      </c>
      <c r="CB65" s="325">
        <f>SUM(CB64:CB64)</f>
        <v/>
      </c>
      <c r="CC65" s="325">
        <f>SUM(CC64:CC64)</f>
        <v/>
      </c>
      <c r="CD65" s="325">
        <f>SUM(CD64:CD64)</f>
        <v/>
      </c>
      <c r="CE65" s="325">
        <f>SUM(CE64:CE64)</f>
        <v/>
      </c>
      <c r="CF65" s="325">
        <f>SUM(CF64:CF64)</f>
        <v/>
      </c>
      <c r="CG65" s="325">
        <f>SUM(CG64:CG64)</f>
        <v/>
      </c>
      <c r="CH65" s="325">
        <f>SUM(CH64:CH64)</f>
        <v/>
      </c>
      <c r="CI65" s="325">
        <f>SUM(CI64:CI64)</f>
        <v/>
      </c>
      <c r="CJ65" s="325">
        <f>SUM(CJ64:CJ64)</f>
        <v/>
      </c>
      <c r="CK65" s="325">
        <f>SUM(CK64:CK64)</f>
        <v/>
      </c>
      <c r="CL65" s="325">
        <f>SUM(CL64:CL64)</f>
        <v/>
      </c>
      <c r="CM65" s="325">
        <f>SUM(CM64:CM64)</f>
        <v/>
      </c>
      <c r="CN65" s="325">
        <f>SUM(CN64:CN64)</f>
        <v/>
      </c>
      <c r="CO65" s="325">
        <f>SUM(CO64:CO64)</f>
        <v/>
      </c>
      <c r="CP65" s="325">
        <f>SUM(CP64:CP64)</f>
        <v/>
      </c>
      <c r="CQ65" s="325">
        <f>SUM(CQ64:CQ64)</f>
        <v/>
      </c>
      <c r="CR65" s="325">
        <f>SUM(CR64:CR64)</f>
        <v/>
      </c>
      <c r="CS65" s="325">
        <f>SUM(CS64:CS64)</f>
        <v/>
      </c>
      <c r="CT65" s="325">
        <f>SUM(CT64:CT64)</f>
        <v/>
      </c>
      <c r="CU65" s="325">
        <f>SUM(CU64:CU64)</f>
        <v/>
      </c>
      <c r="CV65" s="325">
        <f>SUM(CV64:CV64)</f>
        <v/>
      </c>
      <c r="CW65" s="325">
        <f>SUM(CW64:CW64)</f>
        <v/>
      </c>
      <c r="CX65" s="325">
        <f>SUM(CX64:CX64)</f>
        <v/>
      </c>
      <c r="CY65" s="325">
        <f>SUM(CY64:CY64)</f>
        <v/>
      </c>
      <c r="CZ65" s="325">
        <f>SUM(CZ64:CZ64)</f>
        <v/>
      </c>
      <c r="DA65" s="325">
        <f>SUM(DA64:DA64)</f>
        <v/>
      </c>
      <c r="DB65" s="325">
        <f>SUM(DB64:DB64)</f>
        <v/>
      </c>
      <c r="DC65" s="325">
        <f>SUM(DC64:DC64)</f>
        <v/>
      </c>
      <c r="DD65" s="325">
        <f>SUM(DD64:DD64)</f>
        <v/>
      </c>
      <c r="DE65" s="325">
        <f>SUM(DE64:DE64)</f>
        <v/>
      </c>
      <c r="DF65" s="325">
        <f>SUM(DF64:DF64)</f>
        <v/>
      </c>
      <c r="DG65" s="325">
        <f>SUM(DG64:DG64)</f>
        <v/>
      </c>
      <c r="DH65" s="325">
        <f>SUM(DH64:DH64)</f>
        <v/>
      </c>
      <c r="DI65" s="325">
        <f>SUM(DI64:DI64)</f>
        <v/>
      </c>
      <c r="DJ65" s="325">
        <f>SUM(DJ64:DJ64)</f>
        <v/>
      </c>
      <c r="DK65" s="325">
        <f>SUM(DK64:DK64)</f>
        <v/>
      </c>
      <c r="DL65" s="325">
        <f>SUM(DL64:DL64)</f>
        <v/>
      </c>
      <c r="DM65" s="325">
        <f>SUM(DM64:DM64)</f>
        <v/>
      </c>
      <c r="DN65" s="325">
        <f>SUM(DN64:DN64)</f>
        <v/>
      </c>
      <c r="DO65" s="325">
        <f>SUM(DO64:DO64)</f>
        <v/>
      </c>
      <c r="DP65" s="325">
        <f>SUM(DP64:DP64)</f>
        <v/>
      </c>
      <c r="DQ65" s="325">
        <f>SUM(DQ64:DQ64)</f>
        <v/>
      </c>
      <c r="DR65" s="325">
        <f>SUM(DR64:DR64)</f>
        <v/>
      </c>
      <c r="DS65" s="325">
        <f>SUM(DS64:DS64)</f>
        <v/>
      </c>
      <c r="DT65" s="325">
        <f>SUM(DT64:DT64)</f>
        <v/>
      </c>
      <c r="DU65" s="325">
        <f>SUM(DU64:DU64)</f>
        <v/>
      </c>
      <c r="DV65" s="325">
        <f>SUM(DV64:DV64)</f>
        <v/>
      </c>
      <c r="DW65" s="325">
        <f>SUM(DW64:DW64)</f>
        <v/>
      </c>
      <c r="DX65" s="325">
        <f>SUM(DX64:DX64)</f>
        <v/>
      </c>
      <c r="DY65" s="325">
        <f>SUM(DY64:DY64)</f>
        <v/>
      </c>
      <c r="DZ65" s="325">
        <f>SUM(DZ64:DZ64)</f>
        <v/>
      </c>
      <c r="EA65" s="325">
        <f>SUM(EA64:EA64)</f>
        <v/>
      </c>
      <c r="EB65" s="325">
        <f>SUM(EB64:EB64)</f>
        <v/>
      </c>
      <c r="EC65" s="325">
        <f>SUM(EC64:EC64)</f>
        <v/>
      </c>
      <c r="ED65" s="325">
        <f>SUM(ED64:ED64)</f>
        <v/>
      </c>
      <c r="EE65" s="325">
        <f>SUM(EE64:EE64)</f>
        <v/>
      </c>
      <c r="EF65" s="325">
        <f>SUM(EF64:EF64)</f>
        <v/>
      </c>
      <c r="EG65" s="325">
        <f>SUM(EG64:EG64)</f>
        <v/>
      </c>
      <c r="EH65" s="325">
        <f>SUM(EH64:EH64)</f>
        <v/>
      </c>
      <c r="EI65" s="325">
        <f>SUM(EI64:EI64)</f>
        <v/>
      </c>
      <c r="EJ65" s="325">
        <f>SUM(EJ64:EJ64)</f>
        <v/>
      </c>
      <c r="EK65" s="325">
        <f>SUM(EK64:EK64)</f>
        <v/>
      </c>
      <c r="EL65" s="325">
        <f>SUM(EL64:EL64)</f>
        <v/>
      </c>
      <c r="EM65" s="325">
        <f>SUM(EM64:EM64)</f>
        <v/>
      </c>
      <c r="EN65" s="325">
        <f>SUM(EN64:EN64)</f>
        <v/>
      </c>
      <c r="EO65" s="325">
        <f>SUM(EO64:EO64)</f>
        <v/>
      </c>
      <c r="EP65" s="325">
        <f>SUM(EP64:EP64)</f>
        <v/>
      </c>
      <c r="EQ65" s="325">
        <f>SUM(EQ64:EQ64)</f>
        <v/>
      </c>
      <c r="ER65" s="325">
        <f>SUM(ER64:ER64)</f>
        <v/>
      </c>
      <c r="ES65" s="325">
        <f>SUM(ES64:ES64)</f>
        <v/>
      </c>
      <c r="ET65" s="325">
        <f>SUM(ET64:ET64)</f>
        <v/>
      </c>
      <c r="EU65" s="325">
        <f>SUM(EU64:EU64)</f>
        <v/>
      </c>
      <c r="EV65" s="325">
        <f>SUM(EV64:EV64)</f>
        <v/>
      </c>
      <c r="EW65" s="325">
        <f>SUM(EW64:EW64)</f>
        <v/>
      </c>
      <c r="EX65" s="325">
        <f>SUM(EX64:EX64)</f>
        <v/>
      </c>
    </row>
    <row r="66">
      <c r="B66" s="264" t="n"/>
      <c r="C66" s="36" t="inlineStr">
        <is>
          <t>Other Income</t>
        </is>
      </c>
      <c r="D66" s="36" t="n"/>
      <c r="E66" s="46" t="inlineStr">
        <is>
          <t>%</t>
        </is>
      </c>
      <c r="F66" s="46" t="inlineStr">
        <is>
          <t>Count</t>
        </is>
      </c>
      <c r="G66" s="46" t="inlineStr">
        <is>
          <t>$ / Unit / Mo</t>
        </is>
      </c>
      <c r="H66" s="46" t="inlineStr">
        <is>
          <t>Annual Total</t>
        </is>
      </c>
      <c r="N66" s="279" t="n"/>
      <c r="O66" s="280" t="n"/>
      <c r="P66" s="280" t="n"/>
      <c r="Q66" s="280" t="n"/>
      <c r="R66" s="280" t="n"/>
      <c r="S66" s="280" t="n"/>
      <c r="T66" s="280" t="n"/>
      <c r="U66" s="279" t="n"/>
    </row>
    <row r="67">
      <c r="C67" s="12" t="inlineStr">
        <is>
          <t>RUBS</t>
        </is>
      </c>
      <c r="D67" s="12" t="n"/>
      <c r="E67" s="96" t="n"/>
      <c r="F67" s="116">
        <f>$D$64</f>
        <v/>
      </c>
      <c r="G67" s="268">
        <f>IFERROR(H67/F67/12,0)</f>
        <v/>
      </c>
      <c r="H67" s="268">
        <f>K53*D64*E67</f>
        <v/>
      </c>
      <c r="J67" s="294" t="inlineStr">
        <is>
          <t>NOI After Cap Reserve</t>
        </is>
      </c>
      <c r="K67" s="295" t="n"/>
      <c r="L67" s="282" t="n"/>
      <c r="M67" s="294">
        <f>SUMIF($V$4:$EX$4,"&lt;="&amp;$H$19,$V67:$EX67)</f>
        <v/>
      </c>
      <c r="N67" s="270" t="n"/>
      <c r="O67" s="294">
        <f>SUMIF($V$5:$EX$5,O$7,$V67:$EX67)</f>
        <v/>
      </c>
      <c r="P67" s="294">
        <f>SUMIF($V$5:$EX$5,P$7,$V67:$EX67)</f>
        <v/>
      </c>
      <c r="Q67" s="294">
        <f>SUMIF($V$5:$EX$5,Q$7,$V67:$EX67)</f>
        <v/>
      </c>
      <c r="R67" s="294">
        <f>SUMIF($V$5:$EX$5,R$7,$V67:$EX67)</f>
        <v/>
      </c>
      <c r="S67" s="294">
        <f>SUMIF($V$5:$EX$5,S$7,$V67:$EX67)</f>
        <v/>
      </c>
      <c r="T67" s="294">
        <f>SUMIF($V$5:$EX$5,T$7,$V67:$EX67)</f>
        <v/>
      </c>
      <c r="U67" s="270" t="n"/>
      <c r="V67" s="294">
        <f>(V61-V65)*(V4&lt;=$H$19)</f>
        <v/>
      </c>
      <c r="W67" s="294">
        <f>(W61-W65)*(W4&lt;=$H$19)</f>
        <v/>
      </c>
      <c r="X67" s="294">
        <f>(X61-X65)*(X4&lt;=$H$19)</f>
        <v/>
      </c>
      <c r="Y67" s="294">
        <f>(Y61-Y65)*(Y4&lt;=$H$19)</f>
        <v/>
      </c>
      <c r="Z67" s="294">
        <f>(Z61-Z65)*(Z4&lt;=$H$19)</f>
        <v/>
      </c>
      <c r="AA67" s="294">
        <f>(AA61-AA65)*(AA4&lt;=$H$19)</f>
        <v/>
      </c>
      <c r="AB67" s="294">
        <f>(AB61-AB65)*(AB4&lt;=$H$19)</f>
        <v/>
      </c>
      <c r="AC67" s="294">
        <f>(AC61-AC65)*(AC4&lt;=$H$19)</f>
        <v/>
      </c>
      <c r="AD67" s="294">
        <f>(AD61-AD65)*(AD4&lt;=$H$19)</f>
        <v/>
      </c>
      <c r="AE67" s="294">
        <f>(AE61-AE65)*(AE4&lt;=$H$19)</f>
        <v/>
      </c>
      <c r="AF67" s="294">
        <f>(AF61-AF65)*(AF4&lt;=$H$19)</f>
        <v/>
      </c>
      <c r="AG67" s="294">
        <f>(AG61-AG65)*(AG4&lt;=$H$19)</f>
        <v/>
      </c>
      <c r="AH67" s="294">
        <f>(AH61-AH65)*(AH4&lt;=$H$19)</f>
        <v/>
      </c>
      <c r="AI67" s="294">
        <f>(AI61-AI65)*(AI4&lt;=$H$19)</f>
        <v/>
      </c>
      <c r="AJ67" s="294">
        <f>(AJ61-AJ65)*(AJ4&lt;=$H$19)</f>
        <v/>
      </c>
      <c r="AK67" s="294">
        <f>(AK61-AK65)*(AK4&lt;=$H$19)</f>
        <v/>
      </c>
      <c r="AL67" s="294">
        <f>(AL61-AL65)*(AL4&lt;=$H$19)</f>
        <v/>
      </c>
      <c r="AM67" s="294">
        <f>(AM61-AM65)*(AM4&lt;=$H$19)</f>
        <v/>
      </c>
      <c r="AN67" s="294">
        <f>(AN61-AN65)*(AN4&lt;=$H$19)</f>
        <v/>
      </c>
      <c r="AO67" s="294">
        <f>(AO61-AO65)*(AO4&lt;=$H$19)</f>
        <v/>
      </c>
      <c r="AP67" s="294">
        <f>(AP61-AP65)*(AP4&lt;=$H$19)</f>
        <v/>
      </c>
      <c r="AQ67" s="294">
        <f>(AQ61-AQ65)*(AQ4&lt;=$H$19)</f>
        <v/>
      </c>
      <c r="AR67" s="294">
        <f>(AR61-AR65)*(AR4&lt;=$H$19)</f>
        <v/>
      </c>
      <c r="AS67" s="294">
        <f>(AS61-AS65)*(AS4&lt;=$H$19)</f>
        <v/>
      </c>
      <c r="AT67" s="294">
        <f>(AT61-AT65)*(AT4&lt;=$H$19)</f>
        <v/>
      </c>
      <c r="AU67" s="294">
        <f>(AU61-AU65)*(AU4&lt;=$H$19)</f>
        <v/>
      </c>
      <c r="AV67" s="294">
        <f>(AV61-AV65)*(AV4&lt;=$H$19)</f>
        <v/>
      </c>
      <c r="AW67" s="294">
        <f>(AW61-AW65)*(AW4&lt;=$H$19)</f>
        <v/>
      </c>
      <c r="AX67" s="294">
        <f>(AX61-AX65)*(AX4&lt;=$H$19)</f>
        <v/>
      </c>
      <c r="AY67" s="294">
        <f>(AY61-AY65)*(AY4&lt;=$H$19)</f>
        <v/>
      </c>
      <c r="AZ67" s="294">
        <f>(AZ61-AZ65)*(AZ4&lt;=$H$19)</f>
        <v/>
      </c>
      <c r="BA67" s="294">
        <f>(BA61-BA65)*(BA4&lt;=$H$19)</f>
        <v/>
      </c>
      <c r="BB67" s="294">
        <f>(BB61-BB65)*(BB4&lt;=$H$19)</f>
        <v/>
      </c>
      <c r="BC67" s="294">
        <f>(BC61-BC65)*(BC4&lt;=$H$19)</f>
        <v/>
      </c>
      <c r="BD67" s="294">
        <f>(BD61-BD65)*(BD4&lt;=$H$19)</f>
        <v/>
      </c>
      <c r="BE67" s="294">
        <f>(BE61-BE65)*(BE4&lt;=$H$19)</f>
        <v/>
      </c>
      <c r="BF67" s="294">
        <f>(BF61-BF65)*(BF4&lt;=$H$19)</f>
        <v/>
      </c>
      <c r="BG67" s="294">
        <f>(BG61-BG65)*(BG4&lt;=$H$19)</f>
        <v/>
      </c>
      <c r="BH67" s="294">
        <f>(BH61-BH65)*(BH4&lt;=$H$19)</f>
        <v/>
      </c>
      <c r="BI67" s="294">
        <f>(BI61-BI65)*(BI4&lt;=$H$19)</f>
        <v/>
      </c>
      <c r="BJ67" s="294">
        <f>(BJ61-BJ65)*(BJ4&lt;=$H$19)</f>
        <v/>
      </c>
      <c r="BK67" s="294">
        <f>(BK61-BK65)*(BK4&lt;=$H$19)</f>
        <v/>
      </c>
      <c r="BL67" s="294">
        <f>(BL61-BL65)*(BL4&lt;=$H$19)</f>
        <v/>
      </c>
      <c r="BM67" s="294">
        <f>(BM61-BM65)*(BM4&lt;=$H$19)</f>
        <v/>
      </c>
      <c r="BN67" s="294">
        <f>(BN61-BN65)*(BN4&lt;=$H$19)</f>
        <v/>
      </c>
      <c r="BO67" s="294">
        <f>(BO61-BO65)*(BO4&lt;=$H$19)</f>
        <v/>
      </c>
      <c r="BP67" s="294">
        <f>(BP61-BP65)*(BP4&lt;=$H$19)</f>
        <v/>
      </c>
      <c r="BQ67" s="294">
        <f>(BQ61-BQ65)*(BQ4&lt;=$H$19)</f>
        <v/>
      </c>
      <c r="BR67" s="294">
        <f>(BR61-BR65)*(BR4&lt;=$H$19)</f>
        <v/>
      </c>
      <c r="BS67" s="294">
        <f>(BS61-BS65)*(BS4&lt;=$H$19)</f>
        <v/>
      </c>
      <c r="BT67" s="294">
        <f>(BT61-BT65)*(BT4&lt;=$H$19)</f>
        <v/>
      </c>
      <c r="BU67" s="294">
        <f>(BU61-BU65)*(BU4&lt;=$H$19)</f>
        <v/>
      </c>
      <c r="BV67" s="294">
        <f>(BV61-BV65)*(BV4&lt;=$H$19)</f>
        <v/>
      </c>
      <c r="BW67" s="294">
        <f>(BW61-BW65)*(BW4&lt;=$H$19)</f>
        <v/>
      </c>
      <c r="BX67" s="294">
        <f>(BX61-BX65)*(BX4&lt;=$H$19)</f>
        <v/>
      </c>
      <c r="BY67" s="294">
        <f>(BY61-BY65)*(BY4&lt;=$H$19)</f>
        <v/>
      </c>
      <c r="BZ67" s="294">
        <f>(BZ61-BZ65)*(BZ4&lt;=$H$19)</f>
        <v/>
      </c>
      <c r="CA67" s="294">
        <f>(CA61-CA65)*(CA4&lt;=$H$19)</f>
        <v/>
      </c>
      <c r="CB67" s="294">
        <f>(CB61-CB65)*(CB4&lt;=$H$19)</f>
        <v/>
      </c>
      <c r="CC67" s="294">
        <f>(CC61-CC65)*(CC4&lt;=$H$19)</f>
        <v/>
      </c>
      <c r="CD67" s="294">
        <f>(CD61-CD65)*(CD4&lt;=$H$19)</f>
        <v/>
      </c>
      <c r="CE67" s="294">
        <f>(CE61-CE65)*(CE4&lt;=$H$19)</f>
        <v/>
      </c>
      <c r="CF67" s="294">
        <f>(CF61-CF65)*(CF4&lt;=$H$19)</f>
        <v/>
      </c>
      <c r="CG67" s="294">
        <f>(CG61-CG65)*(CG4&lt;=$H$19)</f>
        <v/>
      </c>
      <c r="CH67" s="294">
        <f>(CH61-CH65)*(CH4&lt;=$H$19)</f>
        <v/>
      </c>
      <c r="CI67" s="294">
        <f>(CI61-CI65)*(CI4&lt;=$H$19)</f>
        <v/>
      </c>
      <c r="CJ67" s="294">
        <f>(CJ61-CJ65)*(CJ4&lt;=$H$19)</f>
        <v/>
      </c>
      <c r="CK67" s="294">
        <f>(CK61-CK65)*(CK4&lt;=$H$19)</f>
        <v/>
      </c>
      <c r="CL67" s="294">
        <f>(CL61-CL65)*(CL4&lt;=$H$19)</f>
        <v/>
      </c>
      <c r="CM67" s="294">
        <f>(CM61-CM65)*(CM4&lt;=$H$19)</f>
        <v/>
      </c>
      <c r="CN67" s="294">
        <f>(CN61-CN65)*(CN4&lt;=$H$19)</f>
        <v/>
      </c>
      <c r="CO67" s="294">
        <f>(CO61-CO65)*(CO4&lt;=$H$19)</f>
        <v/>
      </c>
      <c r="CP67" s="294">
        <f>(CP61-CP65)*(CP4&lt;=$H$19)</f>
        <v/>
      </c>
      <c r="CQ67" s="294">
        <f>(CQ61-CQ65)*(CQ4&lt;=$H$19)</f>
        <v/>
      </c>
      <c r="CR67" s="294">
        <f>(CR61-CR65)*(CR4&lt;=$H$19)</f>
        <v/>
      </c>
      <c r="CS67" s="294">
        <f>(CS61-CS65)*(CS4&lt;=$H$19)</f>
        <v/>
      </c>
      <c r="CT67" s="294">
        <f>(CT61-CT65)*(CT4&lt;=$H$19)</f>
        <v/>
      </c>
      <c r="CU67" s="294">
        <f>(CU61-CU65)*(CU4&lt;=$H$19)</f>
        <v/>
      </c>
      <c r="CV67" s="294">
        <f>(CV61-CV65)*(CV4&lt;=$H$19)</f>
        <v/>
      </c>
      <c r="CW67" s="294">
        <f>(CW61-CW65)*(CW4&lt;=$H$19)</f>
        <v/>
      </c>
      <c r="CX67" s="294">
        <f>(CX61-CX65)*(CX4&lt;=$H$19)</f>
        <v/>
      </c>
      <c r="CY67" s="294">
        <f>(CY61-CY65)*(CY4&lt;=$H$19)</f>
        <v/>
      </c>
      <c r="CZ67" s="294">
        <f>(CZ61-CZ65)*(CZ4&lt;=$H$19)</f>
        <v/>
      </c>
      <c r="DA67" s="294">
        <f>(DA61-DA65)*(DA4&lt;=$H$19)</f>
        <v/>
      </c>
      <c r="DB67" s="294">
        <f>(DB61-DB65)*(DB4&lt;=$H$19)</f>
        <v/>
      </c>
      <c r="DC67" s="294">
        <f>(DC61-DC65)*(DC4&lt;=$H$19)</f>
        <v/>
      </c>
      <c r="DD67" s="294">
        <f>(DD61-DD65)*(DD4&lt;=$H$19)</f>
        <v/>
      </c>
      <c r="DE67" s="294">
        <f>(DE61-DE65)*(DE4&lt;=$H$19)</f>
        <v/>
      </c>
      <c r="DF67" s="294">
        <f>(DF61-DF65)*(DF4&lt;=$H$19)</f>
        <v/>
      </c>
      <c r="DG67" s="294">
        <f>(DG61-DG65)*(DG4&lt;=$H$19)</f>
        <v/>
      </c>
      <c r="DH67" s="294">
        <f>(DH61-DH65)*(DH4&lt;=$H$19)</f>
        <v/>
      </c>
      <c r="DI67" s="294">
        <f>(DI61-DI65)*(DI4&lt;=$H$19)</f>
        <v/>
      </c>
      <c r="DJ67" s="294">
        <f>(DJ61-DJ65)*(DJ4&lt;=$H$19)</f>
        <v/>
      </c>
      <c r="DK67" s="294">
        <f>(DK61-DK65)*(DK4&lt;=$H$19)</f>
        <v/>
      </c>
      <c r="DL67" s="294">
        <f>(DL61-DL65)*(DL4&lt;=$H$19)</f>
        <v/>
      </c>
      <c r="DM67" s="294">
        <f>(DM61-DM65)*(DM4&lt;=$H$19)</f>
        <v/>
      </c>
      <c r="DN67" s="294">
        <f>(DN61-DN65)*(DN4&lt;=$H$19)</f>
        <v/>
      </c>
      <c r="DO67" s="294">
        <f>(DO61-DO65)*(DO4&lt;=$H$19)</f>
        <v/>
      </c>
      <c r="DP67" s="294">
        <f>(DP61-DP65)*(DP4&lt;=$H$19)</f>
        <v/>
      </c>
      <c r="DQ67" s="294">
        <f>(DQ61-DQ65)*(DQ4&lt;=$H$19)</f>
        <v/>
      </c>
      <c r="DR67" s="294">
        <f>(DR61-DR65)*(DR4&lt;=$H$19)</f>
        <v/>
      </c>
      <c r="DS67" s="294">
        <f>(DS61-DS65)*(DS4&lt;=$H$19)</f>
        <v/>
      </c>
      <c r="DT67" s="294">
        <f>(DT61-DT65)*(DT4&lt;=$H$19)</f>
        <v/>
      </c>
      <c r="DU67" s="294">
        <f>(DU61-DU65)*(DU4&lt;=$H$19)</f>
        <v/>
      </c>
      <c r="DV67" s="294">
        <f>(DV61-DV65)*(DV4&lt;=$H$19)</f>
        <v/>
      </c>
      <c r="DW67" s="294">
        <f>(DW61-DW65)*(DW4&lt;=$H$19)</f>
        <v/>
      </c>
      <c r="DX67" s="294">
        <f>(DX61-DX65)*(DX4&lt;=$H$19)</f>
        <v/>
      </c>
      <c r="DY67" s="294">
        <f>(DY61-DY65)*(DY4&lt;=$H$19)</f>
        <v/>
      </c>
      <c r="DZ67" s="294">
        <f>(DZ61-DZ65)*(DZ4&lt;=$H$19)</f>
        <v/>
      </c>
      <c r="EA67" s="294">
        <f>(EA61-EA65)*(EA4&lt;=$H$19)</f>
        <v/>
      </c>
      <c r="EB67" s="294">
        <f>(EB61-EB65)*(EB4&lt;=$H$19)</f>
        <v/>
      </c>
      <c r="EC67" s="294">
        <f>(EC61-EC65)*(EC4&lt;=$H$19)</f>
        <v/>
      </c>
      <c r="ED67" s="294">
        <f>(ED61-ED65)*(ED4&lt;=$H$19)</f>
        <v/>
      </c>
      <c r="EE67" s="294">
        <f>(EE61-EE65)*(EE4&lt;=$H$19)</f>
        <v/>
      </c>
      <c r="EF67" s="294">
        <f>(EF61-EF65)*(EF4&lt;=$H$19)</f>
        <v/>
      </c>
      <c r="EG67" s="294">
        <f>(EG61-EG65)*(EG4&lt;=$H$19)</f>
        <v/>
      </c>
      <c r="EH67" s="294">
        <f>(EH61-EH65)*(EH4&lt;=$H$19)</f>
        <v/>
      </c>
      <c r="EI67" s="294">
        <f>(EI61-EI65)*(EI4&lt;=$H$19)</f>
        <v/>
      </c>
      <c r="EJ67" s="294">
        <f>(EJ61-EJ65)*(EJ4&lt;=$H$19)</f>
        <v/>
      </c>
      <c r="EK67" s="294">
        <f>(EK61-EK65)*(EK4&lt;=$H$19)</f>
        <v/>
      </c>
      <c r="EL67" s="294">
        <f>(EL61-EL65)*(EL4&lt;=$H$19)</f>
        <v/>
      </c>
      <c r="EM67" s="294">
        <f>(EM61-EM65)*(EM4&lt;=$H$19)</f>
        <v/>
      </c>
      <c r="EN67" s="294">
        <f>(EN61-EN65)*(EN4&lt;=$H$19)</f>
        <v/>
      </c>
      <c r="EO67" s="294">
        <f>(EO61-EO65)*(EO4&lt;=$H$19)</f>
        <v/>
      </c>
      <c r="EP67" s="294">
        <f>(EP61-EP65)*(EP4&lt;=$H$19)</f>
        <v/>
      </c>
      <c r="EQ67" s="294">
        <f>(EQ61-EQ65)*(EQ4&lt;=$H$19)</f>
        <v/>
      </c>
      <c r="ER67" s="294">
        <f>(ER61-ER65)*(ER4&lt;=$H$19)</f>
        <v/>
      </c>
      <c r="ES67" s="294">
        <f>(ES61-ES65)*(ES4&lt;=$H$19)</f>
        <v/>
      </c>
      <c r="ET67" s="294">
        <f>(ET61-ET65)*(ET4&lt;=$H$19)</f>
        <v/>
      </c>
      <c r="EU67" s="294">
        <f>(EU61-EU65)*(EU4&lt;=$H$19)</f>
        <v/>
      </c>
      <c r="EV67" s="294">
        <f>(EV61-EV65)*(EV4&lt;=$H$19)</f>
        <v/>
      </c>
      <c r="EW67" s="294">
        <f>(EW61-EW65)*(EW4&lt;=$H$19)</f>
        <v/>
      </c>
      <c r="EX67" s="294">
        <f>(EX61-EX65)*(EX4&lt;=$H$19)</f>
        <v/>
      </c>
    </row>
    <row r="68">
      <c r="B68" s="282" t="n"/>
      <c r="C68" s="12" t="inlineStr">
        <is>
          <t>Parking</t>
        </is>
      </c>
      <c r="D68" s="12" t="n"/>
      <c r="E68" s="117" t="n"/>
      <c r="F68" s="118">
        <f>$D$64</f>
        <v/>
      </c>
      <c r="G68" s="327" t="n"/>
      <c r="H68" s="284">
        <f>G68*F68*12</f>
        <v/>
      </c>
      <c r="J68" s="16" t="n"/>
    </row>
    <row r="69">
      <c r="C69" s="121" t="inlineStr">
        <is>
          <t>Other</t>
        </is>
      </c>
      <c r="D69" s="121" t="n"/>
      <c r="E69" s="328">
        <f>H69/$H$64</f>
        <v/>
      </c>
      <c r="F69" s="102">
        <f>$D$64</f>
        <v/>
      </c>
      <c r="G69" s="329" t="n"/>
      <c r="H69" s="330">
        <f>F69*G69*12</f>
        <v/>
      </c>
      <c r="J69" s="9" t="inlineStr">
        <is>
          <t>Operating Shortfall</t>
        </is>
      </c>
      <c r="M69" s="264">
        <f>SUMIF($V$4:$EX$4,"&lt;="&amp;$H$19,$V69:$EX69)</f>
        <v/>
      </c>
      <c r="N69" s="279" t="n"/>
      <c r="O69" s="280">
        <f>SUMIF($V$5:$EX$5,O$7,$V69:$EX69)</f>
        <v/>
      </c>
      <c r="P69" s="280">
        <f>SUMIF($V$5:$EX$5,P$7,$V69:$EX69)</f>
        <v/>
      </c>
      <c r="Q69" s="280">
        <f>SUMIF($V$5:$EX$5,Q$7,$V69:$EX69)</f>
        <v/>
      </c>
      <c r="R69" s="280">
        <f>SUMIF($V$5:$EX$5,R$7,$V69:$EX69)</f>
        <v/>
      </c>
      <c r="S69" s="280">
        <f>SUMIF($V$5:$EX$5,S$7,$V69:$EX69)</f>
        <v/>
      </c>
      <c r="T69" s="280">
        <f>SUMIF($V$5:$EX$5,T$7,$V69:$EX69)</f>
        <v/>
      </c>
      <c r="U69" s="279" t="n"/>
      <c r="V69" s="25">
        <f>IF(V6&lt;=$G$19,MIN(V67,0),0)</f>
        <v/>
      </c>
      <c r="W69" s="25">
        <f>W67*(W67&lt;0)</f>
        <v/>
      </c>
      <c r="X69" s="25">
        <f>X67*(X67&lt;0)</f>
        <v/>
      </c>
      <c r="Y69" s="25">
        <f>Y67*(Y67&lt;0)</f>
        <v/>
      </c>
      <c r="Z69" s="25">
        <f>Z67*(Z67&lt;0)</f>
        <v/>
      </c>
      <c r="AA69" s="25">
        <f>AA67*(AA67&lt;0)</f>
        <v/>
      </c>
      <c r="AB69" s="25">
        <f>AB67*(AB67&lt;0)</f>
        <v/>
      </c>
      <c r="AC69" s="25">
        <f>AC67*(AC67&lt;0)</f>
        <v/>
      </c>
      <c r="AD69" s="25">
        <f>AD67*(AD67&lt;0)</f>
        <v/>
      </c>
      <c r="AE69" s="25">
        <f>AE67*(AE67&lt;0)</f>
        <v/>
      </c>
      <c r="AF69" s="25">
        <f>AF67*(AF67&lt;0)</f>
        <v/>
      </c>
      <c r="AG69" s="25">
        <f>AG67*(AG67&lt;0)</f>
        <v/>
      </c>
      <c r="AH69" s="25">
        <f>AH67*(AH67&lt;0)</f>
        <v/>
      </c>
      <c r="AI69" s="25">
        <f>AI67*(AI67&lt;0)</f>
        <v/>
      </c>
      <c r="AJ69" s="25">
        <f>AJ67*(AJ67&lt;0)</f>
        <v/>
      </c>
      <c r="AK69" s="25">
        <f>AK67*(AK67&lt;0)</f>
        <v/>
      </c>
      <c r="AL69" s="25">
        <f>AL67*(AL67&lt;0)</f>
        <v/>
      </c>
      <c r="AM69" s="25">
        <f>AM67*(AM67&lt;0)</f>
        <v/>
      </c>
      <c r="AN69" s="25">
        <f>AN67*(AN67&lt;0)</f>
        <v/>
      </c>
      <c r="AO69" s="25">
        <f>AO67*(AO67&lt;0)</f>
        <v/>
      </c>
      <c r="AP69" s="25">
        <f>AP67*(AP67&lt;0)</f>
        <v/>
      </c>
      <c r="AQ69" s="25">
        <f>AQ67*(AQ67&lt;0)</f>
        <v/>
      </c>
      <c r="AR69" s="25">
        <f>AR67*(AR67&lt;0)</f>
        <v/>
      </c>
      <c r="AS69" s="25">
        <f>AS67*(AS67&lt;0)</f>
        <v/>
      </c>
      <c r="AT69" s="25">
        <f>AT67*(AT67&lt;0)</f>
        <v/>
      </c>
      <c r="AU69" s="25">
        <f>AU67*(AU67&lt;0)</f>
        <v/>
      </c>
      <c r="AV69" s="25">
        <f>AV67*(AV67&lt;0)</f>
        <v/>
      </c>
      <c r="AW69" s="25">
        <f>AW67*(AW67&lt;0)</f>
        <v/>
      </c>
      <c r="AX69" s="25">
        <f>AX67*(AX67&lt;0)</f>
        <v/>
      </c>
      <c r="AY69" s="25">
        <f>AY67*(AY67&lt;0)</f>
        <v/>
      </c>
      <c r="AZ69" s="25">
        <f>AZ67*(AZ67&lt;0)</f>
        <v/>
      </c>
      <c r="BA69" s="25">
        <f>BA67*(BA67&lt;0)</f>
        <v/>
      </c>
      <c r="BB69" s="25">
        <f>BB67*(BB67&lt;0)</f>
        <v/>
      </c>
      <c r="BC69" s="25">
        <f>BC67*(BC67&lt;0)</f>
        <v/>
      </c>
      <c r="BD69" s="25">
        <f>BD67*(BD67&lt;0)</f>
        <v/>
      </c>
      <c r="BE69" s="25">
        <f>BE67*(BE67&lt;0)</f>
        <v/>
      </c>
      <c r="BF69" s="25">
        <f>BF67*(BF67&lt;0)</f>
        <v/>
      </c>
      <c r="BG69" s="25">
        <f>BG67*(BG67&lt;0)</f>
        <v/>
      </c>
      <c r="BH69" s="25">
        <f>BH67*(BH67&lt;0)</f>
        <v/>
      </c>
      <c r="BI69" s="25">
        <f>BI67*(BI67&lt;0)</f>
        <v/>
      </c>
      <c r="BJ69" s="25">
        <f>BJ67*(BJ67&lt;0)</f>
        <v/>
      </c>
      <c r="BK69" s="25">
        <f>BK67*(BK67&lt;0)</f>
        <v/>
      </c>
      <c r="BL69" s="25">
        <f>BL67*(BL67&lt;0)</f>
        <v/>
      </c>
      <c r="BM69" s="25">
        <f>BM67*(BM67&lt;0)</f>
        <v/>
      </c>
      <c r="BN69" s="25">
        <f>BN67*(BN67&lt;0)</f>
        <v/>
      </c>
      <c r="BO69" s="25">
        <f>BO67*(BO67&lt;0)</f>
        <v/>
      </c>
      <c r="BP69" s="25">
        <f>BP67*(BP67&lt;0)</f>
        <v/>
      </c>
      <c r="BQ69" s="25">
        <f>BQ67*(BQ67&lt;0)</f>
        <v/>
      </c>
      <c r="BR69" s="25">
        <f>BR67*(BR67&lt;0)</f>
        <v/>
      </c>
      <c r="BS69" s="25">
        <f>BS67*(BS67&lt;0)</f>
        <v/>
      </c>
      <c r="BT69" s="25">
        <f>BT67*(BT67&lt;0)</f>
        <v/>
      </c>
      <c r="BU69" s="25">
        <f>BU67*(BU67&lt;0)</f>
        <v/>
      </c>
      <c r="BV69" s="25">
        <f>BV67*(BV67&lt;0)</f>
        <v/>
      </c>
      <c r="BW69" s="25">
        <f>BW67*(BW67&lt;0)</f>
        <v/>
      </c>
      <c r="BX69" s="25">
        <f>BX67*(BX67&lt;0)</f>
        <v/>
      </c>
      <c r="BY69" s="25">
        <f>BY67*(BY67&lt;0)</f>
        <v/>
      </c>
      <c r="BZ69" s="25">
        <f>BZ67*(BZ67&lt;0)</f>
        <v/>
      </c>
      <c r="CA69" s="25">
        <f>CA67*(CA67&lt;0)</f>
        <v/>
      </c>
      <c r="CB69" s="25">
        <f>CB67*(CB67&lt;0)</f>
        <v/>
      </c>
      <c r="CC69" s="25">
        <f>CC67*(CC67&lt;0)</f>
        <v/>
      </c>
      <c r="CD69" s="25">
        <f>CD67*(CD67&lt;0)</f>
        <v/>
      </c>
      <c r="CE69" s="25">
        <f>CE67*(CE67&lt;0)</f>
        <v/>
      </c>
      <c r="CF69" s="25">
        <f>CF67*(CF67&lt;0)</f>
        <v/>
      </c>
      <c r="CG69" s="25">
        <f>CG67*(CG67&lt;0)</f>
        <v/>
      </c>
      <c r="CH69" s="25">
        <f>CH67*(CH67&lt;0)</f>
        <v/>
      </c>
      <c r="CI69" s="25">
        <f>CI67*(CI67&lt;0)</f>
        <v/>
      </c>
      <c r="CJ69" s="25">
        <f>CJ67*(CJ67&lt;0)</f>
        <v/>
      </c>
      <c r="CK69" s="25">
        <f>CK67*(CK67&lt;0)</f>
        <v/>
      </c>
      <c r="CL69" s="25">
        <f>CL67*(CL67&lt;0)</f>
        <v/>
      </c>
      <c r="CM69" s="25">
        <f>CM67*(CM67&lt;0)</f>
        <v/>
      </c>
      <c r="CN69" s="25">
        <f>CN67*(CN67&lt;0)</f>
        <v/>
      </c>
      <c r="CO69" s="25">
        <f>CO67*(CO67&lt;0)</f>
        <v/>
      </c>
      <c r="CP69" s="25">
        <f>CP67*(CP67&lt;0)</f>
        <v/>
      </c>
      <c r="CQ69" s="25">
        <f>CQ67*(CQ67&lt;0)</f>
        <v/>
      </c>
      <c r="CR69" s="25">
        <f>CR67*(CR67&lt;0)</f>
        <v/>
      </c>
      <c r="CS69" s="25">
        <f>CS67*(CS67&lt;0)</f>
        <v/>
      </c>
      <c r="CT69" s="25">
        <f>CT67*(CT67&lt;0)</f>
        <v/>
      </c>
      <c r="CU69" s="25">
        <f>CU67*(CU67&lt;0)</f>
        <v/>
      </c>
      <c r="CV69" s="25">
        <f>CV67*(CV67&lt;0)</f>
        <v/>
      </c>
      <c r="CW69" s="25">
        <f>CW67*(CW67&lt;0)</f>
        <v/>
      </c>
      <c r="CX69" s="25">
        <f>CX67*(CX67&lt;0)</f>
        <v/>
      </c>
      <c r="CY69" s="25">
        <f>CY67*(CY67&lt;0)</f>
        <v/>
      </c>
      <c r="CZ69" s="25">
        <f>CZ67*(CZ67&lt;0)</f>
        <v/>
      </c>
      <c r="DA69" s="25">
        <f>DA67*(DA67&lt;0)</f>
        <v/>
      </c>
      <c r="DB69" s="25">
        <f>DB67*(DB67&lt;0)</f>
        <v/>
      </c>
      <c r="DC69" s="25">
        <f>DC67*(DC67&lt;0)</f>
        <v/>
      </c>
      <c r="DD69" s="25">
        <f>DD67*(DD67&lt;0)</f>
        <v/>
      </c>
      <c r="DE69" s="25">
        <f>DE67*(DE67&lt;0)</f>
        <v/>
      </c>
      <c r="DF69" s="25">
        <f>DF67*(DF67&lt;0)</f>
        <v/>
      </c>
      <c r="DG69" s="25">
        <f>DG67*(DG67&lt;0)</f>
        <v/>
      </c>
      <c r="DH69" s="25">
        <f>DH67*(DH67&lt;0)</f>
        <v/>
      </c>
      <c r="DI69" s="25">
        <f>DI67*(DI67&lt;0)</f>
        <v/>
      </c>
      <c r="DJ69" s="25">
        <f>DJ67*(DJ67&lt;0)</f>
        <v/>
      </c>
      <c r="DK69" s="25">
        <f>DK67*(DK67&lt;0)</f>
        <v/>
      </c>
      <c r="DL69" s="25">
        <f>DL67*(DL67&lt;0)</f>
        <v/>
      </c>
      <c r="DM69" s="25">
        <f>DM67*(DM67&lt;0)</f>
        <v/>
      </c>
      <c r="DN69" s="25">
        <f>DN67*(DN67&lt;0)</f>
        <v/>
      </c>
      <c r="DO69" s="25">
        <f>DO67*(DO67&lt;0)</f>
        <v/>
      </c>
      <c r="DP69" s="25">
        <f>DP67*(DP67&lt;0)</f>
        <v/>
      </c>
      <c r="DQ69" s="25">
        <f>DQ67*(DQ67&lt;0)</f>
        <v/>
      </c>
      <c r="DR69" s="25">
        <f>DR67*(DR67&lt;0)</f>
        <v/>
      </c>
      <c r="DS69" s="25">
        <f>DS67*(DS67&lt;0)</f>
        <v/>
      </c>
      <c r="DT69" s="25">
        <f>DT67*(DT67&lt;0)</f>
        <v/>
      </c>
      <c r="DU69" s="25">
        <f>DU67*(DU67&lt;0)</f>
        <v/>
      </c>
      <c r="DV69" s="25">
        <f>DV67*(DV67&lt;0)</f>
        <v/>
      </c>
      <c r="DW69" s="25">
        <f>DW67*(DW67&lt;0)</f>
        <v/>
      </c>
      <c r="DX69" s="25">
        <f>DX67*(DX67&lt;0)</f>
        <v/>
      </c>
      <c r="DY69" s="25">
        <f>DY67*(DY67&lt;0)</f>
        <v/>
      </c>
      <c r="DZ69" s="25">
        <f>DZ67*(DZ67&lt;0)</f>
        <v/>
      </c>
      <c r="EA69" s="25">
        <f>EA67*(EA67&lt;0)</f>
        <v/>
      </c>
      <c r="EB69" s="25">
        <f>EB67*(EB67&lt;0)</f>
        <v/>
      </c>
      <c r="EC69" s="25">
        <f>EC67*(EC67&lt;0)</f>
        <v/>
      </c>
      <c r="ED69" s="25">
        <f>ED67*(ED67&lt;0)</f>
        <v/>
      </c>
      <c r="EE69" s="25">
        <f>EE67*(EE67&lt;0)</f>
        <v/>
      </c>
      <c r="EF69" s="25">
        <f>EF67*(EF67&lt;0)</f>
        <v/>
      </c>
      <c r="EG69" s="25">
        <f>EG67*(EG67&lt;0)</f>
        <v/>
      </c>
      <c r="EH69" s="25">
        <f>EH67*(EH67&lt;0)</f>
        <v/>
      </c>
      <c r="EI69" s="25">
        <f>EI67*(EI67&lt;0)</f>
        <v/>
      </c>
      <c r="EJ69" s="25">
        <f>EJ67*(EJ67&lt;0)</f>
        <v/>
      </c>
      <c r="EK69" s="25">
        <f>EK67*(EK67&lt;0)</f>
        <v/>
      </c>
      <c r="EL69" s="25">
        <f>EL67*(EL67&lt;0)</f>
        <v/>
      </c>
      <c r="EM69" s="25">
        <f>EM67*(EM67&lt;0)</f>
        <v/>
      </c>
      <c r="EN69" s="25">
        <f>EN67*(EN67&lt;0)</f>
        <v/>
      </c>
      <c r="EO69" s="25">
        <f>EO67*(EO67&lt;0)</f>
        <v/>
      </c>
      <c r="EP69" s="25">
        <f>EP67*(EP67&lt;0)</f>
        <v/>
      </c>
      <c r="EQ69" s="25">
        <f>EQ67*(EQ67&lt;0)</f>
        <v/>
      </c>
      <c r="ER69" s="25">
        <f>ER67*(ER67&lt;0)</f>
        <v/>
      </c>
      <c r="ES69" s="25">
        <f>ES67*(ES67&lt;0)</f>
        <v/>
      </c>
      <c r="ET69" s="25">
        <f>ET67*(ET67&lt;0)</f>
        <v/>
      </c>
      <c r="EU69" s="25">
        <f>EU67*(EU67&lt;0)</f>
        <v/>
      </c>
      <c r="EV69" s="25">
        <f>EV67*(EV67&lt;0)</f>
        <v/>
      </c>
      <c r="EW69" s="25">
        <f>EW67*(EW67&lt;0)</f>
        <v/>
      </c>
      <c r="EX69" s="25">
        <f>EX67*(EX67&lt;0)</f>
        <v/>
      </c>
    </row>
    <row r="70">
      <c r="A70" s="264" t="n"/>
      <c r="C70" s="106" t="inlineStr">
        <is>
          <t>Total Other Income</t>
        </is>
      </c>
      <c r="D70" s="106" t="n"/>
      <c r="E70" s="331">
        <f>H70/$H$64</f>
        <v/>
      </c>
      <c r="F70" s="106" t="n"/>
      <c r="G70" s="234" t="n"/>
      <c r="H70" s="332">
        <f>SUM(H67:H69)</f>
        <v/>
      </c>
      <c r="I70" s="282" t="n"/>
      <c r="J70" s="16" t="n"/>
    </row>
    <row r="71" customFormat="1" s="25">
      <c r="A71" s="9" t="n"/>
      <c r="B71" s="9" t="n"/>
      <c r="C71" s="12" t="n"/>
      <c r="D71" s="12" t="n"/>
      <c r="E71" s="12" t="n"/>
      <c r="F71" s="12" t="n"/>
      <c r="G71" s="12" t="n"/>
      <c r="H71" s="12" t="n"/>
      <c r="I71" s="12" t="n"/>
      <c r="J71" s="9" t="inlineStr">
        <is>
          <t>TTM NOI</t>
        </is>
      </c>
      <c r="K71" s="9" t="n"/>
      <c r="L71" s="12" t="n"/>
      <c r="M71" s="25">
        <f>INDEX($V$71:$EX$71,MATCH(H19,$V$4:$EX$4,0))</f>
        <v/>
      </c>
      <c r="N71" s="279" t="n"/>
      <c r="O71" s="280">
        <f>SUMIF($V$5:$EX$5,O$7,$V71:$EX71)</f>
        <v/>
      </c>
      <c r="P71" s="280">
        <f>SUMIF($V$5:$EX$5,P$7,$V71:$EX71)</f>
        <v/>
      </c>
      <c r="Q71" s="280">
        <f>SUMIF($V$5:$EX$5,Q$7,$V71:$EX71)</f>
        <v/>
      </c>
      <c r="R71" s="280">
        <f>SUMIF($V$5:$EX$5,R$7,$V71:$EX71)</f>
        <v/>
      </c>
      <c r="S71" s="280">
        <f>SUMIF($V$5:$EX$5,S$7,$V71:$EX71)</f>
        <v/>
      </c>
      <c r="T71" s="280">
        <f>SUMIF($V$5:$EX$5,T$7,$V71:$EX71)</f>
        <v/>
      </c>
      <c r="U71" s="279" t="n"/>
      <c r="V71" s="25">
        <f>IF(V$4&gt;12,SUM(J67:U67),0)</f>
        <v/>
      </c>
      <c r="W71" s="25">
        <f>IF(W$4&gt;12,SUM(K67:V67),0)</f>
        <v/>
      </c>
      <c r="X71" s="25">
        <f>IF(X$4&gt;12,SUM(L67:W67),0)</f>
        <v/>
      </c>
      <c r="Y71" s="25">
        <f>IF(Y$4&gt;12,SUM(M67:X67),0)</f>
        <v/>
      </c>
      <c r="Z71" s="25">
        <f>IF(Z$4&gt;12,SUM(N67:Y67),0)</f>
        <v/>
      </c>
      <c r="AA71" s="25">
        <f>IF(AA$4&gt;12,SUM(O67:Z67),0)</f>
        <v/>
      </c>
      <c r="AB71" s="25">
        <f>IF(AB$4&gt;12,SUM(P67:AA67),0)</f>
        <v/>
      </c>
      <c r="AC71" s="25">
        <f>IF(AC$4&gt;12,SUM(Q67:AB67),0)</f>
        <v/>
      </c>
      <c r="AD71" s="25">
        <f>IF(AD$4&gt;12,SUM(R67:AC67),0)</f>
        <v/>
      </c>
      <c r="AE71" s="25">
        <f>IF(AE$4&gt;12,SUM(S67:AD67),0)</f>
        <v/>
      </c>
      <c r="AF71" s="25">
        <f>IF(AF$4&gt;12,SUM(T67:AE67),0)</f>
        <v/>
      </c>
      <c r="AG71" s="25">
        <f>IF(AG$4&gt;12,SUM(U67:AF67),0)</f>
        <v/>
      </c>
      <c r="AH71" s="25">
        <f>IF(AH$4&gt;12,SUM(V67:AG67),0)</f>
        <v/>
      </c>
      <c r="AI71" s="25">
        <f>IF(AI$4&gt;12,SUM(W67:AH67),0)</f>
        <v/>
      </c>
      <c r="AJ71" s="25">
        <f>IF(AJ$4&gt;12,SUM(X67:AI67),0)</f>
        <v/>
      </c>
      <c r="AK71" s="25">
        <f>IF(AK$4&gt;12,SUM(Y67:AJ67),0)</f>
        <v/>
      </c>
      <c r="AL71" s="25">
        <f>IF(AL$4&gt;12,SUM(Z67:AK67),0)</f>
        <v/>
      </c>
      <c r="AM71" s="25">
        <f>IF(AM$4&gt;12,SUM(AA67:AL67),0)</f>
        <v/>
      </c>
      <c r="AN71" s="25">
        <f>IF(AN$4&gt;12,SUM(AB67:AM67),0)</f>
        <v/>
      </c>
      <c r="AO71" s="25">
        <f>IF(AO$4&gt;12,SUM(AC67:AN67),0)</f>
        <v/>
      </c>
      <c r="AP71" s="25">
        <f>IF(AP$4&gt;12,SUM(AD67:AO67),0)</f>
        <v/>
      </c>
      <c r="AQ71" s="25">
        <f>IF(AQ$4&gt;12,SUM(AE67:AP67),0)</f>
        <v/>
      </c>
      <c r="AR71" s="25">
        <f>IF(AR$4&gt;12,SUM(AF67:AQ67),0)</f>
        <v/>
      </c>
      <c r="AS71" s="25">
        <f>IF(AS$4&gt;12,SUM(AG67:AR67),0)</f>
        <v/>
      </c>
      <c r="AT71" s="25">
        <f>IF(AT$4&gt;12,SUM(AH67:AS67),0)</f>
        <v/>
      </c>
      <c r="AU71" s="25">
        <f>IF(AU$4&gt;12,SUM(AI67:AT67),0)</f>
        <v/>
      </c>
      <c r="AV71" s="25">
        <f>IF(AV$4&gt;12,SUM(AJ67:AU67),0)</f>
        <v/>
      </c>
      <c r="AW71" s="25">
        <f>IF(AW$4&gt;12,SUM(AK67:AV67),0)</f>
        <v/>
      </c>
      <c r="AX71" s="25">
        <f>IF(AX$4&gt;12,SUM(AL67:AW67),0)</f>
        <v/>
      </c>
      <c r="AY71" s="25">
        <f>IF(AY$4&gt;12,SUM(AM67:AX67),0)</f>
        <v/>
      </c>
      <c r="AZ71" s="25">
        <f>IF(AZ$4&gt;12,SUM(AN67:AY67),0)</f>
        <v/>
      </c>
      <c r="BA71" s="25">
        <f>IF(BA$4&gt;12,SUM(AO67:AZ67),0)</f>
        <v/>
      </c>
      <c r="BB71" s="25">
        <f>IF(BB$4&gt;12,SUM(AP67:BA67),0)</f>
        <v/>
      </c>
      <c r="BC71" s="25">
        <f>IF(BC$4&gt;12,SUM(AQ67:BB67),0)</f>
        <v/>
      </c>
      <c r="BD71" s="25">
        <f>IF(BD$4&gt;12,SUM(AR67:BC67),0)</f>
        <v/>
      </c>
      <c r="BE71" s="25">
        <f>IF(BE$4&gt;12,SUM(AS67:BD67),0)</f>
        <v/>
      </c>
      <c r="BF71" s="25">
        <f>IF(BF$4&gt;12,SUM(AT67:BE67),0)</f>
        <v/>
      </c>
      <c r="BG71" s="25">
        <f>IF(BG$4&gt;12,SUM(AU67:BF67),0)</f>
        <v/>
      </c>
      <c r="BH71" s="25">
        <f>IF(BH$4&gt;12,SUM(AV67:BG67),0)</f>
        <v/>
      </c>
      <c r="BI71" s="25">
        <f>IF(BI$4&gt;12,SUM(AW67:BH67),0)</f>
        <v/>
      </c>
      <c r="BJ71" s="25">
        <f>IF(BJ$4&gt;12,SUM(AX67:BI67),0)</f>
        <v/>
      </c>
      <c r="BK71" s="25">
        <f>IF(BK$4&gt;12,SUM(AY67:BJ67),0)</f>
        <v/>
      </c>
      <c r="BL71" s="25">
        <f>IF(BL$4&gt;12,SUM(AZ67:BK67),0)</f>
        <v/>
      </c>
      <c r="BM71" s="25">
        <f>IF(BM$4&gt;12,SUM(BA67:BL67),0)</f>
        <v/>
      </c>
      <c r="BN71" s="25">
        <f>IF(BN$4&gt;12,SUM(BB67:BM67),0)</f>
        <v/>
      </c>
      <c r="BO71" s="25">
        <f>IF(BO$4&gt;12,SUM(BC67:BN67),0)</f>
        <v/>
      </c>
      <c r="BP71" s="25">
        <f>IF(BP$4&gt;12,SUM(BD67:BO67),0)</f>
        <v/>
      </c>
      <c r="BQ71" s="25">
        <f>IF(BQ$4&gt;12,SUM(BE67:BP67),0)</f>
        <v/>
      </c>
      <c r="BR71" s="25">
        <f>IF(BR$4&gt;12,SUM(BF67:BQ67),0)</f>
        <v/>
      </c>
      <c r="BS71" s="25">
        <f>IF(BS$4&gt;12,SUM(BG67:BR67),0)</f>
        <v/>
      </c>
      <c r="BT71" s="25">
        <f>IF(BT$4&gt;12,SUM(BH67:BS67),0)</f>
        <v/>
      </c>
      <c r="BU71" s="25">
        <f>IF(BU$4&gt;12,SUM(BI67:BT67),0)</f>
        <v/>
      </c>
      <c r="BV71" s="25">
        <f>IF(BV$4&gt;12,SUM(BJ67:BU67),0)</f>
        <v/>
      </c>
      <c r="BW71" s="25">
        <f>IF(BW$4&gt;12,SUM(BK67:BV67),0)</f>
        <v/>
      </c>
      <c r="BX71" s="25">
        <f>IF(BX$4&gt;12,SUM(BL67:BW67),0)</f>
        <v/>
      </c>
      <c r="BY71" s="25">
        <f>IF(BY$4&gt;12,SUM(BM67:BX67),0)</f>
        <v/>
      </c>
      <c r="BZ71" s="25">
        <f>IF(BZ$4&gt;12,SUM(BN67:BY67),0)</f>
        <v/>
      </c>
      <c r="CA71" s="25">
        <f>IF(CA$4&gt;12,SUM(BO67:BZ67),0)</f>
        <v/>
      </c>
      <c r="CB71" s="25">
        <f>IF(CB$4&gt;12,SUM(BP67:CA67),0)</f>
        <v/>
      </c>
      <c r="CC71" s="25">
        <f>IF(CC$4&gt;12,SUM(BQ67:CB67),0)</f>
        <v/>
      </c>
      <c r="CD71" s="25">
        <f>IF(CD$4&gt;12,SUM(BR67:CC67),0)</f>
        <v/>
      </c>
      <c r="CE71" s="25">
        <f>IF(CE$4&gt;12,SUM(BS67:CD67),0)</f>
        <v/>
      </c>
      <c r="CF71" s="25">
        <f>IF(CF$4&gt;12,SUM(BT67:CE67),0)</f>
        <v/>
      </c>
      <c r="CG71" s="25">
        <f>IF(CG$4&gt;12,SUM(BU67:CF67),0)</f>
        <v/>
      </c>
      <c r="CH71" s="25">
        <f>IF(CH$4&gt;12,SUM(BV67:CG67),0)</f>
        <v/>
      </c>
      <c r="CI71" s="25">
        <f>IF(CI$4&gt;12,SUM(BW67:CH67),0)</f>
        <v/>
      </c>
      <c r="CJ71" s="25">
        <f>IF(CJ$4&gt;12,SUM(BX67:CI67),0)</f>
        <v/>
      </c>
      <c r="CK71" s="25">
        <f>IF(CK$4&gt;12,SUM(BY67:CJ67),0)</f>
        <v/>
      </c>
      <c r="CL71" s="25">
        <f>IF(CL$4&gt;12,SUM(BZ67:CK67),0)</f>
        <v/>
      </c>
      <c r="CM71" s="25">
        <f>IF(CM$4&gt;12,SUM(CA67:CL67),0)</f>
        <v/>
      </c>
      <c r="CN71" s="25">
        <f>IF(CN$4&gt;12,SUM(CB67:CM67),0)</f>
        <v/>
      </c>
      <c r="CO71" s="25">
        <f>IF(CO$4&gt;12,SUM(CC67:CN67),0)</f>
        <v/>
      </c>
      <c r="CP71" s="25">
        <f>IF(CP$4&gt;12,SUM(CD67:CO67),0)</f>
        <v/>
      </c>
      <c r="CQ71" s="25">
        <f>IF(CQ$4&gt;12,SUM(CE67:CP67),0)</f>
        <v/>
      </c>
      <c r="CR71" s="25">
        <f>IF(CR$4&gt;12,SUM(CF67:CQ67),0)</f>
        <v/>
      </c>
      <c r="CS71" s="25">
        <f>IF(CS$4&gt;12,SUM(CG67:CR67),0)</f>
        <v/>
      </c>
      <c r="CT71" s="25">
        <f>IF(CT$4&gt;12,SUM(CH67:CS67),0)</f>
        <v/>
      </c>
      <c r="CU71" s="25">
        <f>IF(CU$4&gt;12,SUM(CI67:CT67),0)</f>
        <v/>
      </c>
      <c r="CV71" s="25">
        <f>IF(CV$4&gt;12,SUM(CJ67:CU67),0)</f>
        <v/>
      </c>
      <c r="CW71" s="25">
        <f>IF(CW$4&gt;12,SUM(CK67:CV67),0)</f>
        <v/>
      </c>
      <c r="CX71" s="25">
        <f>IF(CX$4&gt;12,SUM(CL67:CW67),0)</f>
        <v/>
      </c>
      <c r="CY71" s="25">
        <f>IF(CY$4&gt;12,SUM(CM67:CX67),0)</f>
        <v/>
      </c>
      <c r="CZ71" s="25">
        <f>IF(CZ$4&gt;12,SUM(CN67:CY67),0)</f>
        <v/>
      </c>
      <c r="DA71" s="25">
        <f>IF(DA$4&gt;12,SUM(CO67:CZ67),0)</f>
        <v/>
      </c>
      <c r="DB71" s="25">
        <f>IF(DB$4&gt;12,SUM(CP67:DA67),0)</f>
        <v/>
      </c>
      <c r="DC71" s="25">
        <f>IF(DC$4&gt;12,SUM(CQ67:DB67),0)</f>
        <v/>
      </c>
      <c r="DD71" s="25">
        <f>IF(DD$4&gt;12,SUM(CR67:DC67),0)</f>
        <v/>
      </c>
      <c r="DE71" s="25">
        <f>IF(DE$4&gt;12,SUM(CS67:DD67),0)</f>
        <v/>
      </c>
      <c r="DF71" s="25">
        <f>IF(DF$4&gt;12,SUM(CT67:DE67),0)</f>
        <v/>
      </c>
      <c r="DG71" s="25">
        <f>IF(DG$4&gt;12,SUM(CU67:DF67),0)</f>
        <v/>
      </c>
      <c r="DH71" s="25">
        <f>IF(DH$4&gt;12,SUM(CV67:DG67),0)</f>
        <v/>
      </c>
      <c r="DI71" s="25">
        <f>IF(DI$4&gt;12,SUM(CW67:DH67),0)</f>
        <v/>
      </c>
      <c r="DJ71" s="25">
        <f>IF(DJ$4&gt;12,SUM(CX67:DI67),0)</f>
        <v/>
      </c>
      <c r="DK71" s="25">
        <f>IF(DK$4&gt;12,SUM(CY67:DJ67),0)</f>
        <v/>
      </c>
      <c r="DL71" s="25">
        <f>IF(DL$4&gt;12,SUM(CZ67:DK67),0)</f>
        <v/>
      </c>
      <c r="DM71" s="25">
        <f>IF(DM$4&gt;12,SUM(DA67:DL67),0)</f>
        <v/>
      </c>
      <c r="DN71" s="25">
        <f>IF(DN$4&gt;12,SUM(DB67:DM67),0)</f>
        <v/>
      </c>
      <c r="DO71" s="25">
        <f>IF(DO$4&gt;12,SUM(DC67:DN67),0)</f>
        <v/>
      </c>
      <c r="DP71" s="25">
        <f>IF(DP$4&gt;12,SUM(DD67:DO67),0)</f>
        <v/>
      </c>
      <c r="DQ71" s="25">
        <f>IF(DQ$4&gt;12,SUM(DE67:DP67),0)</f>
        <v/>
      </c>
      <c r="DR71" s="25">
        <f>IF(DR$4&gt;12,SUM(DF67:DQ67),0)</f>
        <v/>
      </c>
      <c r="DS71" s="25">
        <f>IF(DS$4&gt;12,SUM(DG67:DR67),0)</f>
        <v/>
      </c>
      <c r="DT71" s="25">
        <f>IF(DT$4&gt;12,SUM(DH67:DS67),0)</f>
        <v/>
      </c>
      <c r="DU71" s="25">
        <f>IF(DU$4&gt;12,SUM(DI67:DT67),0)</f>
        <v/>
      </c>
      <c r="DV71" s="25">
        <f>IF(DV$4&gt;12,SUM(DJ67:DU67),0)</f>
        <v/>
      </c>
      <c r="DW71" s="25">
        <f>IF(DW$4&gt;12,SUM(DK67:DV67),0)</f>
        <v/>
      </c>
      <c r="DX71" s="25">
        <f>IF(DX$4&gt;12,SUM(DL67:DW67),0)</f>
        <v/>
      </c>
      <c r="DY71" s="25">
        <f>IF(DY$4&gt;12,SUM(DM67:DX67),0)</f>
        <v/>
      </c>
      <c r="DZ71" s="25">
        <f>IF(DZ$4&gt;12,SUM(DN67:DY67),0)</f>
        <v/>
      </c>
      <c r="EA71" s="25">
        <f>IF(EA$4&gt;12,SUM(DO67:DZ67),0)</f>
        <v/>
      </c>
      <c r="EB71" s="25">
        <f>IF(EB$4&gt;12,SUM(DP67:EA67),0)</f>
        <v/>
      </c>
      <c r="EC71" s="25">
        <f>IF(EC$4&gt;12,SUM(DQ67:EB67),0)</f>
        <v/>
      </c>
      <c r="ED71" s="25">
        <f>IF(ED$4&gt;12,SUM(DR67:EC67),0)</f>
        <v/>
      </c>
      <c r="EE71" s="25">
        <f>IF(EE$4&gt;12,SUM(DS67:ED67),0)</f>
        <v/>
      </c>
      <c r="EF71" s="25">
        <f>IF(EF$4&gt;12,SUM(DT67:EE67),0)</f>
        <v/>
      </c>
      <c r="EG71" s="25">
        <f>IF(EG$4&gt;12,SUM(DU67:EF67),0)</f>
        <v/>
      </c>
      <c r="EH71" s="25">
        <f>IF(EH$4&gt;12,SUM(DV67:EG67),0)</f>
        <v/>
      </c>
      <c r="EI71" s="25">
        <f>IF(EI$4&gt;12,SUM(DW67:EH67),0)</f>
        <v/>
      </c>
      <c r="EJ71" s="25">
        <f>IF(EJ$4&gt;12,SUM(DX67:EI67),0)</f>
        <v/>
      </c>
      <c r="EK71" s="25">
        <f>IF(EK$4&gt;12,SUM(DY67:EJ67),0)</f>
        <v/>
      </c>
      <c r="EL71" s="25">
        <f>IF(EL$4&gt;12,SUM(DZ67:EK67),0)</f>
        <v/>
      </c>
      <c r="EM71" s="25">
        <f>IF(EM$4&gt;12,SUM(EA67:EL67),0)</f>
        <v/>
      </c>
      <c r="EN71" s="25">
        <f>IF(EN$4&gt;12,SUM(EB67:EM67),0)</f>
        <v/>
      </c>
      <c r="EO71" s="25">
        <f>IF(EO$4&gt;12,SUM(EC67:EN67),0)</f>
        <v/>
      </c>
      <c r="EP71" s="25">
        <f>IF(EP$4&gt;12,SUM(ED67:EO67),0)</f>
        <v/>
      </c>
      <c r="EQ71" s="25">
        <f>IF(EQ$4&gt;12,SUM(EE67:EP67),0)</f>
        <v/>
      </c>
      <c r="ER71" s="25">
        <f>IF(ER$4&gt;12,SUM(EF67:EQ67),0)</f>
        <v/>
      </c>
      <c r="ES71" s="25">
        <f>IF(ES$4&gt;12,SUM(EG67:ER67),0)</f>
        <v/>
      </c>
      <c r="ET71" s="25">
        <f>IF(ET$4&gt;12,SUM(EH67:ES67),0)</f>
        <v/>
      </c>
      <c r="EU71" s="25">
        <f>IF(EU$4&gt;12,SUM(EI67:ET67),0)</f>
        <v/>
      </c>
      <c r="EV71" s="25">
        <f>IF(EV$4&gt;12,SUM(EJ67:EU67),0)</f>
        <v/>
      </c>
      <c r="EW71" s="25">
        <f>IF(EW$4&gt;12,SUM(EK67:EV67),0)</f>
        <v/>
      </c>
      <c r="EX71" s="25">
        <f>IF(EX$4&gt;12,SUM(EL67:EW67),0)</f>
        <v/>
      </c>
    </row>
    <row r="72" customFormat="1" s="25">
      <c r="A72" s="9" t="n"/>
      <c r="B72" s="9" t="n"/>
      <c r="C72" s="36" t="inlineStr">
        <is>
          <t>Income Adjustments</t>
        </is>
      </c>
      <c r="D72" s="46">
        <f>IF(MONTH(E16)=12,YEAR(E16)+1,YEAR(E16))</f>
        <v/>
      </c>
      <c r="E72" s="46">
        <f>D72+1</f>
        <v/>
      </c>
      <c r="F72" s="46">
        <f>E72+1</f>
        <v/>
      </c>
      <c r="G72" s="46">
        <f>F72+1</f>
        <v/>
      </c>
      <c r="H72" s="333">
        <f>G72+1</f>
        <v/>
      </c>
      <c r="I72" s="12" t="n"/>
      <c r="J72" s="9" t="inlineStr">
        <is>
          <t>Cap Rate</t>
        </is>
      </c>
      <c r="K72" s="9" t="n"/>
      <c r="L72" s="12" t="n"/>
      <c r="M72" s="334">
        <f>SUMIF($V$4:$EX$4,"&lt;="&amp;$H$19,$V72:$EX72)</f>
        <v/>
      </c>
      <c r="N72" s="127" t="n"/>
      <c r="O72" s="164">
        <f>SUMIF($V$5:$EX$5,O$7,$V72:$EX72)</f>
        <v/>
      </c>
      <c r="P72" s="164">
        <f>SUMIF($V$5:$EX$5,P$7,$V72:$EX72)</f>
        <v/>
      </c>
      <c r="Q72" s="164">
        <f>SUMIF($V$5:$EX$5,Q$7,$V72:$EX72)</f>
        <v/>
      </c>
      <c r="R72" s="164">
        <f>SUMIF($V$5:$EX$5,R$7,$V72:$EX72)</f>
        <v/>
      </c>
      <c r="S72" s="164">
        <f>SUMIF($V$5:$EX$5,S$7,$V72:$EX72)</f>
        <v/>
      </c>
      <c r="T72" s="164">
        <f>SUMIF($V$5:$EX$5,T$7,$V72:$EX72)</f>
        <v/>
      </c>
      <c r="U72" s="127" t="n"/>
      <c r="V72" s="164">
        <f>(V4=$H$19)*$H$24</f>
        <v/>
      </c>
      <c r="W72" s="164">
        <f>(W4=$H$19)*$H$24</f>
        <v/>
      </c>
      <c r="X72" s="164">
        <f>(X4=$H$19)*$H$24</f>
        <v/>
      </c>
      <c r="Y72" s="164">
        <f>(Y4=$H$19)*$H$24</f>
        <v/>
      </c>
      <c r="Z72" s="164">
        <f>(Z4=$H$19)*$H$24</f>
        <v/>
      </c>
      <c r="AA72" s="164">
        <f>(AA4=$H$19)*$H$24</f>
        <v/>
      </c>
      <c r="AB72" s="164">
        <f>(AB4=$H$19)*$H$24</f>
        <v/>
      </c>
      <c r="AC72" s="164">
        <f>(AC4=$H$19)*$H$24</f>
        <v/>
      </c>
      <c r="AD72" s="164">
        <f>(AD4=$H$19)*$H$24</f>
        <v/>
      </c>
      <c r="AE72" s="164">
        <f>(AE4=$H$19)*$H$24</f>
        <v/>
      </c>
      <c r="AF72" s="164">
        <f>(AF4=$H$19)*$H$24</f>
        <v/>
      </c>
      <c r="AG72" s="164">
        <f>(AG4=$H$19)*$H$24</f>
        <v/>
      </c>
      <c r="AH72" s="164">
        <f>(AH4=$H$19)*$H$24</f>
        <v/>
      </c>
      <c r="AI72" s="164">
        <f>(AI4=$H$19)*$H$24</f>
        <v/>
      </c>
      <c r="AJ72" s="164">
        <f>(AJ4=$H$19)*$H$24</f>
        <v/>
      </c>
      <c r="AK72" s="164">
        <f>(AK4=$H$19)*$H$24</f>
        <v/>
      </c>
      <c r="AL72" s="164">
        <f>(AL4=$H$19)*$H$24</f>
        <v/>
      </c>
      <c r="AM72" s="164">
        <f>(AM4=$H$19)*$H$24</f>
        <v/>
      </c>
      <c r="AN72" s="164">
        <f>(AN4=$H$19)*$H$24</f>
        <v/>
      </c>
      <c r="AO72" s="164">
        <f>(AO4=$H$19)*$H$24</f>
        <v/>
      </c>
      <c r="AP72" s="164">
        <f>(AP4=$H$19)*$H$24</f>
        <v/>
      </c>
      <c r="AQ72" s="164">
        <f>(AQ4=$H$19)*$H$24</f>
        <v/>
      </c>
      <c r="AR72" s="164">
        <f>(AR4=$H$19)*$H$24</f>
        <v/>
      </c>
      <c r="AS72" s="164">
        <f>(AS4=$H$19)*$H$24</f>
        <v/>
      </c>
      <c r="AT72" s="164">
        <f>(AT4=$H$19)*$H$24</f>
        <v/>
      </c>
      <c r="AU72" s="164">
        <f>(AU4=$H$19)*$H$24</f>
        <v/>
      </c>
      <c r="AV72" s="164">
        <f>(AV4=$H$19)*$H$24</f>
        <v/>
      </c>
      <c r="AW72" s="164">
        <f>(AW4=$H$19)*$H$24</f>
        <v/>
      </c>
      <c r="AX72" s="164">
        <f>(AX4=$H$19)*$H$24</f>
        <v/>
      </c>
      <c r="AY72" s="164">
        <f>(AY4=$H$19)*$H$24</f>
        <v/>
      </c>
      <c r="AZ72" s="164">
        <f>(AZ4=$H$19)*$H$24</f>
        <v/>
      </c>
      <c r="BA72" s="164">
        <f>(BA4=$H$19)*$H$24</f>
        <v/>
      </c>
      <c r="BB72" s="164">
        <f>(BB4=$H$19)*$H$24</f>
        <v/>
      </c>
      <c r="BC72" s="164">
        <f>(BC4=$H$19)*$H$24</f>
        <v/>
      </c>
      <c r="BD72" s="164">
        <f>(BD4=$H$19)*$H$24</f>
        <v/>
      </c>
      <c r="BE72" s="164">
        <f>(BE4=$H$19)*$H$24</f>
        <v/>
      </c>
      <c r="BF72" s="164">
        <f>(BF4=$H$19)*$H$24</f>
        <v/>
      </c>
      <c r="BG72" s="164">
        <f>(BG4=$H$19)*$H$24</f>
        <v/>
      </c>
      <c r="BH72" s="164">
        <f>(BH4=$H$19)*$H$24</f>
        <v/>
      </c>
      <c r="BI72" s="164">
        <f>(BI4=$H$19)*$H$24</f>
        <v/>
      </c>
      <c r="BJ72" s="164">
        <f>(BJ4=$H$19)*$H$24</f>
        <v/>
      </c>
      <c r="BK72" s="164">
        <f>(BK4=$H$19)*$H$24</f>
        <v/>
      </c>
      <c r="BL72" s="164">
        <f>(BL4=$H$19)*$H$24</f>
        <v/>
      </c>
      <c r="BM72" s="164">
        <f>(BM4=$H$19)*$H$24</f>
        <v/>
      </c>
      <c r="BN72" s="164">
        <f>(BN4=$H$19)*$H$24</f>
        <v/>
      </c>
      <c r="BO72" s="164">
        <f>(BO4=$H$19)*$H$24</f>
        <v/>
      </c>
      <c r="BP72" s="164">
        <f>(BP4=$H$19)*$H$24</f>
        <v/>
      </c>
      <c r="BQ72" s="164">
        <f>(BQ4=$H$19)*$H$24</f>
        <v/>
      </c>
      <c r="BR72" s="164">
        <f>(BR4=$H$19)*$H$24</f>
        <v/>
      </c>
      <c r="BS72" s="164">
        <f>(BS4=$H$19)*$H$24</f>
        <v/>
      </c>
      <c r="BT72" s="164">
        <f>(BT4=$H$19)*$H$24</f>
        <v/>
      </c>
      <c r="BU72" s="164">
        <f>(BU4=$H$19)*$H$24</f>
        <v/>
      </c>
      <c r="BV72" s="164">
        <f>(BV4=$H$19)*$H$24</f>
        <v/>
      </c>
      <c r="BW72" s="164">
        <f>(BW4=$H$19)*$H$24</f>
        <v/>
      </c>
      <c r="BX72" s="164">
        <f>(BX4=$H$19)*$H$24</f>
        <v/>
      </c>
      <c r="BY72" s="164">
        <f>(BY4=$H$19)*$H$24</f>
        <v/>
      </c>
      <c r="BZ72" s="164">
        <f>(BZ4=$H$19)*$H$24</f>
        <v/>
      </c>
      <c r="CA72" s="164">
        <f>(CA4=$H$19)*$H$24</f>
        <v/>
      </c>
      <c r="CB72" s="164">
        <f>(CB4=$H$19)*$H$24</f>
        <v/>
      </c>
      <c r="CC72" s="164">
        <f>(CC4=$H$19)*$H$24</f>
        <v/>
      </c>
      <c r="CD72" s="164">
        <f>(CD4=$H$19)*$H$24</f>
        <v/>
      </c>
      <c r="CE72" s="164">
        <f>(CE4=$H$19)*$H$24</f>
        <v/>
      </c>
      <c r="CF72" s="164">
        <f>(CF4=$H$19)*$H$24</f>
        <v/>
      </c>
      <c r="CG72" s="164">
        <f>(CG4=$H$19)*$H$24</f>
        <v/>
      </c>
      <c r="CH72" s="164">
        <f>(CH4=$H$19)*$H$24</f>
        <v/>
      </c>
      <c r="CI72" s="164">
        <f>(CI4=$H$19)*$H$24</f>
        <v/>
      </c>
      <c r="CJ72" s="164">
        <f>(CJ4=$H$19)*$H$24</f>
        <v/>
      </c>
      <c r="CK72" s="164">
        <f>(CK4=$H$19)*$H$24</f>
        <v/>
      </c>
      <c r="CL72" s="164">
        <f>(CL4=$H$19)*$H$24</f>
        <v/>
      </c>
      <c r="CM72" s="164">
        <f>(CM4=$H$19)*$H$24</f>
        <v/>
      </c>
      <c r="CN72" s="164">
        <f>(CN4=$H$19)*$H$24</f>
        <v/>
      </c>
      <c r="CO72" s="164">
        <f>(CO4=$H$19)*$H$24</f>
        <v/>
      </c>
      <c r="CP72" s="164">
        <f>(CP4=$H$19)*$H$24</f>
        <v/>
      </c>
      <c r="CQ72" s="164">
        <f>(CQ4=$H$19)*$H$24</f>
        <v/>
      </c>
      <c r="CR72" s="164">
        <f>(CR4=$H$19)*$H$24</f>
        <v/>
      </c>
      <c r="CS72" s="164">
        <f>(CS4=$H$19)*$H$24</f>
        <v/>
      </c>
      <c r="CT72" s="164">
        <f>(CT4=$H$19)*$H$24</f>
        <v/>
      </c>
      <c r="CU72" s="164">
        <f>(CU4=$H$19)*$H$24</f>
        <v/>
      </c>
      <c r="CV72" s="164">
        <f>(CV4=$H$19)*$H$24</f>
        <v/>
      </c>
      <c r="CW72" s="164">
        <f>(CW4=$H$19)*$H$24</f>
        <v/>
      </c>
      <c r="CX72" s="164">
        <f>(CX4=$H$19)*$H$24</f>
        <v/>
      </c>
      <c r="CY72" s="164">
        <f>(CY4=$H$19)*$H$24</f>
        <v/>
      </c>
      <c r="CZ72" s="164">
        <f>(CZ4=$H$19)*$H$24</f>
        <v/>
      </c>
      <c r="DA72" s="164">
        <f>(DA4=$H$19)*$H$24</f>
        <v/>
      </c>
      <c r="DB72" s="164">
        <f>(DB4=$H$19)*$H$24</f>
        <v/>
      </c>
      <c r="DC72" s="164">
        <f>(DC4=$H$19)*$H$24</f>
        <v/>
      </c>
      <c r="DD72" s="164">
        <f>(DD4=$H$19)*$H$24</f>
        <v/>
      </c>
      <c r="DE72" s="164">
        <f>(DE4=$H$19)*$H$24</f>
        <v/>
      </c>
      <c r="DF72" s="164">
        <f>(DF4=$H$19)*$H$24</f>
        <v/>
      </c>
      <c r="DG72" s="164">
        <f>(DG4=$H$19)*$H$24</f>
        <v/>
      </c>
      <c r="DH72" s="164">
        <f>(DH4=$H$19)*$H$24</f>
        <v/>
      </c>
      <c r="DI72" s="164">
        <f>(DI4=$H$19)*$H$24</f>
        <v/>
      </c>
      <c r="DJ72" s="164">
        <f>(DJ4=$H$19)*$H$24</f>
        <v/>
      </c>
      <c r="DK72" s="164">
        <f>(DK4=$H$19)*$H$24</f>
        <v/>
      </c>
      <c r="DL72" s="164">
        <f>(DL4=$H$19)*$H$24</f>
        <v/>
      </c>
      <c r="DM72" s="164">
        <f>(DM4=$H$19)*$H$24</f>
        <v/>
      </c>
      <c r="DN72" s="164">
        <f>(DN4=$H$19)*$H$24</f>
        <v/>
      </c>
      <c r="DO72" s="164">
        <f>(DO4=$H$19)*$H$24</f>
        <v/>
      </c>
      <c r="DP72" s="164">
        <f>(DP4=$H$19)*$H$24</f>
        <v/>
      </c>
      <c r="DQ72" s="164">
        <f>(DQ4=$H$19)*$H$24</f>
        <v/>
      </c>
      <c r="DR72" s="164">
        <f>(DR4=$H$19)*$H$24</f>
        <v/>
      </c>
      <c r="DS72" s="164">
        <f>(DS4=$H$19)*$H$24</f>
        <v/>
      </c>
      <c r="DT72" s="164">
        <f>(DT4=$H$19)*$H$24</f>
        <v/>
      </c>
      <c r="DU72" s="164">
        <f>(DU4=$H$19)*$H$24</f>
        <v/>
      </c>
      <c r="DV72" s="164">
        <f>(DV4=$H$19)*$H$24</f>
        <v/>
      </c>
      <c r="DW72" s="164">
        <f>(DW4=$H$19)*$H$24</f>
        <v/>
      </c>
      <c r="DX72" s="164">
        <f>(DX4=$H$19)*$H$24</f>
        <v/>
      </c>
      <c r="DY72" s="164">
        <f>(DY4=$H$19)*$H$24</f>
        <v/>
      </c>
      <c r="DZ72" s="164">
        <f>(DZ4=$H$19)*$H$24</f>
        <v/>
      </c>
      <c r="EA72" s="164">
        <f>(EA4=$H$19)*$H$24</f>
        <v/>
      </c>
      <c r="EB72" s="164">
        <f>(EB4=$H$19)*$H$24</f>
        <v/>
      </c>
      <c r="EC72" s="164">
        <f>(EC4=$H$19)*$H$24</f>
        <v/>
      </c>
      <c r="ED72" s="164">
        <f>(ED4=$H$19)*$H$24</f>
        <v/>
      </c>
      <c r="EE72" s="164">
        <f>(EE4=$H$19)*$H$24</f>
        <v/>
      </c>
      <c r="EF72" s="164">
        <f>(EF4=$H$19)*$H$24</f>
        <v/>
      </c>
      <c r="EG72" s="164">
        <f>(EG4=$H$19)*$H$24</f>
        <v/>
      </c>
      <c r="EH72" s="164">
        <f>(EH4=$H$19)*$H$24</f>
        <v/>
      </c>
      <c r="EI72" s="164">
        <f>(EI4=$H$19)*$H$24</f>
        <v/>
      </c>
      <c r="EJ72" s="164">
        <f>(EJ4=$H$19)*$H$24</f>
        <v/>
      </c>
      <c r="EK72" s="164">
        <f>(EK4=$H$19)*$H$24</f>
        <v/>
      </c>
      <c r="EL72" s="164">
        <f>(EL4=$H$19)*$H$24</f>
        <v/>
      </c>
      <c r="EM72" s="164">
        <f>(EM4=$H$19)*$H$24</f>
        <v/>
      </c>
      <c r="EN72" s="164">
        <f>(EN4=$H$19)*$H$24</f>
        <v/>
      </c>
      <c r="EO72" s="164">
        <f>(EO4=$H$19)*$H$24</f>
        <v/>
      </c>
      <c r="EP72" s="164">
        <f>(EP4=$H$19)*$H$24</f>
        <v/>
      </c>
      <c r="EQ72" s="164">
        <f>(EQ4=$H$19)*$H$24</f>
        <v/>
      </c>
      <c r="ER72" s="164">
        <f>(ER4=$H$19)*$H$24</f>
        <v/>
      </c>
      <c r="ES72" s="164">
        <f>(ES4=$H$19)*$H$24</f>
        <v/>
      </c>
      <c r="ET72" s="164">
        <f>(ET4=$H$19)*$H$24</f>
        <v/>
      </c>
      <c r="EU72" s="164">
        <f>(EU4=$H$19)*$H$24</f>
        <v/>
      </c>
      <c r="EV72" s="164">
        <f>(EV4=$H$19)*$H$24</f>
        <v/>
      </c>
      <c r="EW72" s="164">
        <f>(EW4=$H$19)*$H$24</f>
        <v/>
      </c>
      <c r="EX72" s="164">
        <f>(EX4=$H$19)*$H$24</f>
        <v/>
      </c>
    </row>
    <row r="73" customFormat="1" s="266">
      <c r="A73" s="9" t="n"/>
      <c r="B73" s="9" t="n"/>
      <c r="C73" s="12" t="inlineStr">
        <is>
          <t>Loss to Lease</t>
        </is>
      </c>
      <c r="D73" s="126" t="n"/>
      <c r="E73" s="126" t="n">
        <v>0.0125</v>
      </c>
      <c r="F73" s="126" t="n">
        <v>0.0125</v>
      </c>
      <c r="G73" s="126" t="n">
        <v>0.0125</v>
      </c>
      <c r="H73" s="126" t="n">
        <v>0.0125</v>
      </c>
      <c r="I73" s="12" t="n"/>
      <c r="J73" s="269" t="inlineStr">
        <is>
          <t>Gross Sales Proceeds</t>
        </is>
      </c>
      <c r="K73" s="269" t="n"/>
      <c r="L73" s="270" t="n"/>
      <c r="M73" s="269">
        <f>SUMIF($V$4:$EX$4,"&lt;="&amp;$H$19,$V73:$EX73)</f>
        <v/>
      </c>
      <c r="N73" s="270" t="n"/>
      <c r="O73" s="269">
        <f>SUMIF($V$5:$EX$5,O$7,$V73:$EX73)</f>
        <v/>
      </c>
      <c r="P73" s="269">
        <f>SUMIF($V$5:$EX$5,P$7,$V73:$EX73)</f>
        <v/>
      </c>
      <c r="Q73" s="269">
        <f>SUMIF($V$5:$EX$5,Q$7,$V73:$EX73)</f>
        <v/>
      </c>
      <c r="R73" s="269">
        <f>SUMIF($V$5:$EX$5,R$7,$V73:$EX73)</f>
        <v/>
      </c>
      <c r="S73" s="269">
        <f>SUMIF($V$5:$EX$5,S$7,$V73:$EX73)</f>
        <v/>
      </c>
      <c r="T73" s="269">
        <f>SUMIF($V$5:$EX$5,T$7,$V73:$EX73)</f>
        <v/>
      </c>
      <c r="U73" s="270" t="n"/>
      <c r="V73" s="269">
        <f>IFERROR(V71/V72,0)</f>
        <v/>
      </c>
      <c r="W73" s="269">
        <f>IFERROR(W71/W72,0)</f>
        <v/>
      </c>
      <c r="X73" s="269">
        <f>IFERROR(X71/X72,0)</f>
        <v/>
      </c>
      <c r="Y73" s="269">
        <f>IFERROR(Y71/Y72,0)</f>
        <v/>
      </c>
      <c r="Z73" s="269">
        <f>IFERROR(Z71/Z72,0)</f>
        <v/>
      </c>
      <c r="AA73" s="269">
        <f>IFERROR(AA71/AA72,0)</f>
        <v/>
      </c>
      <c r="AB73" s="269">
        <f>IFERROR(AB71/AB72,0)</f>
        <v/>
      </c>
      <c r="AC73" s="269">
        <f>IFERROR(AC71/AC72,0)</f>
        <v/>
      </c>
      <c r="AD73" s="269">
        <f>IFERROR(AD71/AD72,0)</f>
        <v/>
      </c>
      <c r="AE73" s="269">
        <f>IFERROR(AE71/AE72,0)</f>
        <v/>
      </c>
      <c r="AF73" s="269">
        <f>IFERROR(AF71/AF72,0)</f>
        <v/>
      </c>
      <c r="AG73" s="269">
        <f>IFERROR(AG71/AG72,0)</f>
        <v/>
      </c>
      <c r="AH73" s="269">
        <f>IFERROR(AH71/AH72,0)</f>
        <v/>
      </c>
      <c r="AI73" s="269">
        <f>IFERROR(AI71/AI72,0)</f>
        <v/>
      </c>
      <c r="AJ73" s="269">
        <f>IFERROR(AJ71/AJ72,0)</f>
        <v/>
      </c>
      <c r="AK73" s="269">
        <f>IFERROR(AK71/AK72,0)</f>
        <v/>
      </c>
      <c r="AL73" s="269">
        <f>IFERROR(AL71/AL72,0)</f>
        <v/>
      </c>
      <c r="AM73" s="269">
        <f>IFERROR(AM71/AM72,0)</f>
        <v/>
      </c>
      <c r="AN73" s="269">
        <f>IFERROR(AN71/AN72,0)</f>
        <v/>
      </c>
      <c r="AO73" s="269">
        <f>IFERROR(AO71/AO72,0)</f>
        <v/>
      </c>
      <c r="AP73" s="269">
        <f>IFERROR(AP71/AP72,0)</f>
        <v/>
      </c>
      <c r="AQ73" s="269">
        <f>IFERROR(AQ71/AQ72,0)</f>
        <v/>
      </c>
      <c r="AR73" s="269">
        <f>IFERROR(AR71/AR72,0)</f>
        <v/>
      </c>
      <c r="AS73" s="269">
        <f>IFERROR(AS71/AS72,0)</f>
        <v/>
      </c>
      <c r="AT73" s="269">
        <f>IFERROR(AT71/AT72,0)</f>
        <v/>
      </c>
      <c r="AU73" s="269">
        <f>IFERROR(AU71/AU72,0)</f>
        <v/>
      </c>
      <c r="AV73" s="269">
        <f>IFERROR(AV71/AV72,0)</f>
        <v/>
      </c>
      <c r="AW73" s="269">
        <f>IFERROR(AW71/AW72,0)</f>
        <v/>
      </c>
      <c r="AX73" s="269">
        <f>IFERROR(AX71/AX72,0)</f>
        <v/>
      </c>
      <c r="AY73" s="269">
        <f>IFERROR(AY71/AY72,0)</f>
        <v/>
      </c>
      <c r="AZ73" s="269">
        <f>IFERROR(AZ71/AZ72,0)</f>
        <v/>
      </c>
      <c r="BA73" s="269">
        <f>IFERROR(BA71/BA72,0)</f>
        <v/>
      </c>
      <c r="BB73" s="269">
        <f>IFERROR(BB71/BB72,0)</f>
        <v/>
      </c>
      <c r="BC73" s="269">
        <f>IFERROR(BC71/BC72,0)</f>
        <v/>
      </c>
      <c r="BD73" s="269">
        <f>IFERROR(BD71/BD72,0)</f>
        <v/>
      </c>
      <c r="BE73" s="269">
        <f>IFERROR(BE71/BE72,0)</f>
        <v/>
      </c>
      <c r="BF73" s="269">
        <f>IFERROR(BF71/BF72,0)</f>
        <v/>
      </c>
      <c r="BG73" s="269">
        <f>IFERROR(BG71/BG72,0)</f>
        <v/>
      </c>
      <c r="BH73" s="269">
        <f>IFERROR(BH71/BH72,0)</f>
        <v/>
      </c>
      <c r="BI73" s="269">
        <f>IFERROR(BI71/BI72,0)</f>
        <v/>
      </c>
      <c r="BJ73" s="269">
        <f>IFERROR(BJ71/BJ72,0)</f>
        <v/>
      </c>
      <c r="BK73" s="269">
        <f>IFERROR(BK71/BK72,0)</f>
        <v/>
      </c>
      <c r="BL73" s="269">
        <f>IFERROR(BL71/BL72,0)</f>
        <v/>
      </c>
      <c r="BM73" s="269">
        <f>IFERROR(BM71/BM72,0)</f>
        <v/>
      </c>
      <c r="BN73" s="269">
        <f>IFERROR(BN71/BN72,0)</f>
        <v/>
      </c>
      <c r="BO73" s="269">
        <f>IFERROR(BO71/BO72,0)</f>
        <v/>
      </c>
      <c r="BP73" s="269">
        <f>IFERROR(BP71/BP72,0)</f>
        <v/>
      </c>
      <c r="BQ73" s="269">
        <f>IFERROR(BQ71/BQ72,0)</f>
        <v/>
      </c>
      <c r="BR73" s="269">
        <f>IFERROR(BR71/BR72,0)</f>
        <v/>
      </c>
      <c r="BS73" s="269">
        <f>IFERROR(BS71/BS72,0)</f>
        <v/>
      </c>
      <c r="BT73" s="269">
        <f>IFERROR(BT71/BT72,0)</f>
        <v/>
      </c>
      <c r="BU73" s="269">
        <f>IFERROR(BU71/BU72,0)</f>
        <v/>
      </c>
      <c r="BV73" s="269">
        <f>IFERROR(BV71/BV72,0)</f>
        <v/>
      </c>
      <c r="BW73" s="269">
        <f>IFERROR(BW71/BW72,0)</f>
        <v/>
      </c>
      <c r="BX73" s="269">
        <f>IFERROR(BX71/BX72,0)</f>
        <v/>
      </c>
      <c r="BY73" s="269">
        <f>IFERROR(BY71/BY72,0)</f>
        <v/>
      </c>
      <c r="BZ73" s="269">
        <f>IFERROR(BZ71/BZ72,0)</f>
        <v/>
      </c>
      <c r="CA73" s="269">
        <f>IFERROR(CA71/CA72,0)</f>
        <v/>
      </c>
      <c r="CB73" s="269">
        <f>IFERROR(CB71/CB72,0)</f>
        <v/>
      </c>
      <c r="CC73" s="269">
        <f>IFERROR(CC71/CC72,0)</f>
        <v/>
      </c>
      <c r="CD73" s="269">
        <f>IFERROR(CD71/CD72,0)</f>
        <v/>
      </c>
      <c r="CE73" s="269">
        <f>IFERROR(CE71/CE72,0)</f>
        <v/>
      </c>
      <c r="CF73" s="269">
        <f>IFERROR(CF71/CF72,0)</f>
        <v/>
      </c>
      <c r="CG73" s="269">
        <f>IFERROR(CG71/CG72,0)</f>
        <v/>
      </c>
      <c r="CH73" s="269">
        <f>IFERROR(CH71/CH72,0)</f>
        <v/>
      </c>
      <c r="CI73" s="269">
        <f>IFERROR(CI71/CI72,0)</f>
        <v/>
      </c>
      <c r="CJ73" s="269">
        <f>IFERROR(CJ71/CJ72,0)</f>
        <v/>
      </c>
      <c r="CK73" s="269">
        <f>IFERROR(CK71/CK72,0)</f>
        <v/>
      </c>
      <c r="CL73" s="269">
        <f>IFERROR(CL71/CL72,0)</f>
        <v/>
      </c>
      <c r="CM73" s="269">
        <f>IFERROR(CM71/CM72,0)</f>
        <v/>
      </c>
      <c r="CN73" s="269">
        <f>IFERROR(CN71/CN72,0)</f>
        <v/>
      </c>
      <c r="CO73" s="269">
        <f>IFERROR(CO71/CO72,0)</f>
        <v/>
      </c>
      <c r="CP73" s="269">
        <f>IFERROR(CP71/CP72,0)</f>
        <v/>
      </c>
      <c r="CQ73" s="269">
        <f>IFERROR(CQ71/CQ72,0)</f>
        <v/>
      </c>
      <c r="CR73" s="269">
        <f>IFERROR(CR71/CR72,0)</f>
        <v/>
      </c>
      <c r="CS73" s="269">
        <f>IFERROR(CS71/CS72,0)</f>
        <v/>
      </c>
      <c r="CT73" s="269">
        <f>IFERROR(CT71/CT72,0)</f>
        <v/>
      </c>
      <c r="CU73" s="269">
        <f>IFERROR(CU71/CU72,0)</f>
        <v/>
      </c>
      <c r="CV73" s="269">
        <f>IFERROR(CV71/CV72,0)</f>
        <v/>
      </c>
      <c r="CW73" s="269">
        <f>IFERROR(CW71/CW72,0)</f>
        <v/>
      </c>
      <c r="CX73" s="269">
        <f>IFERROR(CX71/CX72,0)</f>
        <v/>
      </c>
      <c r="CY73" s="269">
        <f>IFERROR(CY71/CY72,0)</f>
        <v/>
      </c>
      <c r="CZ73" s="269">
        <f>IFERROR(CZ71/CZ72,0)</f>
        <v/>
      </c>
      <c r="DA73" s="269">
        <f>IFERROR(DA71/DA72,0)</f>
        <v/>
      </c>
      <c r="DB73" s="269">
        <f>IFERROR(DB71/DB72,0)</f>
        <v/>
      </c>
      <c r="DC73" s="269">
        <f>IFERROR(DC71/DC72,0)</f>
        <v/>
      </c>
      <c r="DD73" s="269">
        <f>IFERROR(DD71/DD72,0)</f>
        <v/>
      </c>
      <c r="DE73" s="269">
        <f>IFERROR(DE71/DE72,0)</f>
        <v/>
      </c>
      <c r="DF73" s="269">
        <f>IFERROR(DF71/DF72,0)</f>
        <v/>
      </c>
      <c r="DG73" s="269">
        <f>IFERROR(DG71/DG72,0)</f>
        <v/>
      </c>
      <c r="DH73" s="269">
        <f>IFERROR(DH71/DH72,0)</f>
        <v/>
      </c>
      <c r="DI73" s="269">
        <f>IFERROR(DI71/DI72,0)</f>
        <v/>
      </c>
      <c r="DJ73" s="269">
        <f>IFERROR(DJ71/DJ72,0)</f>
        <v/>
      </c>
      <c r="DK73" s="269">
        <f>IFERROR(DK71/DK72,0)</f>
        <v/>
      </c>
      <c r="DL73" s="269">
        <f>IFERROR(DL71/DL72,0)</f>
        <v/>
      </c>
      <c r="DM73" s="269">
        <f>IFERROR(DM71/DM72,0)</f>
        <v/>
      </c>
      <c r="DN73" s="269">
        <f>IFERROR(DN71/DN72,0)</f>
        <v/>
      </c>
      <c r="DO73" s="269">
        <f>IFERROR(DO71/DO72,0)</f>
        <v/>
      </c>
      <c r="DP73" s="269">
        <f>IFERROR(DP71/DP72,0)</f>
        <v/>
      </c>
      <c r="DQ73" s="269">
        <f>IFERROR(DQ71/DQ72,0)</f>
        <v/>
      </c>
      <c r="DR73" s="269">
        <f>IFERROR(DR71/DR72,0)</f>
        <v/>
      </c>
      <c r="DS73" s="269">
        <f>IFERROR(DS71/DS72,0)</f>
        <v/>
      </c>
      <c r="DT73" s="269">
        <f>IFERROR(DT71/DT72,0)</f>
        <v/>
      </c>
      <c r="DU73" s="269">
        <f>IFERROR(DU71/DU72,0)</f>
        <v/>
      </c>
      <c r="DV73" s="269">
        <f>IFERROR(DV71/DV72,0)</f>
        <v/>
      </c>
      <c r="DW73" s="269">
        <f>IFERROR(DW71/DW72,0)</f>
        <v/>
      </c>
      <c r="DX73" s="269">
        <f>IFERROR(DX71/DX72,0)</f>
        <v/>
      </c>
      <c r="DY73" s="269">
        <f>IFERROR(DY71/DY72,0)</f>
        <v/>
      </c>
      <c r="DZ73" s="269">
        <f>IFERROR(DZ71/DZ72,0)</f>
        <v/>
      </c>
      <c r="EA73" s="269">
        <f>IFERROR(EA71/EA72,0)</f>
        <v/>
      </c>
      <c r="EB73" s="269">
        <f>IFERROR(EB71/EB72,0)</f>
        <v/>
      </c>
      <c r="EC73" s="269">
        <f>IFERROR(EC71/EC72,0)</f>
        <v/>
      </c>
      <c r="ED73" s="269">
        <f>IFERROR(ED71/ED72,0)</f>
        <v/>
      </c>
      <c r="EE73" s="269">
        <f>IFERROR(EE71/EE72,0)</f>
        <v/>
      </c>
      <c r="EF73" s="269">
        <f>IFERROR(EF71/EF72,0)</f>
        <v/>
      </c>
      <c r="EG73" s="269">
        <f>IFERROR(EG71/EG72,0)</f>
        <v/>
      </c>
      <c r="EH73" s="269">
        <f>IFERROR(EH71/EH72,0)</f>
        <v/>
      </c>
      <c r="EI73" s="269">
        <f>IFERROR(EI71/EI72,0)</f>
        <v/>
      </c>
      <c r="EJ73" s="269">
        <f>IFERROR(EJ71/EJ72,0)</f>
        <v/>
      </c>
      <c r="EK73" s="269">
        <f>IFERROR(EK71/EK72,0)</f>
        <v/>
      </c>
      <c r="EL73" s="269">
        <f>IFERROR(EL71/EL72,0)</f>
        <v/>
      </c>
      <c r="EM73" s="269">
        <f>IFERROR(EM71/EM72,0)</f>
        <v/>
      </c>
      <c r="EN73" s="269">
        <f>IFERROR(EN71/EN72,0)</f>
        <v/>
      </c>
      <c r="EO73" s="269">
        <f>IFERROR(EO71/EO72,0)</f>
        <v/>
      </c>
      <c r="EP73" s="269">
        <f>IFERROR(EP71/EP72,0)</f>
        <v/>
      </c>
      <c r="EQ73" s="269">
        <f>IFERROR(EQ71/EQ72,0)</f>
        <v/>
      </c>
      <c r="ER73" s="269">
        <f>IFERROR(ER71/ER72,0)</f>
        <v/>
      </c>
      <c r="ES73" s="269">
        <f>IFERROR(ES71/ES72,0)</f>
        <v/>
      </c>
      <c r="ET73" s="269">
        <f>IFERROR(ET71/ET72,0)</f>
        <v/>
      </c>
      <c r="EU73" s="269">
        <f>IFERROR(EU71/EU72,0)</f>
        <v/>
      </c>
      <c r="EV73" s="269">
        <f>IFERROR(EV71/EV72,0)</f>
        <v/>
      </c>
      <c r="EW73" s="269">
        <f>IFERROR(EW71/EW72,0)</f>
        <v/>
      </c>
      <c r="EX73" s="269">
        <f>IFERROR(EX71/EX72,0)</f>
        <v/>
      </c>
    </row>
    <row r="74">
      <c r="C74" s="12" t="inlineStr">
        <is>
          <t>Vacancy Loss</t>
        </is>
      </c>
      <c r="D74" s="126" t="n"/>
      <c r="E74" s="126" t="n"/>
      <c r="F74" s="126" t="n"/>
      <c r="G74" s="126" t="n"/>
      <c r="H74" s="126" t="n"/>
      <c r="J74" s="33" t="inlineStr">
        <is>
          <t>$/Unit</t>
        </is>
      </c>
      <c r="K74" s="33" t="n"/>
      <c r="L74" s="34" t="n"/>
      <c r="M74" s="199">
        <f>SUMIF($V$4:$EX$4,"&lt;="&amp;$H$19,$V74:$EX74)</f>
        <v/>
      </c>
      <c r="N74" s="335" t="n"/>
      <c r="O74" s="336" t="n"/>
      <c r="P74" s="336" t="n"/>
      <c r="Q74" s="336" t="n"/>
      <c r="R74" s="336" t="n"/>
      <c r="S74" s="336" t="n"/>
      <c r="T74" s="336" t="n"/>
      <c r="U74" s="335" t="n"/>
      <c r="V74" s="206">
        <f>V73/$D$64</f>
        <v/>
      </c>
      <c r="W74" s="206">
        <f>W73/$D$64</f>
        <v/>
      </c>
      <c r="X74" s="206">
        <f>X73/$D$64</f>
        <v/>
      </c>
      <c r="Y74" s="206">
        <f>Y73/$D$64</f>
        <v/>
      </c>
      <c r="Z74" s="206">
        <f>Z73/$D$64</f>
        <v/>
      </c>
      <c r="AA74" s="206">
        <f>AA73/$D$64</f>
        <v/>
      </c>
      <c r="AB74" s="206">
        <f>AB73/$D$64</f>
        <v/>
      </c>
      <c r="AC74" s="206">
        <f>AC73/$D$64</f>
        <v/>
      </c>
      <c r="AD74" s="206">
        <f>AD73/$D$64</f>
        <v/>
      </c>
      <c r="AE74" s="206">
        <f>AE73/$D$64</f>
        <v/>
      </c>
      <c r="AF74" s="206">
        <f>AF73/$D$64</f>
        <v/>
      </c>
      <c r="AG74" s="206">
        <f>AG73/$D$64</f>
        <v/>
      </c>
      <c r="AH74" s="206">
        <f>AH73/$D$64</f>
        <v/>
      </c>
      <c r="AI74" s="206">
        <f>AI73/$D$64</f>
        <v/>
      </c>
      <c r="AJ74" s="206">
        <f>AJ73/$D$64</f>
        <v/>
      </c>
      <c r="AK74" s="206">
        <f>AK73/$D$64</f>
        <v/>
      </c>
      <c r="AL74" s="206">
        <f>AL73/$D$64</f>
        <v/>
      </c>
      <c r="AM74" s="206">
        <f>AM73/$D$64</f>
        <v/>
      </c>
      <c r="AN74" s="206">
        <f>AN73/$D$64</f>
        <v/>
      </c>
      <c r="AO74" s="206">
        <f>AO73/$D$64</f>
        <v/>
      </c>
      <c r="AP74" s="206">
        <f>AP73/$D$64</f>
        <v/>
      </c>
      <c r="AQ74" s="206">
        <f>AQ73/$D$64</f>
        <v/>
      </c>
      <c r="AR74" s="206">
        <f>AR73/$D$64</f>
        <v/>
      </c>
      <c r="AS74" s="206">
        <f>AS73/$D$64</f>
        <v/>
      </c>
      <c r="AT74" s="206">
        <f>AT73/$D$64</f>
        <v/>
      </c>
      <c r="AU74" s="206">
        <f>AU73/$D$64</f>
        <v/>
      </c>
      <c r="AV74" s="206">
        <f>AV73/$D$64</f>
        <v/>
      </c>
      <c r="AW74" s="206">
        <f>AW73/$D$64</f>
        <v/>
      </c>
      <c r="AX74" s="206">
        <f>AX73/$D$64</f>
        <v/>
      </c>
      <c r="AY74" s="206">
        <f>AY73/$D$64</f>
        <v/>
      </c>
      <c r="AZ74" s="206">
        <f>AZ73/$D$64</f>
        <v/>
      </c>
      <c r="BA74" s="206">
        <f>BA73/$D$64</f>
        <v/>
      </c>
      <c r="BB74" s="206">
        <f>BB73/$D$64</f>
        <v/>
      </c>
      <c r="BC74" s="206">
        <f>BC73/$D$64</f>
        <v/>
      </c>
      <c r="BD74" s="206">
        <f>BD73/$D$64</f>
        <v/>
      </c>
      <c r="BE74" s="206">
        <f>BE73/$D$64</f>
        <v/>
      </c>
      <c r="BF74" s="206">
        <f>BF73/$D$64</f>
        <v/>
      </c>
      <c r="BG74" s="206">
        <f>BG73/$D$64</f>
        <v/>
      </c>
      <c r="BH74" s="206">
        <f>BH73/$D$64</f>
        <v/>
      </c>
      <c r="BI74" s="206">
        <f>BI73/$D$64</f>
        <v/>
      </c>
      <c r="BJ74" s="206">
        <f>BJ73/$D$64</f>
        <v/>
      </c>
      <c r="BK74" s="206">
        <f>BK73/$D$64</f>
        <v/>
      </c>
      <c r="BL74" s="206">
        <f>BL73/$D$64</f>
        <v/>
      </c>
      <c r="BM74" s="206">
        <f>BM73/$D$64</f>
        <v/>
      </c>
      <c r="BN74" s="206">
        <f>BN73/$D$64</f>
        <v/>
      </c>
      <c r="BO74" s="206">
        <f>BO73/$D$64</f>
        <v/>
      </c>
      <c r="BP74" s="206">
        <f>BP73/$D$64</f>
        <v/>
      </c>
      <c r="BQ74" s="206">
        <f>BQ73/$D$64</f>
        <v/>
      </c>
      <c r="BR74" s="206">
        <f>BR73/$D$64</f>
        <v/>
      </c>
      <c r="BS74" s="206">
        <f>BS73/$D$64</f>
        <v/>
      </c>
      <c r="BT74" s="206">
        <f>BT73/$D$64</f>
        <v/>
      </c>
      <c r="BU74" s="206">
        <f>BU73/$D$64</f>
        <v/>
      </c>
      <c r="BV74" s="206">
        <f>BV73/$D$64</f>
        <v/>
      </c>
      <c r="BW74" s="206">
        <f>BW73/$D$64</f>
        <v/>
      </c>
      <c r="BX74" s="206">
        <f>BX73/$D$64</f>
        <v/>
      </c>
      <c r="BY74" s="206">
        <f>BY73/$D$64</f>
        <v/>
      </c>
      <c r="BZ74" s="206">
        <f>BZ73/$D$64</f>
        <v/>
      </c>
      <c r="CA74" s="206">
        <f>CA73/$D$64</f>
        <v/>
      </c>
      <c r="CB74" s="206">
        <f>CB73/$D$64</f>
        <v/>
      </c>
      <c r="CC74" s="206">
        <f>CC73/$D$64</f>
        <v/>
      </c>
      <c r="CD74" s="206">
        <f>CD73/$D$64</f>
        <v/>
      </c>
      <c r="CE74" s="206">
        <f>CE73/$D$64</f>
        <v/>
      </c>
      <c r="CF74" s="206">
        <f>CF73/$D$64</f>
        <v/>
      </c>
      <c r="CG74" s="206">
        <f>CG73/$D$64</f>
        <v/>
      </c>
      <c r="CH74" s="206">
        <f>CH73/$D$64</f>
        <v/>
      </c>
      <c r="CI74" s="206">
        <f>CI73/$D$64</f>
        <v/>
      </c>
      <c r="CJ74" s="206">
        <f>CJ73/$D$64</f>
        <v/>
      </c>
      <c r="CK74" s="206">
        <f>CK73/$D$64</f>
        <v/>
      </c>
      <c r="CL74" s="206">
        <f>CL73/$D$64</f>
        <v/>
      </c>
      <c r="CM74" s="206">
        <f>CM73/$D$64</f>
        <v/>
      </c>
      <c r="CN74" s="206">
        <f>CN73/$D$64</f>
        <v/>
      </c>
      <c r="CO74" s="206">
        <f>CO73/$D$64</f>
        <v/>
      </c>
      <c r="CP74" s="206">
        <f>CP73/$D$64</f>
        <v/>
      </c>
      <c r="CQ74" s="206">
        <f>CQ73/$D$64</f>
        <v/>
      </c>
      <c r="CR74" s="206">
        <f>CR73/$D$64</f>
        <v/>
      </c>
      <c r="CS74" s="206">
        <f>CS73/$D$64</f>
        <v/>
      </c>
      <c r="CT74" s="206">
        <f>CT73/$D$64</f>
        <v/>
      </c>
      <c r="CU74" s="206">
        <f>CU73/$D$64</f>
        <v/>
      </c>
      <c r="CV74" s="206">
        <f>CV73/$D$64</f>
        <v/>
      </c>
      <c r="CW74" s="206">
        <f>CW73/$D$64</f>
        <v/>
      </c>
      <c r="CX74" s="206">
        <f>CX73/$D$64</f>
        <v/>
      </c>
      <c r="CY74" s="206">
        <f>CY73/$D$64</f>
        <v/>
      </c>
      <c r="CZ74" s="206">
        <f>CZ73/$D$64</f>
        <v/>
      </c>
      <c r="DA74" s="206">
        <f>DA73/$D$64</f>
        <v/>
      </c>
      <c r="DB74" s="206">
        <f>DB73/$D$64</f>
        <v/>
      </c>
      <c r="DC74" s="206">
        <f>DC73/$D$64</f>
        <v/>
      </c>
      <c r="DD74" s="206">
        <f>DD73/$D$64</f>
        <v/>
      </c>
      <c r="DE74" s="206">
        <f>DE73/$D$64</f>
        <v/>
      </c>
      <c r="DF74" s="206">
        <f>DF73/$D$64</f>
        <v/>
      </c>
      <c r="DG74" s="206">
        <f>DG73/$D$64</f>
        <v/>
      </c>
      <c r="DH74" s="206">
        <f>DH73/$D$64</f>
        <v/>
      </c>
      <c r="DI74" s="206">
        <f>DI73/$D$64</f>
        <v/>
      </c>
      <c r="DJ74" s="206">
        <f>DJ73/$D$64</f>
        <v/>
      </c>
      <c r="DK74" s="206">
        <f>DK73/$D$64</f>
        <v/>
      </c>
      <c r="DL74" s="206">
        <f>DL73/$D$64</f>
        <v/>
      </c>
      <c r="DM74" s="206">
        <f>DM73/$D$64</f>
        <v/>
      </c>
      <c r="DN74" s="206">
        <f>DN73/$D$64</f>
        <v/>
      </c>
      <c r="DO74" s="206">
        <f>DO73/$D$64</f>
        <v/>
      </c>
      <c r="DP74" s="206">
        <f>DP73/$D$64</f>
        <v/>
      </c>
      <c r="DQ74" s="206">
        <f>DQ73/$D$64</f>
        <v/>
      </c>
      <c r="DR74" s="206">
        <f>DR73/$D$64</f>
        <v/>
      </c>
      <c r="DS74" s="206">
        <f>DS73/$D$64</f>
        <v/>
      </c>
      <c r="DT74" s="206">
        <f>DT73/$D$64</f>
        <v/>
      </c>
      <c r="DU74" s="206">
        <f>DU73/$D$64</f>
        <v/>
      </c>
      <c r="DV74" s="206">
        <f>DV73/$D$64</f>
        <v/>
      </c>
      <c r="DW74" s="206">
        <f>DW73/$D$64</f>
        <v/>
      </c>
      <c r="DX74" s="206">
        <f>DX73/$D$64</f>
        <v/>
      </c>
      <c r="DY74" s="206">
        <f>DY73/$D$64</f>
        <v/>
      </c>
      <c r="DZ74" s="206">
        <f>DZ73/$D$64</f>
        <v/>
      </c>
      <c r="EA74" s="206">
        <f>EA73/$D$64</f>
        <v/>
      </c>
      <c r="EB74" s="206">
        <f>EB73/$D$64</f>
        <v/>
      </c>
      <c r="EC74" s="206">
        <f>EC73/$D$64</f>
        <v/>
      </c>
      <c r="ED74" s="206">
        <f>ED73/$D$64</f>
        <v/>
      </c>
      <c r="EE74" s="206">
        <f>EE73/$D$64</f>
        <v/>
      </c>
      <c r="EF74" s="206">
        <f>EF73/$D$64</f>
        <v/>
      </c>
      <c r="EG74" s="206">
        <f>EG73/$D$64</f>
        <v/>
      </c>
      <c r="EH74" s="206">
        <f>EH73/$D$64</f>
        <v/>
      </c>
      <c r="EI74" s="206">
        <f>EI73/$D$64</f>
        <v/>
      </c>
      <c r="EJ74" s="206">
        <f>EJ73/$D$64</f>
        <v/>
      </c>
      <c r="EK74" s="206">
        <f>EK73/$D$64</f>
        <v/>
      </c>
      <c r="EL74" s="206">
        <f>EL73/$D$64</f>
        <v/>
      </c>
      <c r="EM74" s="206">
        <f>EM73/$D$64</f>
        <v/>
      </c>
      <c r="EN74" s="206">
        <f>EN73/$D$64</f>
        <v/>
      </c>
      <c r="EO74" s="206">
        <f>EO73/$D$64</f>
        <v/>
      </c>
      <c r="EP74" s="206">
        <f>EP73/$D$64</f>
        <v/>
      </c>
      <c r="EQ74" s="206">
        <f>EQ73/$D$64</f>
        <v/>
      </c>
      <c r="ER74" s="206">
        <f>ER73/$D$64</f>
        <v/>
      </c>
      <c r="ES74" s="206">
        <f>ES73/$D$64</f>
        <v/>
      </c>
      <c r="ET74" s="206">
        <f>ET73/$D$64</f>
        <v/>
      </c>
      <c r="EU74" s="206">
        <f>EU73/$D$64</f>
        <v/>
      </c>
      <c r="EV74" s="206">
        <f>EV73/$D$64</f>
        <v/>
      </c>
      <c r="EW74" s="206">
        <f>EW73/$D$64</f>
        <v/>
      </c>
      <c r="EX74" s="206">
        <f>EX73/$D$64</f>
        <v/>
      </c>
    </row>
    <row r="75">
      <c r="C75" s="12" t="inlineStr">
        <is>
          <t>Bad Debt</t>
        </is>
      </c>
      <c r="D75" s="236" t="n"/>
      <c r="E75" s="236" t="n">
        <v>0.0025</v>
      </c>
      <c r="F75" s="236" t="n">
        <v>0.0025</v>
      </c>
      <c r="G75" s="236" t="n">
        <v>0.0025</v>
      </c>
      <c r="H75" s="236" t="n">
        <v>0.0025</v>
      </c>
      <c r="M75" s="201" t="n"/>
      <c r="N75" s="337" t="n"/>
      <c r="O75" s="338" t="n"/>
      <c r="P75" s="338" t="n"/>
      <c r="Q75" s="338" t="n"/>
      <c r="R75" s="338" t="n"/>
      <c r="S75" s="338" t="n"/>
      <c r="T75" s="338" t="n"/>
      <c r="U75" s="337" t="n"/>
      <c r="V75" s="338" t="n"/>
      <c r="W75" s="338" t="n"/>
      <c r="X75" s="338" t="n"/>
      <c r="Y75" s="338" t="n"/>
      <c r="Z75" s="338" t="n"/>
      <c r="AA75" s="338" t="n"/>
      <c r="AB75" s="338" t="n"/>
      <c r="AC75" s="338" t="n"/>
      <c r="AD75" s="338" t="n"/>
      <c r="AE75" s="338" t="n"/>
      <c r="AF75" s="338" t="n"/>
      <c r="AG75" s="338" t="n"/>
      <c r="AH75" s="338" t="n"/>
      <c r="AI75" s="338" t="n"/>
      <c r="AJ75" s="338" t="n"/>
      <c r="AK75" s="338" t="n"/>
      <c r="AL75" s="338" t="n"/>
      <c r="AM75" s="338" t="n"/>
      <c r="AN75" s="338" t="n"/>
      <c r="AO75" s="338" t="n"/>
      <c r="AP75" s="338" t="n"/>
      <c r="AQ75" s="338" t="n"/>
      <c r="AR75" s="338" t="n"/>
      <c r="AS75" s="338" t="n"/>
      <c r="AT75" s="338" t="n"/>
      <c r="AU75" s="338" t="n"/>
      <c r="AV75" s="338" t="n"/>
      <c r="AW75" s="338" t="n"/>
      <c r="AX75" s="338" t="n"/>
      <c r="AY75" s="338" t="n"/>
      <c r="AZ75" s="338" t="n"/>
      <c r="BA75" s="338" t="n"/>
      <c r="BB75" s="338" t="n"/>
      <c r="BC75" s="338" t="n"/>
      <c r="BD75" s="338" t="n"/>
      <c r="BE75" s="338" t="n"/>
      <c r="BF75" s="338" t="n"/>
      <c r="BG75" s="338" t="n"/>
      <c r="BH75" s="338" t="n"/>
      <c r="BI75" s="338" t="n"/>
      <c r="BJ75" s="338" t="n"/>
      <c r="BK75" s="338" t="n"/>
      <c r="BL75" s="338" t="n"/>
      <c r="BM75" s="338" t="n"/>
      <c r="BN75" s="338" t="n"/>
      <c r="BO75" s="338" t="n"/>
      <c r="BP75" s="338" t="n"/>
      <c r="BQ75" s="338" t="n"/>
      <c r="BR75" s="338" t="n"/>
      <c r="BS75" s="338" t="n"/>
      <c r="BT75" s="338" t="n"/>
      <c r="BU75" s="338" t="n"/>
      <c r="BV75" s="338" t="n"/>
      <c r="BW75" s="338" t="n"/>
      <c r="BX75" s="338" t="n"/>
      <c r="BY75" s="338" t="n"/>
      <c r="BZ75" s="338" t="n"/>
      <c r="CA75" s="338" t="n"/>
      <c r="CB75" s="338" t="n"/>
      <c r="CC75" s="338" t="n"/>
      <c r="CD75" s="338" t="n"/>
      <c r="CE75" s="338" t="n"/>
      <c r="CF75" s="338" t="n"/>
      <c r="CG75" s="338" t="n"/>
      <c r="CH75" s="338" t="n"/>
      <c r="CI75" s="338" t="n"/>
      <c r="CJ75" s="338" t="n"/>
      <c r="CK75" s="338" t="n"/>
      <c r="CL75" s="338" t="n"/>
      <c r="CM75" s="338" t="n"/>
      <c r="CN75" s="338" t="n"/>
      <c r="CO75" s="338" t="n"/>
      <c r="CP75" s="338" t="n"/>
      <c r="CQ75" s="338" t="n"/>
      <c r="CR75" s="338" t="n"/>
      <c r="CS75" s="338" t="n"/>
      <c r="CT75" s="338" t="n"/>
      <c r="CU75" s="338" t="n"/>
      <c r="CV75" s="338" t="n"/>
      <c r="CW75" s="338" t="n"/>
      <c r="CX75" s="338" t="n"/>
      <c r="CY75" s="338" t="n"/>
      <c r="CZ75" s="338" t="n"/>
      <c r="DA75" s="338" t="n"/>
      <c r="DB75" s="338" t="n"/>
      <c r="DC75" s="338" t="n"/>
      <c r="DD75" s="338" t="n"/>
      <c r="DE75" s="338" t="n"/>
      <c r="DF75" s="338" t="n"/>
      <c r="DG75" s="338" t="n"/>
      <c r="DH75" s="338" t="n"/>
      <c r="DI75" s="338" t="n"/>
      <c r="DJ75" s="338" t="n"/>
      <c r="DK75" s="338" t="n"/>
      <c r="DL75" s="338" t="n"/>
      <c r="DM75" s="338" t="n"/>
      <c r="DN75" s="338" t="n"/>
      <c r="DO75" s="338" t="n"/>
      <c r="DP75" s="338" t="n"/>
      <c r="DQ75" s="338" t="n"/>
      <c r="DR75" s="338" t="n"/>
      <c r="DS75" s="338" t="n"/>
      <c r="DT75" s="338" t="n"/>
      <c r="DU75" s="338" t="n"/>
      <c r="DV75" s="338" t="n"/>
      <c r="DW75" s="338" t="n"/>
      <c r="DX75" s="338" t="n"/>
      <c r="DY75" s="338" t="n"/>
      <c r="DZ75" s="338" t="n"/>
      <c r="EA75" s="338" t="n"/>
      <c r="EB75" s="338" t="n"/>
      <c r="EC75" s="338" t="n"/>
      <c r="ED75" s="338" t="n"/>
      <c r="EE75" s="338" t="n"/>
      <c r="EF75" s="338" t="n"/>
      <c r="EG75" s="338" t="n"/>
      <c r="EH75" s="338" t="n"/>
      <c r="EI75" s="338" t="n"/>
      <c r="EJ75" s="338" t="n"/>
      <c r="EK75" s="338" t="n"/>
      <c r="EL75" s="338" t="n"/>
      <c r="EM75" s="338" t="n"/>
      <c r="EN75" s="338" t="n"/>
      <c r="EO75" s="338" t="n"/>
      <c r="EP75" s="338" t="n"/>
      <c r="EQ75" s="338" t="n"/>
      <c r="ER75" s="338" t="n"/>
      <c r="ES75" s="338" t="n"/>
      <c r="ET75" s="338" t="n"/>
      <c r="EU75" s="338" t="n"/>
      <c r="EV75" s="338" t="n"/>
      <c r="EW75" s="338" t="n"/>
      <c r="EX75" s="338" t="n"/>
    </row>
    <row r="76">
      <c r="A76" s="264" t="n"/>
      <c r="C76" s="12" t="inlineStr">
        <is>
          <t>Concessions</t>
        </is>
      </c>
      <c r="D76" s="236" t="n"/>
      <c r="E76" s="236" t="n">
        <v>0.0025</v>
      </c>
      <c r="F76" s="236" t="n">
        <v>0.0025</v>
      </c>
      <c r="G76" s="236" t="n">
        <v>0.0025</v>
      </c>
      <c r="H76" s="236" t="n">
        <v>0.0025</v>
      </c>
      <c r="I76" s="282" t="n"/>
      <c r="J76" s="67" t="inlineStr">
        <is>
          <t>Sales Costs</t>
        </is>
      </c>
      <c r="K76" s="67" t="n"/>
      <c r="M76" s="200">
        <f>SUMIF($V$4:$EX$4,"&lt;="&amp;$H$19,$V76:$EX76)</f>
        <v/>
      </c>
      <c r="N76" s="337" t="n"/>
      <c r="O76" s="339">
        <f>SUMIF($V$5:$EX$5,O$7,$V76:$EX76)</f>
        <v/>
      </c>
      <c r="P76" s="339">
        <f>SUMIF($V$5:$EX$5,P$7,$V76:$EX76)</f>
        <v/>
      </c>
      <c r="Q76" s="339">
        <f>SUMIF($V$5:$EX$5,Q$7,$V76:$EX76)</f>
        <v/>
      </c>
      <c r="R76" s="339">
        <f>SUMIF($V$5:$EX$5,R$7,$V76:$EX76)</f>
        <v/>
      </c>
      <c r="S76" s="339">
        <f>SUMIF($V$5:$EX$5,S$7,$V76:$EX76)</f>
        <v/>
      </c>
      <c r="T76" s="339">
        <f>SUMIF($V$5:$EX$5,T$7,$V76:$EX76)</f>
        <v/>
      </c>
      <c r="U76" s="337" t="n"/>
      <c r="V76" s="255">
        <f>V73*-$F$27</f>
        <v/>
      </c>
      <c r="W76" s="255">
        <f>W73*-$F$27</f>
        <v/>
      </c>
      <c r="X76" s="255">
        <f>X73*-$F$27</f>
        <v/>
      </c>
      <c r="Y76" s="255">
        <f>Y73*-$F$27</f>
        <v/>
      </c>
      <c r="Z76" s="255">
        <f>Z73*-$F$27</f>
        <v/>
      </c>
      <c r="AA76" s="255">
        <f>AA73*-$F$27</f>
        <v/>
      </c>
      <c r="AB76" s="255">
        <f>AB73*-$F$27</f>
        <v/>
      </c>
      <c r="AC76" s="255">
        <f>AC73*-$F$27</f>
        <v/>
      </c>
      <c r="AD76" s="255">
        <f>AD73*-$F$27</f>
        <v/>
      </c>
      <c r="AE76" s="255">
        <f>AE73*-$F$27</f>
        <v/>
      </c>
      <c r="AF76" s="255">
        <f>AF73*-$F$27</f>
        <v/>
      </c>
      <c r="AG76" s="255">
        <f>AG73*-$F$27</f>
        <v/>
      </c>
      <c r="AH76" s="255">
        <f>AH73*-$F$27</f>
        <v/>
      </c>
      <c r="AI76" s="255">
        <f>AI73*-$F$27</f>
        <v/>
      </c>
      <c r="AJ76" s="255">
        <f>AJ73*-$F$27</f>
        <v/>
      </c>
      <c r="AK76" s="255">
        <f>AK73*-$F$27</f>
        <v/>
      </c>
      <c r="AL76" s="255">
        <f>AL73*-$F$27</f>
        <v/>
      </c>
      <c r="AM76" s="255">
        <f>AM73*-$F$27</f>
        <v/>
      </c>
      <c r="AN76" s="255">
        <f>AN73*-$F$27</f>
        <v/>
      </c>
      <c r="AO76" s="255">
        <f>AO73*-$F$27</f>
        <v/>
      </c>
      <c r="AP76" s="255">
        <f>AP73*-$F$27</f>
        <v/>
      </c>
      <c r="AQ76" s="255">
        <f>AQ73*-$F$27</f>
        <v/>
      </c>
      <c r="AR76" s="255">
        <f>AR73*-$F$27</f>
        <v/>
      </c>
      <c r="AS76" s="255">
        <f>AS73*-$F$27</f>
        <v/>
      </c>
      <c r="AT76" s="255">
        <f>AT73*-$F$27</f>
        <v/>
      </c>
      <c r="AU76" s="255">
        <f>AU73*-$F$27</f>
        <v/>
      </c>
      <c r="AV76" s="255">
        <f>AV73*-$F$27</f>
        <v/>
      </c>
      <c r="AW76" s="255">
        <f>AW73*-$F$27</f>
        <v/>
      </c>
      <c r="AX76" s="255">
        <f>AX73*-$F$27</f>
        <v/>
      </c>
      <c r="AY76" s="255">
        <f>AY73*-$F$27</f>
        <v/>
      </c>
      <c r="AZ76" s="255">
        <f>AZ73*-$F$27</f>
        <v/>
      </c>
      <c r="BA76" s="255">
        <f>BA73*-$F$27</f>
        <v/>
      </c>
      <c r="BB76" s="255">
        <f>BB73*-$F$27</f>
        <v/>
      </c>
      <c r="BC76" s="255">
        <f>BC73*-$F$27</f>
        <v/>
      </c>
      <c r="BD76" s="255">
        <f>BD73*-$F$27</f>
        <v/>
      </c>
      <c r="BE76" s="255">
        <f>BE73*-$F$27</f>
        <v/>
      </c>
      <c r="BF76" s="255">
        <f>BF73*-$F$27</f>
        <v/>
      </c>
      <c r="BG76" s="255">
        <f>BG73*-$F$27</f>
        <v/>
      </c>
      <c r="BH76" s="255">
        <f>BH73*-$F$27</f>
        <v/>
      </c>
      <c r="BI76" s="255">
        <f>BI73*-$F$27</f>
        <v/>
      </c>
      <c r="BJ76" s="255">
        <f>BJ73*-$F$27</f>
        <v/>
      </c>
      <c r="BK76" s="255">
        <f>BK73*-$F$27</f>
        <v/>
      </c>
      <c r="BL76" s="255">
        <f>BL73*-$F$27</f>
        <v/>
      </c>
      <c r="BM76" s="255">
        <f>BM73*-$F$27</f>
        <v/>
      </c>
      <c r="BN76" s="255">
        <f>BN73*-$F$27</f>
        <v/>
      </c>
      <c r="BO76" s="255">
        <f>BO73*-$F$27</f>
        <v/>
      </c>
      <c r="BP76" s="255">
        <f>BP73*-$F$27</f>
        <v/>
      </c>
      <c r="BQ76" s="255">
        <f>BQ73*-$F$27</f>
        <v/>
      </c>
      <c r="BR76" s="255">
        <f>BR73*-$F$27</f>
        <v/>
      </c>
      <c r="BS76" s="255">
        <f>BS73*-$F$27</f>
        <v/>
      </c>
      <c r="BT76" s="255">
        <f>BT73*-$F$27</f>
        <v/>
      </c>
      <c r="BU76" s="255">
        <f>BU73*-$F$27</f>
        <v/>
      </c>
      <c r="BV76" s="255">
        <f>BV73*-$F$27</f>
        <v/>
      </c>
      <c r="BW76" s="255">
        <f>BW73*-$F$27</f>
        <v/>
      </c>
      <c r="BX76" s="255">
        <f>BX73*-$F$27</f>
        <v/>
      </c>
      <c r="BY76" s="255">
        <f>BY73*-$F$27</f>
        <v/>
      </c>
      <c r="BZ76" s="255">
        <f>BZ73*-$F$27</f>
        <v/>
      </c>
      <c r="CA76" s="255">
        <f>CA73*-$F$27</f>
        <v/>
      </c>
      <c r="CB76" s="255">
        <f>CB73*-$F$27</f>
        <v/>
      </c>
      <c r="CC76" s="255">
        <f>CC73*-$F$27</f>
        <v/>
      </c>
      <c r="CD76" s="255">
        <f>CD73*-$F$27</f>
        <v/>
      </c>
      <c r="CE76" s="255">
        <f>CE73*-$F$27</f>
        <v/>
      </c>
      <c r="CF76" s="255">
        <f>CF73*-$F$27</f>
        <v/>
      </c>
      <c r="CG76" s="255">
        <f>CG73*-$F$27</f>
        <v/>
      </c>
      <c r="CH76" s="255">
        <f>CH73*-$F$27</f>
        <v/>
      </c>
      <c r="CI76" s="255">
        <f>CI73*-$F$27</f>
        <v/>
      </c>
      <c r="CJ76" s="255">
        <f>CJ73*-$F$27</f>
        <v/>
      </c>
      <c r="CK76" s="255">
        <f>CK73*-$F$27</f>
        <v/>
      </c>
      <c r="CL76" s="255">
        <f>CL73*-$F$27</f>
        <v/>
      </c>
      <c r="CM76" s="255">
        <f>CM73*-$F$27</f>
        <v/>
      </c>
      <c r="CN76" s="255">
        <f>CN73*-$F$27</f>
        <v/>
      </c>
      <c r="CO76" s="255">
        <f>CO73*-$F$27</f>
        <v/>
      </c>
      <c r="CP76" s="255">
        <f>CP73*-$F$27</f>
        <v/>
      </c>
      <c r="CQ76" s="255">
        <f>CQ73*-$F$27</f>
        <v/>
      </c>
      <c r="CR76" s="255">
        <f>CR73*-$F$27</f>
        <v/>
      </c>
      <c r="CS76" s="255">
        <f>CS73*-$F$27</f>
        <v/>
      </c>
      <c r="CT76" s="255">
        <f>CT73*-$F$27</f>
        <v/>
      </c>
      <c r="CU76" s="255">
        <f>CU73*-$F$27</f>
        <v/>
      </c>
      <c r="CV76" s="255">
        <f>CV73*-$F$27</f>
        <v/>
      </c>
      <c r="CW76" s="255">
        <f>CW73*-$F$27</f>
        <v/>
      </c>
      <c r="CX76" s="255">
        <f>CX73*-$F$27</f>
        <v/>
      </c>
      <c r="CY76" s="255">
        <f>CY73*-$F$27</f>
        <v/>
      </c>
      <c r="CZ76" s="255">
        <f>CZ73*-$F$27</f>
        <v/>
      </c>
      <c r="DA76" s="255">
        <f>DA73*-$F$27</f>
        <v/>
      </c>
      <c r="DB76" s="255">
        <f>DB73*-$F$27</f>
        <v/>
      </c>
      <c r="DC76" s="255">
        <f>DC73*-$F$27</f>
        <v/>
      </c>
      <c r="DD76" s="255">
        <f>DD73*-$F$27</f>
        <v/>
      </c>
      <c r="DE76" s="255">
        <f>DE73*-$F$27</f>
        <v/>
      </c>
      <c r="DF76" s="255">
        <f>DF73*-$F$27</f>
        <v/>
      </c>
      <c r="DG76" s="255">
        <f>DG73*-$F$27</f>
        <v/>
      </c>
      <c r="DH76" s="255">
        <f>DH73*-$F$27</f>
        <v/>
      </c>
      <c r="DI76" s="255">
        <f>DI73*-$F$27</f>
        <v/>
      </c>
      <c r="DJ76" s="255">
        <f>DJ73*-$F$27</f>
        <v/>
      </c>
      <c r="DK76" s="255">
        <f>DK73*-$F$27</f>
        <v/>
      </c>
      <c r="DL76" s="255">
        <f>DL73*-$F$27</f>
        <v/>
      </c>
      <c r="DM76" s="255">
        <f>DM73*-$F$27</f>
        <v/>
      </c>
      <c r="DN76" s="255">
        <f>DN73*-$F$27</f>
        <v/>
      </c>
      <c r="DO76" s="255">
        <f>DO73*-$F$27</f>
        <v/>
      </c>
      <c r="DP76" s="255">
        <f>DP73*-$F$27</f>
        <v/>
      </c>
      <c r="DQ76" s="255">
        <f>DQ73*-$F$27</f>
        <v/>
      </c>
      <c r="DR76" s="255">
        <f>DR73*-$F$27</f>
        <v/>
      </c>
      <c r="DS76" s="255">
        <f>DS73*-$F$27</f>
        <v/>
      </c>
      <c r="DT76" s="255">
        <f>DT73*-$F$27</f>
        <v/>
      </c>
      <c r="DU76" s="255">
        <f>DU73*-$F$27</f>
        <v/>
      </c>
      <c r="DV76" s="255">
        <f>DV73*-$F$27</f>
        <v/>
      </c>
      <c r="DW76" s="255">
        <f>DW73*-$F$27</f>
        <v/>
      </c>
      <c r="DX76" s="255">
        <f>DX73*-$F$27</f>
        <v/>
      </c>
      <c r="DY76" s="255">
        <f>DY73*-$F$27</f>
        <v/>
      </c>
      <c r="DZ76" s="255">
        <f>DZ73*-$F$27</f>
        <v/>
      </c>
      <c r="EA76" s="255">
        <f>EA73*-$F$27</f>
        <v/>
      </c>
      <c r="EB76" s="255">
        <f>EB73*-$F$27</f>
        <v/>
      </c>
      <c r="EC76" s="255">
        <f>EC73*-$F$27</f>
        <v/>
      </c>
      <c r="ED76" s="255">
        <f>ED73*-$F$27</f>
        <v/>
      </c>
      <c r="EE76" s="255">
        <f>EE73*-$F$27</f>
        <v/>
      </c>
      <c r="EF76" s="255">
        <f>EF73*-$F$27</f>
        <v/>
      </c>
      <c r="EG76" s="255">
        <f>EG73*-$F$27</f>
        <v/>
      </c>
      <c r="EH76" s="255">
        <f>EH73*-$F$27</f>
        <v/>
      </c>
      <c r="EI76" s="255">
        <f>EI73*-$F$27</f>
        <v/>
      </c>
      <c r="EJ76" s="255">
        <f>EJ73*-$F$27</f>
        <v/>
      </c>
      <c r="EK76" s="255">
        <f>EK73*-$F$27</f>
        <v/>
      </c>
      <c r="EL76" s="255">
        <f>EL73*-$F$27</f>
        <v/>
      </c>
      <c r="EM76" s="255">
        <f>EM73*-$F$27</f>
        <v/>
      </c>
      <c r="EN76" s="255">
        <f>EN73*-$F$27</f>
        <v/>
      </c>
      <c r="EO76" s="255">
        <f>EO73*-$F$27</f>
        <v/>
      </c>
      <c r="EP76" s="255">
        <f>EP73*-$F$27</f>
        <v/>
      </c>
      <c r="EQ76" s="255">
        <f>EQ73*-$F$27</f>
        <v/>
      </c>
      <c r="ER76" s="255">
        <f>ER73*-$F$27</f>
        <v/>
      </c>
      <c r="ES76" s="255">
        <f>ES73*-$F$27</f>
        <v/>
      </c>
      <c r="ET76" s="255">
        <f>ET73*-$F$27</f>
        <v/>
      </c>
      <c r="EU76" s="255">
        <f>EU73*-$F$27</f>
        <v/>
      </c>
      <c r="EV76" s="255">
        <f>EV73*-$F$27</f>
        <v/>
      </c>
      <c r="EW76" s="255">
        <f>EW73*-$F$27</f>
        <v/>
      </c>
      <c r="EX76" s="255">
        <f>EX73*-$F$27</f>
        <v/>
      </c>
    </row>
    <row r="77">
      <c r="C77" s="12" t="inlineStr">
        <is>
          <t>Model Units</t>
        </is>
      </c>
      <c r="D77" s="340" t="n">
        <v>1</v>
      </c>
      <c r="E77" s="340" t="n">
        <v>1</v>
      </c>
      <c r="F77" s="340" t="n">
        <v>1</v>
      </c>
      <c r="G77" s="340" t="n">
        <v>1</v>
      </c>
      <c r="H77" s="340" t="n">
        <v>1</v>
      </c>
      <c r="J77" s="294" t="inlineStr">
        <is>
          <t>Net Sales Proceeds</t>
        </is>
      </c>
      <c r="K77" s="295" t="n"/>
      <c r="L77" s="282" t="n"/>
      <c r="M77" s="294">
        <f>SUMIF($V$4:$EX$4,"&lt;="&amp;$H$19,$V77:$EX77)</f>
        <v/>
      </c>
      <c r="N77" s="270" t="n"/>
      <c r="O77" s="294">
        <f>SUMIF($V$5:$EX$5,O$7,$V77:$EX77)</f>
        <v/>
      </c>
      <c r="P77" s="294">
        <f>SUMIF($V$5:$EX$5,P$7,$V77:$EX77)</f>
        <v/>
      </c>
      <c r="Q77" s="294">
        <f>SUMIF($V$5:$EX$5,Q$7,$V77:$EX77)</f>
        <v/>
      </c>
      <c r="R77" s="294">
        <f>SUMIF($V$5:$EX$5,R$7,$V77:$EX77)</f>
        <v/>
      </c>
      <c r="S77" s="294">
        <f>SUMIF($V$5:$EX$5,S$7,$V77:$EX77)</f>
        <v/>
      </c>
      <c r="T77" s="294">
        <f>SUMIF($V$5:$EX$5,T$7,$V77:$EX77)</f>
        <v/>
      </c>
      <c r="U77" s="270" t="n"/>
      <c r="V77" s="294">
        <f>SUM(V73,V76)</f>
        <v/>
      </c>
      <c r="W77" s="294">
        <f>SUM(W73,W76)</f>
        <v/>
      </c>
      <c r="X77" s="294">
        <f>SUM(X73,X76)</f>
        <v/>
      </c>
      <c r="Y77" s="294">
        <f>SUM(Y73,Y76)</f>
        <v/>
      </c>
      <c r="Z77" s="294">
        <f>SUM(Z73,Z76)</f>
        <v/>
      </c>
      <c r="AA77" s="294">
        <f>SUM(AA73,AA76)</f>
        <v/>
      </c>
      <c r="AB77" s="294">
        <f>SUM(AB73,AB76)</f>
        <v/>
      </c>
      <c r="AC77" s="294">
        <f>SUM(AC73,AC76)</f>
        <v/>
      </c>
      <c r="AD77" s="294">
        <f>SUM(AD73,AD76)</f>
        <v/>
      </c>
      <c r="AE77" s="294">
        <f>SUM(AE73,AE76)</f>
        <v/>
      </c>
      <c r="AF77" s="294">
        <f>SUM(AF73,AF76)</f>
        <v/>
      </c>
      <c r="AG77" s="294">
        <f>SUM(AG73,AG76)</f>
        <v/>
      </c>
      <c r="AH77" s="294">
        <f>SUM(AH73,AH76)</f>
        <v/>
      </c>
      <c r="AI77" s="294">
        <f>SUM(AI73,AI76)</f>
        <v/>
      </c>
      <c r="AJ77" s="294">
        <f>SUM(AJ73,AJ76)</f>
        <v/>
      </c>
      <c r="AK77" s="294">
        <f>SUM(AK73,AK76)</f>
        <v/>
      </c>
      <c r="AL77" s="294">
        <f>SUM(AL73,AL76)</f>
        <v/>
      </c>
      <c r="AM77" s="294">
        <f>SUM(AM73,AM76)</f>
        <v/>
      </c>
      <c r="AN77" s="294">
        <f>SUM(AN73,AN76)</f>
        <v/>
      </c>
      <c r="AO77" s="294">
        <f>SUM(AO73,AO76)</f>
        <v/>
      </c>
      <c r="AP77" s="294">
        <f>SUM(AP73,AP76)</f>
        <v/>
      </c>
      <c r="AQ77" s="294">
        <f>SUM(AQ73,AQ76)</f>
        <v/>
      </c>
      <c r="AR77" s="294">
        <f>SUM(AR73,AR76)</f>
        <v/>
      </c>
      <c r="AS77" s="294">
        <f>SUM(AS73,AS76)</f>
        <v/>
      </c>
      <c r="AT77" s="294">
        <f>SUM(AT73,AT76)</f>
        <v/>
      </c>
      <c r="AU77" s="294">
        <f>SUM(AU73,AU76)</f>
        <v/>
      </c>
      <c r="AV77" s="294">
        <f>SUM(AV73,AV76)</f>
        <v/>
      </c>
      <c r="AW77" s="294">
        <f>SUM(AW73,AW76)</f>
        <v/>
      </c>
      <c r="AX77" s="294">
        <f>SUM(AX73,AX76)</f>
        <v/>
      </c>
      <c r="AY77" s="294">
        <f>SUM(AY73,AY76)</f>
        <v/>
      </c>
      <c r="AZ77" s="294">
        <f>SUM(AZ73,AZ76)</f>
        <v/>
      </c>
      <c r="BA77" s="294">
        <f>SUM(BA73,BA76)</f>
        <v/>
      </c>
      <c r="BB77" s="294">
        <f>SUM(BB73,BB76)</f>
        <v/>
      </c>
      <c r="BC77" s="294">
        <f>SUM(BC73,BC76)</f>
        <v/>
      </c>
      <c r="BD77" s="294">
        <f>SUM(BD73,BD76)</f>
        <v/>
      </c>
      <c r="BE77" s="294">
        <f>SUM(BE73,BE76)</f>
        <v/>
      </c>
      <c r="BF77" s="294">
        <f>SUM(BF73,BF76)</f>
        <v/>
      </c>
      <c r="BG77" s="294">
        <f>SUM(BG73,BG76)</f>
        <v/>
      </c>
      <c r="BH77" s="294">
        <f>SUM(BH73,BH76)</f>
        <v/>
      </c>
      <c r="BI77" s="294">
        <f>SUM(BI73,BI76)</f>
        <v/>
      </c>
      <c r="BJ77" s="294">
        <f>SUM(BJ73,BJ76)</f>
        <v/>
      </c>
      <c r="BK77" s="294">
        <f>SUM(BK73,BK76)</f>
        <v/>
      </c>
      <c r="BL77" s="294">
        <f>SUM(BL73,BL76)</f>
        <v/>
      </c>
      <c r="BM77" s="294">
        <f>SUM(BM73,BM76)</f>
        <v/>
      </c>
      <c r="BN77" s="294">
        <f>SUM(BN73,BN76)</f>
        <v/>
      </c>
      <c r="BO77" s="294">
        <f>SUM(BO73,BO76)</f>
        <v/>
      </c>
      <c r="BP77" s="294">
        <f>SUM(BP73,BP76)</f>
        <v/>
      </c>
      <c r="BQ77" s="294">
        <f>SUM(BQ73,BQ76)</f>
        <v/>
      </c>
      <c r="BR77" s="294">
        <f>SUM(BR73,BR76)</f>
        <v/>
      </c>
      <c r="BS77" s="294">
        <f>SUM(BS73,BS76)</f>
        <v/>
      </c>
      <c r="BT77" s="294">
        <f>SUM(BT73,BT76)</f>
        <v/>
      </c>
      <c r="BU77" s="294">
        <f>SUM(BU73,BU76)</f>
        <v/>
      </c>
      <c r="BV77" s="294">
        <f>SUM(BV73,BV76)</f>
        <v/>
      </c>
      <c r="BW77" s="294">
        <f>SUM(BW73,BW76)</f>
        <v/>
      </c>
      <c r="BX77" s="294">
        <f>SUM(BX73,BX76)</f>
        <v/>
      </c>
      <c r="BY77" s="294">
        <f>SUM(BY73,BY76)</f>
        <v/>
      </c>
      <c r="BZ77" s="294">
        <f>SUM(BZ73,BZ76)</f>
        <v/>
      </c>
      <c r="CA77" s="294">
        <f>SUM(CA73,CA76)</f>
        <v/>
      </c>
      <c r="CB77" s="294">
        <f>SUM(CB73,CB76)</f>
        <v/>
      </c>
      <c r="CC77" s="294">
        <f>SUM(CC73,CC76)</f>
        <v/>
      </c>
      <c r="CD77" s="294">
        <f>SUM(CD73,CD76)</f>
        <v/>
      </c>
      <c r="CE77" s="294">
        <f>SUM(CE73,CE76)</f>
        <v/>
      </c>
      <c r="CF77" s="294">
        <f>SUM(CF73,CF76)</f>
        <v/>
      </c>
      <c r="CG77" s="294">
        <f>SUM(CG73,CG76)</f>
        <v/>
      </c>
      <c r="CH77" s="294">
        <f>SUM(CH73,CH76)</f>
        <v/>
      </c>
      <c r="CI77" s="294">
        <f>SUM(CI73,CI76)</f>
        <v/>
      </c>
      <c r="CJ77" s="294">
        <f>SUM(CJ73,CJ76)</f>
        <v/>
      </c>
      <c r="CK77" s="294">
        <f>SUM(CK73,CK76)</f>
        <v/>
      </c>
      <c r="CL77" s="294">
        <f>SUM(CL73,CL76)</f>
        <v/>
      </c>
      <c r="CM77" s="294">
        <f>SUM(CM73,CM76)</f>
        <v/>
      </c>
      <c r="CN77" s="294">
        <f>SUM(CN73,CN76)</f>
        <v/>
      </c>
      <c r="CO77" s="294">
        <f>SUM(CO73,CO76)</f>
        <v/>
      </c>
      <c r="CP77" s="294">
        <f>SUM(CP73,CP76)</f>
        <v/>
      </c>
      <c r="CQ77" s="294">
        <f>SUM(CQ73,CQ76)</f>
        <v/>
      </c>
      <c r="CR77" s="294">
        <f>SUM(CR73,CR76)</f>
        <v/>
      </c>
      <c r="CS77" s="294">
        <f>SUM(CS73,CS76)</f>
        <v/>
      </c>
      <c r="CT77" s="294">
        <f>SUM(CT73,CT76)</f>
        <v/>
      </c>
      <c r="CU77" s="294">
        <f>SUM(CU73,CU76)</f>
        <v/>
      </c>
      <c r="CV77" s="294">
        <f>SUM(CV73,CV76)</f>
        <v/>
      </c>
      <c r="CW77" s="294">
        <f>SUM(CW73,CW76)</f>
        <v/>
      </c>
      <c r="CX77" s="294">
        <f>SUM(CX73,CX76)</f>
        <v/>
      </c>
      <c r="CY77" s="294">
        <f>SUM(CY73,CY76)</f>
        <v/>
      </c>
      <c r="CZ77" s="294">
        <f>SUM(CZ73,CZ76)</f>
        <v/>
      </c>
      <c r="DA77" s="294">
        <f>SUM(DA73,DA76)</f>
        <v/>
      </c>
      <c r="DB77" s="294">
        <f>SUM(DB73,DB76)</f>
        <v/>
      </c>
      <c r="DC77" s="294">
        <f>SUM(DC73,DC76)</f>
        <v/>
      </c>
      <c r="DD77" s="294">
        <f>SUM(DD73,DD76)</f>
        <v/>
      </c>
      <c r="DE77" s="294">
        <f>SUM(DE73,DE76)</f>
        <v/>
      </c>
      <c r="DF77" s="294">
        <f>SUM(DF73,DF76)</f>
        <v/>
      </c>
      <c r="DG77" s="294">
        <f>SUM(DG73,DG76)</f>
        <v/>
      </c>
      <c r="DH77" s="294">
        <f>SUM(DH73,DH76)</f>
        <v/>
      </c>
      <c r="DI77" s="294">
        <f>SUM(DI73,DI76)</f>
        <v/>
      </c>
      <c r="DJ77" s="294">
        <f>SUM(DJ73,DJ76)</f>
        <v/>
      </c>
      <c r="DK77" s="294">
        <f>SUM(DK73,DK76)</f>
        <v/>
      </c>
      <c r="DL77" s="294">
        <f>SUM(DL73,DL76)</f>
        <v/>
      </c>
      <c r="DM77" s="294">
        <f>SUM(DM73,DM76)</f>
        <v/>
      </c>
      <c r="DN77" s="294">
        <f>SUM(DN73,DN76)</f>
        <v/>
      </c>
      <c r="DO77" s="294">
        <f>SUM(DO73,DO76)</f>
        <v/>
      </c>
      <c r="DP77" s="294">
        <f>SUM(DP73,DP76)</f>
        <v/>
      </c>
      <c r="DQ77" s="294">
        <f>SUM(DQ73,DQ76)</f>
        <v/>
      </c>
      <c r="DR77" s="294">
        <f>SUM(DR73,DR76)</f>
        <v/>
      </c>
      <c r="DS77" s="294">
        <f>SUM(DS73,DS76)</f>
        <v/>
      </c>
      <c r="DT77" s="294">
        <f>SUM(DT73,DT76)</f>
        <v/>
      </c>
      <c r="DU77" s="294">
        <f>SUM(DU73,DU76)</f>
        <v/>
      </c>
      <c r="DV77" s="294">
        <f>SUM(DV73,DV76)</f>
        <v/>
      </c>
      <c r="DW77" s="294">
        <f>SUM(DW73,DW76)</f>
        <v/>
      </c>
      <c r="DX77" s="294">
        <f>SUM(DX73,DX76)</f>
        <v/>
      </c>
      <c r="DY77" s="294">
        <f>SUM(DY73,DY76)</f>
        <v/>
      </c>
      <c r="DZ77" s="294">
        <f>SUM(DZ73,DZ76)</f>
        <v/>
      </c>
      <c r="EA77" s="294">
        <f>SUM(EA73,EA76)</f>
        <v/>
      </c>
      <c r="EB77" s="294">
        <f>SUM(EB73,EB76)</f>
        <v/>
      </c>
      <c r="EC77" s="294">
        <f>SUM(EC73,EC76)</f>
        <v/>
      </c>
      <c r="ED77" s="294">
        <f>SUM(ED73,ED76)</f>
        <v/>
      </c>
      <c r="EE77" s="294">
        <f>SUM(EE73,EE76)</f>
        <v/>
      </c>
      <c r="EF77" s="294">
        <f>SUM(EF73,EF76)</f>
        <v/>
      </c>
      <c r="EG77" s="294">
        <f>SUM(EG73,EG76)</f>
        <v/>
      </c>
      <c r="EH77" s="294">
        <f>SUM(EH73,EH76)</f>
        <v/>
      </c>
      <c r="EI77" s="294">
        <f>SUM(EI73,EI76)</f>
        <v/>
      </c>
      <c r="EJ77" s="294">
        <f>SUM(EJ73,EJ76)</f>
        <v/>
      </c>
      <c r="EK77" s="294">
        <f>SUM(EK73,EK76)</f>
        <v/>
      </c>
      <c r="EL77" s="294">
        <f>SUM(EL73,EL76)</f>
        <v/>
      </c>
      <c r="EM77" s="294">
        <f>SUM(EM73,EM76)</f>
        <v/>
      </c>
      <c r="EN77" s="294">
        <f>SUM(EN73,EN76)</f>
        <v/>
      </c>
      <c r="EO77" s="294">
        <f>SUM(EO73,EO76)</f>
        <v/>
      </c>
      <c r="EP77" s="294">
        <f>SUM(EP73,EP76)</f>
        <v/>
      </c>
      <c r="EQ77" s="294">
        <f>SUM(EQ73,EQ76)</f>
        <v/>
      </c>
      <c r="ER77" s="294">
        <f>SUM(ER73,ER76)</f>
        <v/>
      </c>
      <c r="ES77" s="294">
        <f>SUM(ES73,ES76)</f>
        <v/>
      </c>
      <c r="ET77" s="294">
        <f>SUM(ET73,ET76)</f>
        <v/>
      </c>
      <c r="EU77" s="294">
        <f>SUM(EU73,EU76)</f>
        <v/>
      </c>
      <c r="EV77" s="294">
        <f>SUM(EV73,EV76)</f>
        <v/>
      </c>
      <c r="EW77" s="294">
        <f>SUM(EW73,EW76)</f>
        <v/>
      </c>
      <c r="EX77" s="294">
        <f>SUM(EX73,EX76)</f>
        <v/>
      </c>
    </row>
    <row r="78">
      <c r="A78" s="282" t="n"/>
      <c r="C78" s="22" t="inlineStr">
        <is>
          <t>Growth Assumptions</t>
        </is>
      </c>
      <c r="D78" s="46">
        <f>IF(MONTH(E16)=12,YEAR(E16)+1,YEAR(E16))</f>
        <v/>
      </c>
      <c r="E78" s="46">
        <f>D78+1</f>
        <v/>
      </c>
      <c r="F78" s="46">
        <f>E78+1</f>
        <v/>
      </c>
      <c r="G78" s="46">
        <f>F78+1</f>
        <v/>
      </c>
      <c r="H78" s="333">
        <f>G78+1</f>
        <v/>
      </c>
      <c r="I78" s="282" t="n"/>
    </row>
    <row r="79" customFormat="1" s="264">
      <c r="A79" s="9" t="n"/>
      <c r="C79" s="12" t="inlineStr">
        <is>
          <t>Market Rent</t>
        </is>
      </c>
      <c r="D79" s="126" t="n"/>
      <c r="E79" s="126">
        <f>D79</f>
        <v/>
      </c>
      <c r="F79" s="126">
        <f>E79</f>
        <v/>
      </c>
      <c r="G79" s="126">
        <f>F79</f>
        <v/>
      </c>
      <c r="H79" s="126">
        <f>G79</f>
        <v/>
      </c>
      <c r="I79" s="12" t="n"/>
      <c r="J79" s="36" t="inlineStr">
        <is>
          <t>Unlevered Cash Flow</t>
        </is>
      </c>
      <c r="K79" s="133" t="n"/>
      <c r="L79" s="12" t="n"/>
      <c r="M79" s="204" t="n"/>
      <c r="N79" s="12" t="n"/>
      <c r="O79" s="133" t="n"/>
      <c r="P79" s="133" t="n"/>
      <c r="Q79" s="133" t="n"/>
      <c r="R79" s="133" t="n"/>
      <c r="S79" s="133" t="n"/>
      <c r="T79" s="133" t="n"/>
      <c r="U79" s="12" t="n"/>
      <c r="V79" s="133" t="n"/>
      <c r="W79" s="133" t="n"/>
      <c r="X79" s="133" t="n"/>
      <c r="Y79" s="133" t="n"/>
      <c r="Z79" s="133" t="n"/>
      <c r="AA79" s="133" t="n"/>
      <c r="AB79" s="133" t="n"/>
      <c r="AC79" s="133" t="n"/>
      <c r="AD79" s="133" t="n"/>
      <c r="AE79" s="133" t="n"/>
      <c r="AF79" s="133" t="n"/>
      <c r="AG79" s="133" t="n"/>
      <c r="AH79" s="133" t="n"/>
      <c r="AI79" s="133" t="n"/>
      <c r="AJ79" s="133" t="n"/>
      <c r="AK79" s="133" t="n"/>
      <c r="AL79" s="133" t="n"/>
      <c r="AM79" s="133" t="n"/>
      <c r="AN79" s="133" t="n"/>
      <c r="AO79" s="133" t="n"/>
      <c r="AP79" s="133" t="n"/>
      <c r="AQ79" s="133" t="n"/>
      <c r="AR79" s="133" t="n"/>
      <c r="AS79" s="133" t="n"/>
      <c r="AT79" s="133" t="n"/>
      <c r="AU79" s="133" t="n"/>
      <c r="AV79" s="133" t="n"/>
      <c r="AW79" s="133" t="n"/>
      <c r="AX79" s="133" t="n"/>
      <c r="AY79" s="133" t="n"/>
      <c r="AZ79" s="133" t="n"/>
      <c r="BA79" s="133" t="n"/>
      <c r="BB79" s="133" t="n"/>
      <c r="BC79" s="133" t="n"/>
      <c r="BD79" s="133" t="n"/>
      <c r="BE79" s="133" t="n"/>
      <c r="BF79" s="133" t="n"/>
      <c r="BG79" s="133" t="n"/>
      <c r="BH79" s="133" t="n"/>
      <c r="BI79" s="133" t="n"/>
      <c r="BJ79" s="133" t="n"/>
      <c r="BK79" s="133" t="n"/>
      <c r="BL79" s="133" t="n"/>
      <c r="BM79" s="133" t="n"/>
      <c r="BN79" s="133" t="n"/>
      <c r="BO79" s="133" t="n"/>
      <c r="BP79" s="133" t="n"/>
      <c r="BQ79" s="133" t="n"/>
      <c r="BR79" s="133" t="n"/>
      <c r="BS79" s="133" t="n"/>
      <c r="BT79" s="133" t="n"/>
      <c r="BU79" s="133" t="n"/>
      <c r="BV79" s="133" t="n"/>
      <c r="BW79" s="133" t="n"/>
      <c r="BX79" s="133" t="n"/>
      <c r="BY79" s="133" t="n"/>
      <c r="BZ79" s="133" t="n"/>
      <c r="CA79" s="133" t="n"/>
      <c r="CB79" s="133" t="n"/>
      <c r="CC79" s="133" t="n"/>
      <c r="CD79" s="133" t="n"/>
      <c r="CE79" s="133" t="n"/>
      <c r="CF79" s="133" t="n"/>
      <c r="CG79" s="133" t="n"/>
      <c r="CH79" s="133" t="n"/>
      <c r="CI79" s="133" t="n"/>
      <c r="CJ79" s="133" t="n"/>
      <c r="CK79" s="133" t="n"/>
      <c r="CL79" s="133" t="n"/>
      <c r="CM79" s="133" t="n"/>
      <c r="CN79" s="133" t="n"/>
      <c r="CO79" s="133" t="n"/>
      <c r="CP79" s="133" t="n"/>
      <c r="CQ79" s="133" t="n"/>
      <c r="CR79" s="133" t="n"/>
      <c r="CS79" s="133" t="n"/>
      <c r="CT79" s="133" t="n"/>
      <c r="CU79" s="133" t="n"/>
      <c r="CV79" s="133" t="n"/>
      <c r="CW79" s="133" t="n"/>
      <c r="CX79" s="133" t="n"/>
      <c r="CY79" s="133" t="n"/>
      <c r="CZ79" s="133" t="n"/>
      <c r="DA79" s="133" t="n"/>
      <c r="DB79" s="133" t="n"/>
      <c r="DC79" s="133" t="n"/>
      <c r="DD79" s="133" t="n"/>
      <c r="DE79" s="133" t="n"/>
      <c r="DF79" s="133" t="n"/>
      <c r="DG79" s="133" t="n"/>
      <c r="DH79" s="133" t="n"/>
      <c r="DI79" s="133" t="n"/>
      <c r="DJ79" s="133" t="n"/>
      <c r="DK79" s="133" t="n"/>
      <c r="DL79" s="133" t="n"/>
      <c r="DM79" s="133" t="n"/>
      <c r="DN79" s="133" t="n"/>
      <c r="DO79" s="133" t="n"/>
      <c r="DP79" s="133" t="n"/>
      <c r="DQ79" s="133" t="n"/>
      <c r="DR79" s="133" t="n"/>
      <c r="DS79" s="133" t="n"/>
      <c r="DT79" s="133" t="n"/>
      <c r="DU79" s="133" t="n"/>
      <c r="DV79" s="133" t="n"/>
      <c r="DW79" s="133" t="n"/>
      <c r="DX79" s="133" t="n"/>
      <c r="DY79" s="133" t="n"/>
      <c r="DZ79" s="133" t="n"/>
      <c r="EA79" s="133" t="n"/>
      <c r="EB79" s="133" t="n"/>
      <c r="EC79" s="133" t="n"/>
      <c r="ED79" s="133" t="n"/>
      <c r="EE79" s="133" t="n"/>
      <c r="EF79" s="133" t="n"/>
      <c r="EG79" s="133" t="n"/>
      <c r="EH79" s="133" t="n"/>
      <c r="EI79" s="133" t="n"/>
      <c r="EJ79" s="133" t="n"/>
      <c r="EK79" s="133" t="n"/>
      <c r="EL79" s="133" t="n"/>
      <c r="EM79" s="133" t="n"/>
      <c r="EN79" s="133" t="n"/>
      <c r="EO79" s="133" t="n"/>
      <c r="EP79" s="133" t="n"/>
      <c r="EQ79" s="133" t="n"/>
      <c r="ER79" s="133" t="n"/>
      <c r="ES79" s="133" t="n"/>
      <c r="ET79" s="133" t="n"/>
      <c r="EU79" s="133" t="n"/>
      <c r="EV79" s="133" t="n"/>
      <c r="EW79" s="133" t="n"/>
      <c r="EX79" s="133" t="n"/>
    </row>
    <row r="80">
      <c r="C80" s="12" t="inlineStr">
        <is>
          <t>Other Income</t>
        </is>
      </c>
      <c r="D80" s="126">
        <f>D79</f>
        <v/>
      </c>
      <c r="E80" s="126">
        <f>D80</f>
        <v/>
      </c>
      <c r="F80" s="126">
        <f>E80</f>
        <v/>
      </c>
      <c r="G80" s="126">
        <f>F80</f>
        <v/>
      </c>
      <c r="H80" s="126">
        <f>G80</f>
        <v/>
      </c>
      <c r="J80" s="12" t="inlineStr">
        <is>
          <t>NOI</t>
        </is>
      </c>
      <c r="K80" s="12" t="n"/>
      <c r="M80" s="25">
        <f>SUMIF($V$4:$EX$4,"&lt;="&amp;$H$19,$V80:$EX80)</f>
        <v/>
      </c>
      <c r="O80" s="12">
        <f>SUMIF($V$5:$EX$5,O$7,$V80:$EX80)</f>
        <v/>
      </c>
      <c r="P80" s="12">
        <f>SUMIF($V$5:$EX$5,P$7,$V80:$EX80)</f>
        <v/>
      </c>
      <c r="Q80" s="12">
        <f>SUMIF($V$5:$EX$5,Q$7,$V80:$EX80)</f>
        <v/>
      </c>
      <c r="R80" s="12">
        <f>SUMIF($V$5:$EX$5,R$7,$V80:$EX80)</f>
        <v/>
      </c>
      <c r="S80" s="12">
        <f>SUMIF($V$5:$EX$5,S$7,$V80:$EX80)</f>
        <v/>
      </c>
      <c r="T80" s="12">
        <f>SUMIF($V$5:$EX$5,T$7,$V80:$EX80)</f>
        <v/>
      </c>
      <c r="V80" s="56">
        <f>V67*(V4&lt;=$H$19)</f>
        <v/>
      </c>
      <c r="W80" s="56">
        <f>W67*(W4&lt;=$H$19)</f>
        <v/>
      </c>
      <c r="X80" s="56">
        <f>X67*(X4&lt;=$H$19)</f>
        <v/>
      </c>
      <c r="Y80" s="56">
        <f>Y67*(Y4&lt;=$H$19)</f>
        <v/>
      </c>
      <c r="Z80" s="56">
        <f>Z67*(Z4&lt;=$H$19)</f>
        <v/>
      </c>
      <c r="AA80" s="56">
        <f>AA67*(AA4&lt;=$H$19)</f>
        <v/>
      </c>
      <c r="AB80" s="56">
        <f>AB67*(AB4&lt;=$H$19)</f>
        <v/>
      </c>
      <c r="AC80" s="56">
        <f>AC67*(AC4&lt;=$H$19)</f>
        <v/>
      </c>
      <c r="AD80" s="56">
        <f>AD67*(AD4&lt;=$H$19)</f>
        <v/>
      </c>
      <c r="AE80" s="56">
        <f>AE67*(AE4&lt;=$H$19)</f>
        <v/>
      </c>
      <c r="AF80" s="56">
        <f>AF67*(AF4&lt;=$H$19)</f>
        <v/>
      </c>
      <c r="AG80" s="56">
        <f>AG67*(AG4&lt;=$H$19)</f>
        <v/>
      </c>
      <c r="AH80" s="56">
        <f>AH67*(AH4&lt;=$H$19)</f>
        <v/>
      </c>
      <c r="AI80" s="56">
        <f>AI67*(AI4&lt;=$H$19)</f>
        <v/>
      </c>
      <c r="AJ80" s="56">
        <f>AJ67*(AJ4&lt;=$H$19)</f>
        <v/>
      </c>
      <c r="AK80" s="56">
        <f>AK67*(AK4&lt;=$H$19)</f>
        <v/>
      </c>
      <c r="AL80" s="56">
        <f>AL67*(AL4&lt;=$H$19)</f>
        <v/>
      </c>
      <c r="AM80" s="56">
        <f>AM67*(AM4&lt;=$H$19)</f>
        <v/>
      </c>
      <c r="AN80" s="56">
        <f>AN67*(AN4&lt;=$H$19)</f>
        <v/>
      </c>
      <c r="AO80" s="56">
        <f>AO67*(AO4&lt;=$H$19)</f>
        <v/>
      </c>
      <c r="AP80" s="56">
        <f>AP67*(AP4&lt;=$H$19)</f>
        <v/>
      </c>
      <c r="AQ80" s="56">
        <f>AQ67*(AQ4&lt;=$H$19)</f>
        <v/>
      </c>
      <c r="AR80" s="56">
        <f>AR67*(AR4&lt;=$H$19)</f>
        <v/>
      </c>
      <c r="AS80" s="56">
        <f>AS67*(AS4&lt;=$H$19)</f>
        <v/>
      </c>
      <c r="AT80" s="56">
        <f>AT67*(AT4&lt;=$H$19)</f>
        <v/>
      </c>
      <c r="AU80" s="56">
        <f>AU67*(AU4&lt;=$H$19)</f>
        <v/>
      </c>
      <c r="AV80" s="56">
        <f>AV67*(AV4&lt;=$H$19)</f>
        <v/>
      </c>
      <c r="AW80" s="56">
        <f>AW67*(AW4&lt;=$H$19)</f>
        <v/>
      </c>
      <c r="AX80" s="56">
        <f>AX67*(AX4&lt;=$H$19)</f>
        <v/>
      </c>
      <c r="AY80" s="56">
        <f>AY67*(AY4&lt;=$H$19)</f>
        <v/>
      </c>
      <c r="AZ80" s="56">
        <f>AZ67*(AZ4&lt;=$H$19)</f>
        <v/>
      </c>
      <c r="BA80" s="56">
        <f>BA67*(BA4&lt;=$H$19)</f>
        <v/>
      </c>
      <c r="BB80" s="56">
        <f>BB67*(BB4&lt;=$H$19)</f>
        <v/>
      </c>
      <c r="BC80" s="56">
        <f>BC67*(BC4&lt;=$H$19)</f>
        <v/>
      </c>
      <c r="BD80" s="56">
        <f>BD67*(BD4&lt;=$H$19)</f>
        <v/>
      </c>
      <c r="BE80" s="56">
        <f>BE67*(BE4&lt;=$H$19)</f>
        <v/>
      </c>
      <c r="BF80" s="56">
        <f>BF67*(BF4&lt;=$H$19)</f>
        <v/>
      </c>
      <c r="BG80" s="56">
        <f>BG67*(BG4&lt;=$H$19)</f>
        <v/>
      </c>
      <c r="BH80" s="56">
        <f>BH67*(BH4&lt;=$H$19)</f>
        <v/>
      </c>
      <c r="BI80" s="56">
        <f>BI67*(BI4&lt;=$H$19)</f>
        <v/>
      </c>
      <c r="BJ80" s="56">
        <f>BJ67*(BJ4&lt;=$H$19)</f>
        <v/>
      </c>
      <c r="BK80" s="56">
        <f>BK67*(BK4&lt;=$H$19)</f>
        <v/>
      </c>
      <c r="BL80" s="56">
        <f>BL67*(BL4&lt;=$H$19)</f>
        <v/>
      </c>
      <c r="BM80" s="56">
        <f>BM67*(BM4&lt;=$H$19)</f>
        <v/>
      </c>
      <c r="BN80" s="56">
        <f>BN67*(BN4&lt;=$H$19)</f>
        <v/>
      </c>
      <c r="BO80" s="56">
        <f>BO67*(BO4&lt;=$H$19)</f>
        <v/>
      </c>
      <c r="BP80" s="56">
        <f>BP67*(BP4&lt;=$H$19)</f>
        <v/>
      </c>
      <c r="BQ80" s="56">
        <f>BQ67*(BQ4&lt;=$H$19)</f>
        <v/>
      </c>
      <c r="BR80" s="56">
        <f>BR67*(BR4&lt;=$H$19)</f>
        <v/>
      </c>
      <c r="BS80" s="56">
        <f>BS67*(BS4&lt;=$H$19)</f>
        <v/>
      </c>
      <c r="BT80" s="56">
        <f>BT67*(BT4&lt;=$H$19)</f>
        <v/>
      </c>
      <c r="BU80" s="56">
        <f>BU67*(BU4&lt;=$H$19)</f>
        <v/>
      </c>
      <c r="BV80" s="56">
        <f>BV67*(BV4&lt;=$H$19)</f>
        <v/>
      </c>
      <c r="BW80" s="56">
        <f>BW67*(BW4&lt;=$H$19)</f>
        <v/>
      </c>
      <c r="BX80" s="56">
        <f>BX67*(BX4&lt;=$H$19)</f>
        <v/>
      </c>
      <c r="BY80" s="56">
        <f>BY67*(BY4&lt;=$H$19)</f>
        <v/>
      </c>
      <c r="BZ80" s="56">
        <f>BZ67*(BZ4&lt;=$H$19)</f>
        <v/>
      </c>
      <c r="CA80" s="56">
        <f>CA67*(CA4&lt;=$H$19)</f>
        <v/>
      </c>
      <c r="CB80" s="56">
        <f>CB67*(CB4&lt;=$H$19)</f>
        <v/>
      </c>
      <c r="CC80" s="56">
        <f>CC67*(CC4&lt;=$H$19)</f>
        <v/>
      </c>
      <c r="CD80" s="56">
        <f>CD67*(CD4&lt;=$H$19)</f>
        <v/>
      </c>
      <c r="CE80" s="56">
        <f>CE67*(CE4&lt;=$H$19)</f>
        <v/>
      </c>
      <c r="CF80" s="56">
        <f>CF67*(CF4&lt;=$H$19)</f>
        <v/>
      </c>
      <c r="CG80" s="56">
        <f>CG67*(CG4&lt;=$H$19)</f>
        <v/>
      </c>
      <c r="CH80" s="56">
        <f>CH67*(CH4&lt;=$H$19)</f>
        <v/>
      </c>
      <c r="CI80" s="56">
        <f>CI67*(CI4&lt;=$H$19)</f>
        <v/>
      </c>
      <c r="CJ80" s="56">
        <f>CJ67*(CJ4&lt;=$H$19)</f>
        <v/>
      </c>
      <c r="CK80" s="56">
        <f>CK67*(CK4&lt;=$H$19)</f>
        <v/>
      </c>
      <c r="CL80" s="56">
        <f>CL67*(CL4&lt;=$H$19)</f>
        <v/>
      </c>
      <c r="CM80" s="56">
        <f>CM67*(CM4&lt;=$H$19)</f>
        <v/>
      </c>
      <c r="CN80" s="56">
        <f>CN67*(CN4&lt;=$H$19)</f>
        <v/>
      </c>
      <c r="CO80" s="56">
        <f>CO67*(CO4&lt;=$H$19)</f>
        <v/>
      </c>
      <c r="CP80" s="56">
        <f>CP67*(CP4&lt;=$H$19)</f>
        <v/>
      </c>
      <c r="CQ80" s="56">
        <f>CQ67*(CQ4&lt;=$H$19)</f>
        <v/>
      </c>
      <c r="CR80" s="56">
        <f>CR67*(CR4&lt;=$H$19)</f>
        <v/>
      </c>
      <c r="CS80" s="56">
        <f>CS67*(CS4&lt;=$H$19)</f>
        <v/>
      </c>
      <c r="CT80" s="56">
        <f>CT67*(CT4&lt;=$H$19)</f>
        <v/>
      </c>
      <c r="CU80" s="56">
        <f>CU67*(CU4&lt;=$H$19)</f>
        <v/>
      </c>
      <c r="CV80" s="56">
        <f>CV67*(CV4&lt;=$H$19)</f>
        <v/>
      </c>
      <c r="CW80" s="56">
        <f>CW67*(CW4&lt;=$H$19)</f>
        <v/>
      </c>
      <c r="CX80" s="56">
        <f>CX67*(CX4&lt;=$H$19)</f>
        <v/>
      </c>
      <c r="CY80" s="56">
        <f>CY67*(CY4&lt;=$H$19)</f>
        <v/>
      </c>
      <c r="CZ80" s="56">
        <f>CZ67*(CZ4&lt;=$H$19)</f>
        <v/>
      </c>
      <c r="DA80" s="56">
        <f>DA67*(DA4&lt;=$H$19)</f>
        <v/>
      </c>
      <c r="DB80" s="56">
        <f>DB67*(DB4&lt;=$H$19)</f>
        <v/>
      </c>
      <c r="DC80" s="56">
        <f>DC67*(DC4&lt;=$H$19)</f>
        <v/>
      </c>
      <c r="DD80" s="56">
        <f>DD67*(DD4&lt;=$H$19)</f>
        <v/>
      </c>
      <c r="DE80" s="56">
        <f>DE67*(DE4&lt;=$H$19)</f>
        <v/>
      </c>
      <c r="DF80" s="56">
        <f>DF67*(DF4&lt;=$H$19)</f>
        <v/>
      </c>
      <c r="DG80" s="56">
        <f>DG67*(DG4&lt;=$H$19)</f>
        <v/>
      </c>
      <c r="DH80" s="56">
        <f>DH67*(DH4&lt;=$H$19)</f>
        <v/>
      </c>
      <c r="DI80" s="56">
        <f>DI67*(DI4&lt;=$H$19)</f>
        <v/>
      </c>
      <c r="DJ80" s="56">
        <f>DJ67*(DJ4&lt;=$H$19)</f>
        <v/>
      </c>
      <c r="DK80" s="56">
        <f>DK67*(DK4&lt;=$H$19)</f>
        <v/>
      </c>
      <c r="DL80" s="56">
        <f>DL67*(DL4&lt;=$H$19)</f>
        <v/>
      </c>
      <c r="DM80" s="56">
        <f>DM67*(DM4&lt;=$H$19)</f>
        <v/>
      </c>
      <c r="DN80" s="56">
        <f>DN67*(DN4&lt;=$H$19)</f>
        <v/>
      </c>
      <c r="DO80" s="56">
        <f>DO67*(DO4&lt;=$H$19)</f>
        <v/>
      </c>
      <c r="DP80" s="56">
        <f>DP67*(DP4&lt;=$H$19)</f>
        <v/>
      </c>
      <c r="DQ80" s="56">
        <f>DQ67*(DQ4&lt;=$H$19)</f>
        <v/>
      </c>
      <c r="DR80" s="56">
        <f>DR67*(DR4&lt;=$H$19)</f>
        <v/>
      </c>
      <c r="DS80" s="56">
        <f>DS67*(DS4&lt;=$H$19)</f>
        <v/>
      </c>
      <c r="DT80" s="56">
        <f>DT67*(DT4&lt;=$H$19)</f>
        <v/>
      </c>
      <c r="DU80" s="56">
        <f>DU67*(DU4&lt;=$H$19)</f>
        <v/>
      </c>
      <c r="DV80" s="56">
        <f>DV67*(DV4&lt;=$H$19)</f>
        <v/>
      </c>
      <c r="DW80" s="56">
        <f>DW67*(DW4&lt;=$H$19)</f>
        <v/>
      </c>
      <c r="DX80" s="56">
        <f>DX67*(DX4&lt;=$H$19)</f>
        <v/>
      </c>
      <c r="DY80" s="56">
        <f>DY67*(DY4&lt;=$H$19)</f>
        <v/>
      </c>
      <c r="DZ80" s="56">
        <f>DZ67*(DZ4&lt;=$H$19)</f>
        <v/>
      </c>
      <c r="EA80" s="56">
        <f>EA67*(EA4&lt;=$H$19)</f>
        <v/>
      </c>
      <c r="EB80" s="56">
        <f>EB67*(EB4&lt;=$H$19)</f>
        <v/>
      </c>
      <c r="EC80" s="56">
        <f>EC67*(EC4&lt;=$H$19)</f>
        <v/>
      </c>
      <c r="ED80" s="56">
        <f>ED67*(ED4&lt;=$H$19)</f>
        <v/>
      </c>
      <c r="EE80" s="56">
        <f>EE67*(EE4&lt;=$H$19)</f>
        <v/>
      </c>
      <c r="EF80" s="56">
        <f>EF67*(EF4&lt;=$H$19)</f>
        <v/>
      </c>
      <c r="EG80" s="56">
        <f>EG67*(EG4&lt;=$H$19)</f>
        <v/>
      </c>
      <c r="EH80" s="56">
        <f>EH67*(EH4&lt;=$H$19)</f>
        <v/>
      </c>
      <c r="EI80" s="56">
        <f>EI67*(EI4&lt;=$H$19)</f>
        <v/>
      </c>
      <c r="EJ80" s="56">
        <f>EJ67*(EJ4&lt;=$H$19)</f>
        <v/>
      </c>
      <c r="EK80" s="56">
        <f>EK67*(EK4&lt;=$H$19)</f>
        <v/>
      </c>
      <c r="EL80" s="56">
        <f>EL67*(EL4&lt;=$H$19)</f>
        <v/>
      </c>
      <c r="EM80" s="56">
        <f>EM67*(EM4&lt;=$H$19)</f>
        <v/>
      </c>
      <c r="EN80" s="56">
        <f>EN67*(EN4&lt;=$H$19)</f>
        <v/>
      </c>
      <c r="EO80" s="56">
        <f>EO67*(EO4&lt;=$H$19)</f>
        <v/>
      </c>
      <c r="EP80" s="56">
        <f>EP67*(EP4&lt;=$H$19)</f>
        <v/>
      </c>
      <c r="EQ80" s="56">
        <f>EQ67*(EQ4&lt;=$H$19)</f>
        <v/>
      </c>
      <c r="ER80" s="56">
        <f>ER67*(ER4&lt;=$H$19)</f>
        <v/>
      </c>
      <c r="ES80" s="56">
        <f>ES67*(ES4&lt;=$H$19)</f>
        <v/>
      </c>
      <c r="ET80" s="56">
        <f>ET67*(ET4&lt;=$H$19)</f>
        <v/>
      </c>
      <c r="EU80" s="56">
        <f>EU67*(EU4&lt;=$H$19)</f>
        <v/>
      </c>
      <c r="EV80" s="56">
        <f>EV67*(EV4&lt;=$H$19)</f>
        <v/>
      </c>
      <c r="EW80" s="56">
        <f>EW67*(EW4&lt;=$H$19)</f>
        <v/>
      </c>
      <c r="EX80" s="56">
        <f>EX67*(EX4&lt;=$H$19)</f>
        <v/>
      </c>
    </row>
    <row r="81">
      <c r="C81" s="12" t="inlineStr">
        <is>
          <t>Operating Expenses</t>
        </is>
      </c>
      <c r="D81" s="126" t="n"/>
      <c r="E81" s="126">
        <f>D81</f>
        <v/>
      </c>
      <c r="F81" s="126">
        <f>E81</f>
        <v/>
      </c>
      <c r="G81" s="126">
        <f>F81</f>
        <v/>
      </c>
      <c r="H81" s="126">
        <f>G81</f>
        <v/>
      </c>
      <c r="J81" s="12" t="inlineStr">
        <is>
          <t>Net Sales Proceeds</t>
        </is>
      </c>
      <c r="K81" s="12" t="n"/>
      <c r="M81" s="25">
        <f>SUMIF($V$4:$EX$4,"&lt;="&amp;$H$19,$V81:$EX81)</f>
        <v/>
      </c>
      <c r="O81" s="12">
        <f>SUMIF($V$5:$EX$5,O$7,$V81:$EX81)</f>
        <v/>
      </c>
      <c r="P81" s="12">
        <f>SUMIF($V$5:$EX$5,P$7,$V81:$EX81)</f>
        <v/>
      </c>
      <c r="Q81" s="12">
        <f>SUMIF($V$5:$EX$5,Q$7,$V81:$EX81)</f>
        <v/>
      </c>
      <c r="R81" s="12">
        <f>SUMIF($V$5:$EX$5,R$7,$V81:$EX81)</f>
        <v/>
      </c>
      <c r="S81" s="12">
        <f>SUMIF($V$5:$EX$5,S$7,$V81:$EX81)</f>
        <v/>
      </c>
      <c r="T81" s="12">
        <f>SUMIF($V$5:$EX$5,T$7,$V81:$EX81)</f>
        <v/>
      </c>
      <c r="V81" s="56">
        <f>V77</f>
        <v/>
      </c>
      <c r="W81" s="56">
        <f>W77</f>
        <v/>
      </c>
      <c r="X81" s="56">
        <f>X77</f>
        <v/>
      </c>
      <c r="Y81" s="56">
        <f>Y77</f>
        <v/>
      </c>
      <c r="Z81" s="56">
        <f>Z77</f>
        <v/>
      </c>
      <c r="AA81" s="56">
        <f>AA77</f>
        <v/>
      </c>
      <c r="AB81" s="56">
        <f>AB77</f>
        <v/>
      </c>
      <c r="AC81" s="56">
        <f>AC77</f>
        <v/>
      </c>
      <c r="AD81" s="56">
        <f>AD77</f>
        <v/>
      </c>
      <c r="AE81" s="56">
        <f>AE77</f>
        <v/>
      </c>
      <c r="AF81" s="56">
        <f>AF77</f>
        <v/>
      </c>
      <c r="AG81" s="56">
        <f>AG77</f>
        <v/>
      </c>
      <c r="AH81" s="56">
        <f>AH77</f>
        <v/>
      </c>
      <c r="AI81" s="56">
        <f>AI77</f>
        <v/>
      </c>
      <c r="AJ81" s="56">
        <f>AJ77</f>
        <v/>
      </c>
      <c r="AK81" s="56">
        <f>AK77</f>
        <v/>
      </c>
      <c r="AL81" s="56">
        <f>AL77</f>
        <v/>
      </c>
      <c r="AM81" s="56">
        <f>AM77</f>
        <v/>
      </c>
      <c r="AN81" s="56">
        <f>AN77</f>
        <v/>
      </c>
      <c r="AO81" s="56">
        <f>AO77</f>
        <v/>
      </c>
      <c r="AP81" s="56">
        <f>AP77</f>
        <v/>
      </c>
      <c r="AQ81" s="56">
        <f>AQ77</f>
        <v/>
      </c>
      <c r="AR81" s="56">
        <f>AR77</f>
        <v/>
      </c>
      <c r="AS81" s="56">
        <f>AS77</f>
        <v/>
      </c>
      <c r="AT81" s="56">
        <f>AT77</f>
        <v/>
      </c>
      <c r="AU81" s="56">
        <f>AU77</f>
        <v/>
      </c>
      <c r="AV81" s="56">
        <f>AV77</f>
        <v/>
      </c>
      <c r="AW81" s="56">
        <f>AW77</f>
        <v/>
      </c>
      <c r="AX81" s="56">
        <f>AX77</f>
        <v/>
      </c>
      <c r="AY81" s="56">
        <f>AY77</f>
        <v/>
      </c>
      <c r="AZ81" s="56">
        <f>AZ77</f>
        <v/>
      </c>
      <c r="BA81" s="56">
        <f>BA77</f>
        <v/>
      </c>
      <c r="BB81" s="56">
        <f>BB77</f>
        <v/>
      </c>
      <c r="BC81" s="56">
        <f>BC77</f>
        <v/>
      </c>
      <c r="BD81" s="56">
        <f>BD77</f>
        <v/>
      </c>
      <c r="BE81" s="56">
        <f>BE77</f>
        <v/>
      </c>
      <c r="BF81" s="56">
        <f>BF77</f>
        <v/>
      </c>
      <c r="BG81" s="56">
        <f>BG77</f>
        <v/>
      </c>
      <c r="BH81" s="56">
        <f>BH77</f>
        <v/>
      </c>
      <c r="BI81" s="56">
        <f>BI77</f>
        <v/>
      </c>
      <c r="BJ81" s="56">
        <f>BJ77</f>
        <v/>
      </c>
      <c r="BK81" s="56">
        <f>BK77</f>
        <v/>
      </c>
      <c r="BL81" s="56">
        <f>BL77</f>
        <v/>
      </c>
      <c r="BM81" s="56">
        <f>BM77</f>
        <v/>
      </c>
      <c r="BN81" s="56">
        <f>BN77</f>
        <v/>
      </c>
      <c r="BO81" s="56">
        <f>BO77</f>
        <v/>
      </c>
      <c r="BP81" s="56">
        <f>BP77</f>
        <v/>
      </c>
      <c r="BQ81" s="56">
        <f>BQ77</f>
        <v/>
      </c>
      <c r="BR81" s="56">
        <f>BR77</f>
        <v/>
      </c>
      <c r="BS81" s="56">
        <f>BS77</f>
        <v/>
      </c>
      <c r="BT81" s="56">
        <f>BT77</f>
        <v/>
      </c>
      <c r="BU81" s="56">
        <f>BU77</f>
        <v/>
      </c>
      <c r="BV81" s="56">
        <f>BV77</f>
        <v/>
      </c>
      <c r="BW81" s="56">
        <f>BW77</f>
        <v/>
      </c>
      <c r="BX81" s="56">
        <f>BX77</f>
        <v/>
      </c>
      <c r="BY81" s="56">
        <f>BY77</f>
        <v/>
      </c>
      <c r="BZ81" s="56">
        <f>BZ77</f>
        <v/>
      </c>
      <c r="CA81" s="56">
        <f>CA77</f>
        <v/>
      </c>
      <c r="CB81" s="56">
        <f>CB77</f>
        <v/>
      </c>
      <c r="CC81" s="56">
        <f>CC77</f>
        <v/>
      </c>
      <c r="CD81" s="56">
        <f>CD77</f>
        <v/>
      </c>
      <c r="CE81" s="56">
        <f>CE77</f>
        <v/>
      </c>
      <c r="CF81" s="56">
        <f>CF77</f>
        <v/>
      </c>
      <c r="CG81" s="56">
        <f>CG77</f>
        <v/>
      </c>
      <c r="CH81" s="56">
        <f>CH77</f>
        <v/>
      </c>
      <c r="CI81" s="56">
        <f>CI77</f>
        <v/>
      </c>
      <c r="CJ81" s="56">
        <f>CJ77</f>
        <v/>
      </c>
      <c r="CK81" s="56">
        <f>CK77</f>
        <v/>
      </c>
      <c r="CL81" s="56">
        <f>CL77</f>
        <v/>
      </c>
      <c r="CM81" s="56">
        <f>CM77</f>
        <v/>
      </c>
      <c r="CN81" s="56">
        <f>CN77</f>
        <v/>
      </c>
      <c r="CO81" s="56">
        <f>CO77</f>
        <v/>
      </c>
      <c r="CP81" s="56">
        <f>CP77</f>
        <v/>
      </c>
      <c r="CQ81" s="56">
        <f>CQ77</f>
        <v/>
      </c>
      <c r="CR81" s="56">
        <f>CR77</f>
        <v/>
      </c>
      <c r="CS81" s="56">
        <f>CS77</f>
        <v/>
      </c>
      <c r="CT81" s="56">
        <f>CT77</f>
        <v/>
      </c>
      <c r="CU81" s="56">
        <f>CU77</f>
        <v/>
      </c>
      <c r="CV81" s="56">
        <f>CV77</f>
        <v/>
      </c>
      <c r="CW81" s="56">
        <f>CW77</f>
        <v/>
      </c>
      <c r="CX81" s="56">
        <f>CX77</f>
        <v/>
      </c>
      <c r="CY81" s="56">
        <f>CY77</f>
        <v/>
      </c>
      <c r="CZ81" s="56">
        <f>CZ77</f>
        <v/>
      </c>
      <c r="DA81" s="56">
        <f>DA77</f>
        <v/>
      </c>
      <c r="DB81" s="56">
        <f>DB77</f>
        <v/>
      </c>
      <c r="DC81" s="56">
        <f>DC77</f>
        <v/>
      </c>
      <c r="DD81" s="56">
        <f>DD77</f>
        <v/>
      </c>
      <c r="DE81" s="56">
        <f>DE77</f>
        <v/>
      </c>
      <c r="DF81" s="56">
        <f>DF77</f>
        <v/>
      </c>
      <c r="DG81" s="56">
        <f>DG77</f>
        <v/>
      </c>
      <c r="DH81" s="56">
        <f>DH77</f>
        <v/>
      </c>
      <c r="DI81" s="56">
        <f>DI77</f>
        <v/>
      </c>
      <c r="DJ81" s="56">
        <f>DJ77</f>
        <v/>
      </c>
      <c r="DK81" s="56">
        <f>DK77</f>
        <v/>
      </c>
      <c r="DL81" s="56">
        <f>DL77</f>
        <v/>
      </c>
      <c r="DM81" s="56">
        <f>DM77</f>
        <v/>
      </c>
      <c r="DN81" s="56">
        <f>DN77</f>
        <v/>
      </c>
      <c r="DO81" s="56">
        <f>DO77</f>
        <v/>
      </c>
      <c r="DP81" s="56">
        <f>DP77</f>
        <v/>
      </c>
      <c r="DQ81" s="56">
        <f>DQ77</f>
        <v/>
      </c>
      <c r="DR81" s="56">
        <f>DR77</f>
        <v/>
      </c>
      <c r="DS81" s="56">
        <f>DS77</f>
        <v/>
      </c>
      <c r="DT81" s="56">
        <f>DT77</f>
        <v/>
      </c>
      <c r="DU81" s="56">
        <f>DU77</f>
        <v/>
      </c>
      <c r="DV81" s="56">
        <f>DV77</f>
        <v/>
      </c>
      <c r="DW81" s="56">
        <f>DW77</f>
        <v/>
      </c>
      <c r="DX81" s="56">
        <f>DX77</f>
        <v/>
      </c>
      <c r="DY81" s="56">
        <f>DY77</f>
        <v/>
      </c>
      <c r="DZ81" s="56">
        <f>DZ77</f>
        <v/>
      </c>
      <c r="EA81" s="56">
        <f>EA77</f>
        <v/>
      </c>
      <c r="EB81" s="56">
        <f>EB77</f>
        <v/>
      </c>
      <c r="EC81" s="56">
        <f>EC77</f>
        <v/>
      </c>
      <c r="ED81" s="56">
        <f>ED77</f>
        <v/>
      </c>
      <c r="EE81" s="56">
        <f>EE77</f>
        <v/>
      </c>
      <c r="EF81" s="56">
        <f>EF77</f>
        <v/>
      </c>
      <c r="EG81" s="56">
        <f>EG77</f>
        <v/>
      </c>
      <c r="EH81" s="56">
        <f>EH77</f>
        <v/>
      </c>
      <c r="EI81" s="56">
        <f>EI77</f>
        <v/>
      </c>
      <c r="EJ81" s="56">
        <f>EJ77</f>
        <v/>
      </c>
      <c r="EK81" s="56">
        <f>EK77</f>
        <v/>
      </c>
      <c r="EL81" s="56">
        <f>EL77</f>
        <v/>
      </c>
      <c r="EM81" s="56">
        <f>EM77</f>
        <v/>
      </c>
      <c r="EN81" s="56">
        <f>EN77</f>
        <v/>
      </c>
      <c r="EO81" s="56">
        <f>EO77</f>
        <v/>
      </c>
      <c r="EP81" s="56">
        <f>EP77</f>
        <v/>
      </c>
      <c r="EQ81" s="56">
        <f>EQ77</f>
        <v/>
      </c>
      <c r="ER81" s="56">
        <f>ER77</f>
        <v/>
      </c>
      <c r="ES81" s="56">
        <f>ES77</f>
        <v/>
      </c>
      <c r="ET81" s="56">
        <f>ET77</f>
        <v/>
      </c>
      <c r="EU81" s="56">
        <f>EU77</f>
        <v/>
      </c>
      <c r="EV81" s="56">
        <f>EV77</f>
        <v/>
      </c>
      <c r="EW81" s="56">
        <f>EW77</f>
        <v/>
      </c>
      <c r="EX81" s="56">
        <f>EX77</f>
        <v/>
      </c>
    </row>
    <row r="82">
      <c r="C82" s="12" t="inlineStr">
        <is>
          <t>Property Taxes</t>
        </is>
      </c>
      <c r="D82" s="126" t="n"/>
      <c r="E82" s="126">
        <f>D82</f>
        <v/>
      </c>
      <c r="F82" s="126">
        <f>E82</f>
        <v/>
      </c>
      <c r="G82" s="126">
        <f>F82</f>
        <v/>
      </c>
      <c r="H82" s="126">
        <f>G82</f>
        <v/>
      </c>
      <c r="J82" s="9">
        <f>C38</f>
        <v/>
      </c>
      <c r="M82" s="25">
        <f>SUMIF($V$4:$EX$4,"&lt;="&amp;$H$19,$V82:$EX82)</f>
        <v/>
      </c>
      <c r="O82" s="9">
        <f>SUMIF($V$5:$EX$5,O$7,$V82:$EX82)</f>
        <v/>
      </c>
      <c r="P82" s="9">
        <f>SUMIF($V$5:$EX$5,P$7,$V82:$EX82)</f>
        <v/>
      </c>
      <c r="Q82" s="9">
        <f>SUMIF($V$5:$EX$5,Q$7,$V82:$EX82)</f>
        <v/>
      </c>
      <c r="R82" s="9">
        <f>SUMIF($V$5:$EX$5,R$7,$V82:$EX82)</f>
        <v/>
      </c>
      <c r="S82" s="9">
        <f>SUMIF($V$5:$EX$5,S$7,$V82:$EX82)</f>
        <v/>
      </c>
      <c r="T82" s="9">
        <f>SUMIF($V$5:$EX$5,T$7,$V82:$EX82)</f>
        <v/>
      </c>
      <c r="V82" s="25">
        <f>IF(V$4=0,-$E38*$F38,-($E38*(1-$F38))/$H38*(V$4&gt;=$G38)*(V$4&lt;=($G38+$H38-1)))</f>
        <v/>
      </c>
      <c r="W82" s="25">
        <f>IF(W$4=0,-$E38*$F38,-($E38*(1-$F38))/$H38*(W$4&gt;=$G38)*(W$4&lt;=($G38+$H38-1)))</f>
        <v/>
      </c>
      <c r="X82" s="25">
        <f>IF(X$4=0,-$E38*$F38,-($E38*(1-$F38))/$H38*(X$4&gt;=$G38)*(X$4&lt;=($G38+$H38-1)))</f>
        <v/>
      </c>
      <c r="Y82" s="25">
        <f>IF(Y$4=0,-$E38*$F38,-($E38*(1-$F38))/$H38*(Y$4&gt;=$G38)*(Y$4&lt;=($G38+$H38-1)))</f>
        <v/>
      </c>
      <c r="Z82" s="25">
        <f>IF(Z$4=0,-$E38*$F38,-($E38*(1-$F38))/$H38*(Z$4&gt;=$G38)*(Z$4&lt;=($G38+$H38-1)))</f>
        <v/>
      </c>
      <c r="AA82" s="25">
        <f>IF(AA$4=0,-$E38*$F38,-($E38*(1-$F38))/$H38*(AA$4&gt;=$G38)*(AA$4&lt;=($G38+$H38-1)))</f>
        <v/>
      </c>
      <c r="AB82" s="25">
        <f>IF(AB$4=0,-$E38*$F38,-($E38*(1-$F38))/$H38*(AB$4&gt;=$G38)*(AB$4&lt;=($G38+$H38-1)))</f>
        <v/>
      </c>
      <c r="AC82" s="25">
        <f>IF(AC$4=0,-$E38*$F38,-($E38*(1-$F38))/$H38*(AC$4&gt;=$G38)*(AC$4&lt;=($G38+$H38-1)))</f>
        <v/>
      </c>
      <c r="AD82" s="25">
        <f>IF(AD$4=0,-$E38*$F38,-($E38*(1-$F38))/$H38*(AD$4&gt;=$G38)*(AD$4&lt;=($G38+$H38-1)))</f>
        <v/>
      </c>
      <c r="AE82" s="25">
        <f>IF(AE$4=0,-$E38*$F38,-($E38*(1-$F38))/$H38*(AE$4&gt;=$G38)*(AE$4&lt;=($G38+$H38-1)))</f>
        <v/>
      </c>
      <c r="AF82" s="25">
        <f>IF(AF$4=0,-$E38*$F38,-($E38*(1-$F38))/$H38*(AF$4&gt;=$G38)*(AF$4&lt;=($G38+$H38-1)))</f>
        <v/>
      </c>
      <c r="AG82" s="25">
        <f>IF(AG$4=0,-$E38*$F38,-($E38*(1-$F38))/$H38*(AG$4&gt;=$G38)*(AG$4&lt;=($G38+$H38-1)))</f>
        <v/>
      </c>
      <c r="AH82" s="25">
        <f>IF(AH$4=0,-$E38*$F38,-($E38*(1-$F38))/$H38*(AH$4&gt;=$G38)*(AH$4&lt;=($G38+$H38-1)))</f>
        <v/>
      </c>
      <c r="AI82" s="25">
        <f>IF(AI$4=0,-$E38*$F38,-($E38*(1-$F38))/$H38*(AI$4&gt;=$G38)*(AI$4&lt;=($G38+$H38-1)))</f>
        <v/>
      </c>
      <c r="AJ82" s="25">
        <f>IF(AJ$4=0,-$E38*$F38,-($E38*(1-$F38))/$H38*(AJ$4&gt;=$G38)*(AJ$4&lt;=($G38+$H38-1)))</f>
        <v/>
      </c>
      <c r="AK82" s="25">
        <f>IF(AK$4=0,-$E38*$F38,-($E38*(1-$F38))/$H38*(AK$4&gt;=$G38)*(AK$4&lt;=($G38+$H38-1)))</f>
        <v/>
      </c>
      <c r="AL82" s="25">
        <f>IF(AL$4=0,-$E38*$F38,-($E38*(1-$F38))/$H38*(AL$4&gt;=$G38)*(AL$4&lt;=($G38+$H38-1)))</f>
        <v/>
      </c>
      <c r="AM82" s="25">
        <f>IF(AM$4=0,-$E38*$F38,-($E38*(1-$F38))/$H38*(AM$4&gt;=$G38)*(AM$4&lt;=($G38+$H38-1)))</f>
        <v/>
      </c>
      <c r="AN82" s="25">
        <f>IF(AN$4=0,-$E38*$F38,-($E38*(1-$F38))/$H38*(AN$4&gt;=$G38)*(AN$4&lt;=($G38+$H38-1)))</f>
        <v/>
      </c>
      <c r="AO82" s="25">
        <f>IF(AO$4=0,-$E38*$F38,-($E38*(1-$F38))/$H38*(AO$4&gt;=$G38)*(AO$4&lt;=($G38+$H38-1)))</f>
        <v/>
      </c>
      <c r="AP82" s="25">
        <f>IF(AP$4=0,-$E38*$F38,-($E38*(1-$F38))/$H38*(AP$4&gt;=$G38)*(AP$4&lt;=($G38+$H38-1)))</f>
        <v/>
      </c>
      <c r="AQ82" s="25">
        <f>IF(AQ$4=0,-$E38*$F38,-($E38*(1-$F38))/$H38*(AQ$4&gt;=$G38)*(AQ$4&lt;=($G38+$H38-1)))</f>
        <v/>
      </c>
      <c r="AR82" s="25">
        <f>IF(AR$4=0,-$E38*$F38,-($E38*(1-$F38))/$H38*(AR$4&gt;=$G38)*(AR$4&lt;=($G38+$H38-1)))</f>
        <v/>
      </c>
      <c r="AS82" s="25">
        <f>IF(AS$4=0,-$E38*$F38,-($E38*(1-$F38))/$H38*(AS$4&gt;=$G38)*(AS$4&lt;=($G38+$H38-1)))</f>
        <v/>
      </c>
      <c r="AT82" s="25">
        <f>IF(AT$4=0,-$E38*$F38,-($E38*(1-$F38))/$H38*(AT$4&gt;=$G38)*(AT$4&lt;=($G38+$H38-1)))</f>
        <v/>
      </c>
      <c r="AU82" s="25">
        <f>IF(AU$4=0,-$E38*$F38,-($E38*(1-$F38))/$H38*(AU$4&gt;=$G38)*(AU$4&lt;=($G38+$H38-1)))</f>
        <v/>
      </c>
      <c r="AV82" s="25">
        <f>IF(AV$4=0,-$E38*$F38,-($E38*(1-$F38))/$H38*(AV$4&gt;=$G38)*(AV$4&lt;=($G38+$H38-1)))</f>
        <v/>
      </c>
      <c r="AW82" s="25">
        <f>IF(AW$4=0,-$E38*$F38,-($E38*(1-$F38))/$H38*(AW$4&gt;=$G38)*(AW$4&lt;=($G38+$H38-1)))</f>
        <v/>
      </c>
      <c r="AX82" s="25">
        <f>IF(AX$4=0,-$E38*$F38,-($E38*(1-$F38))/$H38*(AX$4&gt;=$G38)*(AX$4&lt;=($G38+$H38-1)))</f>
        <v/>
      </c>
      <c r="AY82" s="25">
        <f>IF(AY$4=0,-$E38*$F38,-($E38*(1-$F38))/$H38*(AY$4&gt;=$G38)*(AY$4&lt;=($G38+$H38-1)))</f>
        <v/>
      </c>
      <c r="AZ82" s="25">
        <f>IF(AZ$4=0,-$E38*$F38,-($E38*(1-$F38))/$H38*(AZ$4&gt;=$G38)*(AZ$4&lt;=($G38+$H38-1)))</f>
        <v/>
      </c>
      <c r="BA82" s="25">
        <f>IF(BA$4=0,-$E38*$F38,-($E38*(1-$F38))/$H38*(BA$4&gt;=$G38)*(BA$4&lt;=($G38+$H38-1)))</f>
        <v/>
      </c>
      <c r="BB82" s="25">
        <f>IF(BB$4=0,-$E38*$F38,-($E38*(1-$F38))/$H38*(BB$4&gt;=$G38)*(BB$4&lt;=($G38+$H38-1)))</f>
        <v/>
      </c>
      <c r="BC82" s="25">
        <f>IF(BC$4=0,-$E38*$F38,-($E38*(1-$F38))/$H38*(BC$4&gt;=$G38)*(BC$4&lt;=($G38+$H38-1)))</f>
        <v/>
      </c>
      <c r="BD82" s="25">
        <f>IF(BD$4=0,-$E38*$F38,-($E38*(1-$F38))/$H38*(BD$4&gt;=$G38)*(BD$4&lt;=($G38+$H38-1)))</f>
        <v/>
      </c>
      <c r="BE82" s="25">
        <f>IF(BE$4=0,-$E38*$F38,-($E38*(1-$F38))/$H38*(BE$4&gt;=$G38)*(BE$4&lt;=($G38+$H38-1)))</f>
        <v/>
      </c>
      <c r="BF82" s="25">
        <f>IF(BF$4=0,-$E38*$F38,-($E38*(1-$F38))/$H38*(BF$4&gt;=$G38)*(BF$4&lt;=($G38+$H38-1)))</f>
        <v/>
      </c>
      <c r="BG82" s="25">
        <f>IF(BG$4=0,-$E38*$F38,-($E38*(1-$F38))/$H38*(BG$4&gt;=$G38)*(BG$4&lt;=($G38+$H38-1)))</f>
        <v/>
      </c>
      <c r="BH82" s="25">
        <f>IF(BH$4=0,-$E38*$F38,-($E38*(1-$F38))/$H38*(BH$4&gt;=$G38)*(BH$4&lt;=($G38+$H38-1)))</f>
        <v/>
      </c>
      <c r="BI82" s="25">
        <f>IF(BI$4=0,-$E38*$F38,-($E38*(1-$F38))/$H38*(BI$4&gt;=$G38)*(BI$4&lt;=($G38+$H38-1)))</f>
        <v/>
      </c>
      <c r="BJ82" s="25">
        <f>IF(BJ$4=0,-$E38*$F38,-($E38*(1-$F38))/$H38*(BJ$4&gt;=$G38)*(BJ$4&lt;=($G38+$H38-1)))</f>
        <v/>
      </c>
      <c r="BK82" s="25">
        <f>IF(BK$4=0,-$E38*$F38,-($E38*(1-$F38))/$H38*(BK$4&gt;=$G38)*(BK$4&lt;=($G38+$H38-1)))</f>
        <v/>
      </c>
      <c r="BL82" s="25">
        <f>IF(BL$4=0,-$E38*$F38,-($E38*(1-$F38))/$H38*(BL$4&gt;=$G38)*(BL$4&lt;=($G38+$H38-1)))</f>
        <v/>
      </c>
      <c r="BM82" s="25">
        <f>IF(BM$4=0,-$E38*$F38,-($E38*(1-$F38))/$H38*(BM$4&gt;=$G38)*(BM$4&lt;=($G38+$H38-1)))</f>
        <v/>
      </c>
      <c r="BN82" s="25">
        <f>IF(BN$4=0,-$E38*$F38,-($E38*(1-$F38))/$H38*(BN$4&gt;=$G38)*(BN$4&lt;=($G38+$H38-1)))</f>
        <v/>
      </c>
      <c r="BO82" s="25">
        <f>IF(BO$4=0,-$E38*$F38,-($E38*(1-$F38))/$H38*(BO$4&gt;=$G38)*(BO$4&lt;=($G38+$H38-1)))</f>
        <v/>
      </c>
      <c r="BP82" s="25">
        <f>IF(BP$4=0,-$E38*$F38,-($E38*(1-$F38))/$H38*(BP$4&gt;=$G38)*(BP$4&lt;=($G38+$H38-1)))</f>
        <v/>
      </c>
      <c r="BQ82" s="25">
        <f>IF(BQ$4=0,-$E38*$F38,-($E38*(1-$F38))/$H38*(BQ$4&gt;=$G38)*(BQ$4&lt;=($G38+$H38-1)))</f>
        <v/>
      </c>
      <c r="BR82" s="25">
        <f>IF(BR$4=0,-$E38*$F38,-($E38*(1-$F38))/$H38*(BR$4&gt;=$G38)*(BR$4&lt;=($G38+$H38-1)))</f>
        <v/>
      </c>
      <c r="BS82" s="25">
        <f>IF(BS$4=0,-$E38*$F38,-($E38*(1-$F38))/$H38*(BS$4&gt;=$G38)*(BS$4&lt;=($G38+$H38-1)))</f>
        <v/>
      </c>
      <c r="BT82" s="25">
        <f>IF(BT$4=0,-$E38*$F38,-($E38*(1-$F38))/$H38*(BT$4&gt;=$G38)*(BT$4&lt;=($G38+$H38-1)))</f>
        <v/>
      </c>
      <c r="BU82" s="25">
        <f>IF(BU$4=0,-$E38*$F38,-($E38*(1-$F38))/$H38*(BU$4&gt;=$G38)*(BU$4&lt;=($G38+$H38-1)))</f>
        <v/>
      </c>
      <c r="BV82" s="25">
        <f>IF(BV$4=0,-$E38*$F38,-($E38*(1-$F38))/$H38*(BV$4&gt;=$G38)*(BV$4&lt;=($G38+$H38-1)))</f>
        <v/>
      </c>
      <c r="BW82" s="25">
        <f>IF(BW$4=0,-$E38*$F38,-($E38*(1-$F38))/$H38*(BW$4&gt;=$G38)*(BW$4&lt;=($G38+$H38-1)))</f>
        <v/>
      </c>
      <c r="BX82" s="25">
        <f>IF(BX$4=0,-$E38*$F38,-($E38*(1-$F38))/$H38*(BX$4&gt;=$G38)*(BX$4&lt;=($G38+$H38-1)))</f>
        <v/>
      </c>
      <c r="BY82" s="25">
        <f>IF(BY$4=0,-$E38*$F38,-($E38*(1-$F38))/$H38*(BY$4&gt;=$G38)*(BY$4&lt;=($G38+$H38-1)))</f>
        <v/>
      </c>
      <c r="BZ82" s="25">
        <f>IF(BZ$4=0,-$E38*$F38,-($E38*(1-$F38))/$H38*(BZ$4&gt;=$G38)*(BZ$4&lt;=($G38+$H38-1)))</f>
        <v/>
      </c>
      <c r="CA82" s="25">
        <f>IF(CA$4=0,-$E38*$F38,-($E38*(1-$F38))/$H38*(CA$4&gt;=$G38)*(CA$4&lt;=($G38+$H38-1)))</f>
        <v/>
      </c>
      <c r="CB82" s="25">
        <f>IF(CB$4=0,-$E38*$F38,-($E38*(1-$F38))/$H38*(CB$4&gt;=$G38)*(CB$4&lt;=($G38+$H38-1)))</f>
        <v/>
      </c>
      <c r="CC82" s="25">
        <f>IF(CC$4=0,-$E38*$F38,-($E38*(1-$F38))/$H38*(CC$4&gt;=$G38)*(CC$4&lt;=($G38+$H38-1)))</f>
        <v/>
      </c>
      <c r="CD82" s="25">
        <f>IF(CD$4=0,-$E38*$F38,-($E38*(1-$F38))/$H38*(CD$4&gt;=$G38)*(CD$4&lt;=($G38+$H38-1)))</f>
        <v/>
      </c>
      <c r="CE82" s="25">
        <f>IF(CE$4=0,-$E38*$F38,-($E38*(1-$F38))/$H38*(CE$4&gt;=$G38)*(CE$4&lt;=($G38+$H38-1)))</f>
        <v/>
      </c>
      <c r="CF82" s="25">
        <f>IF(CF$4=0,-$E38*$F38,-($E38*(1-$F38))/$H38*(CF$4&gt;=$G38)*(CF$4&lt;=($G38+$H38-1)))</f>
        <v/>
      </c>
      <c r="CG82" s="25">
        <f>IF(CG$4=0,-$E38*$F38,-($E38*(1-$F38))/$H38*(CG$4&gt;=$G38)*(CG$4&lt;=($G38+$H38-1)))</f>
        <v/>
      </c>
      <c r="CH82" s="25">
        <f>IF(CH$4=0,-$E38*$F38,-($E38*(1-$F38))/$H38*(CH$4&gt;=$G38)*(CH$4&lt;=($G38+$H38-1)))</f>
        <v/>
      </c>
      <c r="CI82" s="25">
        <f>IF(CI$4=0,-$E38*$F38,-($E38*(1-$F38))/$H38*(CI$4&gt;=$G38)*(CI$4&lt;=($G38+$H38-1)))</f>
        <v/>
      </c>
      <c r="CJ82" s="25">
        <f>IF(CJ$4=0,-$E38*$F38,-($E38*(1-$F38))/$H38*(CJ$4&gt;=$G38)*(CJ$4&lt;=($G38+$H38-1)))</f>
        <v/>
      </c>
      <c r="CK82" s="25">
        <f>IF(CK$4=0,-$E38*$F38,-($E38*(1-$F38))/$H38*(CK$4&gt;=$G38)*(CK$4&lt;=($G38+$H38-1)))</f>
        <v/>
      </c>
      <c r="CL82" s="25">
        <f>IF(CL$4=0,-$E38*$F38,-($E38*(1-$F38))/$H38*(CL$4&gt;=$G38)*(CL$4&lt;=($G38+$H38-1)))</f>
        <v/>
      </c>
      <c r="CM82" s="25">
        <f>IF(CM$4=0,-$E38*$F38,-($E38*(1-$F38))/$H38*(CM$4&gt;=$G38)*(CM$4&lt;=($G38+$H38-1)))</f>
        <v/>
      </c>
      <c r="CN82" s="25">
        <f>IF(CN$4=0,-$E38*$F38,-($E38*(1-$F38))/$H38*(CN$4&gt;=$G38)*(CN$4&lt;=($G38+$H38-1)))</f>
        <v/>
      </c>
      <c r="CO82" s="25">
        <f>IF(CO$4=0,-$E38*$F38,-($E38*(1-$F38))/$H38*(CO$4&gt;=$G38)*(CO$4&lt;=($G38+$H38-1)))</f>
        <v/>
      </c>
      <c r="CP82" s="25">
        <f>IF(CP$4=0,-$E38*$F38,-($E38*(1-$F38))/$H38*(CP$4&gt;=$G38)*(CP$4&lt;=($G38+$H38-1)))</f>
        <v/>
      </c>
      <c r="CQ82" s="25">
        <f>IF(CQ$4=0,-$E38*$F38,-($E38*(1-$F38))/$H38*(CQ$4&gt;=$G38)*(CQ$4&lt;=($G38+$H38-1)))</f>
        <v/>
      </c>
      <c r="CR82" s="25">
        <f>IF(CR$4=0,-$E38*$F38,-($E38*(1-$F38))/$H38*(CR$4&gt;=$G38)*(CR$4&lt;=($G38+$H38-1)))</f>
        <v/>
      </c>
      <c r="CS82" s="25">
        <f>IF(CS$4=0,-$E38*$F38,-($E38*(1-$F38))/$H38*(CS$4&gt;=$G38)*(CS$4&lt;=($G38+$H38-1)))</f>
        <v/>
      </c>
      <c r="CT82" s="25">
        <f>IF(CT$4=0,-$E38*$F38,-($E38*(1-$F38))/$H38*(CT$4&gt;=$G38)*(CT$4&lt;=($G38+$H38-1)))</f>
        <v/>
      </c>
      <c r="CU82" s="25">
        <f>IF(CU$4=0,-$E38*$F38,-($E38*(1-$F38))/$H38*(CU$4&gt;=$G38)*(CU$4&lt;=($G38+$H38-1)))</f>
        <v/>
      </c>
      <c r="CV82" s="25">
        <f>IF(CV$4=0,-$E38*$F38,-($E38*(1-$F38))/$H38*(CV$4&gt;=$G38)*(CV$4&lt;=($G38+$H38-1)))</f>
        <v/>
      </c>
      <c r="CW82" s="25">
        <f>IF(CW$4=0,-$E38*$F38,-($E38*(1-$F38))/$H38*(CW$4&gt;=$G38)*(CW$4&lt;=($G38+$H38-1)))</f>
        <v/>
      </c>
      <c r="CX82" s="25">
        <f>IF(CX$4=0,-$E38*$F38,-($E38*(1-$F38))/$H38*(CX$4&gt;=$G38)*(CX$4&lt;=($G38+$H38-1)))</f>
        <v/>
      </c>
      <c r="CY82" s="25">
        <f>IF(CY$4=0,-$E38*$F38,-($E38*(1-$F38))/$H38*(CY$4&gt;=$G38)*(CY$4&lt;=($G38+$H38-1)))</f>
        <v/>
      </c>
      <c r="CZ82" s="25">
        <f>IF(CZ$4=0,-$E38*$F38,-($E38*(1-$F38))/$H38*(CZ$4&gt;=$G38)*(CZ$4&lt;=($G38+$H38-1)))</f>
        <v/>
      </c>
      <c r="DA82" s="25">
        <f>IF(DA$4=0,-$E38*$F38,-($E38*(1-$F38))/$H38*(DA$4&gt;=$G38)*(DA$4&lt;=($G38+$H38-1)))</f>
        <v/>
      </c>
      <c r="DB82" s="25">
        <f>IF(DB$4=0,-$E38*$F38,-($E38*(1-$F38))/$H38*(DB$4&gt;=$G38)*(DB$4&lt;=($G38+$H38-1)))</f>
        <v/>
      </c>
      <c r="DC82" s="25">
        <f>IF(DC$4=0,-$E38*$F38,-($E38*(1-$F38))/$H38*(DC$4&gt;=$G38)*(DC$4&lt;=($G38+$H38-1)))</f>
        <v/>
      </c>
      <c r="DD82" s="25">
        <f>IF(DD$4=0,-$E38*$F38,-($E38*(1-$F38))/$H38*(DD$4&gt;=$G38)*(DD$4&lt;=($G38+$H38-1)))</f>
        <v/>
      </c>
      <c r="DE82" s="25">
        <f>IF(DE$4=0,-$E38*$F38,-($E38*(1-$F38))/$H38*(DE$4&gt;=$G38)*(DE$4&lt;=($G38+$H38-1)))</f>
        <v/>
      </c>
      <c r="DF82" s="25">
        <f>IF(DF$4=0,-$E38*$F38,-($E38*(1-$F38))/$H38*(DF$4&gt;=$G38)*(DF$4&lt;=($G38+$H38-1)))</f>
        <v/>
      </c>
      <c r="DG82" s="25">
        <f>IF(DG$4=0,-$E38*$F38,-($E38*(1-$F38))/$H38*(DG$4&gt;=$G38)*(DG$4&lt;=($G38+$H38-1)))</f>
        <v/>
      </c>
      <c r="DH82" s="25">
        <f>IF(DH$4=0,-$E38*$F38,-($E38*(1-$F38))/$H38*(DH$4&gt;=$G38)*(DH$4&lt;=($G38+$H38-1)))</f>
        <v/>
      </c>
      <c r="DI82" s="25">
        <f>IF(DI$4=0,-$E38*$F38,-($E38*(1-$F38))/$H38*(DI$4&gt;=$G38)*(DI$4&lt;=($G38+$H38-1)))</f>
        <v/>
      </c>
      <c r="DJ82" s="25">
        <f>IF(DJ$4=0,-$E38*$F38,-($E38*(1-$F38))/$H38*(DJ$4&gt;=$G38)*(DJ$4&lt;=($G38+$H38-1)))</f>
        <v/>
      </c>
      <c r="DK82" s="25">
        <f>IF(DK$4=0,-$E38*$F38,-($E38*(1-$F38))/$H38*(DK$4&gt;=$G38)*(DK$4&lt;=($G38+$H38-1)))</f>
        <v/>
      </c>
      <c r="DL82" s="25">
        <f>IF(DL$4=0,-$E38*$F38,-($E38*(1-$F38))/$H38*(DL$4&gt;=$G38)*(DL$4&lt;=($G38+$H38-1)))</f>
        <v/>
      </c>
      <c r="DM82" s="25">
        <f>IF(DM$4=0,-$E38*$F38,-($E38*(1-$F38))/$H38*(DM$4&gt;=$G38)*(DM$4&lt;=($G38+$H38-1)))</f>
        <v/>
      </c>
      <c r="DN82" s="25">
        <f>IF(DN$4=0,-$E38*$F38,-($E38*(1-$F38))/$H38*(DN$4&gt;=$G38)*(DN$4&lt;=($G38+$H38-1)))</f>
        <v/>
      </c>
      <c r="DO82" s="25">
        <f>IF(DO$4=0,-$E38*$F38,-($E38*(1-$F38))/$H38*(DO$4&gt;=$G38)*(DO$4&lt;=($G38+$H38-1)))</f>
        <v/>
      </c>
      <c r="DP82" s="25">
        <f>IF(DP$4=0,-$E38*$F38,-($E38*(1-$F38))/$H38*(DP$4&gt;=$G38)*(DP$4&lt;=($G38+$H38-1)))</f>
        <v/>
      </c>
      <c r="DQ82" s="25">
        <f>IF(DQ$4=0,-$E38*$F38,-($E38*(1-$F38))/$H38*(DQ$4&gt;=$G38)*(DQ$4&lt;=($G38+$H38-1)))</f>
        <v/>
      </c>
      <c r="DR82" s="25">
        <f>IF(DR$4=0,-$E38*$F38,-($E38*(1-$F38))/$H38*(DR$4&gt;=$G38)*(DR$4&lt;=($G38+$H38-1)))</f>
        <v/>
      </c>
      <c r="DS82" s="25">
        <f>IF(DS$4=0,-$E38*$F38,-($E38*(1-$F38))/$H38*(DS$4&gt;=$G38)*(DS$4&lt;=($G38+$H38-1)))</f>
        <v/>
      </c>
      <c r="DT82" s="25">
        <f>IF(DT$4=0,-$E38*$F38,-($E38*(1-$F38))/$H38*(DT$4&gt;=$G38)*(DT$4&lt;=($G38+$H38-1)))</f>
        <v/>
      </c>
      <c r="DU82" s="25">
        <f>IF(DU$4=0,-$E38*$F38,-($E38*(1-$F38))/$H38*(DU$4&gt;=$G38)*(DU$4&lt;=($G38+$H38-1)))</f>
        <v/>
      </c>
      <c r="DV82" s="25">
        <f>IF(DV$4=0,-$E38*$F38,-($E38*(1-$F38))/$H38*(DV$4&gt;=$G38)*(DV$4&lt;=($G38+$H38-1)))</f>
        <v/>
      </c>
      <c r="DW82" s="25">
        <f>IF(DW$4=0,-$E38*$F38,-($E38*(1-$F38))/$H38*(DW$4&gt;=$G38)*(DW$4&lt;=($G38+$H38-1)))</f>
        <v/>
      </c>
      <c r="DX82" s="25">
        <f>IF(DX$4=0,-$E38*$F38,-($E38*(1-$F38))/$H38*(DX$4&gt;=$G38)*(DX$4&lt;=($G38+$H38-1)))</f>
        <v/>
      </c>
      <c r="DY82" s="25">
        <f>IF(DY$4=0,-$E38*$F38,-($E38*(1-$F38))/$H38*(DY$4&gt;=$G38)*(DY$4&lt;=($G38+$H38-1)))</f>
        <v/>
      </c>
      <c r="DZ82" s="25">
        <f>IF(DZ$4=0,-$E38*$F38,-($E38*(1-$F38))/$H38*(DZ$4&gt;=$G38)*(DZ$4&lt;=($G38+$H38-1)))</f>
        <v/>
      </c>
      <c r="EA82" s="25">
        <f>IF(EA$4=0,-$E38*$F38,-($E38*(1-$F38))/$H38*(EA$4&gt;=$G38)*(EA$4&lt;=($G38+$H38-1)))</f>
        <v/>
      </c>
      <c r="EB82" s="25">
        <f>IF(EB$4=0,-$E38*$F38,-($E38*(1-$F38))/$H38*(EB$4&gt;=$G38)*(EB$4&lt;=($G38+$H38-1)))</f>
        <v/>
      </c>
      <c r="EC82" s="25">
        <f>IF(EC$4=0,-$E38*$F38,-($E38*(1-$F38))/$H38*(EC$4&gt;=$G38)*(EC$4&lt;=($G38+$H38-1)))</f>
        <v/>
      </c>
      <c r="ED82" s="25">
        <f>IF(ED$4=0,-$E38*$F38,-($E38*(1-$F38))/$H38*(ED$4&gt;=$G38)*(ED$4&lt;=($G38+$H38-1)))</f>
        <v/>
      </c>
      <c r="EE82" s="25">
        <f>IF(EE$4=0,-$E38*$F38,-($E38*(1-$F38))/$H38*(EE$4&gt;=$G38)*(EE$4&lt;=($G38+$H38-1)))</f>
        <v/>
      </c>
      <c r="EF82" s="25">
        <f>IF(EF$4=0,-$E38*$F38,-($E38*(1-$F38))/$H38*(EF$4&gt;=$G38)*(EF$4&lt;=($G38+$H38-1)))</f>
        <v/>
      </c>
      <c r="EG82" s="25">
        <f>IF(EG$4=0,-$E38*$F38,-($E38*(1-$F38))/$H38*(EG$4&gt;=$G38)*(EG$4&lt;=($G38+$H38-1)))</f>
        <v/>
      </c>
      <c r="EH82" s="25">
        <f>IF(EH$4=0,-$E38*$F38,-($E38*(1-$F38))/$H38*(EH$4&gt;=$G38)*(EH$4&lt;=($G38+$H38-1)))</f>
        <v/>
      </c>
      <c r="EI82" s="25">
        <f>IF(EI$4=0,-$E38*$F38,-($E38*(1-$F38))/$H38*(EI$4&gt;=$G38)*(EI$4&lt;=($G38+$H38-1)))</f>
        <v/>
      </c>
      <c r="EJ82" s="25">
        <f>IF(EJ$4=0,-$E38*$F38,-($E38*(1-$F38))/$H38*(EJ$4&gt;=$G38)*(EJ$4&lt;=($G38+$H38-1)))</f>
        <v/>
      </c>
      <c r="EK82" s="25">
        <f>IF(EK$4=0,-$E38*$F38,-($E38*(1-$F38))/$H38*(EK$4&gt;=$G38)*(EK$4&lt;=($G38+$H38-1)))</f>
        <v/>
      </c>
      <c r="EL82" s="25">
        <f>IF(EL$4=0,-$E38*$F38,-($E38*(1-$F38))/$H38*(EL$4&gt;=$G38)*(EL$4&lt;=($G38+$H38-1)))</f>
        <v/>
      </c>
      <c r="EM82" s="25">
        <f>IF(EM$4=0,-$E38*$F38,-($E38*(1-$F38))/$H38*(EM$4&gt;=$G38)*(EM$4&lt;=($G38+$H38-1)))</f>
        <v/>
      </c>
      <c r="EN82" s="25">
        <f>IF(EN$4=0,-$E38*$F38,-($E38*(1-$F38))/$H38*(EN$4&gt;=$G38)*(EN$4&lt;=($G38+$H38-1)))</f>
        <v/>
      </c>
      <c r="EO82" s="25">
        <f>IF(EO$4=0,-$E38*$F38,-($E38*(1-$F38))/$H38*(EO$4&gt;=$G38)*(EO$4&lt;=($G38+$H38-1)))</f>
        <v/>
      </c>
      <c r="EP82" s="25">
        <f>IF(EP$4=0,-$E38*$F38,-($E38*(1-$F38))/$H38*(EP$4&gt;=$G38)*(EP$4&lt;=($G38+$H38-1)))</f>
        <v/>
      </c>
      <c r="EQ82" s="25">
        <f>IF(EQ$4=0,-$E38*$F38,-($E38*(1-$F38))/$H38*(EQ$4&gt;=$G38)*(EQ$4&lt;=($G38+$H38-1)))</f>
        <v/>
      </c>
      <c r="ER82" s="25">
        <f>IF(ER$4=0,-$E38*$F38,-($E38*(1-$F38))/$H38*(ER$4&gt;=$G38)*(ER$4&lt;=($G38+$H38-1)))</f>
        <v/>
      </c>
      <c r="ES82" s="25">
        <f>IF(ES$4=0,-$E38*$F38,-($E38*(1-$F38))/$H38*(ES$4&gt;=$G38)*(ES$4&lt;=($G38+$H38-1)))</f>
        <v/>
      </c>
      <c r="ET82" s="25">
        <f>IF(ET$4=0,-$E38*$F38,-($E38*(1-$F38))/$H38*(ET$4&gt;=$G38)*(ET$4&lt;=($G38+$H38-1)))</f>
        <v/>
      </c>
      <c r="EU82" s="25">
        <f>IF(EU$4=0,-$E38*$F38,-($E38*(1-$F38))/$H38*(EU$4&gt;=$G38)*(EU$4&lt;=($G38+$H38-1)))</f>
        <v/>
      </c>
      <c r="EV82" s="25">
        <f>IF(EV$4=0,-$E38*$F38,-($E38*(1-$F38))/$H38*(EV$4&gt;=$G38)*(EV$4&lt;=($G38+$H38-1)))</f>
        <v/>
      </c>
      <c r="EW82" s="25">
        <f>IF(EW$4=0,-$E38*$F38,-($E38*(1-$F38))/$H38*(EW$4&gt;=$G38)*(EW$4&lt;=($G38+$H38-1)))</f>
        <v/>
      </c>
      <c r="EX82" s="25">
        <f>IF(EX$4=0,-$E38*$F38,-($E38*(1-$F38))/$H38*(EX$4&gt;=$G38)*(EX$4&lt;=($G38+$H38-1)))</f>
        <v/>
      </c>
    </row>
    <row r="83">
      <c r="J83" s="9" t="inlineStr">
        <is>
          <t>Closing Costs</t>
        </is>
      </c>
      <c r="M83" s="25">
        <f>SUMIF($V$4:$EX$4,"&lt;="&amp;$H$19,$V83:$EX83)</f>
        <v/>
      </c>
      <c r="O83" s="9">
        <f>SUMIF($V$5:$EX$5,O$7,$V83:$EX83)</f>
        <v/>
      </c>
      <c r="P83" s="9">
        <f>SUMIF($V$5:$EX$5,P$7,$V83:$EX83)</f>
        <v/>
      </c>
      <c r="Q83" s="9">
        <f>SUMIF($V$5:$EX$5,Q$7,$V83:$EX83)</f>
        <v/>
      </c>
      <c r="R83" s="9">
        <f>SUMIF($V$5:$EX$5,R$7,$V83:$EX83)</f>
        <v/>
      </c>
      <c r="S83" s="9">
        <f>SUMIF($V$5:$EX$5,S$7,$V83:$EX83)</f>
        <v/>
      </c>
      <c r="T83" s="9">
        <f>SUMIF($V$5:$EX$5,T$7,$V83:$EX83)</f>
        <v/>
      </c>
      <c r="V83" s="25">
        <f>IF(V$4=0,-$E39*$F39,-($E39*(1-$F39))/$H39*(V$4&gt;=$G39)*(V$4&lt;=($G39+$H39-1)))</f>
        <v/>
      </c>
      <c r="W83" s="25">
        <f>IF(W$4=0,-$E39*$F39,-($E39*(1-$F39))/$H39*(W$4&gt;=$G39)*(W$4&lt;=($G39+$H39-1)))</f>
        <v/>
      </c>
      <c r="X83" s="25">
        <f>IF(X$4=0,-$E39*$F39,-($E39*(1-$F39))/$H39*(X$4&gt;=$G39)*(X$4&lt;=($G39+$H39-1)))</f>
        <v/>
      </c>
      <c r="Y83" s="25">
        <f>IF(Y$4=0,-$E39*$F39,-($E39*(1-$F39))/$H39*(Y$4&gt;=$G39)*(Y$4&lt;=($G39+$H39-1)))</f>
        <v/>
      </c>
      <c r="Z83" s="25">
        <f>IF(Z$4=0,-$E39*$F39,-($E39*(1-$F39))/$H39*(Z$4&gt;=$G39)*(Z$4&lt;=($G39+$H39-1)))</f>
        <v/>
      </c>
      <c r="AA83" s="25">
        <f>IF(AA$4=0,-$E39*$F39,-($E39*(1-$F39))/$H39*(AA$4&gt;=$G39)*(AA$4&lt;=($G39+$H39-1)))</f>
        <v/>
      </c>
      <c r="AB83" s="25">
        <f>IF(AB$4=0,-$E39*$F39,-($E39*(1-$F39))/$H39*(AB$4&gt;=$G39)*(AB$4&lt;=($G39+$H39-1)))</f>
        <v/>
      </c>
      <c r="AC83" s="25">
        <f>IF(AC$4=0,-$E39*$F39,-($E39*(1-$F39))/$H39*(AC$4&gt;=$G39)*(AC$4&lt;=($G39+$H39-1)))</f>
        <v/>
      </c>
      <c r="AD83" s="25">
        <f>IF(AD$4=0,-$E39*$F39,-($E39*(1-$F39))/$H39*(AD$4&gt;=$G39)*(AD$4&lt;=($G39+$H39-1)))</f>
        <v/>
      </c>
      <c r="AE83" s="25">
        <f>IF(AE$4=0,-$E39*$F39,-($E39*(1-$F39))/$H39*(AE$4&gt;=$G39)*(AE$4&lt;=($G39+$H39-1)))</f>
        <v/>
      </c>
      <c r="AF83" s="25">
        <f>IF(AF$4=0,-$E39*$F39,-($E39*(1-$F39))/$H39*(AF$4&gt;=$G39)*(AF$4&lt;=($G39+$H39-1)))</f>
        <v/>
      </c>
      <c r="AG83" s="25">
        <f>IF(AG$4=0,-$E39*$F39,-($E39*(1-$F39))/$H39*(AG$4&gt;=$G39)*(AG$4&lt;=($G39+$H39-1)))</f>
        <v/>
      </c>
      <c r="AH83" s="25">
        <f>IF(AH$4=0,-$E39*$F39,-($E39*(1-$F39))/$H39*(AH$4&gt;=$G39)*(AH$4&lt;=($G39+$H39-1)))</f>
        <v/>
      </c>
      <c r="AI83" s="25">
        <f>IF(AI$4=0,-$E39*$F39,-($E39*(1-$F39))/$H39*(AI$4&gt;=$G39)*(AI$4&lt;=($G39+$H39-1)))</f>
        <v/>
      </c>
      <c r="AJ83" s="25">
        <f>IF(AJ$4=0,-$E39*$F39,-($E39*(1-$F39))/$H39*(AJ$4&gt;=$G39)*(AJ$4&lt;=($G39+$H39-1)))</f>
        <v/>
      </c>
      <c r="AK83" s="25">
        <f>IF(AK$4=0,-$E39*$F39,-($E39*(1-$F39))/$H39*(AK$4&gt;=$G39)*(AK$4&lt;=($G39+$H39-1)))</f>
        <v/>
      </c>
      <c r="AL83" s="25">
        <f>IF(AL$4=0,-$E39*$F39,-($E39*(1-$F39))/$H39*(AL$4&gt;=$G39)*(AL$4&lt;=($G39+$H39-1)))</f>
        <v/>
      </c>
      <c r="AM83" s="25">
        <f>IF(AM$4=0,-$E39*$F39,-($E39*(1-$F39))/$H39*(AM$4&gt;=$G39)*(AM$4&lt;=($G39+$H39-1)))</f>
        <v/>
      </c>
      <c r="AN83" s="25">
        <f>IF(AN$4=0,-$E39*$F39,-($E39*(1-$F39))/$H39*(AN$4&gt;=$G39)*(AN$4&lt;=($G39+$H39-1)))</f>
        <v/>
      </c>
      <c r="AO83" s="25">
        <f>IF(AO$4=0,-$E39*$F39,-($E39*(1-$F39))/$H39*(AO$4&gt;=$G39)*(AO$4&lt;=($G39+$H39-1)))</f>
        <v/>
      </c>
      <c r="AP83" s="25">
        <f>IF(AP$4=0,-$E39*$F39,-($E39*(1-$F39))/$H39*(AP$4&gt;=$G39)*(AP$4&lt;=($G39+$H39-1)))</f>
        <v/>
      </c>
      <c r="AQ83" s="25">
        <f>IF(AQ$4=0,-$E39*$F39,-($E39*(1-$F39))/$H39*(AQ$4&gt;=$G39)*(AQ$4&lt;=($G39+$H39-1)))</f>
        <v/>
      </c>
      <c r="AR83" s="25">
        <f>IF(AR$4=0,-$E39*$F39,-($E39*(1-$F39))/$H39*(AR$4&gt;=$G39)*(AR$4&lt;=($G39+$H39-1)))</f>
        <v/>
      </c>
      <c r="AS83" s="25">
        <f>IF(AS$4=0,-$E39*$F39,-($E39*(1-$F39))/$H39*(AS$4&gt;=$G39)*(AS$4&lt;=($G39+$H39-1)))</f>
        <v/>
      </c>
      <c r="AT83" s="25">
        <f>IF(AT$4=0,-$E39*$F39,-($E39*(1-$F39))/$H39*(AT$4&gt;=$G39)*(AT$4&lt;=($G39+$H39-1)))</f>
        <v/>
      </c>
      <c r="AU83" s="25">
        <f>IF(AU$4=0,-$E39*$F39,-($E39*(1-$F39))/$H39*(AU$4&gt;=$G39)*(AU$4&lt;=($G39+$H39-1)))</f>
        <v/>
      </c>
      <c r="AV83" s="25">
        <f>IF(AV$4=0,-$E39*$F39,-($E39*(1-$F39))/$H39*(AV$4&gt;=$G39)*(AV$4&lt;=($G39+$H39-1)))</f>
        <v/>
      </c>
      <c r="AW83" s="25">
        <f>IF(AW$4=0,-$E39*$F39,-($E39*(1-$F39))/$H39*(AW$4&gt;=$G39)*(AW$4&lt;=($G39+$H39-1)))</f>
        <v/>
      </c>
      <c r="AX83" s="25">
        <f>IF(AX$4=0,-$E39*$F39,-($E39*(1-$F39))/$H39*(AX$4&gt;=$G39)*(AX$4&lt;=($G39+$H39-1)))</f>
        <v/>
      </c>
      <c r="AY83" s="25">
        <f>IF(AY$4=0,-$E39*$F39,-($E39*(1-$F39))/$H39*(AY$4&gt;=$G39)*(AY$4&lt;=($G39+$H39-1)))</f>
        <v/>
      </c>
      <c r="AZ83" s="25">
        <f>IF(AZ$4=0,-$E39*$F39,-($E39*(1-$F39))/$H39*(AZ$4&gt;=$G39)*(AZ$4&lt;=($G39+$H39-1)))</f>
        <v/>
      </c>
      <c r="BA83" s="25">
        <f>IF(BA$4=0,-$E39*$F39,-($E39*(1-$F39))/$H39*(BA$4&gt;=$G39)*(BA$4&lt;=($G39+$H39-1)))</f>
        <v/>
      </c>
      <c r="BB83" s="25">
        <f>IF(BB$4=0,-$E39*$F39,-($E39*(1-$F39))/$H39*(BB$4&gt;=$G39)*(BB$4&lt;=($G39+$H39-1)))</f>
        <v/>
      </c>
      <c r="BC83" s="25">
        <f>IF(BC$4=0,-$E39*$F39,-($E39*(1-$F39))/$H39*(BC$4&gt;=$G39)*(BC$4&lt;=($G39+$H39-1)))</f>
        <v/>
      </c>
      <c r="BD83" s="25">
        <f>IF(BD$4=0,-$E39*$F39,-($E39*(1-$F39))/$H39*(BD$4&gt;=$G39)*(BD$4&lt;=($G39+$H39-1)))</f>
        <v/>
      </c>
      <c r="BE83" s="25">
        <f>IF(BE$4=0,-$E39*$F39,-($E39*(1-$F39))/$H39*(BE$4&gt;=$G39)*(BE$4&lt;=($G39+$H39-1)))</f>
        <v/>
      </c>
      <c r="BF83" s="25">
        <f>IF(BF$4=0,-$E39*$F39,-($E39*(1-$F39))/$H39*(BF$4&gt;=$G39)*(BF$4&lt;=($G39+$H39-1)))</f>
        <v/>
      </c>
      <c r="BG83" s="25">
        <f>IF(BG$4=0,-$E39*$F39,-($E39*(1-$F39))/$H39*(BG$4&gt;=$G39)*(BG$4&lt;=($G39+$H39-1)))</f>
        <v/>
      </c>
      <c r="BH83" s="25">
        <f>IF(BH$4=0,-$E39*$F39,-($E39*(1-$F39))/$H39*(BH$4&gt;=$G39)*(BH$4&lt;=($G39+$H39-1)))</f>
        <v/>
      </c>
      <c r="BI83" s="25">
        <f>IF(BI$4=0,-$E39*$F39,-($E39*(1-$F39))/$H39*(BI$4&gt;=$G39)*(BI$4&lt;=($G39+$H39-1)))</f>
        <v/>
      </c>
      <c r="BJ83" s="25">
        <f>IF(BJ$4=0,-$E39*$F39,-($E39*(1-$F39))/$H39*(BJ$4&gt;=$G39)*(BJ$4&lt;=($G39+$H39-1)))</f>
        <v/>
      </c>
      <c r="BK83" s="25">
        <f>IF(BK$4=0,-$E39*$F39,-($E39*(1-$F39))/$H39*(BK$4&gt;=$G39)*(BK$4&lt;=($G39+$H39-1)))</f>
        <v/>
      </c>
      <c r="BL83" s="25">
        <f>IF(BL$4=0,-$E39*$F39,-($E39*(1-$F39))/$H39*(BL$4&gt;=$G39)*(BL$4&lt;=($G39+$H39-1)))</f>
        <v/>
      </c>
      <c r="BM83" s="25">
        <f>IF(BM$4=0,-$E39*$F39,-($E39*(1-$F39))/$H39*(BM$4&gt;=$G39)*(BM$4&lt;=($G39+$H39-1)))</f>
        <v/>
      </c>
      <c r="BN83" s="25">
        <f>IF(BN$4=0,-$E39*$F39,-($E39*(1-$F39))/$H39*(BN$4&gt;=$G39)*(BN$4&lt;=($G39+$H39-1)))</f>
        <v/>
      </c>
      <c r="BO83" s="25">
        <f>IF(BO$4=0,-$E39*$F39,-($E39*(1-$F39))/$H39*(BO$4&gt;=$G39)*(BO$4&lt;=($G39+$H39-1)))</f>
        <v/>
      </c>
      <c r="BP83" s="25">
        <f>IF(BP$4=0,-$E39*$F39,-($E39*(1-$F39))/$H39*(BP$4&gt;=$G39)*(BP$4&lt;=($G39+$H39-1)))</f>
        <v/>
      </c>
      <c r="BQ83" s="25">
        <f>IF(BQ$4=0,-$E39*$F39,-($E39*(1-$F39))/$H39*(BQ$4&gt;=$G39)*(BQ$4&lt;=($G39+$H39-1)))</f>
        <v/>
      </c>
      <c r="BR83" s="25">
        <f>IF(BR$4=0,-$E39*$F39,-($E39*(1-$F39))/$H39*(BR$4&gt;=$G39)*(BR$4&lt;=($G39+$H39-1)))</f>
        <v/>
      </c>
      <c r="BS83" s="25">
        <f>IF(BS$4=0,-$E39*$F39,-($E39*(1-$F39))/$H39*(BS$4&gt;=$G39)*(BS$4&lt;=($G39+$H39-1)))</f>
        <v/>
      </c>
      <c r="BT83" s="25">
        <f>IF(BT$4=0,-$E39*$F39,-($E39*(1-$F39))/$H39*(BT$4&gt;=$G39)*(BT$4&lt;=($G39+$H39-1)))</f>
        <v/>
      </c>
      <c r="BU83" s="25">
        <f>IF(BU$4=0,-$E39*$F39,-($E39*(1-$F39))/$H39*(BU$4&gt;=$G39)*(BU$4&lt;=($G39+$H39-1)))</f>
        <v/>
      </c>
      <c r="BV83" s="25">
        <f>IF(BV$4=0,-$E39*$F39,-($E39*(1-$F39))/$H39*(BV$4&gt;=$G39)*(BV$4&lt;=($G39+$H39-1)))</f>
        <v/>
      </c>
      <c r="BW83" s="25">
        <f>IF(BW$4=0,-$E39*$F39,-($E39*(1-$F39))/$H39*(BW$4&gt;=$G39)*(BW$4&lt;=($G39+$H39-1)))</f>
        <v/>
      </c>
      <c r="BX83" s="25">
        <f>IF(BX$4=0,-$E39*$F39,-($E39*(1-$F39))/$H39*(BX$4&gt;=$G39)*(BX$4&lt;=($G39+$H39-1)))</f>
        <v/>
      </c>
      <c r="BY83" s="25">
        <f>IF(BY$4=0,-$E39*$F39,-($E39*(1-$F39))/$H39*(BY$4&gt;=$G39)*(BY$4&lt;=($G39+$H39-1)))</f>
        <v/>
      </c>
      <c r="BZ83" s="25">
        <f>IF(BZ$4=0,-$E39*$F39,-($E39*(1-$F39))/$H39*(BZ$4&gt;=$G39)*(BZ$4&lt;=($G39+$H39-1)))</f>
        <v/>
      </c>
      <c r="CA83" s="25">
        <f>IF(CA$4=0,-$E39*$F39,-($E39*(1-$F39))/$H39*(CA$4&gt;=$G39)*(CA$4&lt;=($G39+$H39-1)))</f>
        <v/>
      </c>
      <c r="CB83" s="25">
        <f>IF(CB$4=0,-$E39*$F39,-($E39*(1-$F39))/$H39*(CB$4&gt;=$G39)*(CB$4&lt;=($G39+$H39-1)))</f>
        <v/>
      </c>
      <c r="CC83" s="25">
        <f>IF(CC$4=0,-$E39*$F39,-($E39*(1-$F39))/$H39*(CC$4&gt;=$G39)*(CC$4&lt;=($G39+$H39-1)))</f>
        <v/>
      </c>
      <c r="CD83" s="25">
        <f>IF(CD$4=0,-$E39*$F39,-($E39*(1-$F39))/$H39*(CD$4&gt;=$G39)*(CD$4&lt;=($G39+$H39-1)))</f>
        <v/>
      </c>
      <c r="CE83" s="25">
        <f>IF(CE$4=0,-$E39*$F39,-($E39*(1-$F39))/$H39*(CE$4&gt;=$G39)*(CE$4&lt;=($G39+$H39-1)))</f>
        <v/>
      </c>
      <c r="CF83" s="25">
        <f>IF(CF$4=0,-$E39*$F39,-($E39*(1-$F39))/$H39*(CF$4&gt;=$G39)*(CF$4&lt;=($G39+$H39-1)))</f>
        <v/>
      </c>
      <c r="CG83" s="25">
        <f>IF(CG$4=0,-$E39*$F39,-($E39*(1-$F39))/$H39*(CG$4&gt;=$G39)*(CG$4&lt;=($G39+$H39-1)))</f>
        <v/>
      </c>
      <c r="CH83" s="25">
        <f>IF(CH$4=0,-$E39*$F39,-($E39*(1-$F39))/$H39*(CH$4&gt;=$G39)*(CH$4&lt;=($G39+$H39-1)))</f>
        <v/>
      </c>
      <c r="CI83" s="25">
        <f>IF(CI$4=0,-$E39*$F39,-($E39*(1-$F39))/$H39*(CI$4&gt;=$G39)*(CI$4&lt;=($G39+$H39-1)))</f>
        <v/>
      </c>
      <c r="CJ83" s="25">
        <f>IF(CJ$4=0,-$E39*$F39,-($E39*(1-$F39))/$H39*(CJ$4&gt;=$G39)*(CJ$4&lt;=($G39+$H39-1)))</f>
        <v/>
      </c>
      <c r="CK83" s="25">
        <f>IF(CK$4=0,-$E39*$F39,-($E39*(1-$F39))/$H39*(CK$4&gt;=$G39)*(CK$4&lt;=($G39+$H39-1)))</f>
        <v/>
      </c>
      <c r="CL83" s="25">
        <f>IF(CL$4=0,-$E39*$F39,-($E39*(1-$F39))/$H39*(CL$4&gt;=$G39)*(CL$4&lt;=($G39+$H39-1)))</f>
        <v/>
      </c>
      <c r="CM83" s="25">
        <f>IF(CM$4=0,-$E39*$F39,-($E39*(1-$F39))/$H39*(CM$4&gt;=$G39)*(CM$4&lt;=($G39+$H39-1)))</f>
        <v/>
      </c>
      <c r="CN83" s="25">
        <f>IF(CN$4=0,-$E39*$F39,-($E39*(1-$F39))/$H39*(CN$4&gt;=$G39)*(CN$4&lt;=($G39+$H39-1)))</f>
        <v/>
      </c>
      <c r="CO83" s="25">
        <f>IF(CO$4=0,-$E39*$F39,-($E39*(1-$F39))/$H39*(CO$4&gt;=$G39)*(CO$4&lt;=($G39+$H39-1)))</f>
        <v/>
      </c>
      <c r="CP83" s="25">
        <f>IF(CP$4=0,-$E39*$F39,-($E39*(1-$F39))/$H39*(CP$4&gt;=$G39)*(CP$4&lt;=($G39+$H39-1)))</f>
        <v/>
      </c>
      <c r="CQ83" s="25">
        <f>IF(CQ$4=0,-$E39*$F39,-($E39*(1-$F39))/$H39*(CQ$4&gt;=$G39)*(CQ$4&lt;=($G39+$H39-1)))</f>
        <v/>
      </c>
      <c r="CR83" s="25">
        <f>IF(CR$4=0,-$E39*$F39,-($E39*(1-$F39))/$H39*(CR$4&gt;=$G39)*(CR$4&lt;=($G39+$H39-1)))</f>
        <v/>
      </c>
      <c r="CS83" s="25">
        <f>IF(CS$4=0,-$E39*$F39,-($E39*(1-$F39))/$H39*(CS$4&gt;=$G39)*(CS$4&lt;=($G39+$H39-1)))</f>
        <v/>
      </c>
      <c r="CT83" s="25">
        <f>IF(CT$4=0,-$E39*$F39,-($E39*(1-$F39))/$H39*(CT$4&gt;=$G39)*(CT$4&lt;=($G39+$H39-1)))</f>
        <v/>
      </c>
      <c r="CU83" s="25">
        <f>IF(CU$4=0,-$E39*$F39,-($E39*(1-$F39))/$H39*(CU$4&gt;=$G39)*(CU$4&lt;=($G39+$H39-1)))</f>
        <v/>
      </c>
      <c r="CV83" s="25">
        <f>IF(CV$4=0,-$E39*$F39,-($E39*(1-$F39))/$H39*(CV$4&gt;=$G39)*(CV$4&lt;=($G39+$H39-1)))</f>
        <v/>
      </c>
      <c r="CW83" s="25">
        <f>IF(CW$4=0,-$E39*$F39,-($E39*(1-$F39))/$H39*(CW$4&gt;=$G39)*(CW$4&lt;=($G39+$H39-1)))</f>
        <v/>
      </c>
      <c r="CX83" s="25">
        <f>IF(CX$4=0,-$E39*$F39,-($E39*(1-$F39))/$H39*(CX$4&gt;=$G39)*(CX$4&lt;=($G39+$H39-1)))</f>
        <v/>
      </c>
      <c r="CY83" s="25">
        <f>IF(CY$4=0,-$E39*$F39,-($E39*(1-$F39))/$H39*(CY$4&gt;=$G39)*(CY$4&lt;=($G39+$H39-1)))</f>
        <v/>
      </c>
      <c r="CZ83" s="25">
        <f>IF(CZ$4=0,-$E39*$F39,-($E39*(1-$F39))/$H39*(CZ$4&gt;=$G39)*(CZ$4&lt;=($G39+$H39-1)))</f>
        <v/>
      </c>
      <c r="DA83" s="25">
        <f>IF(DA$4=0,-$E39*$F39,-($E39*(1-$F39))/$H39*(DA$4&gt;=$G39)*(DA$4&lt;=($G39+$H39-1)))</f>
        <v/>
      </c>
      <c r="DB83" s="25">
        <f>IF(DB$4=0,-$E39*$F39,-($E39*(1-$F39))/$H39*(DB$4&gt;=$G39)*(DB$4&lt;=($G39+$H39-1)))</f>
        <v/>
      </c>
      <c r="DC83" s="25">
        <f>IF(DC$4=0,-$E39*$F39,-($E39*(1-$F39))/$H39*(DC$4&gt;=$G39)*(DC$4&lt;=($G39+$H39-1)))</f>
        <v/>
      </c>
      <c r="DD83" s="25">
        <f>IF(DD$4=0,-$E39*$F39,-($E39*(1-$F39))/$H39*(DD$4&gt;=$G39)*(DD$4&lt;=($G39+$H39-1)))</f>
        <v/>
      </c>
      <c r="DE83" s="25">
        <f>IF(DE$4=0,-$E39*$F39,-($E39*(1-$F39))/$H39*(DE$4&gt;=$G39)*(DE$4&lt;=($G39+$H39-1)))</f>
        <v/>
      </c>
      <c r="DF83" s="25">
        <f>IF(DF$4=0,-$E39*$F39,-($E39*(1-$F39))/$H39*(DF$4&gt;=$G39)*(DF$4&lt;=($G39+$H39-1)))</f>
        <v/>
      </c>
      <c r="DG83" s="25">
        <f>IF(DG$4=0,-$E39*$F39,-($E39*(1-$F39))/$H39*(DG$4&gt;=$G39)*(DG$4&lt;=($G39+$H39-1)))</f>
        <v/>
      </c>
      <c r="DH83" s="25">
        <f>IF(DH$4=0,-$E39*$F39,-($E39*(1-$F39))/$H39*(DH$4&gt;=$G39)*(DH$4&lt;=($G39+$H39-1)))</f>
        <v/>
      </c>
      <c r="DI83" s="25">
        <f>IF(DI$4=0,-$E39*$F39,-($E39*(1-$F39))/$H39*(DI$4&gt;=$G39)*(DI$4&lt;=($G39+$H39-1)))</f>
        <v/>
      </c>
      <c r="DJ83" s="25">
        <f>IF(DJ$4=0,-$E39*$F39,-($E39*(1-$F39))/$H39*(DJ$4&gt;=$G39)*(DJ$4&lt;=($G39+$H39-1)))</f>
        <v/>
      </c>
      <c r="DK83" s="25">
        <f>IF(DK$4=0,-$E39*$F39,-($E39*(1-$F39))/$H39*(DK$4&gt;=$G39)*(DK$4&lt;=($G39+$H39-1)))</f>
        <v/>
      </c>
      <c r="DL83" s="25">
        <f>IF(DL$4=0,-$E39*$F39,-($E39*(1-$F39))/$H39*(DL$4&gt;=$G39)*(DL$4&lt;=($G39+$H39-1)))</f>
        <v/>
      </c>
      <c r="DM83" s="25">
        <f>IF(DM$4=0,-$E39*$F39,-($E39*(1-$F39))/$H39*(DM$4&gt;=$G39)*(DM$4&lt;=($G39+$H39-1)))</f>
        <v/>
      </c>
      <c r="DN83" s="25">
        <f>IF(DN$4=0,-$E39*$F39,-($E39*(1-$F39))/$H39*(DN$4&gt;=$G39)*(DN$4&lt;=($G39+$H39-1)))</f>
        <v/>
      </c>
      <c r="DO83" s="25">
        <f>IF(DO$4=0,-$E39*$F39,-($E39*(1-$F39))/$H39*(DO$4&gt;=$G39)*(DO$4&lt;=($G39+$H39-1)))</f>
        <v/>
      </c>
      <c r="DP83" s="25">
        <f>IF(DP$4=0,-$E39*$F39,-($E39*(1-$F39))/$H39*(DP$4&gt;=$G39)*(DP$4&lt;=($G39+$H39-1)))</f>
        <v/>
      </c>
      <c r="DQ83" s="25">
        <f>IF(DQ$4=0,-$E39*$F39,-($E39*(1-$F39))/$H39*(DQ$4&gt;=$G39)*(DQ$4&lt;=($G39+$H39-1)))</f>
        <v/>
      </c>
      <c r="DR83" s="25">
        <f>IF(DR$4=0,-$E39*$F39,-($E39*(1-$F39))/$H39*(DR$4&gt;=$G39)*(DR$4&lt;=($G39+$H39-1)))</f>
        <v/>
      </c>
      <c r="DS83" s="25">
        <f>IF(DS$4=0,-$E39*$F39,-($E39*(1-$F39))/$H39*(DS$4&gt;=$G39)*(DS$4&lt;=($G39+$H39-1)))</f>
        <v/>
      </c>
      <c r="DT83" s="25">
        <f>IF(DT$4=0,-$E39*$F39,-($E39*(1-$F39))/$H39*(DT$4&gt;=$G39)*(DT$4&lt;=($G39+$H39-1)))</f>
        <v/>
      </c>
      <c r="DU83" s="25">
        <f>IF(DU$4=0,-$E39*$F39,-($E39*(1-$F39))/$H39*(DU$4&gt;=$G39)*(DU$4&lt;=($G39+$H39-1)))</f>
        <v/>
      </c>
      <c r="DV83" s="25">
        <f>IF(DV$4=0,-$E39*$F39,-($E39*(1-$F39))/$H39*(DV$4&gt;=$G39)*(DV$4&lt;=($G39+$H39-1)))</f>
        <v/>
      </c>
      <c r="DW83" s="25">
        <f>IF(DW$4=0,-$E39*$F39,-($E39*(1-$F39))/$H39*(DW$4&gt;=$G39)*(DW$4&lt;=($G39+$H39-1)))</f>
        <v/>
      </c>
      <c r="DX83" s="25">
        <f>IF(DX$4=0,-$E39*$F39,-($E39*(1-$F39))/$H39*(DX$4&gt;=$G39)*(DX$4&lt;=($G39+$H39-1)))</f>
        <v/>
      </c>
      <c r="DY83" s="25">
        <f>IF(DY$4=0,-$E39*$F39,-($E39*(1-$F39))/$H39*(DY$4&gt;=$G39)*(DY$4&lt;=($G39+$H39-1)))</f>
        <v/>
      </c>
      <c r="DZ83" s="25">
        <f>IF(DZ$4=0,-$E39*$F39,-($E39*(1-$F39))/$H39*(DZ$4&gt;=$G39)*(DZ$4&lt;=($G39+$H39-1)))</f>
        <v/>
      </c>
      <c r="EA83" s="25">
        <f>IF(EA$4=0,-$E39*$F39,-($E39*(1-$F39))/$H39*(EA$4&gt;=$G39)*(EA$4&lt;=($G39+$H39-1)))</f>
        <v/>
      </c>
      <c r="EB83" s="25">
        <f>IF(EB$4=0,-$E39*$F39,-($E39*(1-$F39))/$H39*(EB$4&gt;=$G39)*(EB$4&lt;=($G39+$H39-1)))</f>
        <v/>
      </c>
      <c r="EC83" s="25">
        <f>IF(EC$4=0,-$E39*$F39,-($E39*(1-$F39))/$H39*(EC$4&gt;=$G39)*(EC$4&lt;=($G39+$H39-1)))</f>
        <v/>
      </c>
      <c r="ED83" s="25">
        <f>IF(ED$4=0,-$E39*$F39,-($E39*(1-$F39))/$H39*(ED$4&gt;=$G39)*(ED$4&lt;=($G39+$H39-1)))</f>
        <v/>
      </c>
      <c r="EE83" s="25">
        <f>IF(EE$4=0,-$E39*$F39,-($E39*(1-$F39))/$H39*(EE$4&gt;=$G39)*(EE$4&lt;=($G39+$H39-1)))</f>
        <v/>
      </c>
      <c r="EF83" s="25">
        <f>IF(EF$4=0,-$E39*$F39,-($E39*(1-$F39))/$H39*(EF$4&gt;=$G39)*(EF$4&lt;=($G39+$H39-1)))</f>
        <v/>
      </c>
      <c r="EG83" s="25">
        <f>IF(EG$4=0,-$E39*$F39,-($E39*(1-$F39))/$H39*(EG$4&gt;=$G39)*(EG$4&lt;=($G39+$H39-1)))</f>
        <v/>
      </c>
      <c r="EH83" s="25">
        <f>IF(EH$4=0,-$E39*$F39,-($E39*(1-$F39))/$H39*(EH$4&gt;=$G39)*(EH$4&lt;=($G39+$H39-1)))</f>
        <v/>
      </c>
      <c r="EI83" s="25">
        <f>IF(EI$4=0,-$E39*$F39,-($E39*(1-$F39))/$H39*(EI$4&gt;=$G39)*(EI$4&lt;=($G39+$H39-1)))</f>
        <v/>
      </c>
      <c r="EJ83" s="25">
        <f>IF(EJ$4=0,-$E39*$F39,-($E39*(1-$F39))/$H39*(EJ$4&gt;=$G39)*(EJ$4&lt;=($G39+$H39-1)))</f>
        <v/>
      </c>
      <c r="EK83" s="25">
        <f>IF(EK$4=0,-$E39*$F39,-($E39*(1-$F39))/$H39*(EK$4&gt;=$G39)*(EK$4&lt;=($G39+$H39-1)))</f>
        <v/>
      </c>
      <c r="EL83" s="25">
        <f>IF(EL$4=0,-$E39*$F39,-($E39*(1-$F39))/$H39*(EL$4&gt;=$G39)*(EL$4&lt;=($G39+$H39-1)))</f>
        <v/>
      </c>
      <c r="EM83" s="25">
        <f>IF(EM$4=0,-$E39*$F39,-($E39*(1-$F39))/$H39*(EM$4&gt;=$G39)*(EM$4&lt;=($G39+$H39-1)))</f>
        <v/>
      </c>
      <c r="EN83" s="25">
        <f>IF(EN$4=0,-$E39*$F39,-($E39*(1-$F39))/$H39*(EN$4&gt;=$G39)*(EN$4&lt;=($G39+$H39-1)))</f>
        <v/>
      </c>
      <c r="EO83" s="25">
        <f>IF(EO$4=0,-$E39*$F39,-($E39*(1-$F39))/$H39*(EO$4&gt;=$G39)*(EO$4&lt;=($G39+$H39-1)))</f>
        <v/>
      </c>
      <c r="EP83" s="25">
        <f>IF(EP$4=0,-$E39*$F39,-($E39*(1-$F39))/$H39*(EP$4&gt;=$G39)*(EP$4&lt;=($G39+$H39-1)))</f>
        <v/>
      </c>
      <c r="EQ83" s="25">
        <f>IF(EQ$4=0,-$E39*$F39,-($E39*(1-$F39))/$H39*(EQ$4&gt;=$G39)*(EQ$4&lt;=($G39+$H39-1)))</f>
        <v/>
      </c>
      <c r="ER83" s="25">
        <f>IF(ER$4=0,-$E39*$F39,-($E39*(1-$F39))/$H39*(ER$4&gt;=$G39)*(ER$4&lt;=($G39+$H39-1)))</f>
        <v/>
      </c>
      <c r="ES83" s="25">
        <f>IF(ES$4=0,-$E39*$F39,-($E39*(1-$F39))/$H39*(ES$4&gt;=$G39)*(ES$4&lt;=($G39+$H39-1)))</f>
        <v/>
      </c>
      <c r="ET83" s="25">
        <f>IF(ET$4=0,-$E39*$F39,-($E39*(1-$F39))/$H39*(ET$4&gt;=$G39)*(ET$4&lt;=($G39+$H39-1)))</f>
        <v/>
      </c>
      <c r="EU83" s="25">
        <f>IF(EU$4=0,-$E39*$F39,-($E39*(1-$F39))/$H39*(EU$4&gt;=$G39)*(EU$4&lt;=($G39+$H39-1)))</f>
        <v/>
      </c>
      <c r="EV83" s="25">
        <f>IF(EV$4=0,-$E39*$F39,-($E39*(1-$F39))/$H39*(EV$4&gt;=$G39)*(EV$4&lt;=($G39+$H39-1)))</f>
        <v/>
      </c>
      <c r="EW83" s="25">
        <f>IF(EW$4=0,-$E39*$F39,-($E39*(1-$F39))/$H39*(EW$4&gt;=$G39)*(EW$4&lt;=($G39+$H39-1)))</f>
        <v/>
      </c>
      <c r="EX83" s="25">
        <f>IF(EX$4=0,-$E39*$F39,-($E39*(1-$F39))/$H39*(EX$4&gt;=$G39)*(EX$4&lt;=($G39+$H39-1)))</f>
        <v/>
      </c>
    </row>
    <row r="84">
      <c r="C84" s="7" t="inlineStr">
        <is>
          <t>Property Taxes</t>
        </is>
      </c>
      <c r="D84" s="7" t="n"/>
      <c r="E84" s="7" t="n"/>
      <c r="F84" s="7" t="n"/>
      <c r="G84" s="7" t="n"/>
      <c r="H84" s="7" t="n"/>
      <c r="J84" s="9" t="inlineStr">
        <is>
          <t>Other Cost</t>
        </is>
      </c>
      <c r="M84" s="25">
        <f>SUMIF($V$4:$EX$4,"&lt;="&amp;$H$19,$V84:$EX84)</f>
        <v/>
      </c>
      <c r="V84" s="25">
        <f>IF(V$4=0,-$E40*$F40,-($E40*(1-$F40))/$H40*(V$4&gt;=$G40)*(V$4&lt;=($G40+$H40-1)))</f>
        <v/>
      </c>
      <c r="W84" s="25">
        <f>IF(W$4=0,-$E40*$F40,-($E40*(1-$F40))/$H40*(W$4&gt;=$G40)*(W$4&lt;=($G40+$H40-1)))</f>
        <v/>
      </c>
      <c r="X84" s="25">
        <f>IF(X$4=0,-$E40*$F40,-($E40*(1-$F40))/$H40*(X$4&gt;=$G40)*(X$4&lt;=($G40+$H40-1)))</f>
        <v/>
      </c>
      <c r="Y84" s="25">
        <f>IF(Y$4=0,-$E40*$F40,-($E40*(1-$F40))/$H40*(Y$4&gt;=$G40)*(Y$4&lt;=($G40+$H40-1)))</f>
        <v/>
      </c>
      <c r="Z84" s="25">
        <f>IF(Z$4=0,-$E40*$F40,-($E40*(1-$F40))/$H40*(Z$4&gt;=$G40)*(Z$4&lt;=($G40+$H40-1)))</f>
        <v/>
      </c>
      <c r="AA84" s="25">
        <f>IF(AA$4=0,-$E40*$F40,-($E40*(1-$F40))/$H40*(AA$4&gt;=$G40)*(AA$4&lt;=($G40+$H40-1)))</f>
        <v/>
      </c>
      <c r="AB84" s="25">
        <f>IF(AB$4=0,-$E40*$F40,-($E40*(1-$F40))/$H40*(AB$4&gt;=$G40)*(AB$4&lt;=($G40+$H40-1)))</f>
        <v/>
      </c>
      <c r="AC84" s="25">
        <f>IF(AC$4=0,-$E40*$F40,-($E40*(1-$F40))/$H40*(AC$4&gt;=$G40)*(AC$4&lt;=($G40+$H40-1)))</f>
        <v/>
      </c>
      <c r="AD84" s="25">
        <f>IF(AD$4=0,-$E40*$F40,-($E40*(1-$F40))/$H40*(AD$4&gt;=$G40)*(AD$4&lt;=($G40+$H40-1)))</f>
        <v/>
      </c>
      <c r="AE84" s="25">
        <f>IF(AE$4=0,-$E40*$F40,-($E40*(1-$F40))/$H40*(AE$4&gt;=$G40)*(AE$4&lt;=($G40+$H40-1)))</f>
        <v/>
      </c>
      <c r="AF84" s="25">
        <f>IF(AF$4=0,-$E40*$F40,-($E40*(1-$F40))/$H40*(AF$4&gt;=$G40)*(AF$4&lt;=($G40+$H40-1)))</f>
        <v/>
      </c>
      <c r="AG84" s="25">
        <f>IF(AG$4=0,-$E40*$F40,-($E40*(1-$F40))/$H40*(AG$4&gt;=$G40)*(AG$4&lt;=($G40+$H40-1)))</f>
        <v/>
      </c>
      <c r="AH84" s="25">
        <f>IF(AH$4=0,-$E40*$F40,-($E40*(1-$F40))/$H40*(AH$4&gt;=$G40)*(AH$4&lt;=($G40+$H40-1)))</f>
        <v/>
      </c>
      <c r="AI84" s="25">
        <f>IF(AI$4=0,-$E40*$F40,-($E40*(1-$F40))/$H40*(AI$4&gt;=$G40)*(AI$4&lt;=($G40+$H40-1)))</f>
        <v/>
      </c>
      <c r="AJ84" s="25">
        <f>IF(AJ$4=0,-$E40*$F40,-($E40*(1-$F40))/$H40*(AJ$4&gt;=$G40)*(AJ$4&lt;=($G40+$H40-1)))</f>
        <v/>
      </c>
      <c r="AK84" s="25">
        <f>IF(AK$4=0,-$E40*$F40,-($E40*(1-$F40))/$H40*(AK$4&gt;=$G40)*(AK$4&lt;=($G40+$H40-1)))</f>
        <v/>
      </c>
      <c r="AL84" s="25">
        <f>IF(AL$4=0,-$E40*$F40,-($E40*(1-$F40))/$H40*(AL$4&gt;=$G40)*(AL$4&lt;=($G40+$H40-1)))</f>
        <v/>
      </c>
      <c r="AM84" s="25">
        <f>IF(AM$4=0,-$E40*$F40,-($E40*(1-$F40))/$H40*(AM$4&gt;=$G40)*(AM$4&lt;=($G40+$H40-1)))</f>
        <v/>
      </c>
      <c r="AN84" s="25">
        <f>IF(AN$4=0,-$E40*$F40,-($E40*(1-$F40))/$H40*(AN$4&gt;=$G40)*(AN$4&lt;=($G40+$H40-1)))</f>
        <v/>
      </c>
      <c r="AO84" s="25">
        <f>IF(AO$4=0,-$E40*$F40,-($E40*(1-$F40))/$H40*(AO$4&gt;=$G40)*(AO$4&lt;=($G40+$H40-1)))</f>
        <v/>
      </c>
      <c r="AP84" s="25">
        <f>IF(AP$4=0,-$E40*$F40,-($E40*(1-$F40))/$H40*(AP$4&gt;=$G40)*(AP$4&lt;=($G40+$H40-1)))</f>
        <v/>
      </c>
      <c r="AQ84" s="25">
        <f>IF(AQ$4=0,-$E40*$F40,-($E40*(1-$F40))/$H40*(AQ$4&gt;=$G40)*(AQ$4&lt;=($G40+$H40-1)))</f>
        <v/>
      </c>
      <c r="AR84" s="25">
        <f>IF(AR$4=0,-$E40*$F40,-($E40*(1-$F40))/$H40*(AR$4&gt;=$G40)*(AR$4&lt;=($G40+$H40-1)))</f>
        <v/>
      </c>
      <c r="AS84" s="25">
        <f>IF(AS$4=0,-$E40*$F40,-($E40*(1-$F40))/$H40*(AS$4&gt;=$G40)*(AS$4&lt;=($G40+$H40-1)))</f>
        <v/>
      </c>
      <c r="AT84" s="25">
        <f>IF(AT$4=0,-$E40*$F40,-($E40*(1-$F40))/$H40*(AT$4&gt;=$G40)*(AT$4&lt;=($G40+$H40-1)))</f>
        <v/>
      </c>
      <c r="AU84" s="25">
        <f>IF(AU$4=0,-$E40*$F40,-($E40*(1-$F40))/$H40*(AU$4&gt;=$G40)*(AU$4&lt;=($G40+$H40-1)))</f>
        <v/>
      </c>
      <c r="AV84" s="25">
        <f>IF(AV$4=0,-$E40*$F40,-($E40*(1-$F40))/$H40*(AV$4&gt;=$G40)*(AV$4&lt;=($G40+$H40-1)))</f>
        <v/>
      </c>
      <c r="AW84" s="25">
        <f>IF(AW$4=0,-$E40*$F40,-($E40*(1-$F40))/$H40*(AW$4&gt;=$G40)*(AW$4&lt;=($G40+$H40-1)))</f>
        <v/>
      </c>
      <c r="AX84" s="25">
        <f>IF(AX$4=0,-$E40*$F40,-($E40*(1-$F40))/$H40*(AX$4&gt;=$G40)*(AX$4&lt;=($G40+$H40-1)))</f>
        <v/>
      </c>
      <c r="AY84" s="25">
        <f>IF(AY$4=0,-$E40*$F40,-($E40*(1-$F40))/$H40*(AY$4&gt;=$G40)*(AY$4&lt;=($G40+$H40-1)))</f>
        <v/>
      </c>
      <c r="AZ84" s="25">
        <f>IF(AZ$4=0,-$E40*$F40,-($E40*(1-$F40))/$H40*(AZ$4&gt;=$G40)*(AZ$4&lt;=($G40+$H40-1)))</f>
        <v/>
      </c>
      <c r="BA84" s="25">
        <f>IF(BA$4=0,-$E40*$F40,-($E40*(1-$F40))/$H40*(BA$4&gt;=$G40)*(BA$4&lt;=($G40+$H40-1)))</f>
        <v/>
      </c>
      <c r="BB84" s="25">
        <f>IF(BB$4=0,-$E40*$F40,-($E40*(1-$F40))/$H40*(BB$4&gt;=$G40)*(BB$4&lt;=($G40+$H40-1)))</f>
        <v/>
      </c>
      <c r="BC84" s="25">
        <f>IF(BC$4=0,-$E40*$F40,-($E40*(1-$F40))/$H40*(BC$4&gt;=$G40)*(BC$4&lt;=($G40+$H40-1)))</f>
        <v/>
      </c>
      <c r="BD84" s="25">
        <f>IF(BD$4=0,-$E40*$F40,-($E40*(1-$F40))/$H40*(BD$4&gt;=$G40)*(BD$4&lt;=($G40+$H40-1)))</f>
        <v/>
      </c>
      <c r="BE84" s="25">
        <f>IF(BE$4=0,-$E40*$F40,-($E40*(1-$F40))/$H40*(BE$4&gt;=$G40)*(BE$4&lt;=($G40+$H40-1)))</f>
        <v/>
      </c>
      <c r="BF84" s="25">
        <f>IF(BF$4=0,-$E40*$F40,-($E40*(1-$F40))/$H40*(BF$4&gt;=$G40)*(BF$4&lt;=($G40+$H40-1)))</f>
        <v/>
      </c>
      <c r="BG84" s="25">
        <f>IF(BG$4=0,-$E40*$F40,-($E40*(1-$F40))/$H40*(BG$4&gt;=$G40)*(BG$4&lt;=($G40+$H40-1)))</f>
        <v/>
      </c>
      <c r="BH84" s="25">
        <f>IF(BH$4=0,-$E40*$F40,-($E40*(1-$F40))/$H40*(BH$4&gt;=$G40)*(BH$4&lt;=($G40+$H40-1)))</f>
        <v/>
      </c>
      <c r="BI84" s="25">
        <f>IF(BI$4=0,-$E40*$F40,-($E40*(1-$F40))/$H40*(BI$4&gt;=$G40)*(BI$4&lt;=($G40+$H40-1)))</f>
        <v/>
      </c>
      <c r="BJ84" s="25">
        <f>IF(BJ$4=0,-$E40*$F40,-($E40*(1-$F40))/$H40*(BJ$4&gt;=$G40)*(BJ$4&lt;=($G40+$H40-1)))</f>
        <v/>
      </c>
      <c r="BK84" s="25">
        <f>IF(BK$4=0,-$E40*$F40,-($E40*(1-$F40))/$H40*(BK$4&gt;=$G40)*(BK$4&lt;=($G40+$H40-1)))</f>
        <v/>
      </c>
      <c r="BL84" s="25">
        <f>IF(BL$4=0,-$E40*$F40,-($E40*(1-$F40))/$H40*(BL$4&gt;=$G40)*(BL$4&lt;=($G40+$H40-1)))</f>
        <v/>
      </c>
      <c r="BM84" s="25">
        <f>IF(BM$4=0,-$E40*$F40,-($E40*(1-$F40))/$H40*(BM$4&gt;=$G40)*(BM$4&lt;=($G40+$H40-1)))</f>
        <v/>
      </c>
      <c r="BN84" s="25">
        <f>IF(BN$4=0,-$E40*$F40,-($E40*(1-$F40))/$H40*(BN$4&gt;=$G40)*(BN$4&lt;=($G40+$H40-1)))</f>
        <v/>
      </c>
      <c r="BO84" s="25">
        <f>IF(BO$4=0,-$E40*$F40,-($E40*(1-$F40))/$H40*(BO$4&gt;=$G40)*(BO$4&lt;=($G40+$H40-1)))</f>
        <v/>
      </c>
      <c r="BP84" s="25">
        <f>IF(BP$4=0,-$E40*$F40,-($E40*(1-$F40))/$H40*(BP$4&gt;=$G40)*(BP$4&lt;=($G40+$H40-1)))</f>
        <v/>
      </c>
      <c r="BQ84" s="25">
        <f>IF(BQ$4=0,-$E40*$F40,-($E40*(1-$F40))/$H40*(BQ$4&gt;=$G40)*(BQ$4&lt;=($G40+$H40-1)))</f>
        <v/>
      </c>
      <c r="BR84" s="25">
        <f>IF(BR$4=0,-$E40*$F40,-($E40*(1-$F40))/$H40*(BR$4&gt;=$G40)*(BR$4&lt;=($G40+$H40-1)))</f>
        <v/>
      </c>
      <c r="BS84" s="25">
        <f>IF(BS$4=0,-$E40*$F40,-($E40*(1-$F40))/$H40*(BS$4&gt;=$G40)*(BS$4&lt;=($G40+$H40-1)))</f>
        <v/>
      </c>
      <c r="BT84" s="25">
        <f>IF(BT$4=0,-$E40*$F40,-($E40*(1-$F40))/$H40*(BT$4&gt;=$G40)*(BT$4&lt;=($G40+$H40-1)))</f>
        <v/>
      </c>
      <c r="BU84" s="25">
        <f>IF(BU$4=0,-$E40*$F40,-($E40*(1-$F40))/$H40*(BU$4&gt;=$G40)*(BU$4&lt;=($G40+$H40-1)))</f>
        <v/>
      </c>
      <c r="BV84" s="25">
        <f>IF(BV$4=0,-$E40*$F40,-($E40*(1-$F40))/$H40*(BV$4&gt;=$G40)*(BV$4&lt;=($G40+$H40-1)))</f>
        <v/>
      </c>
      <c r="BW84" s="25">
        <f>IF(BW$4=0,-$E40*$F40,-($E40*(1-$F40))/$H40*(BW$4&gt;=$G40)*(BW$4&lt;=($G40+$H40-1)))</f>
        <v/>
      </c>
      <c r="BX84" s="25">
        <f>IF(BX$4=0,-$E40*$F40,-($E40*(1-$F40))/$H40*(BX$4&gt;=$G40)*(BX$4&lt;=($G40+$H40-1)))</f>
        <v/>
      </c>
      <c r="BY84" s="25">
        <f>IF(BY$4=0,-$E40*$F40,-($E40*(1-$F40))/$H40*(BY$4&gt;=$G40)*(BY$4&lt;=($G40+$H40-1)))</f>
        <v/>
      </c>
      <c r="BZ84" s="25">
        <f>IF(BZ$4=0,-$E40*$F40,-($E40*(1-$F40))/$H40*(BZ$4&gt;=$G40)*(BZ$4&lt;=($G40+$H40-1)))</f>
        <v/>
      </c>
      <c r="CA84" s="25">
        <f>IF(CA$4=0,-$E40*$F40,-($E40*(1-$F40))/$H40*(CA$4&gt;=$G40)*(CA$4&lt;=($G40+$H40-1)))</f>
        <v/>
      </c>
      <c r="CB84" s="25">
        <f>IF(CB$4=0,-$E40*$F40,-($E40*(1-$F40))/$H40*(CB$4&gt;=$G40)*(CB$4&lt;=($G40+$H40-1)))</f>
        <v/>
      </c>
      <c r="CC84" s="25">
        <f>IF(CC$4=0,-$E40*$F40,-($E40*(1-$F40))/$H40*(CC$4&gt;=$G40)*(CC$4&lt;=($G40+$H40-1)))</f>
        <v/>
      </c>
      <c r="CD84" s="25">
        <f>IF(CD$4=0,-$E40*$F40,-($E40*(1-$F40))/$H40*(CD$4&gt;=$G40)*(CD$4&lt;=($G40+$H40-1)))</f>
        <v/>
      </c>
      <c r="CE84" s="25">
        <f>IF(CE$4=0,-$E40*$F40,-($E40*(1-$F40))/$H40*(CE$4&gt;=$G40)*(CE$4&lt;=($G40+$H40-1)))</f>
        <v/>
      </c>
      <c r="CF84" s="25">
        <f>IF(CF$4=0,-$E40*$F40,-($E40*(1-$F40))/$H40*(CF$4&gt;=$G40)*(CF$4&lt;=($G40+$H40-1)))</f>
        <v/>
      </c>
      <c r="CG84" s="25">
        <f>IF(CG$4=0,-$E40*$F40,-($E40*(1-$F40))/$H40*(CG$4&gt;=$G40)*(CG$4&lt;=($G40+$H40-1)))</f>
        <v/>
      </c>
      <c r="CH84" s="25">
        <f>IF(CH$4=0,-$E40*$F40,-($E40*(1-$F40))/$H40*(CH$4&gt;=$G40)*(CH$4&lt;=($G40+$H40-1)))</f>
        <v/>
      </c>
      <c r="CI84" s="25">
        <f>IF(CI$4=0,-$E40*$F40,-($E40*(1-$F40))/$H40*(CI$4&gt;=$G40)*(CI$4&lt;=($G40+$H40-1)))</f>
        <v/>
      </c>
      <c r="CJ84" s="25">
        <f>IF(CJ$4=0,-$E40*$F40,-($E40*(1-$F40))/$H40*(CJ$4&gt;=$G40)*(CJ$4&lt;=($G40+$H40-1)))</f>
        <v/>
      </c>
      <c r="CK84" s="25">
        <f>IF(CK$4=0,-$E40*$F40,-($E40*(1-$F40))/$H40*(CK$4&gt;=$G40)*(CK$4&lt;=($G40+$H40-1)))</f>
        <v/>
      </c>
      <c r="CL84" s="25">
        <f>IF(CL$4=0,-$E40*$F40,-($E40*(1-$F40))/$H40*(CL$4&gt;=$G40)*(CL$4&lt;=($G40+$H40-1)))</f>
        <v/>
      </c>
      <c r="CM84" s="25">
        <f>IF(CM$4=0,-$E40*$F40,-($E40*(1-$F40))/$H40*(CM$4&gt;=$G40)*(CM$4&lt;=($G40+$H40-1)))</f>
        <v/>
      </c>
      <c r="CN84" s="25">
        <f>IF(CN$4=0,-$E40*$F40,-($E40*(1-$F40))/$H40*(CN$4&gt;=$G40)*(CN$4&lt;=($G40+$H40-1)))</f>
        <v/>
      </c>
      <c r="CO84" s="25">
        <f>IF(CO$4=0,-$E40*$F40,-($E40*(1-$F40))/$H40*(CO$4&gt;=$G40)*(CO$4&lt;=($G40+$H40-1)))</f>
        <v/>
      </c>
      <c r="CP84" s="25">
        <f>IF(CP$4=0,-$E40*$F40,-($E40*(1-$F40))/$H40*(CP$4&gt;=$G40)*(CP$4&lt;=($G40+$H40-1)))</f>
        <v/>
      </c>
      <c r="CQ84" s="25">
        <f>IF(CQ$4=0,-$E40*$F40,-($E40*(1-$F40))/$H40*(CQ$4&gt;=$G40)*(CQ$4&lt;=($G40+$H40-1)))</f>
        <v/>
      </c>
      <c r="CR84" s="25">
        <f>IF(CR$4=0,-$E40*$F40,-($E40*(1-$F40))/$H40*(CR$4&gt;=$G40)*(CR$4&lt;=($G40+$H40-1)))</f>
        <v/>
      </c>
      <c r="CS84" s="25">
        <f>IF(CS$4=0,-$E40*$F40,-($E40*(1-$F40))/$H40*(CS$4&gt;=$G40)*(CS$4&lt;=($G40+$H40-1)))</f>
        <v/>
      </c>
      <c r="CT84" s="25">
        <f>IF(CT$4=0,-$E40*$F40,-($E40*(1-$F40))/$H40*(CT$4&gt;=$G40)*(CT$4&lt;=($G40+$H40-1)))</f>
        <v/>
      </c>
      <c r="CU84" s="25">
        <f>IF(CU$4=0,-$E40*$F40,-($E40*(1-$F40))/$H40*(CU$4&gt;=$G40)*(CU$4&lt;=($G40+$H40-1)))</f>
        <v/>
      </c>
      <c r="CV84" s="25">
        <f>IF(CV$4=0,-$E40*$F40,-($E40*(1-$F40))/$H40*(CV$4&gt;=$G40)*(CV$4&lt;=($G40+$H40-1)))</f>
        <v/>
      </c>
      <c r="CW84" s="25">
        <f>IF(CW$4=0,-$E40*$F40,-($E40*(1-$F40))/$H40*(CW$4&gt;=$G40)*(CW$4&lt;=($G40+$H40-1)))</f>
        <v/>
      </c>
      <c r="CX84" s="25">
        <f>IF(CX$4=0,-$E40*$F40,-($E40*(1-$F40))/$H40*(CX$4&gt;=$G40)*(CX$4&lt;=($G40+$H40-1)))</f>
        <v/>
      </c>
      <c r="CY84" s="25">
        <f>IF(CY$4=0,-$E40*$F40,-($E40*(1-$F40))/$H40*(CY$4&gt;=$G40)*(CY$4&lt;=($G40+$H40-1)))</f>
        <v/>
      </c>
      <c r="CZ84" s="25">
        <f>IF(CZ$4=0,-$E40*$F40,-($E40*(1-$F40))/$H40*(CZ$4&gt;=$G40)*(CZ$4&lt;=($G40+$H40-1)))</f>
        <v/>
      </c>
      <c r="DA84" s="25">
        <f>IF(DA$4=0,-$E40*$F40,-($E40*(1-$F40))/$H40*(DA$4&gt;=$G40)*(DA$4&lt;=($G40+$H40-1)))</f>
        <v/>
      </c>
      <c r="DB84" s="25">
        <f>IF(DB$4=0,-$E40*$F40,-($E40*(1-$F40))/$H40*(DB$4&gt;=$G40)*(DB$4&lt;=($G40+$H40-1)))</f>
        <v/>
      </c>
      <c r="DC84" s="25">
        <f>IF(DC$4=0,-$E40*$F40,-($E40*(1-$F40))/$H40*(DC$4&gt;=$G40)*(DC$4&lt;=($G40+$H40-1)))</f>
        <v/>
      </c>
      <c r="DD84" s="25">
        <f>IF(DD$4=0,-$E40*$F40,-($E40*(1-$F40))/$H40*(DD$4&gt;=$G40)*(DD$4&lt;=($G40+$H40-1)))</f>
        <v/>
      </c>
      <c r="DE84" s="25">
        <f>IF(DE$4=0,-$E40*$F40,-($E40*(1-$F40))/$H40*(DE$4&gt;=$G40)*(DE$4&lt;=($G40+$H40-1)))</f>
        <v/>
      </c>
      <c r="DF84" s="25">
        <f>IF(DF$4=0,-$E40*$F40,-($E40*(1-$F40))/$H40*(DF$4&gt;=$G40)*(DF$4&lt;=($G40+$H40-1)))</f>
        <v/>
      </c>
      <c r="DG84" s="25">
        <f>IF(DG$4=0,-$E40*$F40,-($E40*(1-$F40))/$H40*(DG$4&gt;=$G40)*(DG$4&lt;=($G40+$H40-1)))</f>
        <v/>
      </c>
      <c r="DH84" s="25">
        <f>IF(DH$4=0,-$E40*$F40,-($E40*(1-$F40))/$H40*(DH$4&gt;=$G40)*(DH$4&lt;=($G40+$H40-1)))</f>
        <v/>
      </c>
      <c r="DI84" s="25">
        <f>IF(DI$4=0,-$E40*$F40,-($E40*(1-$F40))/$H40*(DI$4&gt;=$G40)*(DI$4&lt;=($G40+$H40-1)))</f>
        <v/>
      </c>
      <c r="DJ84" s="25">
        <f>IF(DJ$4=0,-$E40*$F40,-($E40*(1-$F40))/$H40*(DJ$4&gt;=$G40)*(DJ$4&lt;=($G40+$H40-1)))</f>
        <v/>
      </c>
      <c r="DK84" s="25">
        <f>IF(DK$4=0,-$E40*$F40,-($E40*(1-$F40))/$H40*(DK$4&gt;=$G40)*(DK$4&lt;=($G40+$H40-1)))</f>
        <v/>
      </c>
      <c r="DL84" s="25">
        <f>IF(DL$4=0,-$E40*$F40,-($E40*(1-$F40))/$H40*(DL$4&gt;=$G40)*(DL$4&lt;=($G40+$H40-1)))</f>
        <v/>
      </c>
      <c r="DM84" s="25">
        <f>IF(DM$4=0,-$E40*$F40,-($E40*(1-$F40))/$H40*(DM$4&gt;=$G40)*(DM$4&lt;=($G40+$H40-1)))</f>
        <v/>
      </c>
      <c r="DN84" s="25">
        <f>IF(DN$4=0,-$E40*$F40,-($E40*(1-$F40))/$H40*(DN$4&gt;=$G40)*(DN$4&lt;=($G40+$H40-1)))</f>
        <v/>
      </c>
      <c r="DO84" s="25">
        <f>IF(DO$4=0,-$E40*$F40,-($E40*(1-$F40))/$H40*(DO$4&gt;=$G40)*(DO$4&lt;=($G40+$H40-1)))</f>
        <v/>
      </c>
      <c r="DP84" s="25">
        <f>IF(DP$4=0,-$E40*$F40,-($E40*(1-$F40))/$H40*(DP$4&gt;=$G40)*(DP$4&lt;=($G40+$H40-1)))</f>
        <v/>
      </c>
      <c r="DQ84" s="25">
        <f>IF(DQ$4=0,-$E40*$F40,-($E40*(1-$F40))/$H40*(DQ$4&gt;=$G40)*(DQ$4&lt;=($G40+$H40-1)))</f>
        <v/>
      </c>
      <c r="DR84" s="25">
        <f>IF(DR$4=0,-$E40*$F40,-($E40*(1-$F40))/$H40*(DR$4&gt;=$G40)*(DR$4&lt;=($G40+$H40-1)))</f>
        <v/>
      </c>
      <c r="DS84" s="25">
        <f>IF(DS$4=0,-$E40*$F40,-($E40*(1-$F40))/$H40*(DS$4&gt;=$G40)*(DS$4&lt;=($G40+$H40-1)))</f>
        <v/>
      </c>
      <c r="DT84" s="25">
        <f>IF(DT$4=0,-$E40*$F40,-($E40*(1-$F40))/$H40*(DT$4&gt;=$G40)*(DT$4&lt;=($G40+$H40-1)))</f>
        <v/>
      </c>
      <c r="DU84" s="25">
        <f>IF(DU$4=0,-$E40*$F40,-($E40*(1-$F40))/$H40*(DU$4&gt;=$G40)*(DU$4&lt;=($G40+$H40-1)))</f>
        <v/>
      </c>
      <c r="DV84" s="25">
        <f>IF(DV$4=0,-$E40*$F40,-($E40*(1-$F40))/$H40*(DV$4&gt;=$G40)*(DV$4&lt;=($G40+$H40-1)))</f>
        <v/>
      </c>
      <c r="DW84" s="25">
        <f>IF(DW$4=0,-$E40*$F40,-($E40*(1-$F40))/$H40*(DW$4&gt;=$G40)*(DW$4&lt;=($G40+$H40-1)))</f>
        <v/>
      </c>
      <c r="DX84" s="25">
        <f>IF(DX$4=0,-$E40*$F40,-($E40*(1-$F40))/$H40*(DX$4&gt;=$G40)*(DX$4&lt;=($G40+$H40-1)))</f>
        <v/>
      </c>
      <c r="DY84" s="25">
        <f>IF(DY$4=0,-$E40*$F40,-($E40*(1-$F40))/$H40*(DY$4&gt;=$G40)*(DY$4&lt;=($G40+$H40-1)))</f>
        <v/>
      </c>
      <c r="DZ84" s="25">
        <f>IF(DZ$4=0,-$E40*$F40,-($E40*(1-$F40))/$H40*(DZ$4&gt;=$G40)*(DZ$4&lt;=($G40+$H40-1)))</f>
        <v/>
      </c>
      <c r="EA84" s="25">
        <f>IF(EA$4=0,-$E40*$F40,-($E40*(1-$F40))/$H40*(EA$4&gt;=$G40)*(EA$4&lt;=($G40+$H40-1)))</f>
        <v/>
      </c>
      <c r="EB84" s="25">
        <f>IF(EB$4=0,-$E40*$F40,-($E40*(1-$F40))/$H40*(EB$4&gt;=$G40)*(EB$4&lt;=($G40+$H40-1)))</f>
        <v/>
      </c>
      <c r="EC84" s="25">
        <f>IF(EC$4=0,-$E40*$F40,-($E40*(1-$F40))/$H40*(EC$4&gt;=$G40)*(EC$4&lt;=($G40+$H40-1)))</f>
        <v/>
      </c>
      <c r="ED84" s="25">
        <f>IF(ED$4=0,-$E40*$F40,-($E40*(1-$F40))/$H40*(ED$4&gt;=$G40)*(ED$4&lt;=($G40+$H40-1)))</f>
        <v/>
      </c>
      <c r="EE84" s="25">
        <f>IF(EE$4=0,-$E40*$F40,-($E40*(1-$F40))/$H40*(EE$4&gt;=$G40)*(EE$4&lt;=($G40+$H40-1)))</f>
        <v/>
      </c>
      <c r="EF84" s="25">
        <f>IF(EF$4=0,-$E40*$F40,-($E40*(1-$F40))/$H40*(EF$4&gt;=$G40)*(EF$4&lt;=($G40+$H40-1)))</f>
        <v/>
      </c>
      <c r="EG84" s="25">
        <f>IF(EG$4=0,-$E40*$F40,-($E40*(1-$F40))/$H40*(EG$4&gt;=$G40)*(EG$4&lt;=($G40+$H40-1)))</f>
        <v/>
      </c>
      <c r="EH84" s="25">
        <f>IF(EH$4=0,-$E40*$F40,-($E40*(1-$F40))/$H40*(EH$4&gt;=$G40)*(EH$4&lt;=($G40+$H40-1)))</f>
        <v/>
      </c>
      <c r="EI84" s="25">
        <f>IF(EI$4=0,-$E40*$F40,-($E40*(1-$F40))/$H40*(EI$4&gt;=$G40)*(EI$4&lt;=($G40+$H40-1)))</f>
        <v/>
      </c>
      <c r="EJ84" s="25">
        <f>IF(EJ$4=0,-$E40*$F40,-($E40*(1-$F40))/$H40*(EJ$4&gt;=$G40)*(EJ$4&lt;=($G40+$H40-1)))</f>
        <v/>
      </c>
      <c r="EK84" s="25">
        <f>IF(EK$4=0,-$E40*$F40,-($E40*(1-$F40))/$H40*(EK$4&gt;=$G40)*(EK$4&lt;=($G40+$H40-1)))</f>
        <v/>
      </c>
      <c r="EL84" s="25">
        <f>IF(EL$4=0,-$E40*$F40,-($E40*(1-$F40))/$H40*(EL$4&gt;=$G40)*(EL$4&lt;=($G40+$H40-1)))</f>
        <v/>
      </c>
      <c r="EM84" s="25">
        <f>IF(EM$4=0,-$E40*$F40,-($E40*(1-$F40))/$H40*(EM$4&gt;=$G40)*(EM$4&lt;=($G40+$H40-1)))</f>
        <v/>
      </c>
      <c r="EN84" s="25">
        <f>IF(EN$4=0,-$E40*$F40,-($E40*(1-$F40))/$H40*(EN$4&gt;=$G40)*(EN$4&lt;=($G40+$H40-1)))</f>
        <v/>
      </c>
      <c r="EO84" s="25">
        <f>IF(EO$4=0,-$E40*$F40,-($E40*(1-$F40))/$H40*(EO$4&gt;=$G40)*(EO$4&lt;=($G40+$H40-1)))</f>
        <v/>
      </c>
      <c r="EP84" s="25">
        <f>IF(EP$4=0,-$E40*$F40,-($E40*(1-$F40))/$H40*(EP$4&gt;=$G40)*(EP$4&lt;=($G40+$H40-1)))</f>
        <v/>
      </c>
      <c r="EQ84" s="25">
        <f>IF(EQ$4=0,-$E40*$F40,-($E40*(1-$F40))/$H40*(EQ$4&gt;=$G40)*(EQ$4&lt;=($G40+$H40-1)))</f>
        <v/>
      </c>
      <c r="ER84" s="25">
        <f>IF(ER$4=0,-$E40*$F40,-($E40*(1-$F40))/$H40*(ER$4&gt;=$G40)*(ER$4&lt;=($G40+$H40-1)))</f>
        <v/>
      </c>
      <c r="ES84" s="25">
        <f>IF(ES$4=0,-$E40*$F40,-($E40*(1-$F40))/$H40*(ES$4&gt;=$G40)*(ES$4&lt;=($G40+$H40-1)))</f>
        <v/>
      </c>
      <c r="ET84" s="25">
        <f>IF(ET$4=0,-$E40*$F40,-($E40*(1-$F40))/$H40*(ET$4&gt;=$G40)*(ET$4&lt;=($G40+$H40-1)))</f>
        <v/>
      </c>
      <c r="EU84" s="25">
        <f>IF(EU$4=0,-$E40*$F40,-($E40*(1-$F40))/$H40*(EU$4&gt;=$G40)*(EU$4&lt;=($G40+$H40-1)))</f>
        <v/>
      </c>
      <c r="EV84" s="25">
        <f>IF(EV$4=0,-$E40*$F40,-($E40*(1-$F40))/$H40*(EV$4&gt;=$G40)*(EV$4&lt;=($G40+$H40-1)))</f>
        <v/>
      </c>
      <c r="EW84" s="25">
        <f>IF(EW$4=0,-$E40*$F40,-($E40*(1-$F40))/$H40*(EW$4&gt;=$G40)*(EW$4&lt;=($G40+$H40-1)))</f>
        <v/>
      </c>
      <c r="EX84" s="25">
        <f>IF(EX$4=0,-$E40*$F40,-($E40*(1-$F40))/$H40*(EX$4&gt;=$G40)*(EX$4&lt;=($G40+$H40-1)))</f>
        <v/>
      </c>
    </row>
    <row r="85" customFormat="1" s="264">
      <c r="A85" s="9" t="n"/>
      <c r="B85" s="9" t="n"/>
      <c r="C85" s="36" t="n"/>
      <c r="D85" s="23" t="n"/>
      <c r="E85" s="23" t="inlineStr">
        <is>
          <t>Current</t>
        </is>
      </c>
      <c r="F85" s="23" t="inlineStr">
        <is>
          <t>Next Buyer</t>
        </is>
      </c>
      <c r="G85" s="60" t="inlineStr">
        <is>
          <t>Note</t>
        </is>
      </c>
      <c r="H85" s="37" t="n"/>
      <c r="I85" s="12" t="n"/>
      <c r="J85" s="166" t="inlineStr">
        <is>
          <t>Unlevered Cash Flow</t>
        </is>
      </c>
      <c r="K85" s="166" t="n"/>
      <c r="L85" s="14" t="n"/>
      <c r="M85" s="269">
        <f>SUMIF($V$4:$EX$4,"&lt;="&amp;$H$19,$V85:$EX85)</f>
        <v/>
      </c>
      <c r="N85" s="14" t="n"/>
      <c r="O85" s="166">
        <f>SUMIF($V$5:$EX$5,O$7,$V85:$EX85)</f>
        <v/>
      </c>
      <c r="P85" s="166">
        <f>SUMIF($V$5:$EX$5,P$7,$V85:$EX85)</f>
        <v/>
      </c>
      <c r="Q85" s="166">
        <f>SUMIF($V$5:$EX$5,Q$7,$V85:$EX85)</f>
        <v/>
      </c>
      <c r="R85" s="166">
        <f>SUMIF($V$5:$EX$5,R$7,$V85:$EX85)</f>
        <v/>
      </c>
      <c r="S85" s="166">
        <f>SUMIF($V$5:$EX$5,S$7,$V85:$EX85)</f>
        <v/>
      </c>
      <c r="T85" s="166">
        <f>SUMIF($V$5:$EX$5,T$7,$V85:$EX85)</f>
        <v/>
      </c>
      <c r="U85" s="106" t="n"/>
      <c r="V85" s="269">
        <f>SUM(V80:V83)</f>
        <v/>
      </c>
      <c r="W85" s="269">
        <f>SUM(W80:W83)</f>
        <v/>
      </c>
      <c r="X85" s="269">
        <f>SUM(X80:X83)</f>
        <v/>
      </c>
      <c r="Y85" s="269">
        <f>SUM(Y80:Y83)</f>
        <v/>
      </c>
      <c r="Z85" s="269">
        <f>SUM(Z80:Z83)</f>
        <v/>
      </c>
      <c r="AA85" s="269">
        <f>SUM(AA80:AA83)</f>
        <v/>
      </c>
      <c r="AB85" s="269">
        <f>SUM(AB80:AB83)</f>
        <v/>
      </c>
      <c r="AC85" s="269">
        <f>SUM(AC80:AC83)</f>
        <v/>
      </c>
      <c r="AD85" s="269">
        <f>SUM(AD80:AD83)</f>
        <v/>
      </c>
      <c r="AE85" s="269">
        <f>SUM(AE80:AE83)</f>
        <v/>
      </c>
      <c r="AF85" s="269">
        <f>SUM(AF80:AF83)</f>
        <v/>
      </c>
      <c r="AG85" s="269">
        <f>SUM(AG80:AG83)</f>
        <v/>
      </c>
      <c r="AH85" s="269">
        <f>SUM(AH80:AH83)</f>
        <v/>
      </c>
      <c r="AI85" s="269">
        <f>SUM(AI80:AI83)</f>
        <v/>
      </c>
      <c r="AJ85" s="269">
        <f>SUM(AJ80:AJ83)</f>
        <v/>
      </c>
      <c r="AK85" s="269">
        <f>SUM(AK80:AK83)</f>
        <v/>
      </c>
      <c r="AL85" s="269">
        <f>SUM(AL80:AL83)</f>
        <v/>
      </c>
      <c r="AM85" s="269">
        <f>SUM(AM80:AM83)</f>
        <v/>
      </c>
      <c r="AN85" s="269">
        <f>SUM(AN80:AN83)</f>
        <v/>
      </c>
      <c r="AO85" s="269">
        <f>SUM(AO80:AO83)</f>
        <v/>
      </c>
      <c r="AP85" s="269">
        <f>SUM(AP80:AP83)</f>
        <v/>
      </c>
      <c r="AQ85" s="269">
        <f>SUM(AQ80:AQ83)</f>
        <v/>
      </c>
      <c r="AR85" s="269">
        <f>SUM(AR80:AR83)</f>
        <v/>
      </c>
      <c r="AS85" s="269">
        <f>SUM(AS80:AS83)</f>
        <v/>
      </c>
      <c r="AT85" s="269">
        <f>SUM(AT80:AT83)</f>
        <v/>
      </c>
      <c r="AU85" s="269">
        <f>SUM(AU80:AU83)</f>
        <v/>
      </c>
      <c r="AV85" s="269">
        <f>SUM(AV80:AV83)</f>
        <v/>
      </c>
      <c r="AW85" s="269">
        <f>SUM(AW80:AW83)</f>
        <v/>
      </c>
      <c r="AX85" s="269">
        <f>SUM(AX80:AX83)</f>
        <v/>
      </c>
      <c r="AY85" s="269">
        <f>SUM(AY80:AY83)</f>
        <v/>
      </c>
      <c r="AZ85" s="269">
        <f>SUM(AZ80:AZ83)</f>
        <v/>
      </c>
      <c r="BA85" s="269">
        <f>SUM(BA80:BA83)</f>
        <v/>
      </c>
      <c r="BB85" s="269">
        <f>SUM(BB80:BB83)</f>
        <v/>
      </c>
      <c r="BC85" s="269">
        <f>SUM(BC80:BC83)</f>
        <v/>
      </c>
      <c r="BD85" s="269">
        <f>SUM(BD80:BD83)</f>
        <v/>
      </c>
      <c r="BE85" s="269">
        <f>SUM(BE80:BE83)</f>
        <v/>
      </c>
      <c r="BF85" s="269">
        <f>SUM(BF80:BF83)</f>
        <v/>
      </c>
      <c r="BG85" s="269">
        <f>SUM(BG80:BG83)</f>
        <v/>
      </c>
      <c r="BH85" s="269">
        <f>SUM(BH80:BH83)</f>
        <v/>
      </c>
      <c r="BI85" s="269">
        <f>SUM(BI80:BI83)</f>
        <v/>
      </c>
      <c r="BJ85" s="269">
        <f>SUM(BJ80:BJ83)</f>
        <v/>
      </c>
      <c r="BK85" s="269">
        <f>SUM(BK80:BK83)</f>
        <v/>
      </c>
      <c r="BL85" s="269">
        <f>SUM(BL80:BL83)</f>
        <v/>
      </c>
      <c r="BM85" s="269">
        <f>SUM(BM80:BM83)</f>
        <v/>
      </c>
      <c r="BN85" s="269">
        <f>SUM(BN80:BN83)</f>
        <v/>
      </c>
      <c r="BO85" s="269">
        <f>SUM(BO80:BO83)</f>
        <v/>
      </c>
      <c r="BP85" s="269">
        <f>SUM(BP80:BP83)</f>
        <v/>
      </c>
      <c r="BQ85" s="269">
        <f>SUM(BQ80:BQ83)</f>
        <v/>
      </c>
      <c r="BR85" s="269">
        <f>SUM(BR80:BR83)</f>
        <v/>
      </c>
      <c r="BS85" s="269">
        <f>SUM(BS80:BS83)</f>
        <v/>
      </c>
      <c r="BT85" s="269">
        <f>SUM(BT80:BT83)</f>
        <v/>
      </c>
      <c r="BU85" s="269">
        <f>SUM(BU80:BU83)</f>
        <v/>
      </c>
      <c r="BV85" s="269">
        <f>SUM(BV80:BV83)</f>
        <v/>
      </c>
      <c r="BW85" s="269">
        <f>SUM(BW80:BW83)</f>
        <v/>
      </c>
      <c r="BX85" s="269">
        <f>SUM(BX80:BX83)</f>
        <v/>
      </c>
      <c r="BY85" s="269">
        <f>SUM(BY80:BY83)</f>
        <v/>
      </c>
      <c r="BZ85" s="269">
        <f>SUM(BZ80:BZ83)</f>
        <v/>
      </c>
      <c r="CA85" s="269">
        <f>SUM(CA80:CA83)</f>
        <v/>
      </c>
      <c r="CB85" s="269">
        <f>SUM(CB80:CB83)</f>
        <v/>
      </c>
      <c r="CC85" s="269">
        <f>SUM(CC80:CC83)</f>
        <v/>
      </c>
      <c r="CD85" s="269">
        <f>SUM(CD80:CD83)</f>
        <v/>
      </c>
      <c r="CE85" s="269">
        <f>SUM(CE80:CE83)</f>
        <v/>
      </c>
      <c r="CF85" s="269">
        <f>SUM(CF80:CF83)</f>
        <v/>
      </c>
      <c r="CG85" s="269">
        <f>SUM(CG80:CG83)</f>
        <v/>
      </c>
      <c r="CH85" s="269">
        <f>SUM(CH80:CH83)</f>
        <v/>
      </c>
      <c r="CI85" s="269">
        <f>SUM(CI80:CI83)</f>
        <v/>
      </c>
      <c r="CJ85" s="269">
        <f>SUM(CJ80:CJ83)</f>
        <v/>
      </c>
      <c r="CK85" s="269">
        <f>SUM(CK80:CK83)</f>
        <v/>
      </c>
      <c r="CL85" s="269">
        <f>SUM(CL80:CL83)</f>
        <v/>
      </c>
      <c r="CM85" s="269">
        <f>SUM(CM80:CM83)</f>
        <v/>
      </c>
      <c r="CN85" s="269">
        <f>SUM(CN80:CN83)</f>
        <v/>
      </c>
      <c r="CO85" s="269">
        <f>SUM(CO80:CO83)</f>
        <v/>
      </c>
      <c r="CP85" s="269">
        <f>SUM(CP80:CP83)</f>
        <v/>
      </c>
      <c r="CQ85" s="269">
        <f>SUM(CQ80:CQ83)</f>
        <v/>
      </c>
      <c r="CR85" s="269">
        <f>SUM(CR80:CR83)</f>
        <v/>
      </c>
      <c r="CS85" s="269">
        <f>SUM(CS80:CS83)</f>
        <v/>
      </c>
      <c r="CT85" s="269">
        <f>SUM(CT80:CT83)</f>
        <v/>
      </c>
      <c r="CU85" s="269">
        <f>SUM(CU80:CU83)</f>
        <v/>
      </c>
      <c r="CV85" s="269">
        <f>SUM(CV80:CV83)</f>
        <v/>
      </c>
      <c r="CW85" s="269">
        <f>SUM(CW80:CW83)</f>
        <v/>
      </c>
      <c r="CX85" s="269">
        <f>SUM(CX80:CX83)</f>
        <v/>
      </c>
      <c r="CY85" s="269">
        <f>SUM(CY80:CY83)</f>
        <v/>
      </c>
      <c r="CZ85" s="269">
        <f>SUM(CZ80:CZ83)</f>
        <v/>
      </c>
      <c r="DA85" s="269">
        <f>SUM(DA80:DA83)</f>
        <v/>
      </c>
      <c r="DB85" s="269">
        <f>SUM(DB80:DB83)</f>
        <v/>
      </c>
      <c r="DC85" s="269">
        <f>SUM(DC80:DC83)</f>
        <v/>
      </c>
      <c r="DD85" s="269">
        <f>SUM(DD80:DD83)</f>
        <v/>
      </c>
      <c r="DE85" s="269">
        <f>SUM(DE80:DE83)</f>
        <v/>
      </c>
      <c r="DF85" s="269">
        <f>SUM(DF80:DF83)</f>
        <v/>
      </c>
      <c r="DG85" s="269">
        <f>SUM(DG80:DG83)</f>
        <v/>
      </c>
      <c r="DH85" s="269">
        <f>SUM(DH80:DH83)</f>
        <v/>
      </c>
      <c r="DI85" s="269">
        <f>SUM(DI80:DI83)</f>
        <v/>
      </c>
      <c r="DJ85" s="269">
        <f>SUM(DJ80:DJ83)</f>
        <v/>
      </c>
      <c r="DK85" s="269">
        <f>SUM(DK80:DK83)</f>
        <v/>
      </c>
      <c r="DL85" s="269">
        <f>SUM(DL80:DL83)</f>
        <v/>
      </c>
      <c r="DM85" s="269">
        <f>SUM(DM80:DM83)</f>
        <v/>
      </c>
      <c r="DN85" s="269">
        <f>SUM(DN80:DN83)</f>
        <v/>
      </c>
      <c r="DO85" s="269">
        <f>SUM(DO80:DO83)</f>
        <v/>
      </c>
      <c r="DP85" s="269">
        <f>SUM(DP80:DP83)</f>
        <v/>
      </c>
      <c r="DQ85" s="269">
        <f>SUM(DQ80:DQ83)</f>
        <v/>
      </c>
      <c r="DR85" s="269">
        <f>SUM(DR80:DR83)</f>
        <v/>
      </c>
      <c r="DS85" s="269">
        <f>SUM(DS80:DS83)</f>
        <v/>
      </c>
      <c r="DT85" s="269">
        <f>SUM(DT80:DT83)</f>
        <v/>
      </c>
      <c r="DU85" s="269">
        <f>SUM(DU80:DU83)</f>
        <v/>
      </c>
      <c r="DV85" s="269">
        <f>SUM(DV80:DV83)</f>
        <v/>
      </c>
      <c r="DW85" s="269">
        <f>SUM(DW80:DW83)</f>
        <v/>
      </c>
      <c r="DX85" s="269">
        <f>SUM(DX80:DX83)</f>
        <v/>
      </c>
      <c r="DY85" s="269">
        <f>SUM(DY80:DY83)</f>
        <v/>
      </c>
      <c r="DZ85" s="269">
        <f>SUM(DZ80:DZ83)</f>
        <v/>
      </c>
      <c r="EA85" s="269">
        <f>SUM(EA80:EA83)</f>
        <v/>
      </c>
      <c r="EB85" s="269">
        <f>SUM(EB80:EB83)</f>
        <v/>
      </c>
      <c r="EC85" s="269">
        <f>SUM(EC80:EC83)</f>
        <v/>
      </c>
      <c r="ED85" s="269">
        <f>SUM(ED80:ED83)</f>
        <v/>
      </c>
      <c r="EE85" s="269">
        <f>SUM(EE80:EE83)</f>
        <v/>
      </c>
      <c r="EF85" s="269">
        <f>SUM(EF80:EF83)</f>
        <v/>
      </c>
      <c r="EG85" s="269">
        <f>SUM(EG80:EG83)</f>
        <v/>
      </c>
      <c r="EH85" s="269">
        <f>SUM(EH80:EH83)</f>
        <v/>
      </c>
      <c r="EI85" s="269">
        <f>SUM(EI80:EI83)</f>
        <v/>
      </c>
      <c r="EJ85" s="269">
        <f>SUM(EJ80:EJ83)</f>
        <v/>
      </c>
      <c r="EK85" s="269">
        <f>SUM(EK80:EK83)</f>
        <v/>
      </c>
      <c r="EL85" s="269">
        <f>SUM(EL80:EL83)</f>
        <v/>
      </c>
      <c r="EM85" s="269">
        <f>SUM(EM80:EM83)</f>
        <v/>
      </c>
      <c r="EN85" s="269">
        <f>SUM(EN80:EN83)</f>
        <v/>
      </c>
      <c r="EO85" s="269">
        <f>SUM(EO80:EO83)</f>
        <v/>
      </c>
      <c r="EP85" s="269">
        <f>SUM(EP80:EP83)</f>
        <v/>
      </c>
      <c r="EQ85" s="269">
        <f>SUM(EQ80:EQ83)</f>
        <v/>
      </c>
      <c r="ER85" s="269">
        <f>SUM(ER80:ER83)</f>
        <v/>
      </c>
      <c r="ES85" s="269">
        <f>SUM(ES80:ES83)</f>
        <v/>
      </c>
      <c r="ET85" s="269">
        <f>SUM(ET80:ET83)</f>
        <v/>
      </c>
      <c r="EU85" s="269">
        <f>SUM(EU80:EU83)</f>
        <v/>
      </c>
      <c r="EV85" s="269">
        <f>SUM(EV80:EV83)</f>
        <v/>
      </c>
      <c r="EW85" s="269">
        <f>SUM(EW80:EW83)</f>
        <v/>
      </c>
      <c r="EX85" s="269">
        <f>SUM(EX80:EX83)</f>
        <v/>
      </c>
    </row>
    <row r="86">
      <c r="B86" s="266" t="n"/>
      <c r="C86" s="12" t="inlineStr">
        <is>
          <t>Assessed Value</t>
        </is>
      </c>
      <c r="E86" s="341" t="n">
        <v>0</v>
      </c>
      <c r="F86" s="341" t="n">
        <v>0</v>
      </c>
      <c r="G86" s="55" t="n"/>
      <c r="K86" s="15" t="inlineStr">
        <is>
          <t>Net Profit</t>
        </is>
      </c>
      <c r="M86" s="264">
        <f>M85</f>
        <v/>
      </c>
    </row>
    <row r="87" customFormat="1" s="282">
      <c r="A87" s="9" t="n"/>
      <c r="B87" s="9" t="n"/>
      <c r="C87" s="12" t="inlineStr">
        <is>
          <t>Assessed Value/Unit</t>
        </is>
      </c>
      <c r="D87" s="9" t="n"/>
      <c r="E87" s="342" t="n">
        <v>0</v>
      </c>
      <c r="F87" s="342" t="n">
        <v>0</v>
      </c>
      <c r="G87" s="55" t="n"/>
      <c r="H87" s="9" t="n"/>
      <c r="I87" s="12" t="n"/>
      <c r="J87" s="9" t="n"/>
      <c r="K87" s="15" t="inlineStr">
        <is>
          <t>Peak Equity</t>
        </is>
      </c>
      <c r="L87" s="12" t="n"/>
      <c r="M87" s="264">
        <f>SUMIF(V85:EX85,"&lt;0",V85:EX85)</f>
        <v/>
      </c>
      <c r="N87" s="12" t="n"/>
      <c r="O87" s="9" t="n"/>
      <c r="P87" s="9" t="n"/>
      <c r="Q87" s="9" t="n"/>
      <c r="R87" s="9" t="n"/>
      <c r="S87" s="9" t="n"/>
      <c r="T87" s="9" t="n"/>
      <c r="U87" s="12" t="n"/>
      <c r="V87" s="264">
        <f>IF(V$4=0,-$E38*$F38,($E38-$V82)/$H38)*(V$4&gt;=$G$38)*(V$4&lt;=($G38+$H38-1))</f>
        <v/>
      </c>
      <c r="W87" s="264">
        <f>IF(W$4=0,-$E38*$F38,($E38-$V82)/$H38)*(W$4&gt;=$G$38)*(W$4&lt;=($G38+$H38-1))</f>
        <v/>
      </c>
      <c r="X87" s="264">
        <f>IF(X$4=0,-$E38*$F38,($E38-$V82)/$H38)*(X$4&gt;=$G$38)*(X$4&lt;=($G38+$H38-1))</f>
        <v/>
      </c>
      <c r="Y87" s="264">
        <f>IF(Y$4=0,-$E38*$F38,($E38-$V82)/$H38)*(Y$4&gt;=$G$38)*(Y$4&lt;=($G38+$H38-1))</f>
        <v/>
      </c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  <c r="BY87" s="9" t="n"/>
      <c r="BZ87" s="9" t="n"/>
      <c r="CA87" s="9" t="n"/>
      <c r="CB87" s="9" t="n"/>
      <c r="CC87" s="9" t="n"/>
      <c r="CD87" s="9" t="n"/>
      <c r="CE87" s="9" t="n"/>
      <c r="CF87" s="9" t="n"/>
      <c r="CG87" s="9" t="n"/>
      <c r="CH87" s="9" t="n"/>
      <c r="CI87" s="9" t="n"/>
      <c r="CJ87" s="9" t="n"/>
      <c r="CK87" s="9" t="n"/>
      <c r="CL87" s="9" t="n"/>
      <c r="CM87" s="9" t="n"/>
      <c r="CN87" s="9" t="n"/>
      <c r="CO87" s="9" t="n"/>
      <c r="CP87" s="9" t="n"/>
      <c r="CQ87" s="9" t="n"/>
      <c r="CR87" s="9" t="n"/>
      <c r="CS87" s="9" t="n"/>
      <c r="CT87" s="9" t="n"/>
      <c r="CU87" s="9" t="n"/>
      <c r="CV87" s="9" t="n"/>
      <c r="CW87" s="9" t="n"/>
      <c r="CX87" s="9" t="n"/>
      <c r="CY87" s="9" t="n"/>
      <c r="CZ87" s="9" t="n"/>
      <c r="DA87" s="9" t="n"/>
      <c r="DB87" s="9" t="n"/>
      <c r="DC87" s="9" t="n"/>
      <c r="DD87" s="9" t="n"/>
      <c r="DE87" s="9" t="n"/>
      <c r="DF87" s="9" t="n"/>
      <c r="DG87" s="9" t="n"/>
      <c r="DH87" s="9" t="n"/>
      <c r="DI87" s="9" t="n"/>
      <c r="DJ87" s="9" t="n"/>
      <c r="DK87" s="9" t="n"/>
      <c r="DL87" s="9" t="n"/>
      <c r="DM87" s="9" t="n"/>
      <c r="DN87" s="9" t="n"/>
      <c r="DO87" s="9" t="n"/>
      <c r="DP87" s="9" t="n"/>
      <c r="DQ87" s="9" t="n"/>
      <c r="DR87" s="9" t="n"/>
      <c r="DS87" s="9" t="n"/>
      <c r="DT87" s="9" t="n"/>
      <c r="DU87" s="9" t="n"/>
      <c r="DV87" s="9" t="n"/>
      <c r="DW87" s="9" t="n"/>
      <c r="DX87" s="9" t="n"/>
      <c r="DY87" s="9" t="n"/>
      <c r="DZ87" s="9" t="n"/>
      <c r="EA87" s="9" t="n"/>
      <c r="EB87" s="9" t="n"/>
      <c r="EC87" s="9" t="n"/>
      <c r="ED87" s="9" t="n"/>
      <c r="EE87" s="9" t="n"/>
      <c r="EF87" s="9" t="n"/>
      <c r="EG87" s="9" t="n"/>
      <c r="EH87" s="9" t="n"/>
      <c r="EI87" s="9" t="n"/>
      <c r="EJ87" s="9" t="n"/>
      <c r="EK87" s="9" t="n"/>
      <c r="EL87" s="9" t="n"/>
      <c r="EM87" s="9" t="n"/>
      <c r="EN87" s="9" t="n"/>
      <c r="EO87" s="9" t="n"/>
      <c r="EP87" s="9" t="n"/>
      <c r="EQ87" s="9" t="n"/>
      <c r="ER87" s="9" t="n"/>
      <c r="ES87" s="9" t="n"/>
      <c r="ET87" s="9" t="n"/>
      <c r="EU87" s="9" t="n"/>
      <c r="EV87" s="9" t="n"/>
      <c r="EW87" s="9" t="n"/>
      <c r="EX87" s="9" t="n"/>
    </row>
    <row r="88">
      <c r="B88" s="282" t="n"/>
      <c r="C88" s="12" t="inlineStr">
        <is>
          <t>Assessment %</t>
        </is>
      </c>
      <c r="E88" s="136" t="n">
        <v>1</v>
      </c>
      <c r="F88" s="136">
        <f>E88</f>
        <v/>
      </c>
      <c r="G88" s="55" t="n"/>
      <c r="K88" s="15" t="inlineStr">
        <is>
          <t>IRR</t>
        </is>
      </c>
      <c r="M88" s="164">
        <f>(1+IRR(V85:EX85,0))^12-1</f>
        <v/>
      </c>
    </row>
    <row r="89">
      <c r="A89" s="264" t="n"/>
      <c r="B89" s="33" t="n"/>
      <c r="C89" s="12" t="inlineStr">
        <is>
          <t>Millage Rate</t>
        </is>
      </c>
      <c r="D89" s="12" t="n"/>
      <c r="E89" s="343" t="n">
        <v>0.01892679804473016</v>
      </c>
      <c r="F89" s="343" t="n">
        <v>0.01892679804473016</v>
      </c>
      <c r="G89" s="55" t="n"/>
      <c r="K89" s="15" t="inlineStr">
        <is>
          <t>Equity Multiple</t>
        </is>
      </c>
      <c r="M89" s="312">
        <f>(M86-M87)/-M87</f>
        <v/>
      </c>
    </row>
    <row r="90">
      <c r="C90" s="12" t="inlineStr">
        <is>
          <t>Special Assessment</t>
        </is>
      </c>
      <c r="D90" s="12" t="n"/>
      <c r="E90" s="344" t="n">
        <v>0</v>
      </c>
      <c r="F90" s="344" t="n">
        <v>0</v>
      </c>
      <c r="G90" s="55" t="n"/>
    </row>
    <row r="91">
      <c r="B91" s="282" t="n"/>
      <c r="C91" s="14" t="inlineStr">
        <is>
          <t>Total Property Tax</t>
        </is>
      </c>
      <c r="D91" s="14" t="n"/>
      <c r="E91" s="324">
        <f>E86*E89+E90</f>
        <v/>
      </c>
      <c r="F91" s="324">
        <f>F86*F89</f>
        <v/>
      </c>
      <c r="G91" s="55" t="n"/>
      <c r="J91" s="36" t="inlineStr">
        <is>
          <t>Levered Cash Flow</t>
        </is>
      </c>
      <c r="K91" s="133" t="n"/>
      <c r="M91" s="204" t="n"/>
      <c r="O91" s="133" t="n"/>
      <c r="P91" s="133" t="n"/>
      <c r="Q91" s="133" t="n"/>
      <c r="R91" s="133" t="n"/>
      <c r="S91" s="133" t="n"/>
      <c r="T91" s="133" t="n"/>
      <c r="V91" s="133" t="n"/>
      <c r="W91" s="133" t="n"/>
      <c r="X91" s="133" t="n"/>
      <c r="Y91" s="133" t="n"/>
      <c r="Z91" s="133" t="n"/>
      <c r="AA91" s="133" t="n"/>
      <c r="AB91" s="133" t="n"/>
      <c r="AC91" s="133" t="n"/>
      <c r="AD91" s="133" t="n"/>
      <c r="AE91" s="133" t="n"/>
      <c r="AF91" s="133" t="n"/>
      <c r="AG91" s="133" t="n"/>
      <c r="AH91" s="133" t="n"/>
      <c r="AI91" s="133" t="n"/>
      <c r="AJ91" s="133" t="n"/>
      <c r="AK91" s="133" t="n"/>
      <c r="AL91" s="133" t="n"/>
      <c r="AM91" s="133" t="n"/>
      <c r="AN91" s="133" t="n"/>
      <c r="AO91" s="133" t="n"/>
      <c r="AP91" s="133" t="n"/>
      <c r="AQ91" s="133" t="n"/>
      <c r="AR91" s="133" t="n"/>
      <c r="AS91" s="133" t="n"/>
      <c r="AT91" s="133" t="n"/>
      <c r="AU91" s="133" t="n"/>
      <c r="AV91" s="133" t="n"/>
      <c r="AW91" s="133" t="n"/>
      <c r="AX91" s="133" t="n"/>
      <c r="AY91" s="133" t="n"/>
      <c r="AZ91" s="133" t="n"/>
      <c r="BA91" s="133" t="n"/>
      <c r="BB91" s="133" t="n"/>
      <c r="BC91" s="133" t="n"/>
      <c r="BD91" s="133" t="n"/>
      <c r="BE91" s="133" t="n"/>
      <c r="BF91" s="133" t="n"/>
      <c r="BG91" s="133" t="n"/>
      <c r="BH91" s="133" t="n"/>
      <c r="BI91" s="133" t="n"/>
      <c r="BJ91" s="133" t="n"/>
      <c r="BK91" s="133" t="n"/>
      <c r="BL91" s="133" t="n"/>
      <c r="BM91" s="133" t="n"/>
      <c r="BN91" s="133" t="n"/>
      <c r="BO91" s="133" t="n"/>
      <c r="BP91" s="133" t="n"/>
      <c r="BQ91" s="133" t="n"/>
      <c r="BR91" s="133" t="n"/>
      <c r="BS91" s="133" t="n"/>
      <c r="BT91" s="133" t="n"/>
      <c r="BU91" s="133" t="n"/>
      <c r="BV91" s="133" t="n"/>
      <c r="BW91" s="133" t="n"/>
      <c r="BX91" s="133" t="n"/>
      <c r="BY91" s="133" t="n"/>
      <c r="BZ91" s="133" t="n"/>
      <c r="CA91" s="133" t="n"/>
      <c r="CB91" s="133" t="n"/>
      <c r="CC91" s="133" t="n"/>
      <c r="CD91" s="133" t="n"/>
      <c r="CE91" s="133" t="n"/>
      <c r="CF91" s="133" t="n"/>
      <c r="CG91" s="133" t="n"/>
      <c r="CH91" s="133" t="n"/>
      <c r="CI91" s="133" t="n"/>
      <c r="CJ91" s="133" t="n"/>
      <c r="CK91" s="133" t="n"/>
      <c r="CL91" s="133" t="n"/>
      <c r="CM91" s="133" t="n"/>
      <c r="CN91" s="133" t="n"/>
      <c r="CO91" s="133" t="n"/>
      <c r="CP91" s="133" t="n"/>
      <c r="CQ91" s="133" t="n"/>
      <c r="CR91" s="133" t="n"/>
      <c r="CS91" s="133" t="n"/>
      <c r="CT91" s="133" t="n"/>
      <c r="CU91" s="133" t="n"/>
      <c r="CV91" s="133" t="n"/>
      <c r="CW91" s="133" t="n"/>
      <c r="CX91" s="133" t="n"/>
      <c r="CY91" s="133" t="n"/>
      <c r="CZ91" s="133" t="n"/>
      <c r="DA91" s="133" t="n"/>
      <c r="DB91" s="133" t="n"/>
      <c r="DC91" s="133" t="n"/>
      <c r="DD91" s="133" t="n"/>
      <c r="DE91" s="133" t="n"/>
      <c r="DF91" s="133" t="n"/>
      <c r="DG91" s="133" t="n"/>
      <c r="DH91" s="133" t="n"/>
      <c r="DI91" s="133" t="n"/>
      <c r="DJ91" s="133" t="n"/>
      <c r="DK91" s="133" t="n"/>
      <c r="DL91" s="133" t="n"/>
      <c r="DM91" s="133" t="n"/>
      <c r="DN91" s="133" t="n"/>
      <c r="DO91" s="133" t="n"/>
      <c r="DP91" s="133" t="n"/>
      <c r="DQ91" s="133" t="n"/>
      <c r="DR91" s="133" t="n"/>
      <c r="DS91" s="133" t="n"/>
      <c r="DT91" s="133" t="n"/>
      <c r="DU91" s="133" t="n"/>
      <c r="DV91" s="133" t="n"/>
      <c r="DW91" s="133" t="n"/>
      <c r="DX91" s="133" t="n"/>
      <c r="DY91" s="133" t="n"/>
      <c r="DZ91" s="133" t="n"/>
      <c r="EA91" s="133" t="n"/>
      <c r="EB91" s="133" t="n"/>
      <c r="EC91" s="133" t="n"/>
      <c r="ED91" s="133" t="n"/>
      <c r="EE91" s="133" t="n"/>
      <c r="EF91" s="133" t="n"/>
      <c r="EG91" s="133" t="n"/>
      <c r="EH91" s="133" t="n"/>
      <c r="EI91" s="133" t="n"/>
      <c r="EJ91" s="133" t="n"/>
      <c r="EK91" s="133" t="n"/>
      <c r="EL91" s="133" t="n"/>
      <c r="EM91" s="133" t="n"/>
      <c r="EN91" s="133" t="n"/>
      <c r="EO91" s="133" t="n"/>
      <c r="EP91" s="133" t="n"/>
      <c r="EQ91" s="133" t="n"/>
      <c r="ER91" s="133" t="n"/>
      <c r="ES91" s="133" t="n"/>
      <c r="ET91" s="133" t="n"/>
      <c r="EU91" s="133" t="n"/>
      <c r="EV91" s="133" t="n"/>
      <c r="EW91" s="133" t="n"/>
      <c r="EX91" s="133" t="n"/>
    </row>
    <row r="92">
      <c r="C92" s="14" t="inlineStr">
        <is>
          <t>Total Property Tax/Unit</t>
        </is>
      </c>
      <c r="D92" s="12" t="n"/>
      <c r="E92" s="324">
        <f>E91/$D$64</f>
        <v/>
      </c>
      <c r="F92" s="324">
        <f>F91/$D$64</f>
        <v/>
      </c>
      <c r="G92" s="55" t="n"/>
      <c r="J92" s="9" t="inlineStr">
        <is>
          <t>Unlevered Cash Flow</t>
        </is>
      </c>
      <c r="M92" s="25">
        <f>SUMIF($V$4:$EX$4,"&lt;="&amp;$H$19,$V92:$EX92)</f>
        <v/>
      </c>
      <c r="N92" s="56" t="n"/>
      <c r="O92" s="25">
        <f>SUMIF($V$5:$EX$5,O$7,$V92:$EX92)</f>
        <v/>
      </c>
      <c r="P92" s="25">
        <f>SUMIF($V$5:$EX$5,P$7,$V92:$EX92)</f>
        <v/>
      </c>
      <c r="Q92" s="25">
        <f>SUMIF($V$5:$EX$5,Q$7,$V92:$EX92)</f>
        <v/>
      </c>
      <c r="R92" s="25">
        <f>SUMIF($V$5:$EX$5,R$7,$V92:$EX92)</f>
        <v/>
      </c>
      <c r="S92" s="25">
        <f>SUMIF($V$5:$EX$5,S$7,$V92:$EX92)</f>
        <v/>
      </c>
      <c r="T92" s="25">
        <f>SUMIF($V$5:$EX$5,T$7,$V92:$EX92)</f>
        <v/>
      </c>
      <c r="U92" s="56" t="n"/>
      <c r="V92" s="25">
        <f>V85</f>
        <v/>
      </c>
      <c r="W92" s="25">
        <f>W85</f>
        <v/>
      </c>
      <c r="X92" s="25">
        <f>X85</f>
        <v/>
      </c>
      <c r="Y92" s="25">
        <f>Y85</f>
        <v/>
      </c>
      <c r="Z92" s="25">
        <f>Z85</f>
        <v/>
      </c>
      <c r="AA92" s="25">
        <f>AA85</f>
        <v/>
      </c>
      <c r="AB92" s="25">
        <f>AB85</f>
        <v/>
      </c>
      <c r="AC92" s="25">
        <f>AC85</f>
        <v/>
      </c>
      <c r="AD92" s="25">
        <f>AD85</f>
        <v/>
      </c>
      <c r="AE92" s="25">
        <f>AE85</f>
        <v/>
      </c>
      <c r="AF92" s="25">
        <f>AF85</f>
        <v/>
      </c>
      <c r="AG92" s="25">
        <f>AG85</f>
        <v/>
      </c>
      <c r="AH92" s="25">
        <f>AH85</f>
        <v/>
      </c>
      <c r="AI92" s="25">
        <f>AI85</f>
        <v/>
      </c>
      <c r="AJ92" s="25">
        <f>AJ85</f>
        <v/>
      </c>
      <c r="AK92" s="25">
        <f>AK85</f>
        <v/>
      </c>
      <c r="AL92" s="25">
        <f>AL85</f>
        <v/>
      </c>
      <c r="AM92" s="25">
        <f>AM85</f>
        <v/>
      </c>
      <c r="AN92" s="25">
        <f>AN85</f>
        <v/>
      </c>
      <c r="AO92" s="25">
        <f>AO85</f>
        <v/>
      </c>
      <c r="AP92" s="25">
        <f>AP85</f>
        <v/>
      </c>
      <c r="AQ92" s="25">
        <f>AQ85</f>
        <v/>
      </c>
      <c r="AR92" s="25">
        <f>AR85</f>
        <v/>
      </c>
      <c r="AS92" s="25">
        <f>AS85</f>
        <v/>
      </c>
      <c r="AT92" s="25">
        <f>AT85</f>
        <v/>
      </c>
      <c r="AU92" s="25">
        <f>AU85</f>
        <v/>
      </c>
      <c r="AV92" s="25">
        <f>AV85</f>
        <v/>
      </c>
      <c r="AW92" s="25">
        <f>AW85</f>
        <v/>
      </c>
      <c r="AX92" s="25">
        <f>AX85</f>
        <v/>
      </c>
      <c r="AY92" s="25">
        <f>AY85</f>
        <v/>
      </c>
      <c r="AZ92" s="25">
        <f>AZ85</f>
        <v/>
      </c>
      <c r="BA92" s="25">
        <f>BA85</f>
        <v/>
      </c>
      <c r="BB92" s="25">
        <f>BB85</f>
        <v/>
      </c>
      <c r="BC92" s="25">
        <f>BC85</f>
        <v/>
      </c>
      <c r="BD92" s="25">
        <f>BD85</f>
        <v/>
      </c>
      <c r="BE92" s="25">
        <f>BE85</f>
        <v/>
      </c>
      <c r="BF92" s="25">
        <f>BF85</f>
        <v/>
      </c>
      <c r="BG92" s="25">
        <f>BG85</f>
        <v/>
      </c>
      <c r="BH92" s="25">
        <f>BH85</f>
        <v/>
      </c>
      <c r="BI92" s="25">
        <f>BI85</f>
        <v/>
      </c>
      <c r="BJ92" s="25">
        <f>BJ85</f>
        <v/>
      </c>
      <c r="BK92" s="25">
        <f>BK85</f>
        <v/>
      </c>
      <c r="BL92" s="25">
        <f>BL85</f>
        <v/>
      </c>
      <c r="BM92" s="25">
        <f>BM85</f>
        <v/>
      </c>
      <c r="BN92" s="25">
        <f>BN85</f>
        <v/>
      </c>
      <c r="BO92" s="25">
        <f>BO85</f>
        <v/>
      </c>
      <c r="BP92" s="25">
        <f>BP85</f>
        <v/>
      </c>
      <c r="BQ92" s="25">
        <f>BQ85</f>
        <v/>
      </c>
      <c r="BR92" s="25">
        <f>BR85</f>
        <v/>
      </c>
      <c r="BS92" s="25">
        <f>BS85</f>
        <v/>
      </c>
      <c r="BT92" s="25">
        <f>BT85</f>
        <v/>
      </c>
      <c r="BU92" s="25">
        <f>BU85</f>
        <v/>
      </c>
      <c r="BV92" s="25">
        <f>BV85</f>
        <v/>
      </c>
      <c r="BW92" s="25">
        <f>BW85</f>
        <v/>
      </c>
      <c r="BX92" s="25">
        <f>BX85</f>
        <v/>
      </c>
      <c r="BY92" s="25">
        <f>BY85</f>
        <v/>
      </c>
      <c r="BZ92" s="25">
        <f>BZ85</f>
        <v/>
      </c>
      <c r="CA92" s="25">
        <f>CA85</f>
        <v/>
      </c>
      <c r="CB92" s="25">
        <f>CB85</f>
        <v/>
      </c>
      <c r="CC92" s="25">
        <f>CC85</f>
        <v/>
      </c>
      <c r="CD92" s="25">
        <f>CD85</f>
        <v/>
      </c>
      <c r="CE92" s="25">
        <f>CE85</f>
        <v/>
      </c>
      <c r="CF92" s="25">
        <f>CF85</f>
        <v/>
      </c>
      <c r="CG92" s="25">
        <f>CG85</f>
        <v/>
      </c>
      <c r="CH92" s="25">
        <f>CH85</f>
        <v/>
      </c>
      <c r="CI92" s="25">
        <f>CI85</f>
        <v/>
      </c>
      <c r="CJ92" s="25">
        <f>CJ85</f>
        <v/>
      </c>
      <c r="CK92" s="25">
        <f>CK85</f>
        <v/>
      </c>
      <c r="CL92" s="25">
        <f>CL85</f>
        <v/>
      </c>
      <c r="CM92" s="25">
        <f>CM85</f>
        <v/>
      </c>
      <c r="CN92" s="25">
        <f>CN85</f>
        <v/>
      </c>
      <c r="CO92" s="25">
        <f>CO85</f>
        <v/>
      </c>
      <c r="CP92" s="25">
        <f>CP85</f>
        <v/>
      </c>
      <c r="CQ92" s="25">
        <f>CQ85</f>
        <v/>
      </c>
      <c r="CR92" s="25">
        <f>CR85</f>
        <v/>
      </c>
      <c r="CS92" s="25">
        <f>CS85</f>
        <v/>
      </c>
      <c r="CT92" s="25">
        <f>CT85</f>
        <v/>
      </c>
      <c r="CU92" s="25">
        <f>CU85</f>
        <v/>
      </c>
      <c r="CV92" s="25">
        <f>CV85</f>
        <v/>
      </c>
      <c r="CW92" s="25">
        <f>CW85</f>
        <v/>
      </c>
      <c r="CX92" s="25">
        <f>CX85</f>
        <v/>
      </c>
      <c r="CY92" s="25">
        <f>CY85</f>
        <v/>
      </c>
      <c r="CZ92" s="25">
        <f>CZ85</f>
        <v/>
      </c>
      <c r="DA92" s="25">
        <f>DA85</f>
        <v/>
      </c>
      <c r="DB92" s="25">
        <f>DB85</f>
        <v/>
      </c>
      <c r="DC92" s="25">
        <f>DC85</f>
        <v/>
      </c>
      <c r="DD92" s="25">
        <f>DD85</f>
        <v/>
      </c>
      <c r="DE92" s="25">
        <f>DE85</f>
        <v/>
      </c>
      <c r="DF92" s="25">
        <f>DF85</f>
        <v/>
      </c>
      <c r="DG92" s="25">
        <f>DG85</f>
        <v/>
      </c>
      <c r="DH92" s="25">
        <f>DH85</f>
        <v/>
      </c>
      <c r="DI92" s="25">
        <f>DI85</f>
        <v/>
      </c>
      <c r="DJ92" s="25">
        <f>DJ85</f>
        <v/>
      </c>
      <c r="DK92" s="25">
        <f>DK85</f>
        <v/>
      </c>
      <c r="DL92" s="25">
        <f>DL85</f>
        <v/>
      </c>
      <c r="DM92" s="25">
        <f>DM85</f>
        <v/>
      </c>
      <c r="DN92" s="25">
        <f>DN85</f>
        <v/>
      </c>
      <c r="DO92" s="25">
        <f>DO85</f>
        <v/>
      </c>
      <c r="DP92" s="25">
        <f>DP85</f>
        <v/>
      </c>
      <c r="DQ92" s="25">
        <f>DQ85</f>
        <v/>
      </c>
      <c r="DR92" s="25">
        <f>DR85</f>
        <v/>
      </c>
      <c r="DS92" s="25">
        <f>DS85</f>
        <v/>
      </c>
      <c r="DT92" s="25">
        <f>DT85</f>
        <v/>
      </c>
      <c r="DU92" s="25">
        <f>DU85</f>
        <v/>
      </c>
      <c r="DV92" s="25">
        <f>DV85</f>
        <v/>
      </c>
      <c r="DW92" s="25">
        <f>DW85</f>
        <v/>
      </c>
      <c r="DX92" s="25">
        <f>DX85</f>
        <v/>
      </c>
      <c r="DY92" s="25">
        <f>DY85</f>
        <v/>
      </c>
      <c r="DZ92" s="25">
        <f>DZ85</f>
        <v/>
      </c>
      <c r="EA92" s="25">
        <f>EA85</f>
        <v/>
      </c>
      <c r="EB92" s="25">
        <f>EB85</f>
        <v/>
      </c>
      <c r="EC92" s="25">
        <f>EC85</f>
        <v/>
      </c>
      <c r="ED92" s="25">
        <f>ED85</f>
        <v/>
      </c>
      <c r="EE92" s="25">
        <f>EE85</f>
        <v/>
      </c>
      <c r="EF92" s="25">
        <f>EF85</f>
        <v/>
      </c>
      <c r="EG92" s="25">
        <f>EG85</f>
        <v/>
      </c>
      <c r="EH92" s="25">
        <f>EH85</f>
        <v/>
      </c>
      <c r="EI92" s="25">
        <f>EI85</f>
        <v/>
      </c>
      <c r="EJ92" s="25">
        <f>EJ85</f>
        <v/>
      </c>
      <c r="EK92" s="25">
        <f>EK85</f>
        <v/>
      </c>
      <c r="EL92" s="25">
        <f>EL85</f>
        <v/>
      </c>
      <c r="EM92" s="25">
        <f>EM85</f>
        <v/>
      </c>
      <c r="EN92" s="25">
        <f>EN85</f>
        <v/>
      </c>
      <c r="EO92" s="25">
        <f>EO85</f>
        <v/>
      </c>
      <c r="EP92" s="25">
        <f>EP85</f>
        <v/>
      </c>
      <c r="EQ92" s="25">
        <f>EQ85</f>
        <v/>
      </c>
      <c r="ER92" s="25">
        <f>ER85</f>
        <v/>
      </c>
      <c r="ES92" s="25">
        <f>ES85</f>
        <v/>
      </c>
      <c r="ET92" s="25">
        <f>ET85</f>
        <v/>
      </c>
      <c r="EU92" s="25">
        <f>EU85</f>
        <v/>
      </c>
      <c r="EV92" s="25">
        <f>EV85</f>
        <v/>
      </c>
      <c r="EW92" s="25">
        <f>EW85</f>
        <v/>
      </c>
      <c r="EX92" s="25">
        <f>EX85</f>
        <v/>
      </c>
    </row>
    <row r="93">
      <c r="J93" s="207" t="inlineStr">
        <is>
          <t>Senior Loan Financing Costs</t>
        </is>
      </c>
      <c r="K93" s="207" t="n"/>
      <c r="M93" s="208">
        <f>SUMIF($V$4:$EX$4,"&lt;="&amp;$H$19,$V93:$EX93)</f>
        <v/>
      </c>
      <c r="N93" s="56" t="n"/>
      <c r="O93" s="208">
        <f>SUMIF($V$5:$EX$5,O$7,$V93:$EX93)</f>
        <v/>
      </c>
      <c r="P93" s="208">
        <f>SUMIF($V$5:$EX$5,P$7,$V93:$EX93)</f>
        <v/>
      </c>
      <c r="Q93" s="208">
        <f>SUMIF($V$5:$EX$5,Q$7,$V93:$EX93)</f>
        <v/>
      </c>
      <c r="R93" s="208">
        <f>SUMIF($V$5:$EX$5,R$7,$V93:$EX93)</f>
        <v/>
      </c>
      <c r="S93" s="208">
        <f>SUMIF($V$5:$EX$5,S$7,$V93:$EX93)</f>
        <v/>
      </c>
      <c r="T93" s="208">
        <f>SUMIF($V$5:$EX$5,T$7,$V93:$EX93)</f>
        <v/>
      </c>
      <c r="U93" s="209" t="n"/>
      <c r="V93" s="208">
        <f>(V4=0)*-$E$50</f>
        <v/>
      </c>
      <c r="W93" s="208">
        <f>(W4=0)*-$E$50</f>
        <v/>
      </c>
      <c r="X93" s="208">
        <f>(X4=0)*-$E$50</f>
        <v/>
      </c>
      <c r="Y93" s="208">
        <f>(Y4=0)*-$E$50</f>
        <v/>
      </c>
      <c r="Z93" s="208">
        <f>(Z4=0)*-$E$50</f>
        <v/>
      </c>
      <c r="AA93" s="208">
        <f>(AA4=0)*-$E$50</f>
        <v/>
      </c>
      <c r="AB93" s="208">
        <f>(AB4=0)*-$E$50</f>
        <v/>
      </c>
      <c r="AC93" s="208">
        <f>(AC4=0)*-$E$50</f>
        <v/>
      </c>
      <c r="AD93" s="208">
        <f>(AD4=0)*-$E$50</f>
        <v/>
      </c>
      <c r="AE93" s="208">
        <f>(AE4=0)*-$E$50</f>
        <v/>
      </c>
      <c r="AF93" s="208">
        <f>(AF4=0)*-$E$50</f>
        <v/>
      </c>
      <c r="AG93" s="208">
        <f>(AG4=0)*-$E$50</f>
        <v/>
      </c>
      <c r="AH93" s="208">
        <f>(AH4=0)*-$E$50</f>
        <v/>
      </c>
      <c r="AI93" s="208">
        <f>(AI4=0)*-$E$50</f>
        <v/>
      </c>
      <c r="AJ93" s="208">
        <f>(AJ4=0)*-$E$50</f>
        <v/>
      </c>
      <c r="AK93" s="208">
        <f>(AK4=0)*-$E$50</f>
        <v/>
      </c>
      <c r="AL93" s="208">
        <f>(AL4=0)*-$E$50</f>
        <v/>
      </c>
      <c r="AM93" s="208">
        <f>(AM4=0)*-$E$50</f>
        <v/>
      </c>
      <c r="AN93" s="208">
        <f>(AN4=0)*-$E$50</f>
        <v/>
      </c>
      <c r="AO93" s="208">
        <f>(AO4=0)*-$E$50</f>
        <v/>
      </c>
      <c r="AP93" s="208">
        <f>(AP4=0)*-$E$50</f>
        <v/>
      </c>
      <c r="AQ93" s="208">
        <f>(AQ4=0)*-$E$50</f>
        <v/>
      </c>
      <c r="AR93" s="208">
        <f>(AR4=0)*-$E$50</f>
        <v/>
      </c>
      <c r="AS93" s="208">
        <f>(AS4=0)*-$E$50</f>
        <v/>
      </c>
      <c r="AT93" s="208">
        <f>(AT4=0)*-$E$50</f>
        <v/>
      </c>
      <c r="AU93" s="208">
        <f>(AU4=0)*-$E$50</f>
        <v/>
      </c>
      <c r="AV93" s="208">
        <f>(AV4=0)*-$E$50</f>
        <v/>
      </c>
      <c r="AW93" s="208">
        <f>(AW4=0)*-$E$50</f>
        <v/>
      </c>
      <c r="AX93" s="208">
        <f>(AX4=0)*-$E$50</f>
        <v/>
      </c>
      <c r="AY93" s="208">
        <f>(AY4=0)*-$E$50</f>
        <v/>
      </c>
      <c r="AZ93" s="208">
        <f>(AZ4=0)*-$E$50</f>
        <v/>
      </c>
      <c r="BA93" s="208">
        <f>(BA4=0)*-$E$50</f>
        <v/>
      </c>
      <c r="BB93" s="208">
        <f>(BB4=0)*-$E$50</f>
        <v/>
      </c>
      <c r="BC93" s="208">
        <f>(BC4=0)*-$E$50</f>
        <v/>
      </c>
      <c r="BD93" s="208">
        <f>(BD4=0)*-$E$50</f>
        <v/>
      </c>
      <c r="BE93" s="208">
        <f>(BE4=0)*-$E$50</f>
        <v/>
      </c>
      <c r="BF93" s="208">
        <f>(BF4=0)*-$E$50</f>
        <v/>
      </c>
      <c r="BG93" s="208">
        <f>(BG4=0)*-$E$50</f>
        <v/>
      </c>
      <c r="BH93" s="208">
        <f>(BH4=0)*-$E$50</f>
        <v/>
      </c>
      <c r="BI93" s="208">
        <f>(BI4=0)*-$E$50</f>
        <v/>
      </c>
      <c r="BJ93" s="208">
        <f>(BJ4=0)*-$E$50</f>
        <v/>
      </c>
      <c r="BK93" s="208">
        <f>(BK4=0)*-$E$50</f>
        <v/>
      </c>
      <c r="BL93" s="208">
        <f>(BL4=0)*-$E$50</f>
        <v/>
      </c>
      <c r="BM93" s="208">
        <f>(BM4=0)*-$E$50</f>
        <v/>
      </c>
      <c r="BN93" s="208">
        <f>(BN4=0)*-$E$50</f>
        <v/>
      </c>
      <c r="BO93" s="208">
        <f>(BO4=0)*-$E$50</f>
        <v/>
      </c>
      <c r="BP93" s="208">
        <f>(BP4=0)*-$E$50</f>
        <v/>
      </c>
      <c r="BQ93" s="208">
        <f>(BQ4=0)*-$E$50</f>
        <v/>
      </c>
      <c r="BR93" s="208">
        <f>(BR4=0)*-$E$50</f>
        <v/>
      </c>
      <c r="BS93" s="208">
        <f>(BS4=0)*-$E$50</f>
        <v/>
      </c>
      <c r="BT93" s="208">
        <f>(BT4=0)*-$E$50</f>
        <v/>
      </c>
      <c r="BU93" s="208">
        <f>(BU4=0)*-$E$50</f>
        <v/>
      </c>
      <c r="BV93" s="208">
        <f>(BV4=0)*-$E$50</f>
        <v/>
      </c>
      <c r="BW93" s="208">
        <f>(BW4=0)*-$E$50</f>
        <v/>
      </c>
      <c r="BX93" s="208">
        <f>(BX4=0)*-$E$50</f>
        <v/>
      </c>
      <c r="BY93" s="208">
        <f>(BY4=0)*-$E$50</f>
        <v/>
      </c>
      <c r="BZ93" s="208">
        <f>(BZ4=0)*-$E$50</f>
        <v/>
      </c>
      <c r="CA93" s="208">
        <f>(CA4=0)*-$E$50</f>
        <v/>
      </c>
      <c r="CB93" s="208">
        <f>(CB4=0)*-$E$50</f>
        <v/>
      </c>
      <c r="CC93" s="208">
        <f>(CC4=0)*-$E$50</f>
        <v/>
      </c>
      <c r="CD93" s="208">
        <f>(CD4=0)*-$E$50</f>
        <v/>
      </c>
      <c r="CE93" s="208">
        <f>(CE4=0)*-$E$50</f>
        <v/>
      </c>
      <c r="CF93" s="208">
        <f>(CF4=0)*-$E$50</f>
        <v/>
      </c>
      <c r="CG93" s="208">
        <f>(CG4=0)*-$E$50</f>
        <v/>
      </c>
      <c r="CH93" s="208">
        <f>(CH4=0)*-$E$50</f>
        <v/>
      </c>
      <c r="CI93" s="208">
        <f>(CI4=0)*-$E$50</f>
        <v/>
      </c>
      <c r="CJ93" s="208">
        <f>(CJ4=0)*-$E$50</f>
        <v/>
      </c>
      <c r="CK93" s="208">
        <f>(CK4=0)*-$E$50</f>
        <v/>
      </c>
      <c r="CL93" s="208">
        <f>(CL4=0)*-$E$50</f>
        <v/>
      </c>
      <c r="CM93" s="208">
        <f>(CM4=0)*-$E$50</f>
        <v/>
      </c>
      <c r="CN93" s="208">
        <f>(CN4=0)*-$E$50</f>
        <v/>
      </c>
      <c r="CO93" s="208">
        <f>(CO4=0)*-$E$50</f>
        <v/>
      </c>
      <c r="CP93" s="208">
        <f>(CP4=0)*-$E$50</f>
        <v/>
      </c>
      <c r="CQ93" s="208">
        <f>(CQ4=0)*-$E$50</f>
        <v/>
      </c>
      <c r="CR93" s="208">
        <f>(CR4=0)*-$E$50</f>
        <v/>
      </c>
      <c r="CS93" s="208">
        <f>(CS4=0)*-$E$50</f>
        <v/>
      </c>
      <c r="CT93" s="208">
        <f>(CT4=0)*-$E$50</f>
        <v/>
      </c>
      <c r="CU93" s="208">
        <f>(CU4=0)*-$E$50</f>
        <v/>
      </c>
      <c r="CV93" s="208">
        <f>(CV4=0)*-$E$50</f>
        <v/>
      </c>
      <c r="CW93" s="208">
        <f>(CW4=0)*-$E$50</f>
        <v/>
      </c>
      <c r="CX93" s="208">
        <f>(CX4=0)*-$E$50</f>
        <v/>
      </c>
      <c r="CY93" s="208">
        <f>(CY4=0)*-$E$50</f>
        <v/>
      </c>
      <c r="CZ93" s="208">
        <f>(CZ4=0)*-$E$50</f>
        <v/>
      </c>
      <c r="DA93" s="208">
        <f>(DA4=0)*-$E$50</f>
        <v/>
      </c>
      <c r="DB93" s="208">
        <f>(DB4=0)*-$E$50</f>
        <v/>
      </c>
      <c r="DC93" s="208">
        <f>(DC4=0)*-$E$50</f>
        <v/>
      </c>
      <c r="DD93" s="208">
        <f>(DD4=0)*-$E$50</f>
        <v/>
      </c>
      <c r="DE93" s="208">
        <f>(DE4=0)*-$E$50</f>
        <v/>
      </c>
      <c r="DF93" s="208">
        <f>(DF4=0)*-$E$50</f>
        <v/>
      </c>
      <c r="DG93" s="208">
        <f>(DG4=0)*-$E$50</f>
        <v/>
      </c>
      <c r="DH93" s="208">
        <f>(DH4=0)*-$E$50</f>
        <v/>
      </c>
      <c r="DI93" s="208">
        <f>(DI4=0)*-$E$50</f>
        <v/>
      </c>
      <c r="DJ93" s="208">
        <f>(DJ4=0)*-$E$50</f>
        <v/>
      </c>
      <c r="DK93" s="208">
        <f>(DK4=0)*-$E$50</f>
        <v/>
      </c>
      <c r="DL93" s="208">
        <f>(DL4=0)*-$E$50</f>
        <v/>
      </c>
      <c r="DM93" s="208">
        <f>(DM4=0)*-$E$50</f>
        <v/>
      </c>
      <c r="DN93" s="208">
        <f>(DN4=0)*-$E$50</f>
        <v/>
      </c>
      <c r="DO93" s="208">
        <f>(DO4=0)*-$E$50</f>
        <v/>
      </c>
      <c r="DP93" s="208">
        <f>(DP4=0)*-$E$50</f>
        <v/>
      </c>
      <c r="DQ93" s="208">
        <f>(DQ4=0)*-$E$50</f>
        <v/>
      </c>
      <c r="DR93" s="208">
        <f>(DR4=0)*-$E$50</f>
        <v/>
      </c>
      <c r="DS93" s="208">
        <f>(DS4=0)*-$E$50</f>
        <v/>
      </c>
      <c r="DT93" s="208">
        <f>(DT4=0)*-$E$50</f>
        <v/>
      </c>
      <c r="DU93" s="208">
        <f>(DU4=0)*-$E$50</f>
        <v/>
      </c>
      <c r="DV93" s="208">
        <f>(DV4=0)*-$E$50</f>
        <v/>
      </c>
      <c r="DW93" s="208">
        <f>(DW4=0)*-$E$50</f>
        <v/>
      </c>
      <c r="DX93" s="208">
        <f>(DX4=0)*-$E$50</f>
        <v/>
      </c>
      <c r="DY93" s="208">
        <f>(DY4=0)*-$E$50</f>
        <v/>
      </c>
      <c r="DZ93" s="208">
        <f>(DZ4=0)*-$E$50</f>
        <v/>
      </c>
      <c r="EA93" s="208">
        <f>(EA4=0)*-$E$50</f>
        <v/>
      </c>
      <c r="EB93" s="208">
        <f>(EB4=0)*-$E$50</f>
        <v/>
      </c>
      <c r="EC93" s="208">
        <f>(EC4=0)*-$E$50</f>
        <v/>
      </c>
      <c r="ED93" s="208">
        <f>(ED4=0)*-$E$50</f>
        <v/>
      </c>
      <c r="EE93" s="208">
        <f>(EE4=0)*-$E$50</f>
        <v/>
      </c>
      <c r="EF93" s="208">
        <f>(EF4=0)*-$E$50</f>
        <v/>
      </c>
      <c r="EG93" s="208">
        <f>(EG4=0)*-$E$50</f>
        <v/>
      </c>
      <c r="EH93" s="208">
        <f>(EH4=0)*-$E$50</f>
        <v/>
      </c>
      <c r="EI93" s="208">
        <f>(EI4=0)*-$E$50</f>
        <v/>
      </c>
      <c r="EJ93" s="208">
        <f>(EJ4=0)*-$E$50</f>
        <v/>
      </c>
      <c r="EK93" s="208">
        <f>(EK4=0)*-$E$50</f>
        <v/>
      </c>
      <c r="EL93" s="208">
        <f>(EL4=0)*-$E$50</f>
        <v/>
      </c>
      <c r="EM93" s="208">
        <f>(EM4=0)*-$E$50</f>
        <v/>
      </c>
      <c r="EN93" s="208">
        <f>(EN4=0)*-$E$50</f>
        <v/>
      </c>
      <c r="EO93" s="208">
        <f>(EO4=0)*-$E$50</f>
        <v/>
      </c>
      <c r="EP93" s="208">
        <f>(EP4=0)*-$E$50</f>
        <v/>
      </c>
      <c r="EQ93" s="208">
        <f>(EQ4=0)*-$E$50</f>
        <v/>
      </c>
      <c r="ER93" s="208">
        <f>(ER4=0)*-$E$50</f>
        <v/>
      </c>
      <c r="ES93" s="208">
        <f>(ES4=0)*-$E$50</f>
        <v/>
      </c>
      <c r="ET93" s="208">
        <f>(ET4=0)*-$E$50</f>
        <v/>
      </c>
      <c r="EU93" s="208">
        <f>(EU4=0)*-$E$50</f>
        <v/>
      </c>
      <c r="EV93" s="208">
        <f>(EV4=0)*-$E$50</f>
        <v/>
      </c>
      <c r="EW93" s="208">
        <f>(EW4=0)*-$E$50</f>
        <v/>
      </c>
      <c r="EX93" s="208">
        <f>(EX4=0)*-$E$50</f>
        <v/>
      </c>
    </row>
    <row r="94">
      <c r="I94" s="270" t="n"/>
      <c r="J94" s="9" t="inlineStr">
        <is>
          <t>Senior Loan Proceeds</t>
        </is>
      </c>
      <c r="M94" s="25">
        <f>SUMIF($V$4:$EX$4,"&lt;="&amp;$H$19,$V94:$EX94)</f>
        <v/>
      </c>
      <c r="N94" s="56" t="n"/>
      <c r="O94" s="25">
        <f>SUMIF($V$5:$EX$5,O$7,$V94:$EX94)</f>
        <v/>
      </c>
      <c r="P94" s="25">
        <f>SUMIF($V$5:$EX$5,P$7,$V94:$EX94)</f>
        <v/>
      </c>
      <c r="Q94" s="25">
        <f>SUMIF($V$5:$EX$5,Q$7,$V94:$EX94)</f>
        <v/>
      </c>
      <c r="R94" s="25">
        <f>SUMIF($V$5:$EX$5,R$7,$V94:$EX94)</f>
        <v/>
      </c>
      <c r="S94" s="25">
        <f>SUMIF($V$5:$EX$5,S$7,$V94:$EX94)</f>
        <v/>
      </c>
      <c r="T94" s="25">
        <f>SUMIF($V$5:$EX$5,T$7,$V94:$EX94)</f>
        <v/>
      </c>
      <c r="U94" s="56" t="n"/>
      <c r="V94" s="25">
        <f>V138</f>
        <v/>
      </c>
      <c r="W94" s="25">
        <f>W138</f>
        <v/>
      </c>
      <c r="X94" s="25">
        <f>X138</f>
        <v/>
      </c>
      <c r="Y94" s="25">
        <f>Y138</f>
        <v/>
      </c>
      <c r="Z94" s="25">
        <f>Z138</f>
        <v/>
      </c>
      <c r="AA94" s="25">
        <f>AA138</f>
        <v/>
      </c>
      <c r="AB94" s="25">
        <f>AB138</f>
        <v/>
      </c>
      <c r="AC94" s="25">
        <f>AC138</f>
        <v/>
      </c>
      <c r="AD94" s="25">
        <f>AD138</f>
        <v/>
      </c>
      <c r="AE94" s="25">
        <f>AE138</f>
        <v/>
      </c>
      <c r="AF94" s="25">
        <f>AF138</f>
        <v/>
      </c>
      <c r="AG94" s="25">
        <f>AG138</f>
        <v/>
      </c>
      <c r="AH94" s="25">
        <f>AH138</f>
        <v/>
      </c>
      <c r="AI94" s="25">
        <f>AI138</f>
        <v/>
      </c>
      <c r="AJ94" s="25">
        <f>AJ138</f>
        <v/>
      </c>
      <c r="AK94" s="25">
        <f>AK138</f>
        <v/>
      </c>
      <c r="AL94" s="25">
        <f>AL138</f>
        <v/>
      </c>
      <c r="AM94" s="25">
        <f>AM138</f>
        <v/>
      </c>
      <c r="AN94" s="25">
        <f>AN138</f>
        <v/>
      </c>
      <c r="AO94" s="25">
        <f>AO138</f>
        <v/>
      </c>
      <c r="AP94" s="25">
        <f>AP138</f>
        <v/>
      </c>
      <c r="AQ94" s="25">
        <f>AQ138</f>
        <v/>
      </c>
      <c r="AR94" s="25">
        <f>AR138</f>
        <v/>
      </c>
      <c r="AS94" s="25">
        <f>AS138</f>
        <v/>
      </c>
      <c r="AT94" s="25">
        <f>AT138</f>
        <v/>
      </c>
      <c r="AU94" s="25">
        <f>AU138</f>
        <v/>
      </c>
      <c r="AV94" s="25">
        <f>AV138</f>
        <v/>
      </c>
      <c r="AW94" s="25">
        <f>AW138</f>
        <v/>
      </c>
      <c r="AX94" s="25">
        <f>AX138</f>
        <v/>
      </c>
      <c r="AY94" s="25">
        <f>AY138</f>
        <v/>
      </c>
      <c r="AZ94" s="25">
        <f>AZ138</f>
        <v/>
      </c>
      <c r="BA94" s="25">
        <f>BA138</f>
        <v/>
      </c>
      <c r="BB94" s="25">
        <f>BB138</f>
        <v/>
      </c>
      <c r="BC94" s="25">
        <f>BC138</f>
        <v/>
      </c>
      <c r="BD94" s="25">
        <f>BD138</f>
        <v/>
      </c>
      <c r="BE94" s="25">
        <f>BE138</f>
        <v/>
      </c>
      <c r="BF94" s="25">
        <f>BF138</f>
        <v/>
      </c>
      <c r="BG94" s="25">
        <f>BG138</f>
        <v/>
      </c>
      <c r="BH94" s="25">
        <f>BH138</f>
        <v/>
      </c>
      <c r="BI94" s="25">
        <f>BI138</f>
        <v/>
      </c>
      <c r="BJ94" s="25">
        <f>BJ138</f>
        <v/>
      </c>
      <c r="BK94" s="25">
        <f>BK138</f>
        <v/>
      </c>
      <c r="BL94" s="25">
        <f>BL138</f>
        <v/>
      </c>
      <c r="BM94" s="25">
        <f>BM138</f>
        <v/>
      </c>
      <c r="BN94" s="25">
        <f>BN138</f>
        <v/>
      </c>
      <c r="BO94" s="25">
        <f>BO138</f>
        <v/>
      </c>
      <c r="BP94" s="25">
        <f>BP138</f>
        <v/>
      </c>
      <c r="BQ94" s="25">
        <f>BQ138</f>
        <v/>
      </c>
      <c r="BR94" s="25">
        <f>BR138</f>
        <v/>
      </c>
      <c r="BS94" s="25">
        <f>BS138</f>
        <v/>
      </c>
      <c r="BT94" s="25">
        <f>BT138</f>
        <v/>
      </c>
      <c r="BU94" s="25">
        <f>BU138</f>
        <v/>
      </c>
      <c r="BV94" s="25">
        <f>BV138</f>
        <v/>
      </c>
      <c r="BW94" s="25">
        <f>BW138</f>
        <v/>
      </c>
      <c r="BX94" s="25">
        <f>BX138</f>
        <v/>
      </c>
      <c r="BY94" s="25">
        <f>BY138</f>
        <v/>
      </c>
      <c r="BZ94" s="25">
        <f>BZ138</f>
        <v/>
      </c>
      <c r="CA94" s="25">
        <f>CA138</f>
        <v/>
      </c>
      <c r="CB94" s="25">
        <f>CB138</f>
        <v/>
      </c>
      <c r="CC94" s="25">
        <f>CC138</f>
        <v/>
      </c>
      <c r="CD94" s="25">
        <f>CD138</f>
        <v/>
      </c>
      <c r="CE94" s="25">
        <f>CE138</f>
        <v/>
      </c>
      <c r="CF94" s="25">
        <f>CF138</f>
        <v/>
      </c>
      <c r="CG94" s="25">
        <f>CG138</f>
        <v/>
      </c>
      <c r="CH94" s="25">
        <f>CH138</f>
        <v/>
      </c>
      <c r="CI94" s="25">
        <f>CI138</f>
        <v/>
      </c>
      <c r="CJ94" s="25">
        <f>CJ138</f>
        <v/>
      </c>
      <c r="CK94" s="25">
        <f>CK138</f>
        <v/>
      </c>
      <c r="CL94" s="25">
        <f>CL138</f>
        <v/>
      </c>
      <c r="CM94" s="25">
        <f>CM138</f>
        <v/>
      </c>
      <c r="CN94" s="25">
        <f>CN138</f>
        <v/>
      </c>
      <c r="CO94" s="25">
        <f>CO138</f>
        <v/>
      </c>
      <c r="CP94" s="25">
        <f>CP138</f>
        <v/>
      </c>
      <c r="CQ94" s="25">
        <f>CQ138</f>
        <v/>
      </c>
      <c r="CR94" s="25">
        <f>CR138</f>
        <v/>
      </c>
      <c r="CS94" s="25">
        <f>CS138</f>
        <v/>
      </c>
      <c r="CT94" s="25">
        <f>CT138</f>
        <v/>
      </c>
      <c r="CU94" s="25">
        <f>CU138</f>
        <v/>
      </c>
      <c r="CV94" s="25">
        <f>CV138</f>
        <v/>
      </c>
      <c r="CW94" s="25">
        <f>CW138</f>
        <v/>
      </c>
      <c r="CX94" s="25">
        <f>CX138</f>
        <v/>
      </c>
      <c r="CY94" s="25">
        <f>CY138</f>
        <v/>
      </c>
      <c r="CZ94" s="25">
        <f>CZ138</f>
        <v/>
      </c>
      <c r="DA94" s="25">
        <f>DA138</f>
        <v/>
      </c>
      <c r="DB94" s="25">
        <f>DB138</f>
        <v/>
      </c>
      <c r="DC94" s="25">
        <f>DC138</f>
        <v/>
      </c>
      <c r="DD94" s="25">
        <f>DD138</f>
        <v/>
      </c>
      <c r="DE94" s="25">
        <f>DE138</f>
        <v/>
      </c>
      <c r="DF94" s="25">
        <f>DF138</f>
        <v/>
      </c>
      <c r="DG94" s="25">
        <f>DG138</f>
        <v/>
      </c>
      <c r="DH94" s="25">
        <f>DH138</f>
        <v/>
      </c>
      <c r="DI94" s="25">
        <f>DI138</f>
        <v/>
      </c>
      <c r="DJ94" s="25">
        <f>DJ138</f>
        <v/>
      </c>
      <c r="DK94" s="25">
        <f>DK138</f>
        <v/>
      </c>
      <c r="DL94" s="25">
        <f>DL138</f>
        <v/>
      </c>
      <c r="DM94" s="25">
        <f>DM138</f>
        <v/>
      </c>
      <c r="DN94" s="25">
        <f>DN138</f>
        <v/>
      </c>
      <c r="DO94" s="25">
        <f>DO138</f>
        <v/>
      </c>
      <c r="DP94" s="25">
        <f>DP138</f>
        <v/>
      </c>
      <c r="DQ94" s="25">
        <f>DQ138</f>
        <v/>
      </c>
      <c r="DR94" s="25">
        <f>DR138</f>
        <v/>
      </c>
      <c r="DS94" s="25">
        <f>DS138</f>
        <v/>
      </c>
      <c r="DT94" s="25">
        <f>DT138</f>
        <v/>
      </c>
      <c r="DU94" s="25">
        <f>DU138</f>
        <v/>
      </c>
      <c r="DV94" s="25">
        <f>DV138</f>
        <v/>
      </c>
      <c r="DW94" s="25">
        <f>DW138</f>
        <v/>
      </c>
      <c r="DX94" s="25">
        <f>DX138</f>
        <v/>
      </c>
      <c r="DY94" s="25">
        <f>DY138</f>
        <v/>
      </c>
      <c r="DZ94" s="25">
        <f>DZ138</f>
        <v/>
      </c>
      <c r="EA94" s="25">
        <f>EA138</f>
        <v/>
      </c>
      <c r="EB94" s="25">
        <f>EB138</f>
        <v/>
      </c>
      <c r="EC94" s="25">
        <f>EC138</f>
        <v/>
      </c>
      <c r="ED94" s="25">
        <f>ED138</f>
        <v/>
      </c>
      <c r="EE94" s="25">
        <f>EE138</f>
        <v/>
      </c>
      <c r="EF94" s="25">
        <f>EF138</f>
        <v/>
      </c>
      <c r="EG94" s="25">
        <f>EG138</f>
        <v/>
      </c>
      <c r="EH94" s="25">
        <f>EH138</f>
        <v/>
      </c>
      <c r="EI94" s="25">
        <f>EI138</f>
        <v/>
      </c>
      <c r="EJ94" s="25">
        <f>EJ138</f>
        <v/>
      </c>
      <c r="EK94" s="25">
        <f>EK138</f>
        <v/>
      </c>
      <c r="EL94" s="25">
        <f>EL138</f>
        <v/>
      </c>
      <c r="EM94" s="25">
        <f>EM138</f>
        <v/>
      </c>
      <c r="EN94" s="25">
        <f>EN138</f>
        <v/>
      </c>
      <c r="EO94" s="25">
        <f>EO138</f>
        <v/>
      </c>
      <c r="EP94" s="25">
        <f>EP138</f>
        <v/>
      </c>
      <c r="EQ94" s="25">
        <f>EQ138</f>
        <v/>
      </c>
      <c r="ER94" s="25">
        <f>ER138</f>
        <v/>
      </c>
      <c r="ES94" s="25">
        <f>ES138</f>
        <v/>
      </c>
      <c r="ET94" s="25">
        <f>ET138</f>
        <v/>
      </c>
      <c r="EU94" s="25">
        <f>EU138</f>
        <v/>
      </c>
      <c r="EV94" s="25">
        <f>EV138</f>
        <v/>
      </c>
      <c r="EW94" s="25">
        <f>EW138</f>
        <v/>
      </c>
      <c r="EX94" s="25">
        <f>EX138</f>
        <v/>
      </c>
    </row>
    <row r="95">
      <c r="C95" s="148" t="inlineStr">
        <is>
          <t>Sensitivities - Aequitas IRR/EM</t>
        </is>
      </c>
      <c r="D95" s="149" t="n"/>
      <c r="E95" s="149" t="n"/>
      <c r="F95" s="149" t="n"/>
      <c r="G95" s="149" t="n"/>
      <c r="H95" s="149" t="n"/>
      <c r="I95" s="34" t="n"/>
      <c r="J95" s="9" t="inlineStr">
        <is>
          <t>Senior Loan Debt Service</t>
        </is>
      </c>
      <c r="M95" s="25">
        <f>SUMIF($V$4:$EX$4,"&lt;="&amp;$H$19,$V95:$EX95)</f>
        <v/>
      </c>
      <c r="N95" s="56" t="n"/>
      <c r="O95" s="25">
        <f>SUMIF($V$5:$EX$5,O$7,$V95:$EX95)</f>
        <v/>
      </c>
      <c r="P95" s="25">
        <f>SUMIF($V$5:$EX$5,P$7,$V95:$EX95)</f>
        <v/>
      </c>
      <c r="Q95" s="25">
        <f>SUMIF($V$5:$EX$5,Q$7,$V95:$EX95)</f>
        <v/>
      </c>
      <c r="R95" s="25">
        <f>SUMIF($V$5:$EX$5,R$7,$V95:$EX95)</f>
        <v/>
      </c>
      <c r="S95" s="25">
        <f>SUMIF($V$5:$EX$5,S$7,$V95:$EX95)</f>
        <v/>
      </c>
      <c r="T95" s="25">
        <f>SUMIF($V$5:$EX$5,T$7,$V95:$EX95)</f>
        <v/>
      </c>
      <c r="U95" s="56" t="n"/>
      <c r="V95" s="25">
        <f>SUM(V140:V141)</f>
        <v/>
      </c>
      <c r="W95" s="25">
        <f>SUM(W140:W141)</f>
        <v/>
      </c>
      <c r="X95" s="25">
        <f>SUM(X140:X141)</f>
        <v/>
      </c>
      <c r="Y95" s="25">
        <f>SUM(Y140:Y141)</f>
        <v/>
      </c>
      <c r="Z95" s="25">
        <f>SUM(Z140:Z141)</f>
        <v/>
      </c>
      <c r="AA95" s="25">
        <f>SUM(AA140:AA141)</f>
        <v/>
      </c>
      <c r="AB95" s="25">
        <f>SUM(AB140:AB141)</f>
        <v/>
      </c>
      <c r="AC95" s="25">
        <f>SUM(AC140:AC141)</f>
        <v/>
      </c>
      <c r="AD95" s="25">
        <f>SUM(AD140:AD141)</f>
        <v/>
      </c>
      <c r="AE95" s="25">
        <f>SUM(AE140:AE141)</f>
        <v/>
      </c>
      <c r="AF95" s="25">
        <f>SUM(AF140:AF141)</f>
        <v/>
      </c>
      <c r="AG95" s="25">
        <f>SUM(AG140:AG141)</f>
        <v/>
      </c>
      <c r="AH95" s="25">
        <f>SUM(AH140:AH141)</f>
        <v/>
      </c>
      <c r="AI95" s="25">
        <f>SUM(AI140:AI141)</f>
        <v/>
      </c>
      <c r="AJ95" s="25">
        <f>SUM(AJ140:AJ141)</f>
        <v/>
      </c>
      <c r="AK95" s="25">
        <f>SUM(AK140:AK141)</f>
        <v/>
      </c>
      <c r="AL95" s="25">
        <f>SUM(AL140:AL141)</f>
        <v/>
      </c>
      <c r="AM95" s="25">
        <f>SUM(AM140:AM141)</f>
        <v/>
      </c>
      <c r="AN95" s="25">
        <f>SUM(AN140:AN141)</f>
        <v/>
      </c>
      <c r="AO95" s="25">
        <f>SUM(AO140:AO141)</f>
        <v/>
      </c>
      <c r="AP95" s="25">
        <f>SUM(AP140:AP141)</f>
        <v/>
      </c>
      <c r="AQ95" s="25">
        <f>SUM(AQ140:AQ141)</f>
        <v/>
      </c>
      <c r="AR95" s="25">
        <f>SUM(AR140:AR141)</f>
        <v/>
      </c>
      <c r="AS95" s="25">
        <f>SUM(AS140:AS141)</f>
        <v/>
      </c>
      <c r="AT95" s="25">
        <f>SUM(AT140:AT141)</f>
        <v/>
      </c>
      <c r="AU95" s="25">
        <f>SUM(AU140:AU141)</f>
        <v/>
      </c>
      <c r="AV95" s="25">
        <f>SUM(AV140:AV141)</f>
        <v/>
      </c>
      <c r="AW95" s="25">
        <f>SUM(AW140:AW141)</f>
        <v/>
      </c>
      <c r="AX95" s="25">
        <f>SUM(AX140:AX141)</f>
        <v/>
      </c>
      <c r="AY95" s="25">
        <f>SUM(AY140:AY141)</f>
        <v/>
      </c>
      <c r="AZ95" s="25">
        <f>SUM(AZ140:AZ141)</f>
        <v/>
      </c>
      <c r="BA95" s="25">
        <f>SUM(BA140:BA141)</f>
        <v/>
      </c>
      <c r="BB95" s="25">
        <f>SUM(BB140:BB141)</f>
        <v/>
      </c>
      <c r="BC95" s="25">
        <f>SUM(BC140:BC141)</f>
        <v/>
      </c>
      <c r="BD95" s="25">
        <f>SUM(BD140:BD141)</f>
        <v/>
      </c>
      <c r="BE95" s="25">
        <f>SUM(BE140:BE141)</f>
        <v/>
      </c>
      <c r="BF95" s="25">
        <f>SUM(BF140:BF141)</f>
        <v/>
      </c>
      <c r="BG95" s="25">
        <f>SUM(BG140:BG141)</f>
        <v/>
      </c>
      <c r="BH95" s="25">
        <f>SUM(BH140:BH141)</f>
        <v/>
      </c>
      <c r="BI95" s="25">
        <f>SUM(BI140:BI141)</f>
        <v/>
      </c>
      <c r="BJ95" s="25">
        <f>SUM(BJ140:BJ141)</f>
        <v/>
      </c>
      <c r="BK95" s="25">
        <f>SUM(BK140:BK141)</f>
        <v/>
      </c>
      <c r="BL95" s="25">
        <f>SUM(BL140:BL141)</f>
        <v/>
      </c>
      <c r="BM95" s="25">
        <f>SUM(BM140:BM141)</f>
        <v/>
      </c>
      <c r="BN95" s="25">
        <f>SUM(BN140:BN141)</f>
        <v/>
      </c>
      <c r="BO95" s="25">
        <f>SUM(BO140:BO141)</f>
        <v/>
      </c>
      <c r="BP95" s="25">
        <f>SUM(BP140:BP141)</f>
        <v/>
      </c>
      <c r="BQ95" s="25">
        <f>SUM(BQ140:BQ141)</f>
        <v/>
      </c>
      <c r="BR95" s="25">
        <f>SUM(BR140:BR141)</f>
        <v/>
      </c>
      <c r="BS95" s="25">
        <f>SUM(BS140:BS141)</f>
        <v/>
      </c>
      <c r="BT95" s="25">
        <f>SUM(BT140:BT141)</f>
        <v/>
      </c>
      <c r="BU95" s="25">
        <f>SUM(BU140:BU141)</f>
        <v/>
      </c>
      <c r="BV95" s="25">
        <f>SUM(BV140:BV141)</f>
        <v/>
      </c>
      <c r="BW95" s="25">
        <f>SUM(BW140:BW141)</f>
        <v/>
      </c>
      <c r="BX95" s="25">
        <f>SUM(BX140:BX141)</f>
        <v/>
      </c>
      <c r="BY95" s="25">
        <f>SUM(BY140:BY141)</f>
        <v/>
      </c>
      <c r="BZ95" s="25">
        <f>SUM(BZ140:BZ141)</f>
        <v/>
      </c>
      <c r="CA95" s="25">
        <f>SUM(CA140:CA141)</f>
        <v/>
      </c>
      <c r="CB95" s="25">
        <f>SUM(CB140:CB141)</f>
        <v/>
      </c>
      <c r="CC95" s="25">
        <f>SUM(CC140:CC141)</f>
        <v/>
      </c>
      <c r="CD95" s="25">
        <f>SUM(CD140:CD141)</f>
        <v/>
      </c>
      <c r="CE95" s="25">
        <f>SUM(CE140:CE141)</f>
        <v/>
      </c>
      <c r="CF95" s="25">
        <f>SUM(CF140:CF141)</f>
        <v/>
      </c>
      <c r="CG95" s="25">
        <f>SUM(CG140:CG141)</f>
        <v/>
      </c>
      <c r="CH95" s="25">
        <f>SUM(CH140:CH141)</f>
        <v/>
      </c>
      <c r="CI95" s="25">
        <f>SUM(CI140:CI141)</f>
        <v/>
      </c>
      <c r="CJ95" s="25">
        <f>SUM(CJ140:CJ141)</f>
        <v/>
      </c>
      <c r="CK95" s="25">
        <f>SUM(CK140:CK141)</f>
        <v/>
      </c>
      <c r="CL95" s="25">
        <f>SUM(CL140:CL141)</f>
        <v/>
      </c>
      <c r="CM95" s="25">
        <f>SUM(CM140:CM141)</f>
        <v/>
      </c>
      <c r="CN95" s="25">
        <f>SUM(CN140:CN141)</f>
        <v/>
      </c>
      <c r="CO95" s="25">
        <f>SUM(CO140:CO141)</f>
        <v/>
      </c>
      <c r="CP95" s="25">
        <f>SUM(CP140:CP141)</f>
        <v/>
      </c>
      <c r="CQ95" s="25">
        <f>SUM(CQ140:CQ141)</f>
        <v/>
      </c>
      <c r="CR95" s="25">
        <f>SUM(CR140:CR141)</f>
        <v/>
      </c>
      <c r="CS95" s="25">
        <f>SUM(CS140:CS141)</f>
        <v/>
      </c>
      <c r="CT95" s="25">
        <f>SUM(CT140:CT141)</f>
        <v/>
      </c>
      <c r="CU95" s="25">
        <f>SUM(CU140:CU141)</f>
        <v/>
      </c>
      <c r="CV95" s="25">
        <f>SUM(CV140:CV141)</f>
        <v/>
      </c>
      <c r="CW95" s="25">
        <f>SUM(CW140:CW141)</f>
        <v/>
      </c>
      <c r="CX95" s="25">
        <f>SUM(CX140:CX141)</f>
        <v/>
      </c>
      <c r="CY95" s="25">
        <f>SUM(CY140:CY141)</f>
        <v/>
      </c>
      <c r="CZ95" s="25">
        <f>SUM(CZ140:CZ141)</f>
        <v/>
      </c>
      <c r="DA95" s="25">
        <f>SUM(DA140:DA141)</f>
        <v/>
      </c>
      <c r="DB95" s="25">
        <f>SUM(DB140:DB141)</f>
        <v/>
      </c>
      <c r="DC95" s="25">
        <f>SUM(DC140:DC141)</f>
        <v/>
      </c>
      <c r="DD95" s="25">
        <f>SUM(DD140:DD141)</f>
        <v/>
      </c>
      <c r="DE95" s="25">
        <f>SUM(DE140:DE141)</f>
        <v/>
      </c>
      <c r="DF95" s="25">
        <f>SUM(DF140:DF141)</f>
        <v/>
      </c>
      <c r="DG95" s="25">
        <f>SUM(DG140:DG141)</f>
        <v/>
      </c>
      <c r="DH95" s="25">
        <f>SUM(DH140:DH141)</f>
        <v/>
      </c>
      <c r="DI95" s="25">
        <f>SUM(DI140:DI141)</f>
        <v/>
      </c>
      <c r="DJ95" s="25">
        <f>SUM(DJ140:DJ141)</f>
        <v/>
      </c>
      <c r="DK95" s="25">
        <f>SUM(DK140:DK141)</f>
        <v/>
      </c>
      <c r="DL95" s="25">
        <f>SUM(DL140:DL141)</f>
        <v/>
      </c>
      <c r="DM95" s="25">
        <f>SUM(DM140:DM141)</f>
        <v/>
      </c>
      <c r="DN95" s="25">
        <f>SUM(DN140:DN141)</f>
        <v/>
      </c>
      <c r="DO95" s="25">
        <f>SUM(DO140:DO141)</f>
        <v/>
      </c>
      <c r="DP95" s="25">
        <f>SUM(DP140:DP141)</f>
        <v/>
      </c>
      <c r="DQ95" s="25">
        <f>SUM(DQ140:DQ141)</f>
        <v/>
      </c>
      <c r="DR95" s="25">
        <f>SUM(DR140:DR141)</f>
        <v/>
      </c>
      <c r="DS95" s="25">
        <f>SUM(DS140:DS141)</f>
        <v/>
      </c>
      <c r="DT95" s="25">
        <f>SUM(DT140:DT141)</f>
        <v/>
      </c>
      <c r="DU95" s="25">
        <f>SUM(DU140:DU141)</f>
        <v/>
      </c>
      <c r="DV95" s="25">
        <f>SUM(DV140:DV141)</f>
        <v/>
      </c>
      <c r="DW95" s="25">
        <f>SUM(DW140:DW141)</f>
        <v/>
      </c>
      <c r="DX95" s="25">
        <f>SUM(DX140:DX141)</f>
        <v/>
      </c>
      <c r="DY95" s="25">
        <f>SUM(DY140:DY141)</f>
        <v/>
      </c>
      <c r="DZ95" s="25">
        <f>SUM(DZ140:DZ141)</f>
        <v/>
      </c>
      <c r="EA95" s="25">
        <f>SUM(EA140:EA141)</f>
        <v/>
      </c>
      <c r="EB95" s="25">
        <f>SUM(EB140:EB141)</f>
        <v/>
      </c>
      <c r="EC95" s="25">
        <f>SUM(EC140:EC141)</f>
        <v/>
      </c>
      <c r="ED95" s="25">
        <f>SUM(ED140:ED141)</f>
        <v/>
      </c>
      <c r="EE95" s="25">
        <f>SUM(EE140:EE141)</f>
        <v/>
      </c>
      <c r="EF95" s="25">
        <f>SUM(EF140:EF141)</f>
        <v/>
      </c>
      <c r="EG95" s="25">
        <f>SUM(EG140:EG141)</f>
        <v/>
      </c>
      <c r="EH95" s="25">
        <f>SUM(EH140:EH141)</f>
        <v/>
      </c>
      <c r="EI95" s="25">
        <f>SUM(EI140:EI141)</f>
        <v/>
      </c>
      <c r="EJ95" s="25">
        <f>SUM(EJ140:EJ141)</f>
        <v/>
      </c>
      <c r="EK95" s="25">
        <f>SUM(EK140:EK141)</f>
        <v/>
      </c>
      <c r="EL95" s="25">
        <f>SUM(EL140:EL141)</f>
        <v/>
      </c>
      <c r="EM95" s="25">
        <f>SUM(EM140:EM141)</f>
        <v/>
      </c>
      <c r="EN95" s="25">
        <f>SUM(EN140:EN141)</f>
        <v/>
      </c>
      <c r="EO95" s="25">
        <f>SUM(EO140:EO141)</f>
        <v/>
      </c>
      <c r="EP95" s="25">
        <f>SUM(EP140:EP141)</f>
        <v/>
      </c>
      <c r="EQ95" s="25">
        <f>SUM(EQ140:EQ141)</f>
        <v/>
      </c>
      <c r="ER95" s="25">
        <f>SUM(ER140:ER141)</f>
        <v/>
      </c>
      <c r="ES95" s="25">
        <f>SUM(ES140:ES141)</f>
        <v/>
      </c>
      <c r="ET95" s="25">
        <f>SUM(ET140:ET141)</f>
        <v/>
      </c>
      <c r="EU95" s="25">
        <f>SUM(EU140:EU141)</f>
        <v/>
      </c>
      <c r="EV95" s="25">
        <f>SUM(EV140:EV141)</f>
        <v/>
      </c>
      <c r="EW95" s="25">
        <f>SUM(EW140:EW141)</f>
        <v/>
      </c>
      <c r="EX95" s="25">
        <f>SUM(EX140:EX141)</f>
        <v/>
      </c>
    </row>
    <row r="96">
      <c r="A96" s="266" t="n"/>
      <c r="C96" s="23" t="inlineStr">
        <is>
          <t>Senior Loan Interest Rate</t>
        </is>
      </c>
      <c r="D96" s="154">
        <f>E96+0.25%</f>
        <v/>
      </c>
      <c r="E96" s="154">
        <f>F96+0.25%</f>
        <v/>
      </c>
      <c r="F96" s="154" t="n">
        <v>0.07000000000000001</v>
      </c>
      <c r="G96" s="154">
        <f>F96-0.25%</f>
        <v/>
      </c>
      <c r="H96" s="154">
        <f>G96-0.25%</f>
        <v/>
      </c>
      <c r="J96" s="210" t="inlineStr">
        <is>
          <t>Senior Loan Payoff</t>
        </is>
      </c>
      <c r="K96" s="210" t="n"/>
      <c r="M96" s="211">
        <f>SUMIF($V$4:$EX$4,"&lt;="&amp;$H$19,$V96:$EX96)</f>
        <v/>
      </c>
      <c r="N96" s="56" t="n"/>
      <c r="O96" s="211">
        <f>SUMIF($V$5:$EX$5,O$7,$V96:$EX96)</f>
        <v/>
      </c>
      <c r="P96" s="211">
        <f>SUMIF($V$5:$EX$5,P$7,$V96:$EX96)</f>
        <v/>
      </c>
      <c r="Q96" s="211">
        <f>SUMIF($V$5:$EX$5,Q$7,$V96:$EX96)</f>
        <v/>
      </c>
      <c r="R96" s="211">
        <f>SUMIF($V$5:$EX$5,R$7,$V96:$EX96)</f>
        <v/>
      </c>
      <c r="S96" s="211">
        <f>SUMIF($V$5:$EX$5,S$7,$V96:$EX96)</f>
        <v/>
      </c>
      <c r="T96" s="211">
        <f>SUMIF($V$5:$EX$5,T$7,$V96:$EX96)</f>
        <v/>
      </c>
      <c r="U96" s="212" t="n"/>
      <c r="V96" s="211">
        <f>V142</f>
        <v/>
      </c>
      <c r="W96" s="211">
        <f>W142</f>
        <v/>
      </c>
      <c r="X96" s="211">
        <f>X142</f>
        <v/>
      </c>
      <c r="Y96" s="211">
        <f>Y142</f>
        <v/>
      </c>
      <c r="Z96" s="211">
        <f>Z142</f>
        <v/>
      </c>
      <c r="AA96" s="211">
        <f>AA142</f>
        <v/>
      </c>
      <c r="AB96" s="211">
        <f>AB142</f>
        <v/>
      </c>
      <c r="AC96" s="211">
        <f>AC142</f>
        <v/>
      </c>
      <c r="AD96" s="211">
        <f>AD142</f>
        <v/>
      </c>
      <c r="AE96" s="211">
        <f>AE142</f>
        <v/>
      </c>
      <c r="AF96" s="211">
        <f>AF142</f>
        <v/>
      </c>
      <c r="AG96" s="211">
        <f>AG142</f>
        <v/>
      </c>
      <c r="AH96" s="211">
        <f>AH142</f>
        <v/>
      </c>
      <c r="AI96" s="211">
        <f>AI142</f>
        <v/>
      </c>
      <c r="AJ96" s="211">
        <f>AJ142</f>
        <v/>
      </c>
      <c r="AK96" s="211">
        <f>AK142</f>
        <v/>
      </c>
      <c r="AL96" s="211">
        <f>AL142</f>
        <v/>
      </c>
      <c r="AM96" s="211">
        <f>AM142</f>
        <v/>
      </c>
      <c r="AN96" s="211">
        <f>AN142</f>
        <v/>
      </c>
      <c r="AO96" s="211">
        <f>AO142</f>
        <v/>
      </c>
      <c r="AP96" s="211">
        <f>AP142</f>
        <v/>
      </c>
      <c r="AQ96" s="211">
        <f>AQ142</f>
        <v/>
      </c>
      <c r="AR96" s="211">
        <f>AR142</f>
        <v/>
      </c>
      <c r="AS96" s="211">
        <f>AS142</f>
        <v/>
      </c>
      <c r="AT96" s="211">
        <f>AT142</f>
        <v/>
      </c>
      <c r="AU96" s="211">
        <f>AU142</f>
        <v/>
      </c>
      <c r="AV96" s="211">
        <f>AV142</f>
        <v/>
      </c>
      <c r="AW96" s="211">
        <f>AW142</f>
        <v/>
      </c>
      <c r="AX96" s="211">
        <f>AX142</f>
        <v/>
      </c>
      <c r="AY96" s="211">
        <f>AY142</f>
        <v/>
      </c>
      <c r="AZ96" s="211">
        <f>AZ142</f>
        <v/>
      </c>
      <c r="BA96" s="211">
        <f>BA142</f>
        <v/>
      </c>
      <c r="BB96" s="211">
        <f>BB142</f>
        <v/>
      </c>
      <c r="BC96" s="211">
        <f>BC142</f>
        <v/>
      </c>
      <c r="BD96" s="211">
        <f>BD142</f>
        <v/>
      </c>
      <c r="BE96" s="211">
        <f>BE142</f>
        <v/>
      </c>
      <c r="BF96" s="211">
        <f>BF142</f>
        <v/>
      </c>
      <c r="BG96" s="211">
        <f>BG142</f>
        <v/>
      </c>
      <c r="BH96" s="211">
        <f>BH142</f>
        <v/>
      </c>
      <c r="BI96" s="211">
        <f>BI142</f>
        <v/>
      </c>
      <c r="BJ96" s="211">
        <f>BJ142</f>
        <v/>
      </c>
      <c r="BK96" s="211">
        <f>BK142</f>
        <v/>
      </c>
      <c r="BL96" s="211">
        <f>BL142</f>
        <v/>
      </c>
      <c r="BM96" s="211">
        <f>BM142</f>
        <v/>
      </c>
      <c r="BN96" s="211">
        <f>BN142</f>
        <v/>
      </c>
      <c r="BO96" s="211">
        <f>BO142</f>
        <v/>
      </c>
      <c r="BP96" s="211">
        <f>BP142</f>
        <v/>
      </c>
      <c r="BQ96" s="211">
        <f>BQ142</f>
        <v/>
      </c>
      <c r="BR96" s="211">
        <f>BR142</f>
        <v/>
      </c>
      <c r="BS96" s="211">
        <f>BS142</f>
        <v/>
      </c>
      <c r="BT96" s="211">
        <f>BT142</f>
        <v/>
      </c>
      <c r="BU96" s="211">
        <f>BU142</f>
        <v/>
      </c>
      <c r="BV96" s="211">
        <f>BV142</f>
        <v/>
      </c>
      <c r="BW96" s="211">
        <f>BW142</f>
        <v/>
      </c>
      <c r="BX96" s="211">
        <f>BX142</f>
        <v/>
      </c>
      <c r="BY96" s="211">
        <f>BY142</f>
        <v/>
      </c>
      <c r="BZ96" s="211">
        <f>BZ142</f>
        <v/>
      </c>
      <c r="CA96" s="211">
        <f>CA142</f>
        <v/>
      </c>
      <c r="CB96" s="211">
        <f>CB142</f>
        <v/>
      </c>
      <c r="CC96" s="211">
        <f>CC142</f>
        <v/>
      </c>
      <c r="CD96" s="211">
        <f>CD142</f>
        <v/>
      </c>
      <c r="CE96" s="211">
        <f>CE142</f>
        <v/>
      </c>
      <c r="CF96" s="211">
        <f>CF142</f>
        <v/>
      </c>
      <c r="CG96" s="211">
        <f>CG142</f>
        <v/>
      </c>
      <c r="CH96" s="211">
        <f>CH142</f>
        <v/>
      </c>
      <c r="CI96" s="211">
        <f>CI142</f>
        <v/>
      </c>
      <c r="CJ96" s="211">
        <f>CJ142</f>
        <v/>
      </c>
      <c r="CK96" s="211">
        <f>CK142</f>
        <v/>
      </c>
      <c r="CL96" s="211">
        <f>CL142</f>
        <v/>
      </c>
      <c r="CM96" s="211">
        <f>CM142</f>
        <v/>
      </c>
      <c r="CN96" s="211">
        <f>CN142</f>
        <v/>
      </c>
      <c r="CO96" s="211">
        <f>CO142</f>
        <v/>
      </c>
      <c r="CP96" s="211">
        <f>CP142</f>
        <v/>
      </c>
      <c r="CQ96" s="211">
        <f>CQ142</f>
        <v/>
      </c>
      <c r="CR96" s="211">
        <f>CR142</f>
        <v/>
      </c>
      <c r="CS96" s="211">
        <f>CS142</f>
        <v/>
      </c>
      <c r="CT96" s="211">
        <f>CT142</f>
        <v/>
      </c>
      <c r="CU96" s="211">
        <f>CU142</f>
        <v/>
      </c>
      <c r="CV96" s="211">
        <f>CV142</f>
        <v/>
      </c>
      <c r="CW96" s="211">
        <f>CW142</f>
        <v/>
      </c>
      <c r="CX96" s="211">
        <f>CX142</f>
        <v/>
      </c>
      <c r="CY96" s="211">
        <f>CY142</f>
        <v/>
      </c>
      <c r="CZ96" s="211">
        <f>CZ142</f>
        <v/>
      </c>
      <c r="DA96" s="211">
        <f>DA142</f>
        <v/>
      </c>
      <c r="DB96" s="211">
        <f>DB142</f>
        <v/>
      </c>
      <c r="DC96" s="211">
        <f>DC142</f>
        <v/>
      </c>
      <c r="DD96" s="211">
        <f>DD142</f>
        <v/>
      </c>
      <c r="DE96" s="211">
        <f>DE142</f>
        <v/>
      </c>
      <c r="DF96" s="211">
        <f>DF142</f>
        <v/>
      </c>
      <c r="DG96" s="211">
        <f>DG142</f>
        <v/>
      </c>
      <c r="DH96" s="211">
        <f>DH142</f>
        <v/>
      </c>
      <c r="DI96" s="211">
        <f>DI142</f>
        <v/>
      </c>
      <c r="DJ96" s="211">
        <f>DJ142</f>
        <v/>
      </c>
      <c r="DK96" s="211">
        <f>DK142</f>
        <v/>
      </c>
      <c r="DL96" s="211">
        <f>DL142</f>
        <v/>
      </c>
      <c r="DM96" s="211">
        <f>DM142</f>
        <v/>
      </c>
      <c r="DN96" s="211">
        <f>DN142</f>
        <v/>
      </c>
      <c r="DO96" s="211">
        <f>DO142</f>
        <v/>
      </c>
      <c r="DP96" s="211">
        <f>DP142</f>
        <v/>
      </c>
      <c r="DQ96" s="211">
        <f>DQ142</f>
        <v/>
      </c>
      <c r="DR96" s="211">
        <f>DR142</f>
        <v/>
      </c>
      <c r="DS96" s="211">
        <f>DS142</f>
        <v/>
      </c>
      <c r="DT96" s="211">
        <f>DT142</f>
        <v/>
      </c>
      <c r="DU96" s="211">
        <f>DU142</f>
        <v/>
      </c>
      <c r="DV96" s="211">
        <f>DV142</f>
        <v/>
      </c>
      <c r="DW96" s="211">
        <f>DW142</f>
        <v/>
      </c>
      <c r="DX96" s="211">
        <f>DX142</f>
        <v/>
      </c>
      <c r="DY96" s="211">
        <f>DY142</f>
        <v/>
      </c>
      <c r="DZ96" s="211">
        <f>DZ142</f>
        <v/>
      </c>
      <c r="EA96" s="211">
        <f>EA142</f>
        <v/>
      </c>
      <c r="EB96" s="211">
        <f>EB142</f>
        <v/>
      </c>
      <c r="EC96" s="211">
        <f>EC142</f>
        <v/>
      </c>
      <c r="ED96" s="211">
        <f>ED142</f>
        <v/>
      </c>
      <c r="EE96" s="211">
        <f>EE142</f>
        <v/>
      </c>
      <c r="EF96" s="211">
        <f>EF142</f>
        <v/>
      </c>
      <c r="EG96" s="211">
        <f>EG142</f>
        <v/>
      </c>
      <c r="EH96" s="211">
        <f>EH142</f>
        <v/>
      </c>
      <c r="EI96" s="211">
        <f>EI142</f>
        <v/>
      </c>
      <c r="EJ96" s="211">
        <f>EJ142</f>
        <v/>
      </c>
      <c r="EK96" s="211">
        <f>EK142</f>
        <v/>
      </c>
      <c r="EL96" s="211">
        <f>EL142</f>
        <v/>
      </c>
      <c r="EM96" s="211">
        <f>EM142</f>
        <v/>
      </c>
      <c r="EN96" s="211">
        <f>EN142</f>
        <v/>
      </c>
      <c r="EO96" s="211">
        <f>EO142</f>
        <v/>
      </c>
      <c r="EP96" s="211">
        <f>EP142</f>
        <v/>
      </c>
      <c r="EQ96" s="211">
        <f>EQ142</f>
        <v/>
      </c>
      <c r="ER96" s="211">
        <f>ER142</f>
        <v/>
      </c>
      <c r="ES96" s="211">
        <f>ES142</f>
        <v/>
      </c>
      <c r="ET96" s="211">
        <f>ET142</f>
        <v/>
      </c>
      <c r="EU96" s="211">
        <f>EU142</f>
        <v/>
      </c>
      <c r="EV96" s="211">
        <f>EV142</f>
        <v/>
      </c>
      <c r="EW96" s="211">
        <f>EW142</f>
        <v/>
      </c>
      <c r="EX96" s="211">
        <f>EX142</f>
        <v/>
      </c>
    </row>
    <row r="97">
      <c r="B97" s="264" t="n"/>
      <c r="C97" s="40">
        <f>CONCATENATE(TEXT($G$11,"0.00%")," / ",TEXT($G$12,"0.00x"))</f>
        <v/>
      </c>
      <c r="D97" s="40" t="inlineStr">
        <is>
          <t>15.77% / 2.37x</t>
        </is>
      </c>
      <c r="E97" s="40" t="inlineStr">
        <is>
          <t>16.27% / 2.39x</t>
        </is>
      </c>
      <c r="F97" s="156" t="inlineStr">
        <is>
          <t>16.80% / 2.40x</t>
        </is>
      </c>
      <c r="G97" s="40" t="inlineStr">
        <is>
          <t>17.37% / 2.42x</t>
        </is>
      </c>
      <c r="H97" s="40" t="inlineStr">
        <is>
          <t>17.98% / 2.44x</t>
        </is>
      </c>
      <c r="J97" s="9" t="inlineStr">
        <is>
          <t>Refi Financing Costs</t>
        </is>
      </c>
      <c r="M97" s="25">
        <f>SUMIF($V$4:$EX$4,"&lt;="&amp;$H$19,$V97:$EX97)</f>
        <v/>
      </c>
      <c r="N97" s="56" t="n"/>
      <c r="O97" s="25">
        <f>SUMIF($V$5:$EX$5,O$7,$V97:$EX97)</f>
        <v/>
      </c>
      <c r="P97" s="25">
        <f>SUMIF($V$5:$EX$5,P$7,$V97:$EX97)</f>
        <v/>
      </c>
      <c r="Q97" s="25">
        <f>SUMIF($V$5:$EX$5,Q$7,$V97:$EX97)</f>
        <v/>
      </c>
      <c r="R97" s="25">
        <f>SUMIF($V$5:$EX$5,R$7,$V97:$EX97)</f>
        <v/>
      </c>
      <c r="S97" s="25">
        <f>SUMIF($V$5:$EX$5,S$7,$V97:$EX97)</f>
        <v/>
      </c>
      <c r="T97" s="25">
        <f>SUMIF($V$5:$EX$5,T$7,$V97:$EX97)</f>
        <v/>
      </c>
      <c r="U97" s="56" t="n"/>
      <c r="V97" s="25">
        <f>IF(V6=$E$48,-$H$50,0)</f>
        <v/>
      </c>
      <c r="W97" s="25">
        <f>IF(W6=$E$48,-$H$50,0)</f>
        <v/>
      </c>
      <c r="X97" s="25">
        <f>IF(X6=$E$48,-$H$50,0)</f>
        <v/>
      </c>
      <c r="Y97" s="25">
        <f>IF(Y6=$E$48,-$H$50,0)</f>
        <v/>
      </c>
      <c r="Z97" s="25">
        <f>IF(Z6=$E$48,-$H$50,0)</f>
        <v/>
      </c>
      <c r="AA97" s="25">
        <f>IF(AA6=$E$48,-$H$50,0)</f>
        <v/>
      </c>
      <c r="AB97" s="25">
        <f>IF(AB6=$E$48,-$H$50,0)</f>
        <v/>
      </c>
      <c r="AC97" s="25">
        <f>IF(AC6=$E$48,-$H$50,0)</f>
        <v/>
      </c>
      <c r="AD97" s="25">
        <f>IF(AD6=$E$48,-$H$50,0)</f>
        <v/>
      </c>
      <c r="AE97" s="25">
        <f>IF(AE6=$E$48,-$H$50,0)</f>
        <v/>
      </c>
      <c r="AF97" s="25">
        <f>IF(AF6=$E$48,-$H$50,0)</f>
        <v/>
      </c>
      <c r="AG97" s="25">
        <f>IF(AG6=$E$48,-$H$50,0)</f>
        <v/>
      </c>
      <c r="AH97" s="25">
        <f>IF(AH6=$E$48,-$H$50,0)</f>
        <v/>
      </c>
      <c r="AI97" s="25">
        <f>IF(AI6=$E$48,-$H$50,0)</f>
        <v/>
      </c>
      <c r="AJ97" s="25">
        <f>IF(AJ6=$E$48,-$H$50,0)</f>
        <v/>
      </c>
      <c r="AK97" s="25">
        <f>IF(AK6=$E$48,-$H$50,0)</f>
        <v/>
      </c>
      <c r="AL97" s="25">
        <f>IF(AL6=$E$48,-$H$50,0)</f>
        <v/>
      </c>
      <c r="AM97" s="25">
        <f>IF(AM6=$E$48,-$H$50,0)</f>
        <v/>
      </c>
      <c r="AN97" s="25">
        <f>IF(AN6=$E$48,-$H$50,0)</f>
        <v/>
      </c>
      <c r="AO97" s="25">
        <f>IF(AO6=$E$48,-$H$50,0)</f>
        <v/>
      </c>
      <c r="AP97" s="25">
        <f>IF(AP6=$E$48,-$H$50,0)</f>
        <v/>
      </c>
      <c r="AQ97" s="25">
        <f>IF(AQ6=$E$48,-$H$50,0)</f>
        <v/>
      </c>
      <c r="AR97" s="25">
        <f>IF(AR6=$E$48,-$H$50,0)</f>
        <v/>
      </c>
      <c r="AS97" s="25">
        <f>IF(AS6=$E$48,-$H$50,0)</f>
        <v/>
      </c>
      <c r="AT97" s="25">
        <f>IF(AT6=$E$48,-$H$50,0)</f>
        <v/>
      </c>
      <c r="AU97" s="25">
        <f>IF(AU6=$E$48,-$H$50,0)</f>
        <v/>
      </c>
      <c r="AV97" s="25">
        <f>IF(AV6=$E$48,-$H$50,0)</f>
        <v/>
      </c>
      <c r="AW97" s="25">
        <f>IF(AW6=$E$48,-$H$50,0)</f>
        <v/>
      </c>
      <c r="AX97" s="25">
        <f>IF(AX6=$E$48,-$H$50,0)</f>
        <v/>
      </c>
      <c r="AY97" s="25">
        <f>IF(AY6=$E$48,-$H$50,0)</f>
        <v/>
      </c>
      <c r="AZ97" s="25">
        <f>IF(AZ6=$E$48,-$H$50,0)</f>
        <v/>
      </c>
      <c r="BA97" s="25">
        <f>IF(BA6=$E$48,-$H$50,0)</f>
        <v/>
      </c>
      <c r="BB97" s="25">
        <f>IF(BB6=$E$48,-$H$50,0)</f>
        <v/>
      </c>
      <c r="BC97" s="25">
        <f>IF(BC6=$E$48,-$H$50,0)</f>
        <v/>
      </c>
      <c r="BD97" s="25">
        <f>IF(BD6=$E$48,-$H$50,0)</f>
        <v/>
      </c>
      <c r="BE97" s="25">
        <f>IF(BE6=$E$48,-$H$50,0)</f>
        <v/>
      </c>
      <c r="BF97" s="25">
        <f>IF(BF6=$E$48,-$H$50,0)</f>
        <v/>
      </c>
      <c r="BG97" s="25">
        <f>IF(BG6=$E$48,-$H$50,0)</f>
        <v/>
      </c>
      <c r="BH97" s="25">
        <f>IF(BH6=$E$48,-$H$50,0)</f>
        <v/>
      </c>
      <c r="BI97" s="25">
        <f>IF(BI6=$E$48,-$H$50,0)</f>
        <v/>
      </c>
      <c r="BJ97" s="25">
        <f>IF(BJ6=$E$48,-$H$50,0)</f>
        <v/>
      </c>
      <c r="BK97" s="25">
        <f>IF(BK6=$E$48,-$H$50,0)</f>
        <v/>
      </c>
      <c r="BL97" s="25">
        <f>IF(BL6=$E$48,-$H$50,0)</f>
        <v/>
      </c>
      <c r="BM97" s="25">
        <f>IF(BM6=$E$48,-$H$50,0)</f>
        <v/>
      </c>
      <c r="BN97" s="25">
        <f>IF(BN6=$E$48,-$H$50,0)</f>
        <v/>
      </c>
      <c r="BO97" s="25">
        <f>IF(BO6=$E$48,-$H$50,0)</f>
        <v/>
      </c>
      <c r="BP97" s="25">
        <f>IF(BP6=$E$48,-$H$50,0)</f>
        <v/>
      </c>
      <c r="BQ97" s="25">
        <f>IF(BQ6=$E$48,-$H$50,0)</f>
        <v/>
      </c>
      <c r="BR97" s="25">
        <f>IF(BR6=$E$48,-$H$50,0)</f>
        <v/>
      </c>
      <c r="BS97" s="25">
        <f>IF(BS6=$E$48,-$H$50,0)</f>
        <v/>
      </c>
      <c r="BT97" s="25">
        <f>IF(BT6=$E$48,-$H$50,0)</f>
        <v/>
      </c>
      <c r="BU97" s="25">
        <f>IF(BU6=$E$48,-$H$50,0)</f>
        <v/>
      </c>
      <c r="BV97" s="25">
        <f>IF(BV6=$E$48,-$H$50,0)</f>
        <v/>
      </c>
      <c r="BW97" s="25">
        <f>IF(BW6=$E$48,-$H$50,0)</f>
        <v/>
      </c>
      <c r="BX97" s="25">
        <f>IF(BX6=$E$48,-$H$50,0)</f>
        <v/>
      </c>
      <c r="BY97" s="25">
        <f>IF(BY6=$E$48,-$H$50,0)</f>
        <v/>
      </c>
      <c r="BZ97" s="25">
        <f>IF(BZ6=$E$48,-$H$50,0)</f>
        <v/>
      </c>
      <c r="CA97" s="25">
        <f>IF(CA6=$E$48,-$H$50,0)</f>
        <v/>
      </c>
      <c r="CB97" s="25">
        <f>IF(CB6=$E$48,-$H$50,0)</f>
        <v/>
      </c>
      <c r="CC97" s="25">
        <f>IF(CC6=$E$48,-$H$50,0)</f>
        <v/>
      </c>
      <c r="CD97" s="25">
        <f>IF(CD6=$E$48,-$H$50,0)</f>
        <v/>
      </c>
      <c r="CE97" s="25">
        <f>IF(CE6=$E$48,-$H$50,0)</f>
        <v/>
      </c>
      <c r="CF97" s="25">
        <f>IF(CF6=$E$48,-$H$50,0)</f>
        <v/>
      </c>
      <c r="CG97" s="25">
        <f>IF(CG6=$E$48,-$H$50,0)</f>
        <v/>
      </c>
      <c r="CH97" s="25">
        <f>IF(CH6=$E$48,-$H$50,0)</f>
        <v/>
      </c>
      <c r="CI97" s="25">
        <f>IF(CI6=$E$48,-$H$50,0)</f>
        <v/>
      </c>
      <c r="CJ97" s="25">
        <f>IF(CJ6=$E$48,-$H$50,0)</f>
        <v/>
      </c>
      <c r="CK97" s="25">
        <f>IF(CK6=$E$48,-$H$50,0)</f>
        <v/>
      </c>
      <c r="CL97" s="25">
        <f>IF(CL6=$E$48,-$H$50,0)</f>
        <v/>
      </c>
      <c r="CM97" s="25">
        <f>IF(CM6=$E$48,-$H$50,0)</f>
        <v/>
      </c>
      <c r="CN97" s="25">
        <f>IF(CN6=$E$48,-$H$50,0)</f>
        <v/>
      </c>
      <c r="CO97" s="25">
        <f>IF(CO6=$E$48,-$H$50,0)</f>
        <v/>
      </c>
      <c r="CP97" s="25">
        <f>IF(CP6=$E$48,-$H$50,0)</f>
        <v/>
      </c>
      <c r="CQ97" s="25">
        <f>IF(CQ6=$E$48,-$H$50,0)</f>
        <v/>
      </c>
      <c r="CR97" s="25">
        <f>IF(CR6=$E$48,-$H$50,0)</f>
        <v/>
      </c>
      <c r="CS97" s="25">
        <f>IF(CS6=$E$48,-$H$50,0)</f>
        <v/>
      </c>
      <c r="CT97" s="25">
        <f>IF(CT6=$E$48,-$H$50,0)</f>
        <v/>
      </c>
      <c r="CU97" s="25">
        <f>IF(CU6=$E$48,-$H$50,0)</f>
        <v/>
      </c>
      <c r="CV97" s="25">
        <f>IF(CV6=$E$48,-$H$50,0)</f>
        <v/>
      </c>
      <c r="CW97" s="25">
        <f>IF(CW6=$E$48,-$H$50,0)</f>
        <v/>
      </c>
      <c r="CX97" s="25">
        <f>IF(CX6=$E$48,-$H$50,0)</f>
        <v/>
      </c>
      <c r="CY97" s="25">
        <f>IF(CY6=$E$48,-$H$50,0)</f>
        <v/>
      </c>
      <c r="CZ97" s="25">
        <f>IF(CZ6=$E$48,-$H$50,0)</f>
        <v/>
      </c>
      <c r="DA97" s="25">
        <f>IF(DA6=$E$48,-$H$50,0)</f>
        <v/>
      </c>
      <c r="DB97" s="25">
        <f>IF(DB6=$E$48,-$H$50,0)</f>
        <v/>
      </c>
      <c r="DC97" s="25">
        <f>IF(DC6=$E$48,-$H$50,0)</f>
        <v/>
      </c>
      <c r="DD97" s="25">
        <f>IF(DD6=$E$48,-$H$50,0)</f>
        <v/>
      </c>
      <c r="DE97" s="25">
        <f>IF(DE6=$E$48,-$H$50,0)</f>
        <v/>
      </c>
      <c r="DF97" s="25">
        <f>IF(DF6=$E$48,-$H$50,0)</f>
        <v/>
      </c>
      <c r="DG97" s="25">
        <f>IF(DG6=$E$48,-$H$50,0)</f>
        <v/>
      </c>
      <c r="DH97" s="25">
        <f>IF(DH6=$E$48,-$H$50,0)</f>
        <v/>
      </c>
      <c r="DI97" s="25">
        <f>IF(DI6=$E$48,-$H$50,0)</f>
        <v/>
      </c>
      <c r="DJ97" s="25">
        <f>IF(DJ6=$E$48,-$H$50,0)</f>
        <v/>
      </c>
      <c r="DK97" s="25">
        <f>IF(DK6=$E$48,-$H$50,0)</f>
        <v/>
      </c>
      <c r="DL97" s="25">
        <f>IF(DL6=$E$48,-$H$50,0)</f>
        <v/>
      </c>
      <c r="DM97" s="25">
        <f>IF(DM6=$E$48,-$H$50,0)</f>
        <v/>
      </c>
      <c r="DN97" s="25">
        <f>IF(DN6=$E$48,-$H$50,0)</f>
        <v/>
      </c>
      <c r="DO97" s="25">
        <f>IF(DO6=$E$48,-$H$50,0)</f>
        <v/>
      </c>
      <c r="DP97" s="25">
        <f>IF(DP6=$E$48,-$H$50,0)</f>
        <v/>
      </c>
      <c r="DQ97" s="25">
        <f>IF(DQ6=$E$48,-$H$50,0)</f>
        <v/>
      </c>
      <c r="DR97" s="25">
        <f>IF(DR6=$E$48,-$H$50,0)</f>
        <v/>
      </c>
      <c r="DS97" s="25">
        <f>IF(DS6=$E$48,-$H$50,0)</f>
        <v/>
      </c>
      <c r="DT97" s="25">
        <f>IF(DT6=$E$48,-$H$50,0)</f>
        <v/>
      </c>
      <c r="DU97" s="25">
        <f>IF(DU6=$E$48,-$H$50,0)</f>
        <v/>
      </c>
      <c r="DV97" s="25">
        <f>IF(DV6=$E$48,-$H$50,0)</f>
        <v/>
      </c>
      <c r="DW97" s="25">
        <f>IF(DW6=$E$48,-$H$50,0)</f>
        <v/>
      </c>
      <c r="DX97" s="25">
        <f>IF(DX6=$E$48,-$H$50,0)</f>
        <v/>
      </c>
      <c r="DY97" s="25">
        <f>IF(DY6=$E$48,-$H$50,0)</f>
        <v/>
      </c>
      <c r="DZ97" s="25">
        <f>IF(DZ6=$E$48,-$H$50,0)</f>
        <v/>
      </c>
      <c r="EA97" s="25">
        <f>IF(EA6=$E$48,-$H$50,0)</f>
        <v/>
      </c>
      <c r="EB97" s="25">
        <f>IF(EB6=$E$48,-$H$50,0)</f>
        <v/>
      </c>
      <c r="EC97" s="25">
        <f>IF(EC6=$E$48,-$H$50,0)</f>
        <v/>
      </c>
      <c r="ED97" s="25">
        <f>IF(ED6=$E$48,-$H$50,0)</f>
        <v/>
      </c>
      <c r="EE97" s="25">
        <f>IF(EE6=$E$48,-$H$50,0)</f>
        <v/>
      </c>
      <c r="EF97" s="25">
        <f>IF(EF6=$E$48,-$H$50,0)</f>
        <v/>
      </c>
      <c r="EG97" s="25">
        <f>IF(EG6=$E$48,-$H$50,0)</f>
        <v/>
      </c>
      <c r="EH97" s="25">
        <f>IF(EH6=$E$48,-$H$50,0)</f>
        <v/>
      </c>
      <c r="EI97" s="25">
        <f>IF(EI6=$E$48,-$H$50,0)</f>
        <v/>
      </c>
      <c r="EJ97" s="25">
        <f>IF(EJ6=$E$48,-$H$50,0)</f>
        <v/>
      </c>
      <c r="EK97" s="25">
        <f>IF(EK6=$E$48,-$H$50,0)</f>
        <v/>
      </c>
      <c r="EL97" s="25">
        <f>IF(EL6=$E$48,-$H$50,0)</f>
        <v/>
      </c>
      <c r="EM97" s="25">
        <f>IF(EM6=$E$48,-$H$50,0)</f>
        <v/>
      </c>
      <c r="EN97" s="25">
        <f>IF(EN6=$E$48,-$H$50,0)</f>
        <v/>
      </c>
      <c r="EO97" s="25">
        <f>IF(EO6=$E$48,-$H$50,0)</f>
        <v/>
      </c>
      <c r="EP97" s="25">
        <f>IF(EP6=$E$48,-$H$50,0)</f>
        <v/>
      </c>
      <c r="EQ97" s="25">
        <f>IF(EQ6=$E$48,-$H$50,0)</f>
        <v/>
      </c>
      <c r="ER97" s="25">
        <f>IF(ER6=$E$48,-$H$50,0)</f>
        <v/>
      </c>
      <c r="ES97" s="25">
        <f>IF(ES6=$E$48,-$H$50,0)</f>
        <v/>
      </c>
      <c r="ET97" s="25">
        <f>IF(ET6=$E$48,-$H$50,0)</f>
        <v/>
      </c>
      <c r="EU97" s="25">
        <f>IF(EU6=$E$48,-$H$50,0)</f>
        <v/>
      </c>
      <c r="EV97" s="25">
        <f>IF(EV6=$E$48,-$H$50,0)</f>
        <v/>
      </c>
      <c r="EW97" s="25">
        <f>IF(EW6=$E$48,-$H$50,0)</f>
        <v/>
      </c>
      <c r="EX97" s="25">
        <f>IF(EX6=$E$48,-$H$50,0)</f>
        <v/>
      </c>
    </row>
    <row r="98" customFormat="1" s="264">
      <c r="A98" s="282" t="n"/>
      <c r="B98" s="9" t="n"/>
      <c r="C98" s="23" t="inlineStr">
        <is>
          <t>General Inflation</t>
        </is>
      </c>
      <c r="D98" s="154">
        <f>E98+0.25%</f>
        <v/>
      </c>
      <c r="E98" s="154">
        <f>F98+0.25%</f>
        <v/>
      </c>
      <c r="F98" s="154" t="n">
        <v>0.03</v>
      </c>
      <c r="G98" s="154">
        <f>F98-0.5%</f>
        <v/>
      </c>
      <c r="H98" s="154">
        <f>G98-0.5%</f>
        <v/>
      </c>
      <c r="I98" s="282" t="n"/>
      <c r="J98" s="9" t="inlineStr">
        <is>
          <t>Refi Proceeds</t>
        </is>
      </c>
      <c r="K98" s="9" t="n"/>
      <c r="L98" s="12" t="n"/>
      <c r="M98" s="25">
        <f>SUMIF($V$4:$EX$4,"&lt;="&amp;$H$19,$V98:$EX98)</f>
        <v/>
      </c>
      <c r="N98" s="56" t="n"/>
      <c r="O98" s="25">
        <f>SUMIF($V$5:$EX$5,O$7,$V98:$EX98)</f>
        <v/>
      </c>
      <c r="P98" s="25">
        <f>SUMIF($V$5:$EX$5,P$7,$V98:$EX98)</f>
        <v/>
      </c>
      <c r="Q98" s="25">
        <f>SUMIF($V$5:$EX$5,Q$7,$V98:$EX98)</f>
        <v/>
      </c>
      <c r="R98" s="25">
        <f>SUMIF($V$5:$EX$5,R$7,$V98:$EX98)</f>
        <v/>
      </c>
      <c r="S98" s="25">
        <f>SUMIF($V$5:$EX$5,S$7,$V98:$EX98)</f>
        <v/>
      </c>
      <c r="T98" s="25">
        <f>SUMIF($V$5:$EX$5,T$7,$V98:$EX98)</f>
        <v/>
      </c>
      <c r="U98" s="56" t="n"/>
      <c r="V98" s="25">
        <f>IF(V6=$E$48,V147,0)</f>
        <v/>
      </c>
      <c r="W98" s="25">
        <f>IF(W6=$E$48,W147,0)</f>
        <v/>
      </c>
      <c r="X98" s="25">
        <f>IF(X6=$E$48,X147,0)</f>
        <v/>
      </c>
      <c r="Y98" s="25">
        <f>IF(Y6=$E$48,Y147,0)</f>
        <v/>
      </c>
      <c r="Z98" s="25">
        <f>IF(Z6=$E$48,Z147,0)</f>
        <v/>
      </c>
      <c r="AA98" s="25">
        <f>IF(AA6=$E$48,AA147,0)</f>
        <v/>
      </c>
      <c r="AB98" s="25">
        <f>IF(AB6=$E$48,AB147,0)</f>
        <v/>
      </c>
      <c r="AC98" s="25">
        <f>IF(AC6=$E$48,AC147,0)</f>
        <v/>
      </c>
      <c r="AD98" s="25">
        <f>IF(AD6=$E$48,AD147,0)</f>
        <v/>
      </c>
      <c r="AE98" s="25">
        <f>IF(AE6=$E$48,AE147,0)</f>
        <v/>
      </c>
      <c r="AF98" s="25">
        <f>IF(AF6=$E$48,AF147,0)</f>
        <v/>
      </c>
      <c r="AG98" s="25">
        <f>IF(AG6=$E$48,AG147,0)</f>
        <v/>
      </c>
      <c r="AH98" s="25">
        <f>IF(AH6=$E$48,AH147,0)</f>
        <v/>
      </c>
      <c r="AI98" s="25">
        <f>IF(AI6=$E$48,AI147,0)</f>
        <v/>
      </c>
      <c r="AJ98" s="25">
        <f>IF(AJ6=$E$48,AJ147,0)</f>
        <v/>
      </c>
      <c r="AK98" s="25">
        <f>IF(AK6=$E$48,AK147,0)</f>
        <v/>
      </c>
      <c r="AL98" s="25">
        <f>IF(AL6=$E$48,AL147,0)</f>
        <v/>
      </c>
      <c r="AM98" s="25">
        <f>IF(AM6=$E$48,AM147,0)</f>
        <v/>
      </c>
      <c r="AN98" s="25">
        <f>IF(AN6=$E$48,AN147,0)</f>
        <v/>
      </c>
      <c r="AO98" s="25">
        <f>IF(AO6=$E$48,AO147,0)</f>
        <v/>
      </c>
      <c r="AP98" s="25">
        <f>IF(AP6=$E$48,AP147,0)</f>
        <v/>
      </c>
      <c r="AQ98" s="25">
        <f>IF(AQ6=$E$48,AQ147,0)</f>
        <v/>
      </c>
      <c r="AR98" s="25">
        <f>IF(AR6=$E$48,AR147,0)</f>
        <v/>
      </c>
      <c r="AS98" s="25">
        <f>IF(AS6=$E$48,AS147,0)</f>
        <v/>
      </c>
      <c r="AT98" s="25">
        <f>IF(AT6=$E$48,AT147,0)</f>
        <v/>
      </c>
      <c r="AU98" s="25">
        <f>IF(AU6=$E$48,AU147,0)</f>
        <v/>
      </c>
      <c r="AV98" s="25">
        <f>IF(AV6=$E$48,AV147,0)</f>
        <v/>
      </c>
      <c r="AW98" s="25">
        <f>IF(AW6=$E$48,AW147,0)</f>
        <v/>
      </c>
      <c r="AX98" s="25">
        <f>IF(AX6=$E$48,AX147,0)</f>
        <v/>
      </c>
      <c r="AY98" s="25">
        <f>IF(AY6=$E$48,AY147,0)</f>
        <v/>
      </c>
      <c r="AZ98" s="25">
        <f>IF(AZ6=$E$48,AZ147,0)</f>
        <v/>
      </c>
      <c r="BA98" s="25">
        <f>IF(BA6=$E$48,BA147,0)</f>
        <v/>
      </c>
      <c r="BB98" s="25">
        <f>IF(BB6=$E$48,BB147,0)</f>
        <v/>
      </c>
      <c r="BC98" s="25">
        <f>IF(BC6=$E$48,BC147,0)</f>
        <v/>
      </c>
      <c r="BD98" s="25">
        <f>IF(BD6=$E$48,BD147,0)</f>
        <v/>
      </c>
      <c r="BE98" s="25">
        <f>IF(BE6=$E$48,BE147,0)</f>
        <v/>
      </c>
      <c r="BF98" s="25">
        <f>IF(BF6=$E$48,BF147,0)</f>
        <v/>
      </c>
      <c r="BG98" s="25">
        <f>IF(BG6=$E$48,BG147,0)</f>
        <v/>
      </c>
      <c r="BH98" s="25">
        <f>IF(BH6=$E$48,BH147,0)</f>
        <v/>
      </c>
      <c r="BI98" s="25">
        <f>IF(BI6=$E$48,BI147,0)</f>
        <v/>
      </c>
      <c r="BJ98" s="25">
        <f>IF(BJ6=$E$48,BJ147,0)</f>
        <v/>
      </c>
      <c r="BK98" s="25">
        <f>IF(BK6=$E$48,BK147,0)</f>
        <v/>
      </c>
      <c r="BL98" s="25">
        <f>IF(BL6=$E$48,BL147,0)</f>
        <v/>
      </c>
      <c r="BM98" s="25">
        <f>IF(BM6=$E$48,BM147,0)</f>
        <v/>
      </c>
      <c r="BN98" s="25">
        <f>IF(BN6=$E$48,BN147,0)</f>
        <v/>
      </c>
      <c r="BO98" s="25">
        <f>IF(BO6=$E$48,BO147,0)</f>
        <v/>
      </c>
      <c r="BP98" s="25">
        <f>IF(BP6=$E$48,BP147,0)</f>
        <v/>
      </c>
      <c r="BQ98" s="25">
        <f>IF(BQ6=$E$48,BQ147,0)</f>
        <v/>
      </c>
      <c r="BR98" s="25">
        <f>IF(BR6=$E$48,BR147,0)</f>
        <v/>
      </c>
      <c r="BS98" s="25">
        <f>IF(BS6=$E$48,BS147,0)</f>
        <v/>
      </c>
      <c r="BT98" s="25">
        <f>IF(BT6=$E$48,BT147,0)</f>
        <v/>
      </c>
      <c r="BU98" s="25">
        <f>IF(BU6=$E$48,BU147,0)</f>
        <v/>
      </c>
      <c r="BV98" s="25">
        <f>IF(BV6=$E$48,BV147,0)</f>
        <v/>
      </c>
      <c r="BW98" s="25">
        <f>IF(BW6=$E$48,BW147,0)</f>
        <v/>
      </c>
      <c r="BX98" s="25">
        <f>IF(BX6=$E$48,BX147,0)</f>
        <v/>
      </c>
      <c r="BY98" s="25">
        <f>IF(BY6=$E$48,BY147,0)</f>
        <v/>
      </c>
      <c r="BZ98" s="25">
        <f>IF(BZ6=$E$48,BZ147,0)</f>
        <v/>
      </c>
      <c r="CA98" s="25">
        <f>IF(CA6=$E$48,CA147,0)</f>
        <v/>
      </c>
      <c r="CB98" s="25">
        <f>IF(CB6=$E$48,CB147,0)</f>
        <v/>
      </c>
      <c r="CC98" s="25">
        <f>IF(CC6=$E$48,CC147,0)</f>
        <v/>
      </c>
      <c r="CD98" s="25">
        <f>IF(CD6=$E$48,CD147,0)</f>
        <v/>
      </c>
      <c r="CE98" s="25">
        <f>IF(CE6=$E$48,CE147,0)</f>
        <v/>
      </c>
      <c r="CF98" s="25">
        <f>IF(CF6=$E$48,CF147,0)</f>
        <v/>
      </c>
      <c r="CG98" s="25">
        <f>IF(CG6=$E$48,CG147,0)</f>
        <v/>
      </c>
      <c r="CH98" s="25">
        <f>IF(CH6=$E$48,CH147,0)</f>
        <v/>
      </c>
      <c r="CI98" s="25">
        <f>IF(CI6=$E$48,CI147,0)</f>
        <v/>
      </c>
      <c r="CJ98" s="25">
        <f>IF(CJ6=$E$48,CJ147,0)</f>
        <v/>
      </c>
      <c r="CK98" s="25">
        <f>IF(CK6=$E$48,CK147,0)</f>
        <v/>
      </c>
      <c r="CL98" s="25">
        <f>IF(CL6=$E$48,CL147,0)</f>
        <v/>
      </c>
      <c r="CM98" s="25">
        <f>IF(CM6=$E$48,CM147,0)</f>
        <v/>
      </c>
      <c r="CN98" s="25">
        <f>IF(CN6=$E$48,CN147,0)</f>
        <v/>
      </c>
      <c r="CO98" s="25">
        <f>IF(CO6=$E$48,CO147,0)</f>
        <v/>
      </c>
      <c r="CP98" s="25">
        <f>IF(CP6=$E$48,CP147,0)</f>
        <v/>
      </c>
      <c r="CQ98" s="25">
        <f>IF(CQ6=$E$48,CQ147,0)</f>
        <v/>
      </c>
      <c r="CR98" s="25">
        <f>IF(CR6=$E$48,CR147,0)</f>
        <v/>
      </c>
      <c r="CS98" s="25">
        <f>IF(CS6=$E$48,CS147,0)</f>
        <v/>
      </c>
      <c r="CT98" s="25">
        <f>IF(CT6=$E$48,CT147,0)</f>
        <v/>
      </c>
      <c r="CU98" s="25">
        <f>IF(CU6=$E$48,CU147,0)</f>
        <v/>
      </c>
      <c r="CV98" s="25">
        <f>IF(CV6=$E$48,CV147,0)</f>
        <v/>
      </c>
      <c r="CW98" s="25">
        <f>IF(CW6=$E$48,CW147,0)</f>
        <v/>
      </c>
      <c r="CX98" s="25">
        <f>IF(CX6=$E$48,CX147,0)</f>
        <v/>
      </c>
      <c r="CY98" s="25">
        <f>IF(CY6=$E$48,CY147,0)</f>
        <v/>
      </c>
      <c r="CZ98" s="25">
        <f>IF(CZ6=$E$48,CZ147,0)</f>
        <v/>
      </c>
      <c r="DA98" s="25">
        <f>IF(DA6=$E$48,DA147,0)</f>
        <v/>
      </c>
      <c r="DB98" s="25">
        <f>IF(DB6=$E$48,DB147,0)</f>
        <v/>
      </c>
      <c r="DC98" s="25">
        <f>IF(DC6=$E$48,DC147,0)</f>
        <v/>
      </c>
      <c r="DD98" s="25">
        <f>IF(DD6=$E$48,DD147,0)</f>
        <v/>
      </c>
      <c r="DE98" s="25">
        <f>IF(DE6=$E$48,DE147,0)</f>
        <v/>
      </c>
      <c r="DF98" s="25">
        <f>IF(DF6=$E$48,DF147,0)</f>
        <v/>
      </c>
      <c r="DG98" s="25">
        <f>IF(DG6=$E$48,DG147,0)</f>
        <v/>
      </c>
      <c r="DH98" s="25">
        <f>IF(DH6=$E$48,DH147,0)</f>
        <v/>
      </c>
      <c r="DI98" s="25">
        <f>IF(DI6=$E$48,DI147,0)</f>
        <v/>
      </c>
      <c r="DJ98" s="25">
        <f>IF(DJ6=$E$48,DJ147,0)</f>
        <v/>
      </c>
      <c r="DK98" s="25">
        <f>IF(DK6=$E$48,DK147,0)</f>
        <v/>
      </c>
      <c r="DL98" s="25">
        <f>IF(DL6=$E$48,DL147,0)</f>
        <v/>
      </c>
      <c r="DM98" s="25">
        <f>IF(DM6=$E$48,DM147,0)</f>
        <v/>
      </c>
      <c r="DN98" s="25">
        <f>IF(DN6=$E$48,DN147,0)</f>
        <v/>
      </c>
      <c r="DO98" s="25">
        <f>IF(DO6=$E$48,DO147,0)</f>
        <v/>
      </c>
      <c r="DP98" s="25">
        <f>IF(DP6=$E$48,DP147,0)</f>
        <v/>
      </c>
      <c r="DQ98" s="25">
        <f>IF(DQ6=$E$48,DQ147,0)</f>
        <v/>
      </c>
      <c r="DR98" s="25">
        <f>IF(DR6=$E$48,DR147,0)</f>
        <v/>
      </c>
      <c r="DS98" s="25">
        <f>IF(DS6=$E$48,DS147,0)</f>
        <v/>
      </c>
      <c r="DT98" s="25">
        <f>IF(DT6=$E$48,DT147,0)</f>
        <v/>
      </c>
      <c r="DU98" s="25">
        <f>IF(DU6=$E$48,DU147,0)</f>
        <v/>
      </c>
      <c r="DV98" s="25">
        <f>IF(DV6=$E$48,DV147,0)</f>
        <v/>
      </c>
      <c r="DW98" s="25">
        <f>IF(DW6=$E$48,DW147,0)</f>
        <v/>
      </c>
      <c r="DX98" s="25">
        <f>IF(DX6=$E$48,DX147,0)</f>
        <v/>
      </c>
      <c r="DY98" s="25">
        <f>IF(DY6=$E$48,DY147,0)</f>
        <v/>
      </c>
      <c r="DZ98" s="25">
        <f>IF(DZ6=$E$48,DZ147,0)</f>
        <v/>
      </c>
      <c r="EA98" s="25">
        <f>IF(EA6=$E$48,EA147,0)</f>
        <v/>
      </c>
      <c r="EB98" s="25">
        <f>IF(EB6=$E$48,EB147,0)</f>
        <v/>
      </c>
      <c r="EC98" s="25">
        <f>IF(EC6=$E$48,EC147,0)</f>
        <v/>
      </c>
      <c r="ED98" s="25">
        <f>IF(ED6=$E$48,ED147,0)</f>
        <v/>
      </c>
      <c r="EE98" s="25">
        <f>IF(EE6=$E$48,EE147,0)</f>
        <v/>
      </c>
      <c r="EF98" s="25">
        <f>IF(EF6=$E$48,EF147,0)</f>
        <v/>
      </c>
      <c r="EG98" s="25">
        <f>IF(EG6=$E$48,EG147,0)</f>
        <v/>
      </c>
      <c r="EH98" s="25">
        <f>IF(EH6=$E$48,EH147,0)</f>
        <v/>
      </c>
      <c r="EI98" s="25">
        <f>IF(EI6=$E$48,EI147,0)</f>
        <v/>
      </c>
      <c r="EJ98" s="25">
        <f>IF(EJ6=$E$48,EJ147,0)</f>
        <v/>
      </c>
      <c r="EK98" s="25">
        <f>IF(EK6=$E$48,EK147,0)</f>
        <v/>
      </c>
      <c r="EL98" s="25">
        <f>IF(EL6=$E$48,EL147,0)</f>
        <v/>
      </c>
      <c r="EM98" s="25">
        <f>IF(EM6=$E$48,EM147,0)</f>
        <v/>
      </c>
      <c r="EN98" s="25">
        <f>IF(EN6=$E$48,EN147,0)</f>
        <v/>
      </c>
      <c r="EO98" s="25">
        <f>IF(EO6=$E$48,EO147,0)</f>
        <v/>
      </c>
      <c r="EP98" s="25">
        <f>IF(EP6=$E$48,EP147,0)</f>
        <v/>
      </c>
      <c r="EQ98" s="25">
        <f>IF(EQ6=$E$48,EQ147,0)</f>
        <v/>
      </c>
      <c r="ER98" s="25">
        <f>IF(ER6=$E$48,ER147,0)</f>
        <v/>
      </c>
      <c r="ES98" s="25">
        <f>IF(ES6=$E$48,ES147,0)</f>
        <v/>
      </c>
      <c r="ET98" s="25">
        <f>IF(ET6=$E$48,ET147,0)</f>
        <v/>
      </c>
      <c r="EU98" s="25">
        <f>IF(EU6=$E$48,EU147,0)</f>
        <v/>
      </c>
      <c r="EV98" s="25">
        <f>IF(EV6=$E$48,EV147,0)</f>
        <v/>
      </c>
      <c r="EW98" s="25">
        <f>IF(EW6=$E$48,EW147,0)</f>
        <v/>
      </c>
      <c r="EX98" s="25">
        <f>IF(EX6=$E$48,EX147,0)</f>
        <v/>
      </c>
    </row>
    <row r="99">
      <c r="A99" s="33" t="n"/>
      <c r="B99" s="282" t="n"/>
      <c r="C99" s="40">
        <f>CONCATENATE(TEXT($G$11,"0.00%")," / ",TEXT($G$12,"0.00x"))</f>
        <v/>
      </c>
      <c r="D99" s="40" t="inlineStr">
        <is>
          <t>17.93% / 2.54x</t>
        </is>
      </c>
      <c r="E99" s="40" t="inlineStr">
        <is>
          <t>17.37% / 2.47x</t>
        </is>
      </c>
      <c r="F99" s="156" t="inlineStr">
        <is>
          <t>16.80% / 2.40x</t>
        </is>
      </c>
      <c r="G99" s="40" t="inlineStr">
        <is>
          <t>15.66% / 2.27x</t>
        </is>
      </c>
      <c r="H99" s="40" t="inlineStr">
        <is>
          <t>14.50% / 2.14x</t>
        </is>
      </c>
      <c r="J99" s="9" t="inlineStr">
        <is>
          <t>Refinance Debt Service</t>
        </is>
      </c>
      <c r="M99" s="25">
        <f>SUMIF($V$4:$EX$4,"&lt;="&amp;$H$19,$V99:$EX99)</f>
        <v/>
      </c>
      <c r="N99" s="56" t="n"/>
      <c r="O99" s="25">
        <f>SUMIF($V$5:$EX$5,O$7,$V99:$EX99)</f>
        <v/>
      </c>
      <c r="P99" s="25">
        <f>SUMIF($V$5:$EX$5,P$7,$V99:$EX99)</f>
        <v/>
      </c>
      <c r="Q99" s="25">
        <f>SUMIF($V$5:$EX$5,Q$7,$V99:$EX99)</f>
        <v/>
      </c>
      <c r="R99" s="25">
        <f>SUMIF($V$5:$EX$5,R$7,$V99:$EX99)</f>
        <v/>
      </c>
      <c r="S99" s="25">
        <f>SUMIF($V$5:$EX$5,S$7,$V99:$EX99)</f>
        <v/>
      </c>
      <c r="T99" s="25">
        <f>SUMIF($V$5:$EX$5,T$7,$V99:$EX99)</f>
        <v/>
      </c>
      <c r="U99" s="56" t="n"/>
      <c r="V99" s="25">
        <f>SUM(V149:V150)</f>
        <v/>
      </c>
      <c r="W99" s="25">
        <f>SUM(W149:W150)</f>
        <v/>
      </c>
      <c r="X99" s="25">
        <f>SUM(X149:X150)</f>
        <v/>
      </c>
      <c r="Y99" s="25">
        <f>SUM(Y149:Y150)</f>
        <v/>
      </c>
      <c r="Z99" s="25">
        <f>SUM(Z149:Z150)</f>
        <v/>
      </c>
      <c r="AA99" s="25">
        <f>SUM(AA149:AA150)</f>
        <v/>
      </c>
      <c r="AB99" s="25">
        <f>SUM(AB149:AB150)</f>
        <v/>
      </c>
      <c r="AC99" s="25">
        <f>SUM(AC149:AC150)</f>
        <v/>
      </c>
      <c r="AD99" s="25">
        <f>SUM(AD149:AD150)</f>
        <v/>
      </c>
      <c r="AE99" s="25">
        <f>SUM(AE149:AE150)</f>
        <v/>
      </c>
      <c r="AF99" s="25">
        <f>SUM(AF149:AF150)</f>
        <v/>
      </c>
      <c r="AG99" s="25">
        <f>SUM(AG149:AG150)</f>
        <v/>
      </c>
      <c r="AH99" s="25">
        <f>SUM(AH149:AH150)</f>
        <v/>
      </c>
      <c r="AI99" s="25">
        <f>SUM(AI149:AI150)</f>
        <v/>
      </c>
      <c r="AJ99" s="25">
        <f>SUM(AJ149:AJ150)</f>
        <v/>
      </c>
      <c r="AK99" s="25">
        <f>SUM(AK149:AK150)</f>
        <v/>
      </c>
      <c r="AL99" s="25">
        <f>SUM(AL149:AL150)</f>
        <v/>
      </c>
      <c r="AM99" s="25">
        <f>SUM(AM149:AM150)</f>
        <v/>
      </c>
      <c r="AN99" s="25">
        <f>SUM(AN149:AN150)</f>
        <v/>
      </c>
      <c r="AO99" s="25">
        <f>SUM(AO149:AO150)</f>
        <v/>
      </c>
      <c r="AP99" s="25">
        <f>SUM(AP149:AP150)</f>
        <v/>
      </c>
      <c r="AQ99" s="25">
        <f>SUM(AQ149:AQ150)</f>
        <v/>
      </c>
      <c r="AR99" s="25">
        <f>SUM(AR149:AR150)</f>
        <v/>
      </c>
      <c r="AS99" s="25">
        <f>SUM(AS149:AS150)</f>
        <v/>
      </c>
      <c r="AT99" s="25">
        <f>SUM(AT149:AT150)</f>
        <v/>
      </c>
      <c r="AU99" s="25">
        <f>SUM(AU149:AU150)</f>
        <v/>
      </c>
      <c r="AV99" s="25">
        <f>SUM(AV149:AV150)</f>
        <v/>
      </c>
      <c r="AW99" s="25">
        <f>SUM(AW149:AW150)</f>
        <v/>
      </c>
      <c r="AX99" s="25">
        <f>SUM(AX149:AX150)</f>
        <v/>
      </c>
      <c r="AY99" s="25">
        <f>SUM(AY149:AY150)</f>
        <v/>
      </c>
      <c r="AZ99" s="25">
        <f>SUM(AZ149:AZ150)</f>
        <v/>
      </c>
      <c r="BA99" s="25">
        <f>SUM(BA149:BA150)</f>
        <v/>
      </c>
      <c r="BB99" s="25">
        <f>SUM(BB149:BB150)</f>
        <v/>
      </c>
      <c r="BC99" s="25">
        <f>SUM(BC149:BC150)</f>
        <v/>
      </c>
      <c r="BD99" s="25">
        <f>SUM(BD149:BD150)</f>
        <v/>
      </c>
      <c r="BE99" s="25">
        <f>SUM(BE149:BE150)</f>
        <v/>
      </c>
      <c r="BF99" s="25">
        <f>SUM(BF149:BF150)</f>
        <v/>
      </c>
      <c r="BG99" s="25">
        <f>SUM(BG149:BG150)</f>
        <v/>
      </c>
      <c r="BH99" s="25">
        <f>SUM(BH149:BH150)</f>
        <v/>
      </c>
      <c r="BI99" s="25">
        <f>SUM(BI149:BI150)</f>
        <v/>
      </c>
      <c r="BJ99" s="25">
        <f>SUM(BJ149:BJ150)</f>
        <v/>
      </c>
      <c r="BK99" s="25">
        <f>SUM(BK149:BK150)</f>
        <v/>
      </c>
      <c r="BL99" s="25">
        <f>SUM(BL149:BL150)</f>
        <v/>
      </c>
      <c r="BM99" s="25">
        <f>SUM(BM149:BM150)</f>
        <v/>
      </c>
      <c r="BN99" s="25">
        <f>SUM(BN149:BN150)</f>
        <v/>
      </c>
      <c r="BO99" s="25">
        <f>SUM(BO149:BO150)</f>
        <v/>
      </c>
      <c r="BP99" s="25">
        <f>SUM(BP149:BP150)</f>
        <v/>
      </c>
      <c r="BQ99" s="25">
        <f>SUM(BQ149:BQ150)</f>
        <v/>
      </c>
      <c r="BR99" s="25">
        <f>SUM(BR149:BR150)</f>
        <v/>
      </c>
      <c r="BS99" s="25">
        <f>SUM(BS149:BS150)</f>
        <v/>
      </c>
      <c r="BT99" s="25">
        <f>SUM(BT149:BT150)</f>
        <v/>
      </c>
      <c r="BU99" s="25">
        <f>SUM(BU149:BU150)</f>
        <v/>
      </c>
      <c r="BV99" s="25">
        <f>SUM(BV149:BV150)</f>
        <v/>
      </c>
      <c r="BW99" s="25">
        <f>SUM(BW149:BW150)</f>
        <v/>
      </c>
      <c r="BX99" s="25">
        <f>SUM(BX149:BX150)</f>
        <v/>
      </c>
      <c r="BY99" s="25">
        <f>SUM(BY149:BY150)</f>
        <v/>
      </c>
      <c r="BZ99" s="25">
        <f>SUM(BZ149:BZ150)</f>
        <v/>
      </c>
      <c r="CA99" s="25">
        <f>SUM(CA149:CA150)</f>
        <v/>
      </c>
      <c r="CB99" s="25">
        <f>SUM(CB149:CB150)</f>
        <v/>
      </c>
      <c r="CC99" s="25">
        <f>SUM(CC149:CC150)</f>
        <v/>
      </c>
      <c r="CD99" s="25">
        <f>SUM(CD149:CD150)</f>
        <v/>
      </c>
      <c r="CE99" s="25">
        <f>SUM(CE149:CE150)</f>
        <v/>
      </c>
      <c r="CF99" s="25">
        <f>SUM(CF149:CF150)</f>
        <v/>
      </c>
      <c r="CG99" s="25">
        <f>SUM(CG149:CG150)</f>
        <v/>
      </c>
      <c r="CH99" s="25">
        <f>SUM(CH149:CH150)</f>
        <v/>
      </c>
      <c r="CI99" s="25">
        <f>SUM(CI149:CI150)</f>
        <v/>
      </c>
      <c r="CJ99" s="25">
        <f>SUM(CJ149:CJ150)</f>
        <v/>
      </c>
      <c r="CK99" s="25">
        <f>SUM(CK149:CK150)</f>
        <v/>
      </c>
      <c r="CL99" s="25">
        <f>SUM(CL149:CL150)</f>
        <v/>
      </c>
      <c r="CM99" s="25">
        <f>SUM(CM149:CM150)</f>
        <v/>
      </c>
      <c r="CN99" s="25">
        <f>SUM(CN149:CN150)</f>
        <v/>
      </c>
      <c r="CO99" s="25">
        <f>SUM(CO149:CO150)</f>
        <v/>
      </c>
      <c r="CP99" s="25">
        <f>SUM(CP149:CP150)</f>
        <v/>
      </c>
      <c r="CQ99" s="25">
        <f>SUM(CQ149:CQ150)</f>
        <v/>
      </c>
      <c r="CR99" s="25">
        <f>SUM(CR149:CR150)</f>
        <v/>
      </c>
      <c r="CS99" s="25">
        <f>SUM(CS149:CS150)</f>
        <v/>
      </c>
      <c r="CT99" s="25">
        <f>SUM(CT149:CT150)</f>
        <v/>
      </c>
      <c r="CU99" s="25">
        <f>SUM(CU149:CU150)</f>
        <v/>
      </c>
      <c r="CV99" s="25">
        <f>SUM(CV149:CV150)</f>
        <v/>
      </c>
      <c r="CW99" s="25">
        <f>SUM(CW149:CW150)</f>
        <v/>
      </c>
      <c r="CX99" s="25">
        <f>SUM(CX149:CX150)</f>
        <v/>
      </c>
      <c r="CY99" s="25">
        <f>SUM(CY149:CY150)</f>
        <v/>
      </c>
      <c r="CZ99" s="25">
        <f>SUM(CZ149:CZ150)</f>
        <v/>
      </c>
      <c r="DA99" s="25">
        <f>SUM(DA149:DA150)</f>
        <v/>
      </c>
      <c r="DB99" s="25">
        <f>SUM(DB149:DB150)</f>
        <v/>
      </c>
      <c r="DC99" s="25">
        <f>SUM(DC149:DC150)</f>
        <v/>
      </c>
      <c r="DD99" s="25">
        <f>SUM(DD149:DD150)</f>
        <v/>
      </c>
      <c r="DE99" s="25">
        <f>SUM(DE149:DE150)</f>
        <v/>
      </c>
      <c r="DF99" s="25">
        <f>SUM(DF149:DF150)</f>
        <v/>
      </c>
      <c r="DG99" s="25">
        <f>SUM(DG149:DG150)</f>
        <v/>
      </c>
      <c r="DH99" s="25">
        <f>SUM(DH149:DH150)</f>
        <v/>
      </c>
      <c r="DI99" s="25">
        <f>SUM(DI149:DI150)</f>
        <v/>
      </c>
      <c r="DJ99" s="25">
        <f>SUM(DJ149:DJ150)</f>
        <v/>
      </c>
      <c r="DK99" s="25">
        <f>SUM(DK149:DK150)</f>
        <v/>
      </c>
      <c r="DL99" s="25">
        <f>SUM(DL149:DL150)</f>
        <v/>
      </c>
      <c r="DM99" s="25">
        <f>SUM(DM149:DM150)</f>
        <v/>
      </c>
      <c r="DN99" s="25">
        <f>SUM(DN149:DN150)</f>
        <v/>
      </c>
      <c r="DO99" s="25">
        <f>SUM(DO149:DO150)</f>
        <v/>
      </c>
      <c r="DP99" s="25">
        <f>SUM(DP149:DP150)</f>
        <v/>
      </c>
      <c r="DQ99" s="25">
        <f>SUM(DQ149:DQ150)</f>
        <v/>
      </c>
      <c r="DR99" s="25">
        <f>SUM(DR149:DR150)</f>
        <v/>
      </c>
      <c r="DS99" s="25">
        <f>SUM(DS149:DS150)</f>
        <v/>
      </c>
      <c r="DT99" s="25">
        <f>SUM(DT149:DT150)</f>
        <v/>
      </c>
      <c r="DU99" s="25">
        <f>SUM(DU149:DU150)</f>
        <v/>
      </c>
      <c r="DV99" s="25">
        <f>SUM(DV149:DV150)</f>
        <v/>
      </c>
      <c r="DW99" s="25">
        <f>SUM(DW149:DW150)</f>
        <v/>
      </c>
      <c r="DX99" s="25">
        <f>SUM(DX149:DX150)</f>
        <v/>
      </c>
      <c r="DY99" s="25">
        <f>SUM(DY149:DY150)</f>
        <v/>
      </c>
      <c r="DZ99" s="25">
        <f>SUM(DZ149:DZ150)</f>
        <v/>
      </c>
      <c r="EA99" s="25">
        <f>SUM(EA149:EA150)</f>
        <v/>
      </c>
      <c r="EB99" s="25">
        <f>SUM(EB149:EB150)</f>
        <v/>
      </c>
      <c r="EC99" s="25">
        <f>SUM(EC149:EC150)</f>
        <v/>
      </c>
      <c r="ED99" s="25">
        <f>SUM(ED149:ED150)</f>
        <v/>
      </c>
      <c r="EE99" s="25">
        <f>SUM(EE149:EE150)</f>
        <v/>
      </c>
      <c r="EF99" s="25">
        <f>SUM(EF149:EF150)</f>
        <v/>
      </c>
      <c r="EG99" s="25">
        <f>SUM(EG149:EG150)</f>
        <v/>
      </c>
      <c r="EH99" s="25">
        <f>SUM(EH149:EH150)</f>
        <v/>
      </c>
      <c r="EI99" s="25">
        <f>SUM(EI149:EI150)</f>
        <v/>
      </c>
      <c r="EJ99" s="25">
        <f>SUM(EJ149:EJ150)</f>
        <v/>
      </c>
      <c r="EK99" s="25">
        <f>SUM(EK149:EK150)</f>
        <v/>
      </c>
      <c r="EL99" s="25">
        <f>SUM(EL149:EL150)</f>
        <v/>
      </c>
      <c r="EM99" s="25">
        <f>SUM(EM149:EM150)</f>
        <v/>
      </c>
      <c r="EN99" s="25">
        <f>SUM(EN149:EN150)</f>
        <v/>
      </c>
      <c r="EO99" s="25">
        <f>SUM(EO149:EO150)</f>
        <v/>
      </c>
      <c r="EP99" s="25">
        <f>SUM(EP149:EP150)</f>
        <v/>
      </c>
      <c r="EQ99" s="25">
        <f>SUM(EQ149:EQ150)</f>
        <v/>
      </c>
      <c r="ER99" s="25">
        <f>SUM(ER149:ER150)</f>
        <v/>
      </c>
      <c r="ES99" s="25">
        <f>SUM(ES149:ES150)</f>
        <v/>
      </c>
      <c r="ET99" s="25">
        <f>SUM(ET149:ET150)</f>
        <v/>
      </c>
      <c r="EU99" s="25">
        <f>SUM(EU149:EU150)</f>
        <v/>
      </c>
      <c r="EV99" s="25">
        <f>SUM(EV149:EV150)</f>
        <v/>
      </c>
      <c r="EW99" s="25">
        <f>SUM(EW149:EW150)</f>
        <v/>
      </c>
      <c r="EX99" s="25">
        <f>SUM(EX149:EX150)</f>
        <v/>
      </c>
    </row>
    <row r="100">
      <c r="C100" s="23" t="inlineStr">
        <is>
          <t>Cap Reserve ($/Unit)</t>
        </is>
      </c>
      <c r="D100" s="158" t="n">
        <v>500</v>
      </c>
      <c r="E100" s="158">
        <f>D100+250</f>
        <v/>
      </c>
      <c r="F100" s="158">
        <f>E100+250</f>
        <v/>
      </c>
      <c r="G100" s="158">
        <f>F100+250</f>
        <v/>
      </c>
      <c r="H100" s="158">
        <f>G100+250</f>
        <v/>
      </c>
      <c r="J100" s="9" t="inlineStr">
        <is>
          <t>Refi Payoff</t>
        </is>
      </c>
      <c r="M100" s="25">
        <f>SUMIF($V$4:$EX$4,"&lt;="&amp;$H$19,$V100:$EX100)</f>
        <v/>
      </c>
      <c r="N100" s="56" t="n"/>
      <c r="O100" s="25">
        <f>SUMIF($V$5:$EX$5,O$7,$V100:$EX100)</f>
        <v/>
      </c>
      <c r="P100" s="25">
        <f>SUMIF($V$5:$EX$5,P$7,$V100:$EX100)</f>
        <v/>
      </c>
      <c r="Q100" s="25">
        <f>SUMIF($V$5:$EX$5,Q$7,$V100:$EX100)</f>
        <v/>
      </c>
      <c r="R100" s="25">
        <f>SUMIF($V$5:$EX$5,R$7,$V100:$EX100)</f>
        <v/>
      </c>
      <c r="S100" s="25">
        <f>SUMIF($V$5:$EX$5,S$7,$V100:$EX100)</f>
        <v/>
      </c>
      <c r="T100" s="25">
        <f>SUMIF($V$5:$EX$5,T$7,$V100:$EX100)</f>
        <v/>
      </c>
      <c r="U100" s="56" t="n"/>
      <c r="V100" s="25">
        <f>V151</f>
        <v/>
      </c>
      <c r="W100" s="25">
        <f>W151</f>
        <v/>
      </c>
      <c r="X100" s="25">
        <f>X151</f>
        <v/>
      </c>
      <c r="Y100" s="25">
        <f>Y151</f>
        <v/>
      </c>
      <c r="Z100" s="25">
        <f>Z151</f>
        <v/>
      </c>
      <c r="AA100" s="25">
        <f>AA151</f>
        <v/>
      </c>
      <c r="AB100" s="25">
        <f>AB151</f>
        <v/>
      </c>
      <c r="AC100" s="25">
        <f>AC151</f>
        <v/>
      </c>
      <c r="AD100" s="25">
        <f>AD151</f>
        <v/>
      </c>
      <c r="AE100" s="25">
        <f>AE151</f>
        <v/>
      </c>
      <c r="AF100" s="25">
        <f>AF151</f>
        <v/>
      </c>
      <c r="AG100" s="25">
        <f>AG151</f>
        <v/>
      </c>
      <c r="AH100" s="25">
        <f>AH151</f>
        <v/>
      </c>
      <c r="AI100" s="25">
        <f>AI151</f>
        <v/>
      </c>
      <c r="AJ100" s="25">
        <f>AJ151</f>
        <v/>
      </c>
      <c r="AK100" s="25">
        <f>AK151</f>
        <v/>
      </c>
      <c r="AL100" s="25">
        <f>AL151</f>
        <v/>
      </c>
      <c r="AM100" s="25">
        <f>AM151</f>
        <v/>
      </c>
      <c r="AN100" s="25">
        <f>AN151</f>
        <v/>
      </c>
      <c r="AO100" s="25">
        <f>AO151</f>
        <v/>
      </c>
      <c r="AP100" s="25">
        <f>AP151</f>
        <v/>
      </c>
      <c r="AQ100" s="25">
        <f>AQ151</f>
        <v/>
      </c>
      <c r="AR100" s="25">
        <f>AR151</f>
        <v/>
      </c>
      <c r="AS100" s="25">
        <f>AS151</f>
        <v/>
      </c>
      <c r="AT100" s="25">
        <f>AT151</f>
        <v/>
      </c>
      <c r="AU100" s="25">
        <f>AU151</f>
        <v/>
      </c>
      <c r="AV100" s="25">
        <f>AV151</f>
        <v/>
      </c>
      <c r="AW100" s="25">
        <f>AW151</f>
        <v/>
      </c>
      <c r="AX100" s="25">
        <f>AX151</f>
        <v/>
      </c>
      <c r="AY100" s="25">
        <f>AY151</f>
        <v/>
      </c>
      <c r="AZ100" s="25">
        <f>AZ151</f>
        <v/>
      </c>
      <c r="BA100" s="25">
        <f>BA151</f>
        <v/>
      </c>
      <c r="BB100" s="25">
        <f>BB151</f>
        <v/>
      </c>
      <c r="BC100" s="25">
        <f>BC151</f>
        <v/>
      </c>
      <c r="BD100" s="25">
        <f>BD151</f>
        <v/>
      </c>
      <c r="BE100" s="25">
        <f>BE151</f>
        <v/>
      </c>
      <c r="BF100" s="25">
        <f>BF151</f>
        <v/>
      </c>
      <c r="BG100" s="25">
        <f>BG151</f>
        <v/>
      </c>
      <c r="BH100" s="25">
        <f>BH151</f>
        <v/>
      </c>
      <c r="BI100" s="25">
        <f>BI151</f>
        <v/>
      </c>
      <c r="BJ100" s="25">
        <f>BJ151</f>
        <v/>
      </c>
      <c r="BK100" s="25">
        <f>BK151</f>
        <v/>
      </c>
      <c r="BL100" s="25">
        <f>BL151</f>
        <v/>
      </c>
      <c r="BM100" s="25">
        <f>BM151</f>
        <v/>
      </c>
      <c r="BN100" s="25">
        <f>BN151</f>
        <v/>
      </c>
      <c r="BO100" s="25">
        <f>BO151</f>
        <v/>
      </c>
      <c r="BP100" s="25">
        <f>BP151</f>
        <v/>
      </c>
      <c r="BQ100" s="25">
        <f>BQ151</f>
        <v/>
      </c>
      <c r="BR100" s="25">
        <f>BR151</f>
        <v/>
      </c>
      <c r="BS100" s="25">
        <f>BS151</f>
        <v/>
      </c>
      <c r="BT100" s="25">
        <f>BT151</f>
        <v/>
      </c>
      <c r="BU100" s="25">
        <f>BU151</f>
        <v/>
      </c>
      <c r="BV100" s="25">
        <f>BV151</f>
        <v/>
      </c>
      <c r="BW100" s="25">
        <f>BW151</f>
        <v/>
      </c>
      <c r="BX100" s="25">
        <f>BX151</f>
        <v/>
      </c>
      <c r="BY100" s="25">
        <f>BY151</f>
        <v/>
      </c>
      <c r="BZ100" s="25">
        <f>BZ151</f>
        <v/>
      </c>
      <c r="CA100" s="25">
        <f>CA151</f>
        <v/>
      </c>
      <c r="CB100" s="25">
        <f>CB151</f>
        <v/>
      </c>
      <c r="CC100" s="25">
        <f>CC151</f>
        <v/>
      </c>
      <c r="CD100" s="25">
        <f>CD151</f>
        <v/>
      </c>
      <c r="CE100" s="25">
        <f>CE151</f>
        <v/>
      </c>
      <c r="CF100" s="25">
        <f>CF151</f>
        <v/>
      </c>
      <c r="CG100" s="25">
        <f>CG151</f>
        <v/>
      </c>
      <c r="CH100" s="25">
        <f>CH151</f>
        <v/>
      </c>
      <c r="CI100" s="25">
        <f>CI151</f>
        <v/>
      </c>
      <c r="CJ100" s="25">
        <f>CJ151</f>
        <v/>
      </c>
      <c r="CK100" s="25">
        <f>CK151</f>
        <v/>
      </c>
      <c r="CL100" s="25">
        <f>CL151</f>
        <v/>
      </c>
      <c r="CM100" s="25">
        <f>CM151</f>
        <v/>
      </c>
      <c r="CN100" s="25">
        <f>CN151</f>
        <v/>
      </c>
      <c r="CO100" s="25">
        <f>CO151</f>
        <v/>
      </c>
      <c r="CP100" s="25">
        <f>CP151</f>
        <v/>
      </c>
      <c r="CQ100" s="25">
        <f>CQ151</f>
        <v/>
      </c>
      <c r="CR100" s="25">
        <f>CR151</f>
        <v/>
      </c>
      <c r="CS100" s="25">
        <f>CS151</f>
        <v/>
      </c>
      <c r="CT100" s="25">
        <f>CT151</f>
        <v/>
      </c>
      <c r="CU100" s="25">
        <f>CU151</f>
        <v/>
      </c>
      <c r="CV100" s="25">
        <f>CV151</f>
        <v/>
      </c>
      <c r="CW100" s="25">
        <f>CW151</f>
        <v/>
      </c>
      <c r="CX100" s="25">
        <f>CX151</f>
        <v/>
      </c>
      <c r="CY100" s="25">
        <f>CY151</f>
        <v/>
      </c>
      <c r="CZ100" s="25">
        <f>CZ151</f>
        <v/>
      </c>
      <c r="DA100" s="25">
        <f>DA151</f>
        <v/>
      </c>
      <c r="DB100" s="25">
        <f>DB151</f>
        <v/>
      </c>
      <c r="DC100" s="25">
        <f>DC151</f>
        <v/>
      </c>
      <c r="DD100" s="25">
        <f>DD151</f>
        <v/>
      </c>
      <c r="DE100" s="25">
        <f>DE151</f>
        <v/>
      </c>
      <c r="DF100" s="25">
        <f>DF151</f>
        <v/>
      </c>
      <c r="DG100" s="25">
        <f>DG151</f>
        <v/>
      </c>
      <c r="DH100" s="25">
        <f>DH151</f>
        <v/>
      </c>
      <c r="DI100" s="25">
        <f>DI151</f>
        <v/>
      </c>
      <c r="DJ100" s="25">
        <f>DJ151</f>
        <v/>
      </c>
      <c r="DK100" s="25">
        <f>DK151</f>
        <v/>
      </c>
      <c r="DL100" s="25">
        <f>DL151</f>
        <v/>
      </c>
      <c r="DM100" s="25">
        <f>DM151</f>
        <v/>
      </c>
      <c r="DN100" s="25">
        <f>DN151</f>
        <v/>
      </c>
      <c r="DO100" s="25">
        <f>DO151</f>
        <v/>
      </c>
      <c r="DP100" s="25">
        <f>DP151</f>
        <v/>
      </c>
      <c r="DQ100" s="25">
        <f>DQ151</f>
        <v/>
      </c>
      <c r="DR100" s="25">
        <f>DR151</f>
        <v/>
      </c>
      <c r="DS100" s="25">
        <f>DS151</f>
        <v/>
      </c>
      <c r="DT100" s="25">
        <f>DT151</f>
        <v/>
      </c>
      <c r="DU100" s="25">
        <f>DU151</f>
        <v/>
      </c>
      <c r="DV100" s="25">
        <f>DV151</f>
        <v/>
      </c>
      <c r="DW100" s="25">
        <f>DW151</f>
        <v/>
      </c>
      <c r="DX100" s="25">
        <f>DX151</f>
        <v/>
      </c>
      <c r="DY100" s="25">
        <f>DY151</f>
        <v/>
      </c>
      <c r="DZ100" s="25">
        <f>DZ151</f>
        <v/>
      </c>
      <c r="EA100" s="25">
        <f>EA151</f>
        <v/>
      </c>
      <c r="EB100" s="25">
        <f>EB151</f>
        <v/>
      </c>
      <c r="EC100" s="25">
        <f>EC151</f>
        <v/>
      </c>
      <c r="ED100" s="25">
        <f>ED151</f>
        <v/>
      </c>
      <c r="EE100" s="25">
        <f>EE151</f>
        <v/>
      </c>
      <c r="EF100" s="25">
        <f>EF151</f>
        <v/>
      </c>
      <c r="EG100" s="25">
        <f>EG151</f>
        <v/>
      </c>
      <c r="EH100" s="25">
        <f>EH151</f>
        <v/>
      </c>
      <c r="EI100" s="25">
        <f>EI151</f>
        <v/>
      </c>
      <c r="EJ100" s="25">
        <f>EJ151</f>
        <v/>
      </c>
      <c r="EK100" s="25">
        <f>EK151</f>
        <v/>
      </c>
      <c r="EL100" s="25">
        <f>EL151</f>
        <v/>
      </c>
      <c r="EM100" s="25">
        <f>EM151</f>
        <v/>
      </c>
      <c r="EN100" s="25">
        <f>EN151</f>
        <v/>
      </c>
      <c r="EO100" s="25">
        <f>EO151</f>
        <v/>
      </c>
      <c r="EP100" s="25">
        <f>EP151</f>
        <v/>
      </c>
      <c r="EQ100" s="25">
        <f>EQ151</f>
        <v/>
      </c>
      <c r="ER100" s="25">
        <f>ER151</f>
        <v/>
      </c>
      <c r="ES100" s="25">
        <f>ES151</f>
        <v/>
      </c>
      <c r="ET100" s="25">
        <f>ET151</f>
        <v/>
      </c>
      <c r="EU100" s="25">
        <f>EU151</f>
        <v/>
      </c>
      <c r="EV100" s="25">
        <f>EV151</f>
        <v/>
      </c>
      <c r="EW100" s="25">
        <f>EW151</f>
        <v/>
      </c>
      <c r="EX100" s="25">
        <f>EX151</f>
        <v/>
      </c>
    </row>
    <row r="101">
      <c r="A101" s="282" t="n"/>
      <c r="C101" s="40">
        <f>CONCATENATE(TEXT($G$11,"0.00%")," / ",TEXT($G$12,"0.00x"))</f>
        <v/>
      </c>
      <c r="D101" s="156" t="inlineStr">
        <is>
          <t>16.80% / 2.40x</t>
        </is>
      </c>
      <c r="E101" s="40" t="inlineStr">
        <is>
          <t>15.90% / 2.33x</t>
        </is>
      </c>
      <c r="F101" s="40" t="inlineStr">
        <is>
          <t>15.00% / 2.25x</t>
        </is>
      </c>
      <c r="G101" s="40" t="inlineStr">
        <is>
          <t>14.10% / 2.17x</t>
        </is>
      </c>
      <c r="H101" s="40" t="inlineStr">
        <is>
          <t>13.20% / 2.09x</t>
        </is>
      </c>
      <c r="J101" s="269" t="inlineStr">
        <is>
          <t>Levered Cash Flow</t>
        </is>
      </c>
      <c r="K101" s="269" t="n"/>
      <c r="L101" s="270" t="n"/>
      <c r="M101" s="269">
        <f>SUMIF($V$4:$EX$4,"&lt;="&amp;$H$19,$V101:$EX101)</f>
        <v/>
      </c>
      <c r="N101" s="270" t="n"/>
      <c r="O101" s="269">
        <f>SUMIF($V$5:$EX$5,O$7,$V101:$EX101)</f>
        <v/>
      </c>
      <c r="P101" s="269">
        <f>SUMIF($V$5:$EX$5,P$7,$V101:$EX101)</f>
        <v/>
      </c>
      <c r="Q101" s="269">
        <f>SUMIF($V$5:$EX$5,Q$7,$V101:$EX101)</f>
        <v/>
      </c>
      <c r="R101" s="269">
        <f>SUMIF($V$5:$EX$5,R$7,$V101:$EX101)</f>
        <v/>
      </c>
      <c r="S101" s="269">
        <f>SUMIF($V$5:$EX$5,S$7,$V101:$EX101)</f>
        <v/>
      </c>
      <c r="T101" s="269">
        <f>SUMIF($V$5:$EX$5,T$7,$V101:$EX101)</f>
        <v/>
      </c>
      <c r="U101" s="270" t="n"/>
      <c r="V101" s="269">
        <f>SUM(V92:V100)</f>
        <v/>
      </c>
      <c r="W101" s="269">
        <f>SUM(W92:W100)</f>
        <v/>
      </c>
      <c r="X101" s="269">
        <f>SUM(X92:X100)</f>
        <v/>
      </c>
      <c r="Y101" s="269">
        <f>SUM(Y92:Y100)</f>
        <v/>
      </c>
      <c r="Z101" s="269">
        <f>SUM(Z92:Z100)</f>
        <v/>
      </c>
      <c r="AA101" s="269">
        <f>SUM(AA92:AA100)</f>
        <v/>
      </c>
      <c r="AB101" s="269">
        <f>SUM(AB92:AB100)</f>
        <v/>
      </c>
      <c r="AC101" s="269">
        <f>SUM(AC92:AC100)</f>
        <v/>
      </c>
      <c r="AD101" s="269">
        <f>SUM(AD92:AD100)</f>
        <v/>
      </c>
      <c r="AE101" s="269">
        <f>SUM(AE92:AE100)</f>
        <v/>
      </c>
      <c r="AF101" s="269">
        <f>SUM(AF92:AF100)</f>
        <v/>
      </c>
      <c r="AG101" s="269">
        <f>SUM(AG92:AG100)</f>
        <v/>
      </c>
      <c r="AH101" s="269">
        <f>SUM(AH92:AH100)</f>
        <v/>
      </c>
      <c r="AI101" s="269">
        <f>SUM(AI92:AI100)</f>
        <v/>
      </c>
      <c r="AJ101" s="269">
        <f>SUM(AJ92:AJ100)</f>
        <v/>
      </c>
      <c r="AK101" s="269">
        <f>SUM(AK92:AK100)</f>
        <v/>
      </c>
      <c r="AL101" s="269">
        <f>SUM(AL92:AL100)</f>
        <v/>
      </c>
      <c r="AM101" s="269">
        <f>SUM(AM92:AM100)</f>
        <v/>
      </c>
      <c r="AN101" s="269">
        <f>SUM(AN92:AN100)</f>
        <v/>
      </c>
      <c r="AO101" s="269">
        <f>SUM(AO92:AO100)</f>
        <v/>
      </c>
      <c r="AP101" s="269">
        <f>SUM(AP92:AP100)</f>
        <v/>
      </c>
      <c r="AQ101" s="269">
        <f>SUM(AQ92:AQ100)</f>
        <v/>
      </c>
      <c r="AR101" s="269">
        <f>SUM(AR92:AR100)</f>
        <v/>
      </c>
      <c r="AS101" s="269">
        <f>SUM(AS92:AS100)</f>
        <v/>
      </c>
      <c r="AT101" s="269">
        <f>SUM(AT92:AT100)</f>
        <v/>
      </c>
      <c r="AU101" s="269">
        <f>SUM(AU92:AU100)</f>
        <v/>
      </c>
      <c r="AV101" s="269">
        <f>SUM(AV92:AV100)</f>
        <v/>
      </c>
      <c r="AW101" s="269">
        <f>SUM(AW92:AW100)</f>
        <v/>
      </c>
      <c r="AX101" s="269">
        <f>SUM(AX92:AX100)</f>
        <v/>
      </c>
      <c r="AY101" s="269">
        <f>SUM(AY92:AY100)</f>
        <v/>
      </c>
      <c r="AZ101" s="269">
        <f>SUM(AZ92:AZ100)</f>
        <v/>
      </c>
      <c r="BA101" s="269">
        <f>SUM(BA92:BA100)</f>
        <v/>
      </c>
      <c r="BB101" s="269">
        <f>SUM(BB92:BB100)</f>
        <v/>
      </c>
      <c r="BC101" s="269">
        <f>SUM(BC92:BC100)</f>
        <v/>
      </c>
      <c r="BD101" s="269">
        <f>SUM(BD92:BD100)</f>
        <v/>
      </c>
      <c r="BE101" s="269">
        <f>SUM(BE92:BE100)</f>
        <v/>
      </c>
      <c r="BF101" s="269">
        <f>SUM(BF92:BF100)</f>
        <v/>
      </c>
      <c r="BG101" s="269">
        <f>SUM(BG92:BG100)</f>
        <v/>
      </c>
      <c r="BH101" s="269">
        <f>SUM(BH92:BH100)</f>
        <v/>
      </c>
      <c r="BI101" s="269">
        <f>SUM(BI92:BI100)</f>
        <v/>
      </c>
      <c r="BJ101" s="269">
        <f>SUM(BJ92:BJ100)</f>
        <v/>
      </c>
      <c r="BK101" s="269">
        <f>SUM(BK92:BK100)</f>
        <v/>
      </c>
      <c r="BL101" s="269">
        <f>SUM(BL92:BL100)</f>
        <v/>
      </c>
      <c r="BM101" s="269">
        <f>SUM(BM92:BM100)</f>
        <v/>
      </c>
      <c r="BN101" s="269">
        <f>SUM(BN92:BN100)</f>
        <v/>
      </c>
      <c r="BO101" s="269">
        <f>SUM(BO92:BO100)</f>
        <v/>
      </c>
      <c r="BP101" s="269">
        <f>SUM(BP92:BP100)</f>
        <v/>
      </c>
      <c r="BQ101" s="269">
        <f>SUM(BQ92:BQ100)</f>
        <v/>
      </c>
      <c r="BR101" s="269">
        <f>SUM(BR92:BR100)</f>
        <v/>
      </c>
      <c r="BS101" s="269">
        <f>SUM(BS92:BS100)</f>
        <v/>
      </c>
      <c r="BT101" s="269">
        <f>SUM(BT92:BT100)</f>
        <v/>
      </c>
      <c r="BU101" s="269">
        <f>SUM(BU92:BU100)</f>
        <v/>
      </c>
      <c r="BV101" s="269">
        <f>SUM(BV92:BV100)</f>
        <v/>
      </c>
      <c r="BW101" s="269">
        <f>SUM(BW92:BW100)</f>
        <v/>
      </c>
      <c r="BX101" s="269">
        <f>SUM(BX92:BX100)</f>
        <v/>
      </c>
      <c r="BY101" s="269">
        <f>SUM(BY92:BY100)</f>
        <v/>
      </c>
      <c r="BZ101" s="269">
        <f>SUM(BZ92:BZ100)</f>
        <v/>
      </c>
      <c r="CA101" s="269">
        <f>SUM(CA92:CA100)</f>
        <v/>
      </c>
      <c r="CB101" s="269">
        <f>SUM(CB92:CB100)</f>
        <v/>
      </c>
      <c r="CC101" s="269">
        <f>SUM(CC92:CC100)</f>
        <v/>
      </c>
      <c r="CD101" s="269">
        <f>SUM(CD92:CD100)</f>
        <v/>
      </c>
      <c r="CE101" s="269">
        <f>SUM(CE92:CE100)</f>
        <v/>
      </c>
      <c r="CF101" s="269">
        <f>SUM(CF92:CF100)</f>
        <v/>
      </c>
      <c r="CG101" s="269">
        <f>SUM(CG92:CG100)</f>
        <v/>
      </c>
      <c r="CH101" s="269">
        <f>SUM(CH92:CH100)</f>
        <v/>
      </c>
      <c r="CI101" s="269">
        <f>SUM(CI92:CI100)</f>
        <v/>
      </c>
      <c r="CJ101" s="269">
        <f>SUM(CJ92:CJ100)</f>
        <v/>
      </c>
      <c r="CK101" s="269">
        <f>SUM(CK92:CK100)</f>
        <v/>
      </c>
      <c r="CL101" s="269">
        <f>SUM(CL92:CL100)</f>
        <v/>
      </c>
      <c r="CM101" s="269">
        <f>SUM(CM92:CM100)</f>
        <v/>
      </c>
      <c r="CN101" s="269">
        <f>SUM(CN92:CN100)</f>
        <v/>
      </c>
      <c r="CO101" s="269">
        <f>SUM(CO92:CO100)</f>
        <v/>
      </c>
      <c r="CP101" s="269">
        <f>SUM(CP92:CP100)</f>
        <v/>
      </c>
      <c r="CQ101" s="269">
        <f>SUM(CQ92:CQ100)</f>
        <v/>
      </c>
      <c r="CR101" s="269">
        <f>SUM(CR92:CR100)</f>
        <v/>
      </c>
      <c r="CS101" s="269">
        <f>SUM(CS92:CS100)</f>
        <v/>
      </c>
      <c r="CT101" s="269">
        <f>SUM(CT92:CT100)</f>
        <v/>
      </c>
      <c r="CU101" s="269">
        <f>SUM(CU92:CU100)</f>
        <v/>
      </c>
      <c r="CV101" s="269">
        <f>SUM(CV92:CV100)</f>
        <v/>
      </c>
      <c r="CW101" s="269">
        <f>SUM(CW92:CW100)</f>
        <v/>
      </c>
      <c r="CX101" s="269">
        <f>SUM(CX92:CX100)</f>
        <v/>
      </c>
      <c r="CY101" s="269">
        <f>SUM(CY92:CY100)</f>
        <v/>
      </c>
      <c r="CZ101" s="269">
        <f>SUM(CZ92:CZ100)</f>
        <v/>
      </c>
      <c r="DA101" s="269">
        <f>SUM(DA92:DA100)</f>
        <v/>
      </c>
      <c r="DB101" s="269">
        <f>SUM(DB92:DB100)</f>
        <v/>
      </c>
      <c r="DC101" s="269">
        <f>SUM(DC92:DC100)</f>
        <v/>
      </c>
      <c r="DD101" s="269">
        <f>SUM(DD92:DD100)</f>
        <v/>
      </c>
      <c r="DE101" s="269">
        <f>SUM(DE92:DE100)</f>
        <v/>
      </c>
      <c r="DF101" s="269">
        <f>SUM(DF92:DF100)</f>
        <v/>
      </c>
      <c r="DG101" s="269">
        <f>SUM(DG92:DG100)</f>
        <v/>
      </c>
      <c r="DH101" s="269">
        <f>SUM(DH92:DH100)</f>
        <v/>
      </c>
      <c r="DI101" s="269">
        <f>SUM(DI92:DI100)</f>
        <v/>
      </c>
      <c r="DJ101" s="269">
        <f>SUM(DJ92:DJ100)</f>
        <v/>
      </c>
      <c r="DK101" s="269">
        <f>SUM(DK92:DK100)</f>
        <v/>
      </c>
      <c r="DL101" s="269">
        <f>SUM(DL92:DL100)</f>
        <v/>
      </c>
      <c r="DM101" s="269">
        <f>SUM(DM92:DM100)</f>
        <v/>
      </c>
      <c r="DN101" s="269">
        <f>SUM(DN92:DN100)</f>
        <v/>
      </c>
      <c r="DO101" s="269">
        <f>SUM(DO92:DO100)</f>
        <v/>
      </c>
      <c r="DP101" s="269">
        <f>SUM(DP92:DP100)</f>
        <v/>
      </c>
      <c r="DQ101" s="269">
        <f>SUM(DQ92:DQ100)</f>
        <v/>
      </c>
      <c r="DR101" s="269">
        <f>SUM(DR92:DR100)</f>
        <v/>
      </c>
      <c r="DS101" s="269">
        <f>SUM(DS92:DS100)</f>
        <v/>
      </c>
      <c r="DT101" s="269">
        <f>SUM(DT92:DT100)</f>
        <v/>
      </c>
      <c r="DU101" s="269">
        <f>SUM(DU92:DU100)</f>
        <v/>
      </c>
      <c r="DV101" s="269">
        <f>SUM(DV92:DV100)</f>
        <v/>
      </c>
      <c r="DW101" s="269">
        <f>SUM(DW92:DW100)</f>
        <v/>
      </c>
      <c r="DX101" s="269">
        <f>SUM(DX92:DX100)</f>
        <v/>
      </c>
      <c r="DY101" s="269">
        <f>SUM(DY92:DY100)</f>
        <v/>
      </c>
      <c r="DZ101" s="269">
        <f>SUM(DZ92:DZ100)</f>
        <v/>
      </c>
      <c r="EA101" s="269">
        <f>SUM(EA92:EA100)</f>
        <v/>
      </c>
      <c r="EB101" s="269">
        <f>SUM(EB92:EB100)</f>
        <v/>
      </c>
      <c r="EC101" s="269">
        <f>SUM(EC92:EC100)</f>
        <v/>
      </c>
      <c r="ED101" s="269">
        <f>SUM(ED92:ED100)</f>
        <v/>
      </c>
      <c r="EE101" s="269">
        <f>SUM(EE92:EE100)</f>
        <v/>
      </c>
      <c r="EF101" s="269">
        <f>SUM(EF92:EF100)</f>
        <v/>
      </c>
      <c r="EG101" s="269">
        <f>SUM(EG92:EG100)</f>
        <v/>
      </c>
      <c r="EH101" s="269">
        <f>SUM(EH92:EH100)</f>
        <v/>
      </c>
      <c r="EI101" s="269">
        <f>SUM(EI92:EI100)</f>
        <v/>
      </c>
      <c r="EJ101" s="269">
        <f>SUM(EJ92:EJ100)</f>
        <v/>
      </c>
      <c r="EK101" s="269">
        <f>SUM(EK92:EK100)</f>
        <v/>
      </c>
      <c r="EL101" s="269">
        <f>SUM(EL92:EL100)</f>
        <v/>
      </c>
      <c r="EM101" s="269">
        <f>SUM(EM92:EM100)</f>
        <v/>
      </c>
      <c r="EN101" s="269">
        <f>SUM(EN92:EN100)</f>
        <v/>
      </c>
      <c r="EO101" s="269">
        <f>SUM(EO92:EO100)</f>
        <v/>
      </c>
      <c r="EP101" s="269">
        <f>SUM(EP92:EP100)</f>
        <v/>
      </c>
      <c r="EQ101" s="269">
        <f>SUM(EQ92:EQ100)</f>
        <v/>
      </c>
      <c r="ER101" s="269">
        <f>SUM(ER92:ER100)</f>
        <v/>
      </c>
      <c r="ES101" s="269">
        <f>SUM(ES92:ES100)</f>
        <v/>
      </c>
      <c r="ET101" s="269">
        <f>SUM(ET92:ET100)</f>
        <v/>
      </c>
      <c r="EU101" s="269">
        <f>SUM(EU92:EU100)</f>
        <v/>
      </c>
      <c r="EV101" s="269">
        <f>SUM(EV92:EV100)</f>
        <v/>
      </c>
      <c r="EW101" s="269">
        <f>SUM(EW92:EW100)</f>
        <v/>
      </c>
      <c r="EX101" s="269">
        <f>SUM(EX92:EX100)</f>
        <v/>
      </c>
    </row>
    <row r="102">
      <c r="K102" s="15" t="inlineStr">
        <is>
          <t>COC</t>
        </is>
      </c>
      <c r="M102" s="164">
        <f>AVERAGEIF($V$4:$EX$4,"&lt;="&amp;$H$19,$V102:$EX102)</f>
        <v/>
      </c>
      <c r="W102" s="164">
        <f>((W67+W95+W99)*12)/-$M$104</f>
        <v/>
      </c>
      <c r="X102" s="164">
        <f>((X67+X95+X99)*12)/-$M$104</f>
        <v/>
      </c>
      <c r="Y102" s="164">
        <f>((Y67+Y95+Y99)*12)/-$M$104</f>
        <v/>
      </c>
      <c r="Z102" s="164">
        <f>((Z67+Z95+Z99)*12)/-$M$104</f>
        <v/>
      </c>
      <c r="AA102" s="164">
        <f>((AA67+AA95+AA99)*12)/-$M$104</f>
        <v/>
      </c>
      <c r="AB102" s="164">
        <f>((AB67+AB95+AB99)*12)/-$M$104</f>
        <v/>
      </c>
      <c r="AC102" s="164">
        <f>((AC67+AC95+AC99)*12)/-$M$104</f>
        <v/>
      </c>
      <c r="AD102" s="164">
        <f>((AD67+AD95+AD99)*12)/-$M$104</f>
        <v/>
      </c>
      <c r="AE102" s="164">
        <f>((AE67+AE95+AE99)*12)/-$M$104</f>
        <v/>
      </c>
      <c r="AF102" s="164">
        <f>((AF67+AF95+AF99)*12)/-$M$104</f>
        <v/>
      </c>
      <c r="AG102" s="164">
        <f>((AG67+AG95+AG99)*12)/-$M$104</f>
        <v/>
      </c>
      <c r="AH102" s="164">
        <f>((AH67+AH95+AH99)*12)/-$M$104</f>
        <v/>
      </c>
      <c r="AI102" s="164">
        <f>((AI67+AI95+AI99)*12)/-$M$104</f>
        <v/>
      </c>
      <c r="AJ102" s="164">
        <f>((AJ67+AJ95+AJ99)*12)/-$M$104</f>
        <v/>
      </c>
      <c r="AK102" s="164">
        <f>((AK67+AK95+AK99)*12)/-$M$104</f>
        <v/>
      </c>
      <c r="AL102" s="164">
        <f>((AL67+AL95+AL99)*12)/-$M$104</f>
        <v/>
      </c>
      <c r="AM102" s="164">
        <f>((AM67+AM95+AM99)*12)/-$M$104</f>
        <v/>
      </c>
      <c r="AN102" s="164">
        <f>((AN67+AN95+AN99)*12)/-$M$104</f>
        <v/>
      </c>
      <c r="AO102" s="164">
        <f>((AO67+AO95+AO99)*12)/-$M$104</f>
        <v/>
      </c>
      <c r="AP102" s="164">
        <f>((AP67+AP95+AP99)*12)/-$M$104</f>
        <v/>
      </c>
      <c r="AQ102" s="164">
        <f>((AQ67+AQ95+AQ99)*12)/-$M$104</f>
        <v/>
      </c>
      <c r="AR102" s="164">
        <f>((AR67+AR95+AR99)*12)/-$M$104</f>
        <v/>
      </c>
      <c r="AS102" s="164">
        <f>((AS67+AS95+AS99)*12)/-$M$104</f>
        <v/>
      </c>
      <c r="AT102" s="164">
        <f>((AT67+AT95+AT99)*12)/-$M$104</f>
        <v/>
      </c>
      <c r="AU102" s="164">
        <f>((AU67+AU95+AU99)*12)/-$M$104</f>
        <v/>
      </c>
      <c r="AV102" s="164">
        <f>((AV67+AV95+AV99)*12)/-$M$104</f>
        <v/>
      </c>
      <c r="AW102" s="164">
        <f>((AW67+AW95+AW99)*12)/-$M$104</f>
        <v/>
      </c>
      <c r="AX102" s="164">
        <f>((AX67+AX95+AX99)*12)/-$M$104</f>
        <v/>
      </c>
      <c r="AY102" s="164">
        <f>((AY67+AY95+AY99)*12)/-$M$104</f>
        <v/>
      </c>
      <c r="AZ102" s="164">
        <f>((AZ67+AZ95+AZ99)*12)/-$M$104</f>
        <v/>
      </c>
      <c r="BA102" s="164">
        <f>((BA67+BA95+BA99)*12)/-$M$104</f>
        <v/>
      </c>
      <c r="BB102" s="164">
        <f>((BB67+BB95+BB99)*12)/-$M$104</f>
        <v/>
      </c>
      <c r="BC102" s="164">
        <f>((BC67+BC95+BC99)*12)/-$M$104</f>
        <v/>
      </c>
      <c r="BD102" s="164">
        <f>((BD67+BD95+BD99)*12)/-$M$104</f>
        <v/>
      </c>
      <c r="BE102" s="164">
        <f>((BE67+BE95+BE99)*12)/-$M$104</f>
        <v/>
      </c>
      <c r="BF102" s="164">
        <f>((BF67+BF95+BF99)*12)/-$M$104</f>
        <v/>
      </c>
      <c r="BG102" s="164">
        <f>((BG67+BG95+BG99)*12)/-$M$104</f>
        <v/>
      </c>
      <c r="BH102" s="164">
        <f>((BH67+BH95+BH99)*12)/-$M$104</f>
        <v/>
      </c>
      <c r="BI102" s="164">
        <f>((BI67+BI95+BI99)*12)/-$M$104</f>
        <v/>
      </c>
      <c r="BJ102" s="164">
        <f>((BJ67+BJ95+BJ99)*12)/-$M$104</f>
        <v/>
      </c>
      <c r="BK102" s="164">
        <f>((BK67+BK95+BK99)*12)/-$M$104</f>
        <v/>
      </c>
      <c r="BL102" s="164">
        <f>((BL67+BL95+BL99)*12)/-$M$104</f>
        <v/>
      </c>
      <c r="BM102" s="164">
        <f>((BM67+BM95+BM99)*12)/-$M$104</f>
        <v/>
      </c>
      <c r="BN102" s="164">
        <f>((BN67+BN95+BN99)*12)/-$M$104</f>
        <v/>
      </c>
      <c r="BO102" s="164">
        <f>((BO67+BO95+BO99)*12)/-$M$104</f>
        <v/>
      </c>
      <c r="BP102" s="164">
        <f>((BP67+BP95+BP99)*12)/-$M$104</f>
        <v/>
      </c>
      <c r="BQ102" s="164">
        <f>((BQ67+BQ95+BQ99)*12)/-$M$104</f>
        <v/>
      </c>
      <c r="BR102" s="164">
        <f>((BR67+BR95+BR99)*12)/-$M$104</f>
        <v/>
      </c>
      <c r="BS102" s="164">
        <f>((BS67+BS95+BS99)*12)/-$M$104</f>
        <v/>
      </c>
      <c r="BT102" s="164">
        <f>((BT67+BT95+BT99)*12)/-$M$104</f>
        <v/>
      </c>
      <c r="BU102" s="164">
        <f>((BU67+BU95+BU99)*12)/-$M$104</f>
        <v/>
      </c>
      <c r="BV102" s="164">
        <f>((BV67+BV95+BV99)*12)/-$M$104</f>
        <v/>
      </c>
      <c r="BW102" s="164">
        <f>((BW67+BW95+BW99)*12)/-$M$104</f>
        <v/>
      </c>
      <c r="BX102" s="164">
        <f>((BX67+BX95+BX99)*12)/-$M$104</f>
        <v/>
      </c>
      <c r="BY102" s="164">
        <f>((BY67+BY95+BY99)*12)/-$M$104</f>
        <v/>
      </c>
      <c r="BZ102" s="164">
        <f>((BZ67+BZ95+BZ99)*12)/-$M$104</f>
        <v/>
      </c>
      <c r="CA102" s="164">
        <f>((CA67+CA95+CA99)*12)/-$M$104</f>
        <v/>
      </c>
      <c r="CB102" s="164">
        <f>((CB67+CB95+CB99)*12)/-$M$104</f>
        <v/>
      </c>
      <c r="CC102" s="164">
        <f>((CC67+CC95+CC99)*12)/-$M$104</f>
        <v/>
      </c>
      <c r="CD102" s="164">
        <f>((CD67+CD95+CD99)*12)/-$M$104</f>
        <v/>
      </c>
      <c r="CE102" s="164">
        <f>((CE67+CE95+CE99)*12)/-$M$104</f>
        <v/>
      </c>
      <c r="CF102" s="164">
        <f>((CF67+CF95+CF99)*12)/-$M$104</f>
        <v/>
      </c>
      <c r="CG102" s="164">
        <f>((CG67+CG95+CG99)*12)/-$M$104</f>
        <v/>
      </c>
      <c r="CH102" s="164">
        <f>((CH67+CH95+CH99)*12)/-$M$104</f>
        <v/>
      </c>
      <c r="CI102" s="164">
        <f>((CI67+CI95+CI99)*12)/-$M$104</f>
        <v/>
      </c>
      <c r="CJ102" s="164">
        <f>((CJ67+CJ95+CJ99)*12)/-$M$104</f>
        <v/>
      </c>
      <c r="CK102" s="164">
        <f>((CK67+CK95+CK99)*12)/-$M$104</f>
        <v/>
      </c>
      <c r="CL102" s="164">
        <f>((CL67+CL95+CL99)*12)/-$M$104</f>
        <v/>
      </c>
      <c r="CM102" s="164">
        <f>((CM67+CM95+CM99)*12)/-$M$104</f>
        <v/>
      </c>
      <c r="CN102" s="164">
        <f>((CN67+CN95+CN99)*12)/-$M$104</f>
        <v/>
      </c>
      <c r="CO102" s="164">
        <f>((CO67+CO95+CO99)*12)/-$M$104</f>
        <v/>
      </c>
      <c r="CP102" s="164">
        <f>((CP67+CP95+CP99)*12)/-$M$104</f>
        <v/>
      </c>
      <c r="CQ102" s="164">
        <f>((CQ67+CQ95+CQ99)*12)/-$M$104</f>
        <v/>
      </c>
      <c r="CR102" s="164">
        <f>((CR67+CR95+CR99)*12)/-$M$104</f>
        <v/>
      </c>
      <c r="CS102" s="164">
        <f>((CS67+CS95+CS99)*12)/-$M$104</f>
        <v/>
      </c>
      <c r="CT102" s="164">
        <f>((CT67+CT95+CT99)*12)/-$M$104</f>
        <v/>
      </c>
      <c r="CU102" s="164">
        <f>((CU67+CU95+CU99)*12)/-$M$104</f>
        <v/>
      </c>
      <c r="CV102" s="164">
        <f>((CV67+CV95+CV99)*12)/-$M$104</f>
        <v/>
      </c>
      <c r="CW102" s="164">
        <f>((CW67+CW95+CW99)*12)/-$M$104</f>
        <v/>
      </c>
      <c r="CX102" s="164">
        <f>((CX67+CX95+CX99)*12)/-$M$104</f>
        <v/>
      </c>
      <c r="CY102" s="164">
        <f>((CY67+CY95+CY99)*12)/-$M$104</f>
        <v/>
      </c>
      <c r="CZ102" s="164">
        <f>((CZ67+CZ95+CZ99)*12)/-$M$104</f>
        <v/>
      </c>
      <c r="DA102" s="164">
        <f>((DA67+DA95+DA99)*12)/-$M$104</f>
        <v/>
      </c>
      <c r="DB102" s="164">
        <f>((DB67+DB95+DB99)*12)/-$M$104</f>
        <v/>
      </c>
      <c r="DC102" s="164">
        <f>((DC67+DC95+DC99)*12)/-$M$104</f>
        <v/>
      </c>
      <c r="DD102" s="164">
        <f>((DD67+DD95+DD99)*12)/-$M$104</f>
        <v/>
      </c>
      <c r="DE102" s="164">
        <f>((DE67+DE95+DE99)*12)/-$M$104</f>
        <v/>
      </c>
      <c r="DF102" s="164">
        <f>((DF67+DF95+DF99)*12)/-$M$104</f>
        <v/>
      </c>
      <c r="DG102" s="164">
        <f>((DG67+DG95+DG99)*12)/-$M$104</f>
        <v/>
      </c>
      <c r="DH102" s="164">
        <f>((DH67+DH95+DH99)*12)/-$M$104</f>
        <v/>
      </c>
      <c r="DI102" s="164">
        <f>((DI67+DI95+DI99)*12)/-$M$104</f>
        <v/>
      </c>
      <c r="DJ102" s="164">
        <f>((DJ67+DJ95+DJ99)*12)/-$M$104</f>
        <v/>
      </c>
      <c r="DK102" s="164">
        <f>((DK67+DK95+DK99)*12)/-$M$104</f>
        <v/>
      </c>
      <c r="DL102" s="164">
        <f>((DL67+DL95+DL99)*12)/-$M$104</f>
        <v/>
      </c>
      <c r="DM102" s="164">
        <f>((DM67+DM95+DM99)*12)/-$M$104</f>
        <v/>
      </c>
      <c r="DN102" s="164">
        <f>((DN67+DN95+DN99)*12)/-$M$104</f>
        <v/>
      </c>
      <c r="DO102" s="164">
        <f>((DO67+DO95+DO99)*12)/-$M$104</f>
        <v/>
      </c>
      <c r="DP102" s="164">
        <f>((DP67+DP95+DP99)*12)/-$M$104</f>
        <v/>
      </c>
      <c r="DQ102" s="164">
        <f>((DQ67+DQ95+DQ99)*12)/-$M$104</f>
        <v/>
      </c>
      <c r="DR102" s="164">
        <f>((DR67+DR95+DR99)*12)/-$M$104</f>
        <v/>
      </c>
      <c r="DS102" s="164">
        <f>((DS67+DS95+DS99)*12)/-$M$104</f>
        <v/>
      </c>
      <c r="DT102" s="164">
        <f>((DT67+DT95+DT99)*12)/-$M$104</f>
        <v/>
      </c>
      <c r="DU102" s="164">
        <f>((DU67+DU95+DU99)*12)/-$M$104</f>
        <v/>
      </c>
      <c r="DV102" s="164">
        <f>((DV67+DV95+DV99)*12)/-$M$104</f>
        <v/>
      </c>
      <c r="DW102" s="164">
        <f>((DW67+DW95+DW99)*12)/-$M$104</f>
        <v/>
      </c>
      <c r="DX102" s="164">
        <f>((DX67+DX95+DX99)*12)/-$M$104</f>
        <v/>
      </c>
      <c r="DY102" s="164">
        <f>((DY67+DY95+DY99)*12)/-$M$104</f>
        <v/>
      </c>
      <c r="DZ102" s="164">
        <f>((DZ67+DZ95+DZ99)*12)/-$M$104</f>
        <v/>
      </c>
      <c r="EA102" s="164">
        <f>((EA67+EA95+EA99)*12)/-$M$104</f>
        <v/>
      </c>
      <c r="EB102" s="164">
        <f>((EB67+EB95+EB99)*12)/-$M$104</f>
        <v/>
      </c>
      <c r="EC102" s="164">
        <f>((EC67+EC95+EC99)*12)/-$M$104</f>
        <v/>
      </c>
      <c r="ED102" s="164">
        <f>((ED67+ED95+ED99)*12)/-$M$104</f>
        <v/>
      </c>
      <c r="EE102" s="164">
        <f>((EE67+EE95+EE99)*12)/-$M$104</f>
        <v/>
      </c>
      <c r="EF102" s="164">
        <f>((EF67+EF95+EF99)*12)/-$M$104</f>
        <v/>
      </c>
      <c r="EG102" s="164">
        <f>((EG67+EG95+EG99)*12)/-$M$104</f>
        <v/>
      </c>
      <c r="EH102" s="164">
        <f>((EH67+EH95+EH99)*12)/-$M$104</f>
        <v/>
      </c>
      <c r="EI102" s="164">
        <f>((EI67+EI95+EI99)*12)/-$M$104</f>
        <v/>
      </c>
      <c r="EJ102" s="164">
        <f>((EJ67+EJ95+EJ99)*12)/-$M$104</f>
        <v/>
      </c>
      <c r="EK102" s="164">
        <f>((EK67+EK95+EK99)*12)/-$M$104</f>
        <v/>
      </c>
      <c r="EL102" s="164">
        <f>((EL67+EL95+EL99)*12)/-$M$104</f>
        <v/>
      </c>
      <c r="EM102" s="164">
        <f>((EM67+EM95+EM99)*12)/-$M$104</f>
        <v/>
      </c>
      <c r="EN102" s="164">
        <f>((EN67+EN95+EN99)*12)/-$M$104</f>
        <v/>
      </c>
      <c r="EO102" s="164">
        <f>((EO67+EO95+EO99)*12)/-$M$104</f>
        <v/>
      </c>
      <c r="EP102" s="164">
        <f>((EP67+EP95+EP99)*12)/-$M$104</f>
        <v/>
      </c>
      <c r="EQ102" s="164">
        <f>((EQ67+EQ95+EQ99)*12)/-$M$104</f>
        <v/>
      </c>
      <c r="ER102" s="164">
        <f>((ER67+ER95+ER99)*12)/-$M$104</f>
        <v/>
      </c>
      <c r="ES102" s="164">
        <f>((ES67+ES95+ES99)*12)/-$M$104</f>
        <v/>
      </c>
      <c r="ET102" s="164">
        <f>((ET67+ET95+ET99)*12)/-$M$104</f>
        <v/>
      </c>
      <c r="EU102" s="164">
        <f>((EU67+EU95+EU99)*12)/-$M$104</f>
        <v/>
      </c>
      <c r="EV102" s="164">
        <f>((EV67+EV95+EV99)*12)/-$M$104</f>
        <v/>
      </c>
      <c r="EW102" s="164">
        <f>((EW67+EW95+EW99)*12)/-$M$104</f>
        <v/>
      </c>
      <c r="EX102" s="164">
        <f>((EX67+EX95+EX99)*12)/-$M$104</f>
        <v/>
      </c>
    </row>
    <row r="103">
      <c r="C103" s="22" t="inlineStr">
        <is>
          <t>Inputs</t>
        </is>
      </c>
      <c r="D103" s="23" t="inlineStr">
        <is>
          <t>Values</t>
        </is>
      </c>
      <c r="K103" s="15" t="inlineStr">
        <is>
          <t>Net Profit</t>
        </is>
      </c>
      <c r="M103" s="264">
        <f>M101</f>
        <v/>
      </c>
    </row>
    <row r="104">
      <c r="C104" s="9" t="inlineStr">
        <is>
          <t>Senior Loan Interest Rate</t>
        </is>
      </c>
      <c r="D104" s="163" t="n">
        <v>0.07000000000000001</v>
      </c>
      <c r="K104" s="15" t="inlineStr">
        <is>
          <t>Peak Equity</t>
        </is>
      </c>
      <c r="M104" s="264">
        <f>SUMIF(V101:EX101,"&lt;0",V101:EX101)</f>
        <v/>
      </c>
    </row>
    <row r="105" customFormat="1" s="266">
      <c r="A105" s="9" t="n"/>
      <c r="C105" s="9" t="inlineStr">
        <is>
          <t>General Inflation</t>
        </is>
      </c>
      <c r="D105" s="163" t="n">
        <v>0.03</v>
      </c>
      <c r="E105" s="9" t="n"/>
      <c r="F105" s="9" t="n"/>
      <c r="G105" s="9" t="n"/>
      <c r="H105" s="9" t="n"/>
      <c r="I105" s="12" t="n"/>
      <c r="J105" s="9" t="n"/>
      <c r="K105" s="15" t="inlineStr">
        <is>
          <t>IRR</t>
        </is>
      </c>
      <c r="L105" s="12" t="n"/>
      <c r="M105" s="164">
        <f>(1+IRR(V101:EX101,0))^12-1</f>
        <v/>
      </c>
      <c r="N105" s="12" t="n"/>
      <c r="O105" s="9" t="n"/>
      <c r="P105" s="9" t="n"/>
      <c r="Q105" s="9" t="n"/>
      <c r="R105" s="9" t="n"/>
      <c r="S105" s="9" t="n"/>
      <c r="T105" s="9" t="n"/>
      <c r="U105" s="12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  <c r="BY105" s="9" t="n"/>
      <c r="BZ105" s="9" t="n"/>
      <c r="CA105" s="9" t="n"/>
      <c r="CB105" s="9" t="n"/>
      <c r="CC105" s="9" t="n"/>
      <c r="CD105" s="9" t="n"/>
      <c r="CE105" s="9" t="n"/>
      <c r="CF105" s="9" t="n"/>
      <c r="CG105" s="9" t="n"/>
      <c r="CH105" s="9" t="n"/>
      <c r="CI105" s="9" t="n"/>
      <c r="CJ105" s="9" t="n"/>
      <c r="CK105" s="9" t="n"/>
      <c r="CL105" s="9" t="n"/>
      <c r="CM105" s="9" t="n"/>
      <c r="CN105" s="9" t="n"/>
      <c r="CO105" s="9" t="n"/>
      <c r="CP105" s="9" t="n"/>
      <c r="CQ105" s="9" t="n"/>
      <c r="CR105" s="9" t="n"/>
      <c r="CS105" s="9" t="n"/>
      <c r="CT105" s="9" t="n"/>
      <c r="CU105" s="9" t="n"/>
      <c r="CV105" s="9" t="n"/>
      <c r="CW105" s="9" t="n"/>
      <c r="CX105" s="9" t="n"/>
      <c r="CY105" s="9" t="n"/>
      <c r="CZ105" s="9" t="n"/>
      <c r="DA105" s="9" t="n"/>
      <c r="DB105" s="9" t="n"/>
      <c r="DC105" s="9" t="n"/>
      <c r="DD105" s="9" t="n"/>
      <c r="DE105" s="9" t="n"/>
      <c r="DF105" s="9" t="n"/>
      <c r="DG105" s="9" t="n"/>
      <c r="DH105" s="9" t="n"/>
      <c r="DI105" s="9" t="n"/>
      <c r="DJ105" s="9" t="n"/>
      <c r="DK105" s="9" t="n"/>
      <c r="DL105" s="9" t="n"/>
      <c r="DM105" s="9" t="n"/>
      <c r="DN105" s="9" t="n"/>
      <c r="DO105" s="9" t="n"/>
      <c r="DP105" s="9" t="n"/>
      <c r="DQ105" s="9" t="n"/>
      <c r="DR105" s="9" t="n"/>
      <c r="DS105" s="9" t="n"/>
      <c r="DT105" s="9" t="n"/>
      <c r="DU105" s="9" t="n"/>
      <c r="DV105" s="9" t="n"/>
      <c r="DW105" s="9" t="n"/>
      <c r="DX105" s="9" t="n"/>
      <c r="DY105" s="9" t="n"/>
      <c r="DZ105" s="9" t="n"/>
      <c r="EA105" s="9" t="n"/>
      <c r="EB105" s="9" t="n"/>
      <c r="EC105" s="9" t="n"/>
      <c r="ED105" s="9" t="n"/>
      <c r="EE105" s="9" t="n"/>
      <c r="EF105" s="9" t="n"/>
      <c r="EG105" s="9" t="n"/>
      <c r="EH105" s="9" t="n"/>
      <c r="EI105" s="9" t="n"/>
      <c r="EJ105" s="9" t="n"/>
      <c r="EK105" s="9" t="n"/>
      <c r="EL105" s="9" t="n"/>
      <c r="EM105" s="9" t="n"/>
      <c r="EN105" s="9" t="n"/>
      <c r="EO105" s="9" t="n"/>
      <c r="EP105" s="9" t="n"/>
      <c r="EQ105" s="9" t="n"/>
      <c r="ER105" s="9" t="n"/>
      <c r="ES105" s="9" t="n"/>
      <c r="ET105" s="9" t="n"/>
      <c r="EU105" s="9" t="n"/>
      <c r="EV105" s="9" t="n"/>
      <c r="EW105" s="9" t="n"/>
      <c r="EX105" s="9" t="n"/>
    </row>
    <row r="106">
      <c r="B106" s="33" t="n"/>
      <c r="C106" s="9" t="inlineStr">
        <is>
          <t>Cap Reserve ($/Unit)</t>
        </is>
      </c>
      <c r="D106" s="165" t="n">
        <v>500</v>
      </c>
      <c r="K106" s="15" t="inlineStr">
        <is>
          <t>Equity Multiple</t>
        </is>
      </c>
      <c r="M106" s="312">
        <f>(M103-M104)/-M104</f>
        <v/>
      </c>
    </row>
    <row r="107" customFormat="1" s="282">
      <c r="B107" s="9" t="n"/>
      <c r="C107" s="9" t="n"/>
      <c r="D107" s="9" t="n"/>
      <c r="E107" s="9" t="n"/>
      <c r="F107" s="9" t="n"/>
      <c r="G107" s="9" t="n"/>
      <c r="H107" s="9" t="n"/>
      <c r="I107" s="270" t="n"/>
      <c r="J107" s="9" t="n"/>
      <c r="K107" s="9" t="n"/>
      <c r="L107" s="12" t="n"/>
      <c r="M107" s="25" t="n"/>
      <c r="N107" s="12" t="n"/>
      <c r="O107" s="9" t="n"/>
      <c r="P107" s="9" t="n"/>
      <c r="Q107" s="9" t="n"/>
      <c r="R107" s="9" t="n"/>
      <c r="S107" s="9" t="n"/>
      <c r="T107" s="9" t="n"/>
      <c r="U107" s="12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  <c r="BY107" s="9" t="n"/>
      <c r="BZ107" s="9" t="n"/>
      <c r="CA107" s="9" t="n"/>
      <c r="CB107" s="9" t="n"/>
      <c r="CC107" s="9" t="n"/>
      <c r="CD107" s="9" t="n"/>
      <c r="CE107" s="9" t="n"/>
      <c r="CF107" s="9" t="n"/>
      <c r="CG107" s="9" t="n"/>
      <c r="CH107" s="9" t="n"/>
      <c r="CI107" s="9" t="n"/>
      <c r="CJ107" s="9" t="n"/>
      <c r="CK107" s="9" t="n"/>
      <c r="CL107" s="9" t="n"/>
      <c r="CM107" s="9" t="n"/>
      <c r="CN107" s="9" t="n"/>
      <c r="CO107" s="9" t="n"/>
      <c r="CP107" s="9" t="n"/>
      <c r="CQ107" s="9" t="n"/>
      <c r="CR107" s="9" t="n"/>
      <c r="CS107" s="9" t="n"/>
      <c r="CT107" s="9" t="n"/>
      <c r="CU107" s="9" t="n"/>
      <c r="CV107" s="9" t="n"/>
      <c r="CW107" s="9" t="n"/>
      <c r="CX107" s="9" t="n"/>
      <c r="CY107" s="9" t="n"/>
      <c r="CZ107" s="9" t="n"/>
      <c r="DA107" s="9" t="n"/>
      <c r="DB107" s="9" t="n"/>
      <c r="DC107" s="9" t="n"/>
      <c r="DD107" s="9" t="n"/>
      <c r="DE107" s="9" t="n"/>
      <c r="DF107" s="9" t="n"/>
      <c r="DG107" s="9" t="n"/>
      <c r="DH107" s="9" t="n"/>
      <c r="DI107" s="9" t="n"/>
      <c r="DJ107" s="9" t="n"/>
      <c r="DK107" s="9" t="n"/>
      <c r="DL107" s="9" t="n"/>
      <c r="DM107" s="9" t="n"/>
      <c r="DN107" s="9" t="n"/>
      <c r="DO107" s="9" t="n"/>
      <c r="DP107" s="9" t="n"/>
      <c r="DQ107" s="9" t="n"/>
      <c r="DR107" s="9" t="n"/>
      <c r="DS107" s="9" t="n"/>
      <c r="DT107" s="9" t="n"/>
      <c r="DU107" s="9" t="n"/>
      <c r="DV107" s="9" t="n"/>
      <c r="DW107" s="9" t="n"/>
      <c r="DX107" s="9" t="n"/>
      <c r="DY107" s="9" t="n"/>
      <c r="DZ107" s="9" t="n"/>
      <c r="EA107" s="9" t="n"/>
      <c r="EB107" s="9" t="n"/>
      <c r="EC107" s="9" t="n"/>
      <c r="ED107" s="9" t="n"/>
      <c r="EE107" s="9" t="n"/>
      <c r="EF107" s="9" t="n"/>
      <c r="EG107" s="9" t="n"/>
      <c r="EH107" s="9" t="n"/>
      <c r="EI107" s="9" t="n"/>
      <c r="EJ107" s="9" t="n"/>
      <c r="EK107" s="9" t="n"/>
      <c r="EL107" s="9" t="n"/>
      <c r="EM107" s="9" t="n"/>
      <c r="EN107" s="9" t="n"/>
      <c r="EO107" s="9" t="n"/>
      <c r="EP107" s="9" t="n"/>
      <c r="EQ107" s="9" t="n"/>
      <c r="ER107" s="9" t="n"/>
      <c r="ES107" s="9" t="n"/>
      <c r="ET107" s="9" t="n"/>
      <c r="EU107" s="9" t="n"/>
      <c r="EV107" s="9" t="n"/>
      <c r="EW107" s="9" t="n"/>
      <c r="EX107" s="9" t="n"/>
    </row>
    <row r="108" customFormat="1" s="33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12" t="n"/>
      <c r="J108" s="36" t="inlineStr">
        <is>
          <t>Distribution</t>
        </is>
      </c>
      <c r="K108" s="133" t="n"/>
      <c r="L108" s="12" t="n"/>
      <c r="M108" s="204" t="n"/>
      <c r="N108" s="12" t="n"/>
      <c r="O108" s="133" t="n"/>
      <c r="P108" s="133" t="n"/>
      <c r="Q108" s="133" t="n"/>
      <c r="R108" s="133" t="n"/>
      <c r="S108" s="133" t="n"/>
      <c r="T108" s="133" t="n"/>
      <c r="U108" s="12" t="n"/>
      <c r="V108" s="133" t="n"/>
      <c r="W108" s="133" t="n"/>
      <c r="X108" s="133" t="n"/>
      <c r="Y108" s="133" t="n"/>
      <c r="Z108" s="133" t="n"/>
      <c r="AA108" s="133" t="n"/>
      <c r="AB108" s="133" t="n"/>
      <c r="AC108" s="133" t="n"/>
      <c r="AD108" s="133" t="n"/>
      <c r="AE108" s="133" t="n"/>
      <c r="AF108" s="133" t="n"/>
      <c r="AG108" s="133" t="n"/>
      <c r="AH108" s="133" t="n"/>
      <c r="AI108" s="133" t="n"/>
      <c r="AJ108" s="133" t="n"/>
      <c r="AK108" s="133" t="n"/>
      <c r="AL108" s="133" t="n"/>
      <c r="AM108" s="133" t="n"/>
      <c r="AN108" s="133" t="n"/>
      <c r="AO108" s="133" t="n"/>
      <c r="AP108" s="133" t="n"/>
      <c r="AQ108" s="133" t="n"/>
      <c r="AR108" s="133" t="n"/>
      <c r="AS108" s="133" t="n"/>
      <c r="AT108" s="133" t="n"/>
      <c r="AU108" s="133" t="n"/>
      <c r="AV108" s="133" t="n"/>
      <c r="AW108" s="133" t="n"/>
      <c r="AX108" s="133" t="n"/>
      <c r="AY108" s="133" t="n"/>
      <c r="AZ108" s="133" t="n"/>
      <c r="BA108" s="133" t="n"/>
      <c r="BB108" s="133" t="n"/>
      <c r="BC108" s="133" t="n"/>
      <c r="BD108" s="133" t="n"/>
      <c r="BE108" s="133" t="n"/>
      <c r="BF108" s="133" t="n"/>
      <c r="BG108" s="133" t="n"/>
      <c r="BH108" s="133" t="n"/>
      <c r="BI108" s="133" t="n"/>
      <c r="BJ108" s="133" t="n"/>
      <c r="BK108" s="133" t="n"/>
      <c r="BL108" s="133" t="n"/>
      <c r="BM108" s="133" t="n"/>
      <c r="BN108" s="133" t="n"/>
      <c r="BO108" s="133" t="n"/>
      <c r="BP108" s="133" t="n"/>
      <c r="BQ108" s="133" t="n"/>
      <c r="BR108" s="133" t="n"/>
      <c r="BS108" s="133" t="n"/>
      <c r="BT108" s="133" t="n"/>
      <c r="BU108" s="133" t="n"/>
      <c r="BV108" s="133" t="n"/>
      <c r="BW108" s="133" t="n"/>
      <c r="BX108" s="133" t="n"/>
      <c r="BY108" s="133" t="n"/>
      <c r="BZ108" s="133" t="n"/>
      <c r="CA108" s="133" t="n"/>
      <c r="CB108" s="133" t="n"/>
      <c r="CC108" s="133" t="n"/>
      <c r="CD108" s="133" t="n"/>
      <c r="CE108" s="133" t="n"/>
      <c r="CF108" s="133" t="n"/>
      <c r="CG108" s="133" t="n"/>
      <c r="CH108" s="133" t="n"/>
      <c r="CI108" s="133" t="n"/>
      <c r="CJ108" s="133" t="n"/>
      <c r="CK108" s="133" t="n"/>
      <c r="CL108" s="133" t="n"/>
      <c r="CM108" s="133" t="n"/>
      <c r="CN108" s="133" t="n"/>
      <c r="CO108" s="133" t="n"/>
      <c r="CP108" s="133" t="n"/>
      <c r="CQ108" s="133" t="n"/>
      <c r="CR108" s="133" t="n"/>
      <c r="CS108" s="133" t="n"/>
      <c r="CT108" s="133" t="n"/>
      <c r="CU108" s="133" t="n"/>
      <c r="CV108" s="133" t="n"/>
      <c r="CW108" s="133" t="n"/>
      <c r="CX108" s="133" t="n"/>
      <c r="CY108" s="133" t="n"/>
      <c r="CZ108" s="133" t="n"/>
      <c r="DA108" s="133" t="n"/>
      <c r="DB108" s="133" t="n"/>
      <c r="DC108" s="133" t="n"/>
      <c r="DD108" s="133" t="n"/>
      <c r="DE108" s="133" t="n"/>
      <c r="DF108" s="133" t="n"/>
      <c r="DG108" s="133" t="n"/>
      <c r="DH108" s="133" t="n"/>
      <c r="DI108" s="133" t="n"/>
      <c r="DJ108" s="133" t="n"/>
      <c r="DK108" s="133" t="n"/>
      <c r="DL108" s="133" t="n"/>
      <c r="DM108" s="133" t="n"/>
      <c r="DN108" s="133" t="n"/>
      <c r="DO108" s="133" t="n"/>
      <c r="DP108" s="133" t="n"/>
      <c r="DQ108" s="133" t="n"/>
      <c r="DR108" s="133" t="n"/>
      <c r="DS108" s="133" t="n"/>
      <c r="DT108" s="133" t="n"/>
      <c r="DU108" s="133" t="n"/>
      <c r="DV108" s="133" t="n"/>
      <c r="DW108" s="133" t="n"/>
      <c r="DX108" s="133" t="n"/>
      <c r="DY108" s="133" t="n"/>
      <c r="DZ108" s="133" t="n"/>
      <c r="EA108" s="133" t="n"/>
      <c r="EB108" s="133" t="n"/>
      <c r="EC108" s="133" t="n"/>
      <c r="ED108" s="133" t="n"/>
      <c r="EE108" s="133" t="n"/>
      <c r="EF108" s="133" t="n"/>
      <c r="EG108" s="133" t="n"/>
      <c r="EH108" s="133" t="n"/>
      <c r="EI108" s="133" t="n"/>
      <c r="EJ108" s="133" t="n"/>
      <c r="EK108" s="133" t="n"/>
      <c r="EL108" s="133" t="n"/>
      <c r="EM108" s="133" t="n"/>
      <c r="EN108" s="133" t="n"/>
      <c r="EO108" s="133" t="n"/>
      <c r="EP108" s="133" t="n"/>
      <c r="EQ108" s="133" t="n"/>
      <c r="ER108" s="133" t="n"/>
      <c r="ES108" s="133" t="n"/>
      <c r="ET108" s="133" t="n"/>
      <c r="EU108" s="133" t="n"/>
      <c r="EV108" s="133" t="n"/>
      <c r="EW108" s="133" t="n"/>
      <c r="EX108" s="133" t="n"/>
    </row>
    <row r="109">
      <c r="B109" s="282" t="n"/>
      <c r="J109" s="9" t="inlineStr">
        <is>
          <t>Contribution</t>
        </is>
      </c>
      <c r="M109" s="264">
        <f>SUMIF($V$4:$EX$4,"&lt;="&amp;$H$19,$V109:$EX109)</f>
        <v/>
      </c>
      <c r="N109" s="282" t="n"/>
      <c r="O109" s="264">
        <f>SUMIF($V$5:$EX$5,O$7,$V109:$EX109)</f>
        <v/>
      </c>
      <c r="P109" s="264">
        <f>SUMIF($V$5:$EX$5,P$7,$V109:$EX109)</f>
        <v/>
      </c>
      <c r="Q109" s="264">
        <f>SUMIF($V$5:$EX$5,Q$7,$V109:$EX109)</f>
        <v/>
      </c>
      <c r="R109" s="264">
        <f>SUMIF($V$5:$EX$5,R$7,$V109:$EX109)</f>
        <v/>
      </c>
      <c r="S109" s="264">
        <f>SUMIF($V$5:$EX$5,S$7,$V109:$EX109)</f>
        <v/>
      </c>
      <c r="T109" s="264">
        <f>SUMIF($V$5:$EX$5,T$7,$V109:$EX109)</f>
        <v/>
      </c>
      <c r="U109" s="282" t="n"/>
      <c r="V109" s="264">
        <f>(V101&lt;0)*V101</f>
        <v/>
      </c>
      <c r="W109" s="264">
        <f>(W101&lt;0)*W101</f>
        <v/>
      </c>
      <c r="X109" s="264">
        <f>(X101&lt;0)*X101</f>
        <v/>
      </c>
      <c r="Y109" s="264">
        <f>(Y101&lt;0)*Y101</f>
        <v/>
      </c>
      <c r="Z109" s="264">
        <f>(Z101&lt;0)*Z101</f>
        <v/>
      </c>
      <c r="AA109" s="264">
        <f>(AA101&lt;0)*AA101</f>
        <v/>
      </c>
      <c r="AB109" s="264">
        <f>(AB101&lt;0)*AB101</f>
        <v/>
      </c>
      <c r="AC109" s="264">
        <f>(AC101&lt;0)*AC101</f>
        <v/>
      </c>
      <c r="AD109" s="264">
        <f>(AD101&lt;0)*AD101</f>
        <v/>
      </c>
      <c r="AE109" s="264">
        <f>(AE101&lt;0)*AE101</f>
        <v/>
      </c>
      <c r="AF109" s="264">
        <f>(AF101&lt;0)*AF101</f>
        <v/>
      </c>
      <c r="AG109" s="264">
        <f>(AG101&lt;0)*AG101</f>
        <v/>
      </c>
      <c r="AH109" s="264">
        <f>(AH101&lt;0)*AH101</f>
        <v/>
      </c>
      <c r="AI109" s="264">
        <f>(AI101&lt;0)*AI101</f>
        <v/>
      </c>
      <c r="AJ109" s="264">
        <f>(AJ101&lt;0)*AJ101</f>
        <v/>
      </c>
      <c r="AK109" s="264">
        <f>(AK101&lt;0)*AK101</f>
        <v/>
      </c>
      <c r="AL109" s="264">
        <f>(AL101&lt;0)*AL101</f>
        <v/>
      </c>
      <c r="AM109" s="264">
        <f>(AM101&lt;0)*AM101</f>
        <v/>
      </c>
      <c r="AN109" s="264">
        <f>(AN101&lt;0)*AN101</f>
        <v/>
      </c>
      <c r="AO109" s="264">
        <f>(AO101&lt;0)*AO101</f>
        <v/>
      </c>
      <c r="AP109" s="264">
        <f>(AP101&lt;0)*AP101</f>
        <v/>
      </c>
      <c r="AQ109" s="264">
        <f>(AQ101&lt;0)*AQ101</f>
        <v/>
      </c>
      <c r="AR109" s="264">
        <f>(AR101&lt;0)*AR101</f>
        <v/>
      </c>
      <c r="AS109" s="264">
        <f>(AS101&lt;0)*AS101</f>
        <v/>
      </c>
      <c r="AT109" s="264">
        <f>(AT101&lt;0)*AT101</f>
        <v/>
      </c>
      <c r="AU109" s="264">
        <f>(AU101&lt;0)*AU101</f>
        <v/>
      </c>
      <c r="AV109" s="264">
        <f>(AV101&lt;0)*AV101</f>
        <v/>
      </c>
      <c r="AW109" s="264">
        <f>(AW101&lt;0)*AW101</f>
        <v/>
      </c>
      <c r="AX109" s="264">
        <f>(AX101&lt;0)*AX101</f>
        <v/>
      </c>
      <c r="AY109" s="264">
        <f>(AY101&lt;0)*AY101</f>
        <v/>
      </c>
      <c r="AZ109" s="264">
        <f>(AZ101&lt;0)*AZ101</f>
        <v/>
      </c>
      <c r="BA109" s="264">
        <f>(BA101&lt;0)*BA101</f>
        <v/>
      </c>
      <c r="BB109" s="264">
        <f>(BB101&lt;0)*BB101</f>
        <v/>
      </c>
      <c r="BC109" s="264">
        <f>(BC101&lt;0)*BC101</f>
        <v/>
      </c>
      <c r="BD109" s="264">
        <f>(BD101&lt;0)*BD101</f>
        <v/>
      </c>
      <c r="BE109" s="264">
        <f>(BE101&lt;0)*BE101</f>
        <v/>
      </c>
      <c r="BF109" s="264">
        <f>(BF101&lt;0)*BF101</f>
        <v/>
      </c>
      <c r="BG109" s="264">
        <f>(BG101&lt;0)*BG101</f>
        <v/>
      </c>
      <c r="BH109" s="264">
        <f>(BH101&lt;0)*BH101</f>
        <v/>
      </c>
      <c r="BI109" s="264">
        <f>(BI101&lt;0)*BI101</f>
        <v/>
      </c>
      <c r="BJ109" s="264">
        <f>(BJ101&lt;0)*BJ101</f>
        <v/>
      </c>
      <c r="BK109" s="264">
        <f>(BK101&lt;0)*BK101</f>
        <v/>
      </c>
      <c r="BL109" s="264">
        <f>(BL101&lt;0)*BL101</f>
        <v/>
      </c>
      <c r="BM109" s="264">
        <f>(BM101&lt;0)*BM101</f>
        <v/>
      </c>
      <c r="BN109" s="264">
        <f>(BN101&lt;0)*BN101</f>
        <v/>
      </c>
      <c r="BO109" s="264">
        <f>(BO101&lt;0)*BO101</f>
        <v/>
      </c>
      <c r="BP109" s="264">
        <f>(BP101&lt;0)*BP101</f>
        <v/>
      </c>
      <c r="BQ109" s="264">
        <f>(BQ101&lt;0)*BQ101</f>
        <v/>
      </c>
      <c r="BR109" s="264">
        <f>(BR101&lt;0)*BR101</f>
        <v/>
      </c>
      <c r="BS109" s="264">
        <f>(BS101&lt;0)*BS101</f>
        <v/>
      </c>
      <c r="BT109" s="264">
        <f>(BT101&lt;0)*BT101</f>
        <v/>
      </c>
      <c r="BU109" s="264">
        <f>(BU101&lt;0)*BU101</f>
        <v/>
      </c>
      <c r="BV109" s="264">
        <f>(BV101&lt;0)*BV101</f>
        <v/>
      </c>
      <c r="BW109" s="264">
        <f>(BW101&lt;0)*BW101</f>
        <v/>
      </c>
      <c r="BX109" s="264">
        <f>(BX101&lt;0)*BX101</f>
        <v/>
      </c>
      <c r="BY109" s="264">
        <f>(BY101&lt;0)*BY101</f>
        <v/>
      </c>
      <c r="BZ109" s="264">
        <f>(BZ101&lt;0)*BZ101</f>
        <v/>
      </c>
      <c r="CA109" s="264">
        <f>(CA101&lt;0)*CA101</f>
        <v/>
      </c>
      <c r="CB109" s="264">
        <f>(CB101&lt;0)*CB101</f>
        <v/>
      </c>
      <c r="CC109" s="264">
        <f>(CC101&lt;0)*CC101</f>
        <v/>
      </c>
      <c r="CD109" s="264">
        <f>(CD101&lt;0)*CD101</f>
        <v/>
      </c>
      <c r="CE109" s="264">
        <f>(CE101&lt;0)*CE101</f>
        <v/>
      </c>
      <c r="CF109" s="264">
        <f>(CF101&lt;0)*CF101</f>
        <v/>
      </c>
      <c r="CG109" s="264">
        <f>(CG101&lt;0)*CG101</f>
        <v/>
      </c>
      <c r="CH109" s="264">
        <f>(CH101&lt;0)*CH101</f>
        <v/>
      </c>
      <c r="CI109" s="264">
        <f>(CI101&lt;0)*CI101</f>
        <v/>
      </c>
      <c r="CJ109" s="264">
        <f>(CJ101&lt;0)*CJ101</f>
        <v/>
      </c>
      <c r="CK109" s="264">
        <f>(CK101&lt;0)*CK101</f>
        <v/>
      </c>
      <c r="CL109" s="264">
        <f>(CL101&lt;0)*CL101</f>
        <v/>
      </c>
      <c r="CM109" s="264">
        <f>(CM101&lt;0)*CM101</f>
        <v/>
      </c>
      <c r="CN109" s="264">
        <f>(CN101&lt;0)*CN101</f>
        <v/>
      </c>
      <c r="CO109" s="264">
        <f>(CO101&lt;0)*CO101</f>
        <v/>
      </c>
      <c r="CP109" s="264">
        <f>(CP101&lt;0)*CP101</f>
        <v/>
      </c>
      <c r="CQ109" s="264">
        <f>(CQ101&lt;0)*CQ101</f>
        <v/>
      </c>
      <c r="CR109" s="264">
        <f>(CR101&lt;0)*CR101</f>
        <v/>
      </c>
      <c r="CS109" s="264">
        <f>(CS101&lt;0)*CS101</f>
        <v/>
      </c>
      <c r="CT109" s="264">
        <f>(CT101&lt;0)*CT101</f>
        <v/>
      </c>
      <c r="CU109" s="264">
        <f>(CU101&lt;0)*CU101</f>
        <v/>
      </c>
      <c r="CV109" s="264">
        <f>(CV101&lt;0)*CV101</f>
        <v/>
      </c>
      <c r="CW109" s="264">
        <f>(CW101&lt;0)*CW101</f>
        <v/>
      </c>
      <c r="CX109" s="264">
        <f>(CX101&lt;0)*CX101</f>
        <v/>
      </c>
      <c r="CY109" s="264">
        <f>(CY101&lt;0)*CY101</f>
        <v/>
      </c>
      <c r="CZ109" s="264">
        <f>(CZ101&lt;0)*CZ101</f>
        <v/>
      </c>
      <c r="DA109" s="264">
        <f>(DA101&lt;0)*DA101</f>
        <v/>
      </c>
      <c r="DB109" s="264">
        <f>(DB101&lt;0)*DB101</f>
        <v/>
      </c>
      <c r="DC109" s="264">
        <f>(DC101&lt;0)*DC101</f>
        <v/>
      </c>
      <c r="DD109" s="264">
        <f>(DD101&lt;0)*DD101</f>
        <v/>
      </c>
      <c r="DE109" s="264">
        <f>(DE101&lt;0)*DE101</f>
        <v/>
      </c>
      <c r="DF109" s="264">
        <f>(DF101&lt;0)*DF101</f>
        <v/>
      </c>
      <c r="DG109" s="264">
        <f>(DG101&lt;0)*DG101</f>
        <v/>
      </c>
      <c r="DH109" s="264">
        <f>(DH101&lt;0)*DH101</f>
        <v/>
      </c>
      <c r="DI109" s="264">
        <f>(DI101&lt;0)*DI101</f>
        <v/>
      </c>
      <c r="DJ109" s="264">
        <f>(DJ101&lt;0)*DJ101</f>
        <v/>
      </c>
      <c r="DK109" s="264">
        <f>(DK101&lt;0)*DK101</f>
        <v/>
      </c>
      <c r="DL109" s="264">
        <f>(DL101&lt;0)*DL101</f>
        <v/>
      </c>
      <c r="DM109" s="264">
        <f>(DM101&lt;0)*DM101</f>
        <v/>
      </c>
      <c r="DN109" s="264">
        <f>(DN101&lt;0)*DN101</f>
        <v/>
      </c>
      <c r="DO109" s="264">
        <f>(DO101&lt;0)*DO101</f>
        <v/>
      </c>
      <c r="DP109" s="264">
        <f>(DP101&lt;0)*DP101</f>
        <v/>
      </c>
      <c r="DQ109" s="264">
        <f>(DQ101&lt;0)*DQ101</f>
        <v/>
      </c>
      <c r="DR109" s="264">
        <f>(DR101&lt;0)*DR101</f>
        <v/>
      </c>
      <c r="DS109" s="264">
        <f>(DS101&lt;0)*DS101</f>
        <v/>
      </c>
      <c r="DT109" s="264">
        <f>(DT101&lt;0)*DT101</f>
        <v/>
      </c>
      <c r="DU109" s="264">
        <f>(DU101&lt;0)*DU101</f>
        <v/>
      </c>
      <c r="DV109" s="264">
        <f>(DV101&lt;0)*DV101</f>
        <v/>
      </c>
      <c r="DW109" s="264">
        <f>(DW101&lt;0)*DW101</f>
        <v/>
      </c>
      <c r="DX109" s="264">
        <f>(DX101&lt;0)*DX101</f>
        <v/>
      </c>
      <c r="DY109" s="264">
        <f>(DY101&lt;0)*DY101</f>
        <v/>
      </c>
      <c r="DZ109" s="264">
        <f>(DZ101&lt;0)*DZ101</f>
        <v/>
      </c>
      <c r="EA109" s="264">
        <f>(EA101&lt;0)*EA101</f>
        <v/>
      </c>
      <c r="EB109" s="264">
        <f>(EB101&lt;0)*EB101</f>
        <v/>
      </c>
      <c r="EC109" s="264">
        <f>(EC101&lt;0)*EC101</f>
        <v/>
      </c>
      <c r="ED109" s="264">
        <f>(ED101&lt;0)*ED101</f>
        <v/>
      </c>
      <c r="EE109" s="264">
        <f>(EE101&lt;0)*EE101</f>
        <v/>
      </c>
      <c r="EF109" s="264">
        <f>(EF101&lt;0)*EF101</f>
        <v/>
      </c>
      <c r="EG109" s="264">
        <f>(EG101&lt;0)*EG101</f>
        <v/>
      </c>
      <c r="EH109" s="264">
        <f>(EH101&lt;0)*EH101</f>
        <v/>
      </c>
      <c r="EI109" s="264">
        <f>(EI101&lt;0)*EI101</f>
        <v/>
      </c>
      <c r="EJ109" s="264">
        <f>(EJ101&lt;0)*EJ101</f>
        <v/>
      </c>
      <c r="EK109" s="264">
        <f>(EK101&lt;0)*EK101</f>
        <v/>
      </c>
      <c r="EL109" s="264">
        <f>(EL101&lt;0)*EL101</f>
        <v/>
      </c>
      <c r="EM109" s="264">
        <f>(EM101&lt;0)*EM101</f>
        <v/>
      </c>
      <c r="EN109" s="264">
        <f>(EN101&lt;0)*EN101</f>
        <v/>
      </c>
      <c r="EO109" s="264">
        <f>(EO101&lt;0)*EO101</f>
        <v/>
      </c>
      <c r="EP109" s="264">
        <f>(EP101&lt;0)*EP101</f>
        <v/>
      </c>
      <c r="EQ109" s="264">
        <f>(EQ101&lt;0)*EQ101</f>
        <v/>
      </c>
      <c r="ER109" s="264">
        <f>(ER101&lt;0)*ER101</f>
        <v/>
      </c>
      <c r="ES109" s="264">
        <f>(ES101&lt;0)*ES101</f>
        <v/>
      </c>
      <c r="ET109" s="264">
        <f>(ET101&lt;0)*ET101</f>
        <v/>
      </c>
      <c r="EU109" s="264">
        <f>(EU101&lt;0)*EU101</f>
        <v/>
      </c>
      <c r="EV109" s="264">
        <f>(EV101&lt;0)*EV101</f>
        <v/>
      </c>
      <c r="EW109" s="264">
        <f>(EW101&lt;0)*EW101</f>
        <v/>
      </c>
      <c r="EX109" s="264">
        <f>(EX101&lt;0)*EX101</f>
        <v/>
      </c>
    </row>
    <row r="110" customFormat="1" s="282">
      <c r="A110" s="9" t="n"/>
      <c r="B110" s="16" t="n"/>
      <c r="C110" s="9" t="n"/>
      <c r="D110" s="9" t="n"/>
      <c r="E110" s="9" t="n"/>
      <c r="F110" s="9" t="n"/>
      <c r="G110" s="9" t="n"/>
      <c r="H110" s="9" t="n"/>
      <c r="I110" s="12" t="n"/>
      <c r="J110" s="9" t="inlineStr">
        <is>
          <t>Distribution</t>
        </is>
      </c>
      <c r="K110" s="9" t="n"/>
      <c r="L110" s="12" t="n"/>
      <c r="M110" s="264">
        <f>SUMIF($V$4:$EX$4,"&lt;="&amp;$H$19,$V110:$EX110)</f>
        <v/>
      </c>
      <c r="O110" s="264">
        <f>SUMIF($V$5:$EX$5,O$7,$V110:$EX110)</f>
        <v/>
      </c>
      <c r="P110" s="264">
        <f>SUMIF($V$5:$EX$5,P$7,$V110:$EX110)</f>
        <v/>
      </c>
      <c r="Q110" s="264">
        <f>SUMIF($V$5:$EX$5,Q$7,$V110:$EX110)</f>
        <v/>
      </c>
      <c r="R110" s="264">
        <f>SUMIF($V$5:$EX$5,R$7,$V110:$EX110)</f>
        <v/>
      </c>
      <c r="S110" s="264">
        <f>SUMIF($V$5:$EX$5,S$7,$V110:$EX110)</f>
        <v/>
      </c>
      <c r="T110" s="264">
        <f>SUMIF($V$5:$EX$5,T$7,$V110:$EX110)</f>
        <v/>
      </c>
      <c r="V110" s="264">
        <f>(V101&gt;0)*V101</f>
        <v/>
      </c>
      <c r="W110" s="264">
        <f>(W101&gt;0)*W101</f>
        <v/>
      </c>
      <c r="X110" s="264">
        <f>(X101&gt;0)*X101</f>
        <v/>
      </c>
      <c r="Y110" s="264">
        <f>(Y101&gt;0)*Y101</f>
        <v/>
      </c>
      <c r="Z110" s="264">
        <f>(Z101&gt;0)*Z101</f>
        <v/>
      </c>
      <c r="AA110" s="264">
        <f>(AA101&gt;0)*AA101</f>
        <v/>
      </c>
      <c r="AB110" s="264">
        <f>(AB101&gt;0)*AB101</f>
        <v/>
      </c>
      <c r="AC110" s="264">
        <f>(AC101&gt;0)*AC101</f>
        <v/>
      </c>
      <c r="AD110" s="264">
        <f>(AD101&gt;0)*AD101</f>
        <v/>
      </c>
      <c r="AE110" s="264">
        <f>(AE101&gt;0)*AE101</f>
        <v/>
      </c>
      <c r="AF110" s="264">
        <f>(AF101&gt;0)*AF101</f>
        <v/>
      </c>
      <c r="AG110" s="264">
        <f>(AG101&gt;0)*AG101</f>
        <v/>
      </c>
      <c r="AH110" s="264">
        <f>(AH101&gt;0)*AH101</f>
        <v/>
      </c>
      <c r="AI110" s="264">
        <f>(AI101&gt;0)*AI101</f>
        <v/>
      </c>
      <c r="AJ110" s="264">
        <f>(AJ101&gt;0)*AJ101</f>
        <v/>
      </c>
      <c r="AK110" s="264">
        <f>(AK101&gt;0)*AK101</f>
        <v/>
      </c>
      <c r="AL110" s="264">
        <f>(AL101&gt;0)*AL101</f>
        <v/>
      </c>
      <c r="AM110" s="264">
        <f>(AM101&gt;0)*AM101</f>
        <v/>
      </c>
      <c r="AN110" s="264">
        <f>(AN101&gt;0)*AN101</f>
        <v/>
      </c>
      <c r="AO110" s="264">
        <f>(AO101&gt;0)*AO101</f>
        <v/>
      </c>
      <c r="AP110" s="264">
        <f>(AP101&gt;0)*AP101</f>
        <v/>
      </c>
      <c r="AQ110" s="264">
        <f>(AQ101&gt;0)*AQ101</f>
        <v/>
      </c>
      <c r="AR110" s="264">
        <f>(AR101&gt;0)*AR101</f>
        <v/>
      </c>
      <c r="AS110" s="264">
        <f>(AS101&gt;0)*AS101</f>
        <v/>
      </c>
      <c r="AT110" s="264">
        <f>(AT101&gt;0)*AT101</f>
        <v/>
      </c>
      <c r="AU110" s="264">
        <f>(AU101&gt;0)*AU101</f>
        <v/>
      </c>
      <c r="AV110" s="264">
        <f>(AV101&gt;0)*AV101</f>
        <v/>
      </c>
      <c r="AW110" s="264">
        <f>(AW101&gt;0)*AW101</f>
        <v/>
      </c>
      <c r="AX110" s="264">
        <f>(AX101&gt;0)*AX101</f>
        <v/>
      </c>
      <c r="AY110" s="264">
        <f>(AY101&gt;0)*AY101</f>
        <v/>
      </c>
      <c r="AZ110" s="264">
        <f>(AZ101&gt;0)*AZ101</f>
        <v/>
      </c>
      <c r="BA110" s="264">
        <f>(BA101&gt;0)*BA101</f>
        <v/>
      </c>
      <c r="BB110" s="264">
        <f>(BB101&gt;0)*BB101</f>
        <v/>
      </c>
      <c r="BC110" s="264">
        <f>(BC101&gt;0)*BC101</f>
        <v/>
      </c>
      <c r="BD110" s="264">
        <f>(BD101&gt;0)*BD101</f>
        <v/>
      </c>
      <c r="BE110" s="264">
        <f>(BE101&gt;0)*BE101</f>
        <v/>
      </c>
      <c r="BF110" s="264">
        <f>(BF101&gt;0)*BF101</f>
        <v/>
      </c>
      <c r="BG110" s="264">
        <f>(BG101&gt;0)*BG101</f>
        <v/>
      </c>
      <c r="BH110" s="264">
        <f>(BH101&gt;0)*BH101</f>
        <v/>
      </c>
      <c r="BI110" s="264">
        <f>(BI101&gt;0)*BI101</f>
        <v/>
      </c>
      <c r="BJ110" s="264">
        <f>(BJ101&gt;0)*BJ101</f>
        <v/>
      </c>
      <c r="BK110" s="264">
        <f>(BK101&gt;0)*BK101</f>
        <v/>
      </c>
      <c r="BL110" s="264">
        <f>(BL101&gt;0)*BL101</f>
        <v/>
      </c>
      <c r="BM110" s="264">
        <f>(BM101&gt;0)*BM101</f>
        <v/>
      </c>
      <c r="BN110" s="264">
        <f>(BN101&gt;0)*BN101</f>
        <v/>
      </c>
      <c r="BO110" s="264">
        <f>(BO101&gt;0)*BO101</f>
        <v/>
      </c>
      <c r="BP110" s="264">
        <f>(BP101&gt;0)*BP101</f>
        <v/>
      </c>
      <c r="BQ110" s="264">
        <f>(BQ101&gt;0)*BQ101</f>
        <v/>
      </c>
      <c r="BR110" s="264">
        <f>(BR101&gt;0)*BR101</f>
        <v/>
      </c>
      <c r="BS110" s="264">
        <f>(BS101&gt;0)*BS101</f>
        <v/>
      </c>
      <c r="BT110" s="264">
        <f>(BT101&gt;0)*BT101</f>
        <v/>
      </c>
      <c r="BU110" s="264">
        <f>(BU101&gt;0)*BU101</f>
        <v/>
      </c>
      <c r="BV110" s="264">
        <f>(BV101&gt;0)*BV101</f>
        <v/>
      </c>
      <c r="BW110" s="264">
        <f>(BW101&gt;0)*BW101</f>
        <v/>
      </c>
      <c r="BX110" s="264">
        <f>(BX101&gt;0)*BX101</f>
        <v/>
      </c>
      <c r="BY110" s="264">
        <f>(BY101&gt;0)*BY101</f>
        <v/>
      </c>
      <c r="BZ110" s="264">
        <f>(BZ101&gt;0)*BZ101</f>
        <v/>
      </c>
      <c r="CA110" s="264">
        <f>(CA101&gt;0)*CA101</f>
        <v/>
      </c>
      <c r="CB110" s="264">
        <f>(CB101&gt;0)*CB101</f>
        <v/>
      </c>
      <c r="CC110" s="264">
        <f>(CC101&gt;0)*CC101</f>
        <v/>
      </c>
      <c r="CD110" s="264">
        <f>(CD101&gt;0)*CD101</f>
        <v/>
      </c>
      <c r="CE110" s="264">
        <f>(CE101&gt;0)*CE101</f>
        <v/>
      </c>
      <c r="CF110" s="264">
        <f>(CF101&gt;0)*CF101</f>
        <v/>
      </c>
      <c r="CG110" s="264">
        <f>(CG101&gt;0)*CG101</f>
        <v/>
      </c>
      <c r="CH110" s="264">
        <f>(CH101&gt;0)*CH101</f>
        <v/>
      </c>
      <c r="CI110" s="264">
        <f>(CI101&gt;0)*CI101</f>
        <v/>
      </c>
      <c r="CJ110" s="264">
        <f>(CJ101&gt;0)*CJ101</f>
        <v/>
      </c>
      <c r="CK110" s="264">
        <f>(CK101&gt;0)*CK101</f>
        <v/>
      </c>
      <c r="CL110" s="264">
        <f>(CL101&gt;0)*CL101</f>
        <v/>
      </c>
      <c r="CM110" s="264">
        <f>(CM101&gt;0)*CM101</f>
        <v/>
      </c>
      <c r="CN110" s="264">
        <f>(CN101&gt;0)*CN101</f>
        <v/>
      </c>
      <c r="CO110" s="264">
        <f>(CO101&gt;0)*CO101</f>
        <v/>
      </c>
      <c r="CP110" s="264">
        <f>(CP101&gt;0)*CP101</f>
        <v/>
      </c>
      <c r="CQ110" s="264">
        <f>(CQ101&gt;0)*CQ101</f>
        <v/>
      </c>
      <c r="CR110" s="264">
        <f>(CR101&gt;0)*CR101</f>
        <v/>
      </c>
      <c r="CS110" s="264">
        <f>(CS101&gt;0)*CS101</f>
        <v/>
      </c>
      <c r="CT110" s="264">
        <f>(CT101&gt;0)*CT101</f>
        <v/>
      </c>
      <c r="CU110" s="264">
        <f>(CU101&gt;0)*CU101</f>
        <v/>
      </c>
      <c r="CV110" s="264">
        <f>(CV101&gt;0)*CV101</f>
        <v/>
      </c>
      <c r="CW110" s="264">
        <f>(CW101&gt;0)*CW101</f>
        <v/>
      </c>
      <c r="CX110" s="264">
        <f>(CX101&gt;0)*CX101</f>
        <v/>
      </c>
      <c r="CY110" s="264">
        <f>(CY101&gt;0)*CY101</f>
        <v/>
      </c>
      <c r="CZ110" s="264">
        <f>(CZ101&gt;0)*CZ101</f>
        <v/>
      </c>
      <c r="DA110" s="264">
        <f>(DA101&gt;0)*DA101</f>
        <v/>
      </c>
      <c r="DB110" s="264">
        <f>(DB101&gt;0)*DB101</f>
        <v/>
      </c>
      <c r="DC110" s="264">
        <f>(DC101&gt;0)*DC101</f>
        <v/>
      </c>
      <c r="DD110" s="264">
        <f>(DD101&gt;0)*DD101</f>
        <v/>
      </c>
      <c r="DE110" s="264">
        <f>(DE101&gt;0)*DE101</f>
        <v/>
      </c>
      <c r="DF110" s="264">
        <f>(DF101&gt;0)*DF101</f>
        <v/>
      </c>
      <c r="DG110" s="264">
        <f>(DG101&gt;0)*DG101</f>
        <v/>
      </c>
      <c r="DH110" s="264">
        <f>(DH101&gt;0)*DH101</f>
        <v/>
      </c>
      <c r="DI110" s="264">
        <f>(DI101&gt;0)*DI101</f>
        <v/>
      </c>
      <c r="DJ110" s="264">
        <f>(DJ101&gt;0)*DJ101</f>
        <v/>
      </c>
      <c r="DK110" s="264">
        <f>(DK101&gt;0)*DK101</f>
        <v/>
      </c>
      <c r="DL110" s="264">
        <f>(DL101&gt;0)*DL101</f>
        <v/>
      </c>
      <c r="DM110" s="264">
        <f>(DM101&gt;0)*DM101</f>
        <v/>
      </c>
      <c r="DN110" s="264">
        <f>(DN101&gt;0)*DN101</f>
        <v/>
      </c>
      <c r="DO110" s="264">
        <f>(DO101&gt;0)*DO101</f>
        <v/>
      </c>
      <c r="DP110" s="264">
        <f>(DP101&gt;0)*DP101</f>
        <v/>
      </c>
      <c r="DQ110" s="264">
        <f>(DQ101&gt;0)*DQ101</f>
        <v/>
      </c>
      <c r="DR110" s="264">
        <f>(DR101&gt;0)*DR101</f>
        <v/>
      </c>
      <c r="DS110" s="264">
        <f>(DS101&gt;0)*DS101</f>
        <v/>
      </c>
      <c r="DT110" s="264">
        <f>(DT101&gt;0)*DT101</f>
        <v/>
      </c>
      <c r="DU110" s="264">
        <f>(DU101&gt;0)*DU101</f>
        <v/>
      </c>
      <c r="DV110" s="264">
        <f>(DV101&gt;0)*DV101</f>
        <v/>
      </c>
      <c r="DW110" s="264">
        <f>(DW101&gt;0)*DW101</f>
        <v/>
      </c>
      <c r="DX110" s="264">
        <f>(DX101&gt;0)*DX101</f>
        <v/>
      </c>
      <c r="DY110" s="264">
        <f>(DY101&gt;0)*DY101</f>
        <v/>
      </c>
      <c r="DZ110" s="264">
        <f>(DZ101&gt;0)*DZ101</f>
        <v/>
      </c>
      <c r="EA110" s="264">
        <f>(EA101&gt;0)*EA101</f>
        <v/>
      </c>
      <c r="EB110" s="264">
        <f>(EB101&gt;0)*EB101</f>
        <v/>
      </c>
      <c r="EC110" s="264">
        <f>(EC101&gt;0)*EC101</f>
        <v/>
      </c>
      <c r="ED110" s="264">
        <f>(ED101&gt;0)*ED101</f>
        <v/>
      </c>
      <c r="EE110" s="264">
        <f>(EE101&gt;0)*EE101</f>
        <v/>
      </c>
      <c r="EF110" s="264">
        <f>(EF101&gt;0)*EF101</f>
        <v/>
      </c>
      <c r="EG110" s="264">
        <f>(EG101&gt;0)*EG101</f>
        <v/>
      </c>
      <c r="EH110" s="264">
        <f>(EH101&gt;0)*EH101</f>
        <v/>
      </c>
      <c r="EI110" s="264">
        <f>(EI101&gt;0)*EI101</f>
        <v/>
      </c>
      <c r="EJ110" s="264">
        <f>(EJ101&gt;0)*EJ101</f>
        <v/>
      </c>
      <c r="EK110" s="264">
        <f>(EK101&gt;0)*EK101</f>
        <v/>
      </c>
      <c r="EL110" s="264">
        <f>(EL101&gt;0)*EL101</f>
        <v/>
      </c>
      <c r="EM110" s="264">
        <f>(EM101&gt;0)*EM101</f>
        <v/>
      </c>
      <c r="EN110" s="264">
        <f>(EN101&gt;0)*EN101</f>
        <v/>
      </c>
      <c r="EO110" s="264">
        <f>(EO101&gt;0)*EO101</f>
        <v/>
      </c>
      <c r="EP110" s="264">
        <f>(EP101&gt;0)*EP101</f>
        <v/>
      </c>
      <c r="EQ110" s="264">
        <f>(EQ101&gt;0)*EQ101</f>
        <v/>
      </c>
      <c r="ER110" s="264">
        <f>(ER101&gt;0)*ER101</f>
        <v/>
      </c>
      <c r="ES110" s="264">
        <f>(ES101&gt;0)*ES101</f>
        <v/>
      </c>
      <c r="ET110" s="264">
        <f>(ET101&gt;0)*ET101</f>
        <v/>
      </c>
      <c r="EU110" s="264">
        <f>(EU101&gt;0)*EU101</f>
        <v/>
      </c>
      <c r="EV110" s="264">
        <f>(EV101&gt;0)*EV101</f>
        <v/>
      </c>
      <c r="EW110" s="264">
        <f>(EW101&gt;0)*EW101</f>
        <v/>
      </c>
      <c r="EX110" s="264">
        <f>(EX101&gt;0)*EX101</f>
        <v/>
      </c>
    </row>
    <row r="111">
      <c r="J111" s="16" t="n"/>
      <c r="K111" s="16" t="n"/>
      <c r="L111" s="14" t="n"/>
      <c r="M111" s="201" t="n"/>
      <c r="N111" s="140" t="n"/>
      <c r="O111" s="139" t="n"/>
      <c r="P111" s="139" t="n"/>
      <c r="Q111" s="139" t="n"/>
      <c r="R111" s="139" t="n"/>
      <c r="S111" s="139" t="n"/>
      <c r="T111" s="139" t="n"/>
      <c r="U111" s="140" t="n"/>
      <c r="V111" s="264" t="n"/>
      <c r="W111" s="345" t="n"/>
      <c r="X111" s="345" t="n"/>
      <c r="Y111" s="345" t="n"/>
      <c r="Z111" s="345" t="n"/>
      <c r="AA111" s="345" t="n"/>
      <c r="AB111" s="345" t="n"/>
      <c r="AC111" s="345" t="n"/>
      <c r="AD111" s="345" t="n"/>
      <c r="AE111" s="345" t="n"/>
      <c r="AF111" s="345" t="n"/>
      <c r="AG111" s="345" t="n"/>
      <c r="AH111" s="345" t="n"/>
      <c r="AI111" s="345" t="n"/>
      <c r="AJ111" s="345" t="n"/>
      <c r="AK111" s="345" t="n"/>
      <c r="AL111" s="345" t="n"/>
      <c r="AM111" s="345" t="n"/>
      <c r="AN111" s="345" t="n"/>
      <c r="AO111" s="345" t="n"/>
      <c r="AP111" s="345" t="n"/>
      <c r="AQ111" s="345" t="n"/>
      <c r="AR111" s="345" t="n"/>
      <c r="AS111" s="345" t="n"/>
      <c r="AT111" s="345" t="n"/>
      <c r="AU111" s="345" t="n"/>
      <c r="AV111" s="345" t="n"/>
      <c r="AW111" s="345" t="n"/>
      <c r="AX111" s="345" t="n"/>
      <c r="AY111" s="345" t="n"/>
      <c r="AZ111" s="345" t="n"/>
      <c r="BA111" s="345" t="n"/>
      <c r="BB111" s="345" t="n"/>
      <c r="BC111" s="345" t="n"/>
      <c r="BD111" s="345" t="n"/>
      <c r="BE111" s="345" t="n"/>
      <c r="BF111" s="345" t="n"/>
      <c r="BG111" s="345" t="n"/>
      <c r="BH111" s="345" t="n"/>
      <c r="BI111" s="345" t="n"/>
      <c r="BJ111" s="345" t="n"/>
      <c r="BK111" s="345" t="n"/>
      <c r="BL111" s="345" t="n"/>
      <c r="BM111" s="345" t="n"/>
      <c r="BN111" s="345" t="n"/>
      <c r="BO111" s="345" t="n"/>
      <c r="BP111" s="345" t="n"/>
      <c r="BQ111" s="345" t="n"/>
      <c r="BR111" s="345" t="n"/>
      <c r="BS111" s="345" t="n"/>
      <c r="BT111" s="345" t="n"/>
      <c r="BU111" s="345" t="n"/>
      <c r="BV111" s="345" t="n"/>
      <c r="BW111" s="345" t="n"/>
      <c r="BX111" s="345" t="n"/>
      <c r="BY111" s="345" t="n"/>
      <c r="BZ111" s="345" t="n"/>
      <c r="CA111" s="345" t="n"/>
      <c r="CB111" s="345" t="n"/>
      <c r="CC111" s="345" t="n"/>
      <c r="CD111" s="345" t="n"/>
      <c r="CE111" s="345" t="n"/>
      <c r="CF111" s="345" t="n"/>
      <c r="CG111" s="345" t="n"/>
      <c r="CH111" s="345" t="n"/>
      <c r="CI111" s="345" t="n"/>
      <c r="CJ111" s="345" t="n"/>
      <c r="CK111" s="345" t="n"/>
      <c r="CL111" s="345" t="n"/>
      <c r="CM111" s="345" t="n"/>
      <c r="CN111" s="345" t="n"/>
      <c r="CO111" s="345" t="n"/>
      <c r="CP111" s="345" t="n"/>
      <c r="CQ111" s="345" t="n"/>
      <c r="CR111" s="345" t="n"/>
      <c r="CS111" s="345" t="n"/>
      <c r="CT111" s="345" t="n"/>
      <c r="CU111" s="345" t="n"/>
      <c r="CV111" s="345" t="n"/>
      <c r="CW111" s="345" t="n"/>
      <c r="CX111" s="345" t="n"/>
      <c r="CY111" s="345" t="n"/>
      <c r="CZ111" s="345" t="n"/>
      <c r="DA111" s="345" t="n"/>
      <c r="DB111" s="345" t="n"/>
      <c r="DC111" s="345" t="n"/>
      <c r="DD111" s="345" t="n"/>
      <c r="DE111" s="345" t="n"/>
      <c r="DF111" s="345" t="n"/>
      <c r="DG111" s="345" t="n"/>
      <c r="DH111" s="345" t="n"/>
      <c r="DI111" s="345" t="n"/>
      <c r="DJ111" s="345" t="n"/>
      <c r="DK111" s="345" t="n"/>
      <c r="DL111" s="345" t="n"/>
      <c r="DM111" s="345" t="n"/>
      <c r="DN111" s="345" t="n"/>
      <c r="DO111" s="345" t="n"/>
      <c r="DP111" s="345" t="n"/>
      <c r="DQ111" s="345" t="n"/>
      <c r="DR111" s="345" t="n"/>
      <c r="DS111" s="345" t="n"/>
      <c r="DT111" s="345" t="n"/>
      <c r="DU111" s="345" t="n"/>
      <c r="DV111" s="345" t="n"/>
      <c r="DW111" s="345" t="n"/>
      <c r="DX111" s="345" t="n"/>
      <c r="DY111" s="345" t="n"/>
      <c r="DZ111" s="345" t="n"/>
      <c r="EA111" s="345" t="n"/>
      <c r="EB111" s="345" t="n"/>
      <c r="EC111" s="345" t="n"/>
      <c r="ED111" s="345" t="n"/>
      <c r="EE111" s="345" t="n"/>
      <c r="EF111" s="345" t="n"/>
      <c r="EG111" s="345" t="n"/>
      <c r="EH111" s="345" t="n"/>
      <c r="EI111" s="345" t="n"/>
      <c r="EJ111" s="345" t="n"/>
      <c r="EK111" s="345" t="n"/>
      <c r="EL111" s="345" t="n"/>
      <c r="EM111" s="345" t="n"/>
      <c r="EN111" s="345" t="n"/>
      <c r="EO111" s="345" t="n"/>
      <c r="EP111" s="345" t="n"/>
      <c r="EQ111" s="345" t="n"/>
      <c r="ER111" s="345" t="n"/>
      <c r="ES111" s="345" t="n"/>
      <c r="ET111" s="345" t="n"/>
      <c r="EU111" s="345" t="n"/>
      <c r="EV111" s="345" t="n"/>
      <c r="EW111" s="345" t="n"/>
      <c r="EX111" s="345" t="n"/>
    </row>
    <row r="112" ht="15.75" customHeight="1">
      <c r="J112" s="142" t="inlineStr">
        <is>
          <t>Aequitas Investments</t>
        </is>
      </c>
      <c r="K112" s="143" t="n"/>
      <c r="L112" s="143" t="n"/>
      <c r="M112" s="147" t="n"/>
      <c r="N112" s="143" t="n"/>
      <c r="O112" s="143" t="n"/>
      <c r="P112" s="143" t="n"/>
      <c r="Q112" s="143" t="n"/>
      <c r="R112" s="143" t="n"/>
      <c r="S112" s="143" t="n"/>
      <c r="T112" s="143" t="n"/>
      <c r="U112" s="143" t="n"/>
      <c r="V112" s="143" t="n"/>
      <c r="W112" s="143" t="n"/>
      <c r="X112" s="143" t="n"/>
      <c r="Y112" s="143" t="n"/>
      <c r="Z112" s="143" t="n"/>
      <c r="AA112" s="143" t="n"/>
      <c r="AB112" s="143" t="n"/>
      <c r="AC112" s="143" t="n"/>
      <c r="AD112" s="143" t="n"/>
      <c r="AE112" s="143" t="n"/>
      <c r="AF112" s="143" t="n"/>
      <c r="AG112" s="143" t="n"/>
      <c r="AH112" s="143" t="n"/>
      <c r="AI112" s="143" t="n"/>
      <c r="AJ112" s="143" t="n"/>
      <c r="AK112" s="143" t="n"/>
      <c r="AL112" s="143" t="n"/>
      <c r="AM112" s="143" t="n"/>
      <c r="AN112" s="143" t="n"/>
      <c r="AO112" s="143" t="n"/>
      <c r="AP112" s="143" t="n"/>
      <c r="AQ112" s="143" t="n"/>
      <c r="AR112" s="143" t="n"/>
      <c r="AS112" s="143" t="n"/>
      <c r="AT112" s="143" t="n"/>
      <c r="AU112" s="143" t="n"/>
      <c r="AV112" s="143" t="n"/>
      <c r="AW112" s="143" t="n"/>
      <c r="AX112" s="143" t="n"/>
      <c r="AY112" s="143" t="n"/>
      <c r="AZ112" s="143" t="n"/>
      <c r="BA112" s="143" t="n"/>
      <c r="BB112" s="143" t="n"/>
      <c r="BC112" s="143" t="n"/>
      <c r="BD112" s="143" t="n"/>
      <c r="BE112" s="143" t="n"/>
      <c r="BF112" s="143" t="n"/>
      <c r="BG112" s="143" t="n"/>
      <c r="BH112" s="143" t="n"/>
      <c r="BI112" s="143" t="n"/>
      <c r="BJ112" s="143" t="n"/>
      <c r="BK112" s="143" t="n"/>
      <c r="BL112" s="143" t="n"/>
      <c r="BM112" s="143" t="n"/>
      <c r="BN112" s="143" t="n"/>
      <c r="BO112" s="143" t="n"/>
      <c r="BP112" s="143" t="n"/>
      <c r="BQ112" s="143" t="n"/>
      <c r="BR112" s="143" t="n"/>
      <c r="BS112" s="143" t="n"/>
      <c r="BT112" s="143" t="n"/>
      <c r="BU112" s="143" t="n"/>
      <c r="BV112" s="143" t="n"/>
      <c r="BW112" s="143" t="n"/>
      <c r="BX112" s="143" t="n"/>
      <c r="BY112" s="143" t="n"/>
      <c r="BZ112" s="143" t="n"/>
      <c r="CA112" s="143" t="n"/>
      <c r="CB112" s="143" t="n"/>
      <c r="CC112" s="143" t="n"/>
      <c r="CD112" s="143" t="n"/>
      <c r="CE112" s="143" t="n"/>
      <c r="CF112" s="143" t="n"/>
      <c r="CG112" s="143" t="n"/>
      <c r="CH112" s="143" t="n"/>
      <c r="CI112" s="143" t="n"/>
      <c r="CJ112" s="143" t="n"/>
      <c r="CK112" s="143" t="n"/>
      <c r="CL112" s="143" t="n"/>
      <c r="CM112" s="143" t="n"/>
      <c r="CN112" s="143" t="n"/>
      <c r="CO112" s="143" t="n"/>
      <c r="CP112" s="143" t="n"/>
      <c r="CQ112" s="143" t="n"/>
      <c r="CR112" s="143" t="n"/>
      <c r="CS112" s="143" t="n"/>
      <c r="CT112" s="143" t="n"/>
      <c r="CU112" s="143" t="n"/>
      <c r="CV112" s="143" t="n"/>
      <c r="CW112" s="143" t="n"/>
      <c r="CX112" s="143" t="n"/>
      <c r="CY112" s="143" t="n"/>
      <c r="CZ112" s="143" t="n"/>
      <c r="DA112" s="143" t="n"/>
      <c r="DB112" s="143" t="n"/>
      <c r="DC112" s="143" t="n"/>
      <c r="DD112" s="143" t="n"/>
      <c r="DE112" s="143" t="n"/>
      <c r="DF112" s="143" t="n"/>
      <c r="DG112" s="143" t="n"/>
      <c r="DH112" s="143" t="n"/>
      <c r="DI112" s="143" t="n"/>
      <c r="DJ112" s="143" t="n"/>
      <c r="DK112" s="143" t="n"/>
      <c r="DL112" s="143" t="n"/>
      <c r="DM112" s="143" t="n"/>
      <c r="DN112" s="143" t="n"/>
      <c r="DO112" s="143" t="n"/>
      <c r="DP112" s="143" t="n"/>
      <c r="DQ112" s="143" t="n"/>
      <c r="DR112" s="143" t="n"/>
      <c r="DS112" s="143" t="n"/>
      <c r="DT112" s="143" t="n"/>
      <c r="DU112" s="143" t="n"/>
      <c r="DV112" s="143" t="n"/>
      <c r="DW112" s="143" t="n"/>
      <c r="DX112" s="143" t="n"/>
      <c r="DY112" s="143" t="n"/>
      <c r="DZ112" s="143" t="n"/>
      <c r="EA112" s="143" t="n"/>
      <c r="EB112" s="143" t="n"/>
      <c r="EC112" s="143" t="n"/>
      <c r="ED112" s="143" t="n"/>
      <c r="EE112" s="143" t="n"/>
      <c r="EF112" s="143" t="n"/>
      <c r="EG112" s="143" t="n"/>
      <c r="EH112" s="143" t="n"/>
      <c r="EI112" s="143" t="n"/>
      <c r="EJ112" s="143" t="n"/>
      <c r="EK112" s="143" t="n"/>
      <c r="EL112" s="143" t="n"/>
      <c r="EM112" s="143" t="n"/>
      <c r="EN112" s="143" t="n"/>
      <c r="EO112" s="143" t="n"/>
      <c r="EP112" s="143" t="n"/>
      <c r="EQ112" s="143" t="n"/>
      <c r="ER112" s="143" t="n"/>
      <c r="ES112" s="143" t="n"/>
      <c r="ET112" s="143" t="n"/>
      <c r="EU112" s="143" t="n"/>
      <c r="EV112" s="143" t="n"/>
      <c r="EW112" s="143" t="n"/>
      <c r="EX112" s="143" t="n"/>
    </row>
    <row r="113" ht="16.5" customHeight="1">
      <c r="J113" s="144" t="inlineStr">
        <is>
          <t>Contributions</t>
        </is>
      </c>
      <c r="K113" s="145" t="n"/>
      <c r="L113" s="146" t="n"/>
      <c r="M113" s="144">
        <f>SUMIF($V$4:$EX$4,"&lt;="&amp;$H$19,$V113:$EX113)</f>
        <v/>
      </c>
      <c r="N113" s="147" t="n"/>
      <c r="O113" s="144">
        <f>SUMIF($V$5:$EX$5,O$7,$V113:$EX113)</f>
        <v/>
      </c>
      <c r="P113" s="144">
        <f>SUMIF($V$5:$EX$5,P$7,$V113:$EX113)</f>
        <v/>
      </c>
      <c r="Q113" s="144">
        <f>SUMIF($V$5:$EX$5,Q$7,$V113:$EX113)</f>
        <v/>
      </c>
      <c r="R113" s="144">
        <f>SUMIF($V$5:$EX$5,R$7,$V113:$EX113)</f>
        <v/>
      </c>
      <c r="S113" s="144">
        <f>SUMIF($V$5:$EX$5,S$7,$V113:$EX113)</f>
        <v/>
      </c>
      <c r="T113" s="144">
        <f>SUMIF($V$5:$EX$5,T$7,$V113:$EX113)</f>
        <v/>
      </c>
      <c r="U113" s="147" t="n"/>
      <c r="V113" s="147">
        <f>V109*$G$8</f>
        <v/>
      </c>
      <c r="W113" s="147">
        <f>W109*$G$8</f>
        <v/>
      </c>
      <c r="X113" s="147">
        <f>X109*$G$8</f>
        <v/>
      </c>
      <c r="Y113" s="147">
        <f>Y109*$G$8</f>
        <v/>
      </c>
      <c r="Z113" s="147">
        <f>Z109*$G$8</f>
        <v/>
      </c>
      <c r="AA113" s="147">
        <f>AA109*$G$8</f>
        <v/>
      </c>
      <c r="AB113" s="147">
        <f>AB109*$G$8</f>
        <v/>
      </c>
      <c r="AC113" s="147">
        <f>AC109*$G$8</f>
        <v/>
      </c>
      <c r="AD113" s="147">
        <f>AD109*$G$8</f>
        <v/>
      </c>
      <c r="AE113" s="147">
        <f>AE109*$G$8</f>
        <v/>
      </c>
      <c r="AF113" s="147">
        <f>AF109*$G$8</f>
        <v/>
      </c>
      <c r="AG113" s="147">
        <f>AG109*$G$8</f>
        <v/>
      </c>
      <c r="AH113" s="147">
        <f>AH109*$G$8</f>
        <v/>
      </c>
      <c r="AI113" s="147">
        <f>AI109*$G$8</f>
        <v/>
      </c>
      <c r="AJ113" s="147">
        <f>AJ109*$G$8</f>
        <v/>
      </c>
      <c r="AK113" s="147">
        <f>AK109*$G$8</f>
        <v/>
      </c>
      <c r="AL113" s="147">
        <f>AL109*$G$8</f>
        <v/>
      </c>
      <c r="AM113" s="147">
        <f>AM109*$G$8</f>
        <v/>
      </c>
      <c r="AN113" s="147">
        <f>AN109*$G$8</f>
        <v/>
      </c>
      <c r="AO113" s="147">
        <f>AO109*$G$8</f>
        <v/>
      </c>
      <c r="AP113" s="147">
        <f>AP109*$G$8</f>
        <v/>
      </c>
      <c r="AQ113" s="147">
        <f>AQ109*$G$8</f>
        <v/>
      </c>
      <c r="AR113" s="147">
        <f>AR109*$G$8</f>
        <v/>
      </c>
      <c r="AS113" s="147">
        <f>AS109*$G$8</f>
        <v/>
      </c>
      <c r="AT113" s="147">
        <f>AT109*$G$8</f>
        <v/>
      </c>
      <c r="AU113" s="147">
        <f>AU109*$G$8</f>
        <v/>
      </c>
      <c r="AV113" s="147">
        <f>AV109*$G$8</f>
        <v/>
      </c>
      <c r="AW113" s="147">
        <f>AW109*$G$8</f>
        <v/>
      </c>
      <c r="AX113" s="147">
        <f>AX109*$G$8</f>
        <v/>
      </c>
      <c r="AY113" s="147">
        <f>AY109*$G$8</f>
        <v/>
      </c>
      <c r="AZ113" s="147">
        <f>AZ109*$G$8</f>
        <v/>
      </c>
      <c r="BA113" s="147">
        <f>BA109*$G$8</f>
        <v/>
      </c>
      <c r="BB113" s="147">
        <f>BB109*$G$8</f>
        <v/>
      </c>
      <c r="BC113" s="147">
        <f>BC109*$G$8</f>
        <v/>
      </c>
      <c r="BD113" s="147">
        <f>BD109*$G$8</f>
        <v/>
      </c>
      <c r="BE113" s="147">
        <f>BE109*$G$8</f>
        <v/>
      </c>
      <c r="BF113" s="147">
        <f>BF109*$G$8</f>
        <v/>
      </c>
      <c r="BG113" s="147">
        <f>BG109*$G$8</f>
        <v/>
      </c>
      <c r="BH113" s="147">
        <f>BH109*$G$8</f>
        <v/>
      </c>
      <c r="BI113" s="147">
        <f>BI109*$G$8</f>
        <v/>
      </c>
      <c r="BJ113" s="147">
        <f>BJ109*$G$8</f>
        <v/>
      </c>
      <c r="BK113" s="147">
        <f>BK109*$G$8</f>
        <v/>
      </c>
      <c r="BL113" s="147">
        <f>BL109*$G$8</f>
        <v/>
      </c>
      <c r="BM113" s="147">
        <f>BM109*$G$8</f>
        <v/>
      </c>
      <c r="BN113" s="147">
        <f>BN109*$G$8</f>
        <v/>
      </c>
      <c r="BO113" s="147">
        <f>BO109*$G$8</f>
        <v/>
      </c>
      <c r="BP113" s="147">
        <f>BP109*$G$8</f>
        <v/>
      </c>
      <c r="BQ113" s="147">
        <f>BQ109*$G$8</f>
        <v/>
      </c>
      <c r="BR113" s="147">
        <f>BR109*$G$8</f>
        <v/>
      </c>
      <c r="BS113" s="147">
        <f>BS109*$G$8</f>
        <v/>
      </c>
      <c r="BT113" s="147">
        <f>BT109*$G$8</f>
        <v/>
      </c>
      <c r="BU113" s="147">
        <f>BU109*$G$8</f>
        <v/>
      </c>
      <c r="BV113" s="147">
        <f>BV109*$G$8</f>
        <v/>
      </c>
      <c r="BW113" s="147">
        <f>BW109*$G$8</f>
        <v/>
      </c>
      <c r="BX113" s="147">
        <f>BX109*$G$8</f>
        <v/>
      </c>
      <c r="BY113" s="147">
        <f>BY109*$G$8</f>
        <v/>
      </c>
      <c r="BZ113" s="147">
        <f>BZ109*$G$8</f>
        <v/>
      </c>
      <c r="CA113" s="147">
        <f>CA109*$G$8</f>
        <v/>
      </c>
      <c r="CB113" s="147">
        <f>CB109*$G$8</f>
        <v/>
      </c>
      <c r="CC113" s="147">
        <f>CC109*$G$8</f>
        <v/>
      </c>
      <c r="CD113" s="147">
        <f>CD109*$G$8</f>
        <v/>
      </c>
      <c r="CE113" s="147">
        <f>CE109*$G$8</f>
        <v/>
      </c>
      <c r="CF113" s="147">
        <f>CF109*$G$8</f>
        <v/>
      </c>
      <c r="CG113" s="147">
        <f>CG109*$G$8</f>
        <v/>
      </c>
      <c r="CH113" s="147">
        <f>CH109*$G$8</f>
        <v/>
      </c>
      <c r="CI113" s="147">
        <f>CI109*$G$8</f>
        <v/>
      </c>
      <c r="CJ113" s="147">
        <f>CJ109*$G$8</f>
        <v/>
      </c>
      <c r="CK113" s="147">
        <f>CK109*$G$8</f>
        <v/>
      </c>
      <c r="CL113" s="147">
        <f>CL109*$G$8</f>
        <v/>
      </c>
      <c r="CM113" s="147">
        <f>CM109*$G$8</f>
        <v/>
      </c>
      <c r="CN113" s="147">
        <f>CN109*$G$8</f>
        <v/>
      </c>
      <c r="CO113" s="147">
        <f>CO109*$G$8</f>
        <v/>
      </c>
      <c r="CP113" s="147">
        <f>CP109*$G$8</f>
        <v/>
      </c>
      <c r="CQ113" s="147">
        <f>CQ109*$G$8</f>
        <v/>
      </c>
      <c r="CR113" s="147">
        <f>CR109*$G$8</f>
        <v/>
      </c>
      <c r="CS113" s="147">
        <f>CS109*$G$8</f>
        <v/>
      </c>
      <c r="CT113" s="147">
        <f>CT109*$G$8</f>
        <v/>
      </c>
      <c r="CU113" s="147">
        <f>CU109*$G$8</f>
        <v/>
      </c>
      <c r="CV113" s="147">
        <f>CV109*$G$8</f>
        <v/>
      </c>
      <c r="CW113" s="147">
        <f>CW109*$G$8</f>
        <v/>
      </c>
      <c r="CX113" s="147">
        <f>CX109*$G$8</f>
        <v/>
      </c>
      <c r="CY113" s="147">
        <f>CY109*$G$8</f>
        <v/>
      </c>
      <c r="CZ113" s="147">
        <f>CZ109*$G$8</f>
        <v/>
      </c>
      <c r="DA113" s="147">
        <f>DA109*$G$8</f>
        <v/>
      </c>
      <c r="DB113" s="147">
        <f>DB109*$G$8</f>
        <v/>
      </c>
      <c r="DC113" s="147">
        <f>DC109*$G$8</f>
        <v/>
      </c>
      <c r="DD113" s="147">
        <f>DD109*$G$8</f>
        <v/>
      </c>
      <c r="DE113" s="147">
        <f>DE109*$G$8</f>
        <v/>
      </c>
      <c r="DF113" s="147">
        <f>DF109*$G$8</f>
        <v/>
      </c>
      <c r="DG113" s="147">
        <f>DG109*$G$8</f>
        <v/>
      </c>
      <c r="DH113" s="147">
        <f>DH109*$G$8</f>
        <v/>
      </c>
      <c r="DI113" s="147">
        <f>DI109*$G$8</f>
        <v/>
      </c>
      <c r="DJ113" s="147">
        <f>DJ109*$G$8</f>
        <v/>
      </c>
      <c r="DK113" s="147">
        <f>DK109*$G$8</f>
        <v/>
      </c>
      <c r="DL113" s="147">
        <f>DL109*$G$8</f>
        <v/>
      </c>
      <c r="DM113" s="147">
        <f>DM109*$G$8</f>
        <v/>
      </c>
      <c r="DN113" s="147">
        <f>DN109*$G$8</f>
        <v/>
      </c>
      <c r="DO113" s="147">
        <f>DO109*$G$8</f>
        <v/>
      </c>
      <c r="DP113" s="147">
        <f>DP109*$G$8</f>
        <v/>
      </c>
      <c r="DQ113" s="147">
        <f>DQ109*$G$8</f>
        <v/>
      </c>
      <c r="DR113" s="147">
        <f>DR109*$G$8</f>
        <v/>
      </c>
      <c r="DS113" s="147">
        <f>DS109*$G$8</f>
        <v/>
      </c>
      <c r="DT113" s="147">
        <f>DT109*$G$8</f>
        <v/>
      </c>
      <c r="DU113" s="147">
        <f>DU109*$G$8</f>
        <v/>
      </c>
      <c r="DV113" s="147">
        <f>DV109*$G$8</f>
        <v/>
      </c>
      <c r="DW113" s="147">
        <f>DW109*$G$8</f>
        <v/>
      </c>
      <c r="DX113" s="147">
        <f>DX109*$G$8</f>
        <v/>
      </c>
      <c r="DY113" s="147">
        <f>DY109*$G$8</f>
        <v/>
      </c>
      <c r="DZ113" s="147">
        <f>DZ109*$G$8</f>
        <v/>
      </c>
      <c r="EA113" s="147">
        <f>EA109*$G$8</f>
        <v/>
      </c>
      <c r="EB113" s="147">
        <f>EB109*$G$8</f>
        <v/>
      </c>
      <c r="EC113" s="147">
        <f>EC109*$G$8</f>
        <v/>
      </c>
      <c r="ED113" s="147">
        <f>ED109*$G$8</f>
        <v/>
      </c>
      <c r="EE113" s="147">
        <f>EE109*$G$8</f>
        <v/>
      </c>
      <c r="EF113" s="147">
        <f>EF109*$G$8</f>
        <v/>
      </c>
      <c r="EG113" s="147">
        <f>EG109*$G$8</f>
        <v/>
      </c>
      <c r="EH113" s="147">
        <f>EH109*$G$8</f>
        <v/>
      </c>
      <c r="EI113" s="147">
        <f>EI109*$G$8</f>
        <v/>
      </c>
      <c r="EJ113" s="147">
        <f>EJ109*$G$8</f>
        <v/>
      </c>
      <c r="EK113" s="147">
        <f>EK109*$G$8</f>
        <v/>
      </c>
      <c r="EL113" s="147">
        <f>EL109*$G$8</f>
        <v/>
      </c>
      <c r="EM113" s="147">
        <f>EM109*$G$8</f>
        <v/>
      </c>
      <c r="EN113" s="147">
        <f>EN109*$G$8</f>
        <v/>
      </c>
      <c r="EO113" s="147">
        <f>EO109*$G$8</f>
        <v/>
      </c>
      <c r="EP113" s="147">
        <f>EP109*$G$8</f>
        <v/>
      </c>
      <c r="EQ113" s="147">
        <f>EQ109*$G$8</f>
        <v/>
      </c>
      <c r="ER113" s="147">
        <f>ER109*$G$8</f>
        <v/>
      </c>
      <c r="ES113" s="147">
        <f>ES109*$G$8</f>
        <v/>
      </c>
      <c r="ET113" s="147">
        <f>ET109*$G$8</f>
        <v/>
      </c>
      <c r="EU113" s="147">
        <f>EU109*$G$8</f>
        <v/>
      </c>
      <c r="EV113" s="147">
        <f>EV109*$G$8</f>
        <v/>
      </c>
      <c r="EW113" s="147">
        <f>EW109*$G$8</f>
        <v/>
      </c>
      <c r="EX113" s="147">
        <f>EX109*$G$8</f>
        <v/>
      </c>
    </row>
    <row r="114" ht="16.5" customHeight="1">
      <c r="J114" s="144" t="inlineStr">
        <is>
          <t>Distribution</t>
        </is>
      </c>
      <c r="K114" s="145" t="n"/>
      <c r="L114" s="146" t="n"/>
      <c r="M114" s="144">
        <f>SUMIF($V$4:$EX$4,"&lt;="&amp;$H$19,$V114:$EX114)</f>
        <v/>
      </c>
      <c r="N114" s="147" t="n"/>
      <c r="O114" s="144">
        <f>SUMIF($V$5:$EX$5,O$7,$V114:$EX114)</f>
        <v/>
      </c>
      <c r="P114" s="144">
        <f>SUMIF($V$5:$EX$5,P$7,$V114:$EX114)</f>
        <v/>
      </c>
      <c r="Q114" s="144">
        <f>SUMIF($V$5:$EX$5,Q$7,$V114:$EX114)</f>
        <v/>
      </c>
      <c r="R114" s="144">
        <f>SUMIF($V$5:$EX$5,R$7,$V114:$EX114)</f>
        <v/>
      </c>
      <c r="S114" s="144">
        <f>SUMIF($V$5:$EX$5,S$7,$V114:$EX114)</f>
        <v/>
      </c>
      <c r="T114" s="144">
        <f>SUMIF($V$5:$EX$5,T$7,$V114:$EX114)</f>
        <v/>
      </c>
      <c r="U114" s="147" t="n"/>
      <c r="V114" s="147">
        <f>V110*$G$8</f>
        <v/>
      </c>
      <c r="W114" s="147">
        <f>W110*$G$8</f>
        <v/>
      </c>
      <c r="X114" s="147">
        <f>X110*$G$8</f>
        <v/>
      </c>
      <c r="Y114" s="147">
        <f>Y110*$G$8</f>
        <v/>
      </c>
      <c r="Z114" s="147">
        <f>Z110*$G$8</f>
        <v/>
      </c>
      <c r="AA114" s="147">
        <f>AA110*$G$8</f>
        <v/>
      </c>
      <c r="AB114" s="147">
        <f>AB110*$G$8</f>
        <v/>
      </c>
      <c r="AC114" s="147">
        <f>AC110*$G$8</f>
        <v/>
      </c>
      <c r="AD114" s="147">
        <f>AD110*$G$8</f>
        <v/>
      </c>
      <c r="AE114" s="147">
        <f>AE110*$G$8</f>
        <v/>
      </c>
      <c r="AF114" s="147">
        <f>AF110*$G$8</f>
        <v/>
      </c>
      <c r="AG114" s="147">
        <f>AG110*$G$8</f>
        <v/>
      </c>
      <c r="AH114" s="147">
        <f>AH110*$G$8</f>
        <v/>
      </c>
      <c r="AI114" s="147">
        <f>AI110*$G$8</f>
        <v/>
      </c>
      <c r="AJ114" s="147">
        <f>AJ110*$G$8</f>
        <v/>
      </c>
      <c r="AK114" s="147">
        <f>AK110*$G$8</f>
        <v/>
      </c>
      <c r="AL114" s="147">
        <f>AL110*$G$8</f>
        <v/>
      </c>
      <c r="AM114" s="147">
        <f>AM110*$G$8</f>
        <v/>
      </c>
      <c r="AN114" s="147">
        <f>AN110*$G$8</f>
        <v/>
      </c>
      <c r="AO114" s="147">
        <f>AO110*$G$8</f>
        <v/>
      </c>
      <c r="AP114" s="147">
        <f>AP110*$G$8</f>
        <v/>
      </c>
      <c r="AQ114" s="147">
        <f>AQ110*$G$8</f>
        <v/>
      </c>
      <c r="AR114" s="147">
        <f>AR110*$G$8</f>
        <v/>
      </c>
      <c r="AS114" s="147">
        <f>AS110*$G$8</f>
        <v/>
      </c>
      <c r="AT114" s="147">
        <f>AT110*$G$8</f>
        <v/>
      </c>
      <c r="AU114" s="147">
        <f>AU110*$G$8</f>
        <v/>
      </c>
      <c r="AV114" s="147">
        <f>AV110*$G$8</f>
        <v/>
      </c>
      <c r="AW114" s="147">
        <f>AW110*$G$8</f>
        <v/>
      </c>
      <c r="AX114" s="147">
        <f>AX110*$G$8</f>
        <v/>
      </c>
      <c r="AY114" s="147">
        <f>AY110*$G$8</f>
        <v/>
      </c>
      <c r="AZ114" s="147">
        <f>AZ110*$G$8</f>
        <v/>
      </c>
      <c r="BA114" s="147">
        <f>BA110*$G$8</f>
        <v/>
      </c>
      <c r="BB114" s="147">
        <f>BB110*$G$8</f>
        <v/>
      </c>
      <c r="BC114" s="147">
        <f>BC110*$G$8</f>
        <v/>
      </c>
      <c r="BD114" s="147">
        <f>BD110*$G$8</f>
        <v/>
      </c>
      <c r="BE114" s="147">
        <f>BE110*$G$8</f>
        <v/>
      </c>
      <c r="BF114" s="147">
        <f>BF110*$G$8</f>
        <v/>
      </c>
      <c r="BG114" s="147">
        <f>BG110*$G$8</f>
        <v/>
      </c>
      <c r="BH114" s="147">
        <f>BH110*$G$8</f>
        <v/>
      </c>
      <c r="BI114" s="147">
        <f>BI110*$G$8</f>
        <v/>
      </c>
      <c r="BJ114" s="147">
        <f>BJ110*$G$8</f>
        <v/>
      </c>
      <c r="BK114" s="147">
        <f>BK110*$G$8</f>
        <v/>
      </c>
      <c r="BL114" s="147">
        <f>BL110*$G$8</f>
        <v/>
      </c>
      <c r="BM114" s="147">
        <f>BM110*$G$8</f>
        <v/>
      </c>
      <c r="BN114" s="147">
        <f>BN110*$G$8</f>
        <v/>
      </c>
      <c r="BO114" s="147">
        <f>BO110*$G$8</f>
        <v/>
      </c>
      <c r="BP114" s="147">
        <f>BP110*$G$8</f>
        <v/>
      </c>
      <c r="BQ114" s="147">
        <f>BQ110*$G$8</f>
        <v/>
      </c>
      <c r="BR114" s="147">
        <f>BR110*$G$8</f>
        <v/>
      </c>
      <c r="BS114" s="147">
        <f>BS110*$G$8</f>
        <v/>
      </c>
      <c r="BT114" s="147">
        <f>BT110*$G$8</f>
        <v/>
      </c>
      <c r="BU114" s="147">
        <f>BU110*$G$8</f>
        <v/>
      </c>
      <c r="BV114" s="147">
        <f>BV110*$G$8</f>
        <v/>
      </c>
      <c r="BW114" s="147">
        <f>BW110*$G$8</f>
        <v/>
      </c>
      <c r="BX114" s="147">
        <f>BX110*$G$8</f>
        <v/>
      </c>
      <c r="BY114" s="147">
        <f>BY110*$G$8</f>
        <v/>
      </c>
      <c r="BZ114" s="147">
        <f>BZ110*$G$8</f>
        <v/>
      </c>
      <c r="CA114" s="147">
        <f>CA110*$G$8</f>
        <v/>
      </c>
      <c r="CB114" s="147">
        <f>CB110*$G$8</f>
        <v/>
      </c>
      <c r="CC114" s="147">
        <f>CC110*$G$8</f>
        <v/>
      </c>
      <c r="CD114" s="147">
        <f>CD110*$G$8</f>
        <v/>
      </c>
      <c r="CE114" s="147">
        <f>CE110*$G$8</f>
        <v/>
      </c>
      <c r="CF114" s="147">
        <f>CF110*$G$8</f>
        <v/>
      </c>
      <c r="CG114" s="147">
        <f>CG110*$G$8</f>
        <v/>
      </c>
      <c r="CH114" s="147">
        <f>CH110*$G$8</f>
        <v/>
      </c>
      <c r="CI114" s="147">
        <f>CI110*$G$8</f>
        <v/>
      </c>
      <c r="CJ114" s="147">
        <f>CJ110*$G$8</f>
        <v/>
      </c>
      <c r="CK114" s="147">
        <f>CK110*$G$8</f>
        <v/>
      </c>
      <c r="CL114" s="147">
        <f>CL110*$G$8</f>
        <v/>
      </c>
      <c r="CM114" s="147">
        <f>CM110*$G$8</f>
        <v/>
      </c>
      <c r="CN114" s="147">
        <f>CN110*$G$8</f>
        <v/>
      </c>
      <c r="CO114" s="147">
        <f>CO110*$G$8</f>
        <v/>
      </c>
      <c r="CP114" s="147">
        <f>CP110*$G$8</f>
        <v/>
      </c>
      <c r="CQ114" s="147">
        <f>CQ110*$G$8</f>
        <v/>
      </c>
      <c r="CR114" s="147">
        <f>CR110*$G$8</f>
        <v/>
      </c>
      <c r="CS114" s="147">
        <f>CS110*$G$8</f>
        <v/>
      </c>
      <c r="CT114" s="147">
        <f>CT110*$G$8</f>
        <v/>
      </c>
      <c r="CU114" s="147">
        <f>CU110*$G$8</f>
        <v/>
      </c>
      <c r="CV114" s="147">
        <f>CV110*$G$8</f>
        <v/>
      </c>
      <c r="CW114" s="147">
        <f>CW110*$G$8</f>
        <v/>
      </c>
      <c r="CX114" s="147">
        <f>CX110*$G$8</f>
        <v/>
      </c>
      <c r="CY114" s="147">
        <f>CY110*$G$8</f>
        <v/>
      </c>
      <c r="CZ114" s="147">
        <f>CZ110*$G$8</f>
        <v/>
      </c>
      <c r="DA114" s="147">
        <f>DA110*$G$8</f>
        <v/>
      </c>
      <c r="DB114" s="147">
        <f>DB110*$G$8</f>
        <v/>
      </c>
      <c r="DC114" s="147">
        <f>DC110*$G$8</f>
        <v/>
      </c>
      <c r="DD114" s="147">
        <f>DD110*$G$8</f>
        <v/>
      </c>
      <c r="DE114" s="147">
        <f>DE110*$G$8</f>
        <v/>
      </c>
      <c r="DF114" s="147">
        <f>DF110*$G$8</f>
        <v/>
      </c>
      <c r="DG114" s="147">
        <f>DG110*$G$8</f>
        <v/>
      </c>
      <c r="DH114" s="147">
        <f>DH110*$G$8</f>
        <v/>
      </c>
      <c r="DI114" s="147">
        <f>DI110*$G$8</f>
        <v/>
      </c>
      <c r="DJ114" s="147">
        <f>DJ110*$G$8</f>
        <v/>
      </c>
      <c r="DK114" s="147">
        <f>DK110*$G$8</f>
        <v/>
      </c>
      <c r="DL114" s="147">
        <f>DL110*$G$8</f>
        <v/>
      </c>
      <c r="DM114" s="147">
        <f>DM110*$G$8</f>
        <v/>
      </c>
      <c r="DN114" s="147">
        <f>DN110*$G$8</f>
        <v/>
      </c>
      <c r="DO114" s="147">
        <f>DO110*$G$8</f>
        <v/>
      </c>
      <c r="DP114" s="147">
        <f>DP110*$G$8</f>
        <v/>
      </c>
      <c r="DQ114" s="147">
        <f>DQ110*$G$8</f>
        <v/>
      </c>
      <c r="DR114" s="147">
        <f>DR110*$G$8</f>
        <v/>
      </c>
      <c r="DS114" s="147">
        <f>DS110*$G$8</f>
        <v/>
      </c>
      <c r="DT114" s="147">
        <f>DT110*$G$8</f>
        <v/>
      </c>
      <c r="DU114" s="147">
        <f>DU110*$G$8</f>
        <v/>
      </c>
      <c r="DV114" s="147">
        <f>DV110*$G$8</f>
        <v/>
      </c>
      <c r="DW114" s="147">
        <f>DW110*$G$8</f>
        <v/>
      </c>
      <c r="DX114" s="147">
        <f>DX110*$G$8</f>
        <v/>
      </c>
      <c r="DY114" s="147">
        <f>DY110*$G$8</f>
        <v/>
      </c>
      <c r="DZ114" s="147">
        <f>DZ110*$G$8</f>
        <v/>
      </c>
      <c r="EA114" s="147">
        <f>EA110*$G$8</f>
        <v/>
      </c>
      <c r="EB114" s="147">
        <f>EB110*$G$8</f>
        <v/>
      </c>
      <c r="EC114" s="147">
        <f>EC110*$G$8</f>
        <v/>
      </c>
      <c r="ED114" s="147">
        <f>ED110*$G$8</f>
        <v/>
      </c>
      <c r="EE114" s="147">
        <f>EE110*$G$8</f>
        <v/>
      </c>
      <c r="EF114" s="147">
        <f>EF110*$G$8</f>
        <v/>
      </c>
      <c r="EG114" s="147">
        <f>EG110*$G$8</f>
        <v/>
      </c>
      <c r="EH114" s="147">
        <f>EH110*$G$8</f>
        <v/>
      </c>
      <c r="EI114" s="147">
        <f>EI110*$G$8</f>
        <v/>
      </c>
      <c r="EJ114" s="147">
        <f>EJ110*$G$8</f>
        <v/>
      </c>
      <c r="EK114" s="147">
        <f>EK110*$G$8</f>
        <v/>
      </c>
      <c r="EL114" s="147">
        <f>EL110*$G$8</f>
        <v/>
      </c>
      <c r="EM114" s="147">
        <f>EM110*$G$8</f>
        <v/>
      </c>
      <c r="EN114" s="147">
        <f>EN110*$G$8</f>
        <v/>
      </c>
      <c r="EO114" s="147">
        <f>EO110*$G$8</f>
        <v/>
      </c>
      <c r="EP114" s="147">
        <f>EP110*$G$8</f>
        <v/>
      </c>
      <c r="EQ114" s="147">
        <f>EQ110*$G$8</f>
        <v/>
      </c>
      <c r="ER114" s="147">
        <f>ER110*$G$8</f>
        <v/>
      </c>
      <c r="ES114" s="147">
        <f>ES110*$G$8</f>
        <v/>
      </c>
      <c r="ET114" s="147">
        <f>ET110*$G$8</f>
        <v/>
      </c>
      <c r="EU114" s="147">
        <f>EU110*$G$8</f>
        <v/>
      </c>
      <c r="EV114" s="147">
        <f>EV110*$G$8</f>
        <v/>
      </c>
      <c r="EW114" s="147">
        <f>EW110*$G$8</f>
        <v/>
      </c>
      <c r="EX114" s="147">
        <f>EX110*$G$8</f>
        <v/>
      </c>
    </row>
    <row r="115" ht="18.75" customHeight="1">
      <c r="J115" s="346" t="inlineStr">
        <is>
          <t>Aequitas Cash Flow</t>
        </is>
      </c>
      <c r="K115" s="347" t="n"/>
      <c r="L115" s="348" t="n"/>
      <c r="M115" s="346">
        <f>SUMIF($V$4:$EX$4,"&lt;="&amp;$H$19,$V115:$EX115)</f>
        <v/>
      </c>
      <c r="N115" s="349" t="n"/>
      <c r="O115" s="346">
        <f>SUMIF($V$5:$EX$5,O$7,$V115:$EX115)</f>
        <v/>
      </c>
      <c r="P115" s="346">
        <f>SUMIF($V$5:$EX$5,P$7,$V115:$EX115)</f>
        <v/>
      </c>
      <c r="Q115" s="346">
        <f>SUMIF($V$5:$EX$5,Q$7,$V115:$EX115)</f>
        <v/>
      </c>
      <c r="R115" s="346">
        <f>SUMIF($V$5:$EX$5,R$7,$V115:$EX115)</f>
        <v/>
      </c>
      <c r="S115" s="346">
        <f>SUMIF($V$5:$EX$5,S$7,$V115:$EX115)</f>
        <v/>
      </c>
      <c r="T115" s="346">
        <f>SUMIF($V$5:$EX$5,T$7,$V115:$EX115)</f>
        <v/>
      </c>
      <c r="U115" s="349" t="n"/>
      <c r="V115" s="350">
        <f>SUM(V113:V114)</f>
        <v/>
      </c>
      <c r="W115" s="350">
        <f>SUM(W113:W114)</f>
        <v/>
      </c>
      <c r="X115" s="350">
        <f>SUM(X113:X114)</f>
        <v/>
      </c>
      <c r="Y115" s="350">
        <f>SUM(Y113:Y114)</f>
        <v/>
      </c>
      <c r="Z115" s="350">
        <f>SUM(Z113:Z114)</f>
        <v/>
      </c>
      <c r="AA115" s="350">
        <f>SUM(AA113:AA114)</f>
        <v/>
      </c>
      <c r="AB115" s="350">
        <f>SUM(AB113:AB114)</f>
        <v/>
      </c>
      <c r="AC115" s="350">
        <f>SUM(AC113:AC114)</f>
        <v/>
      </c>
      <c r="AD115" s="350">
        <f>SUM(AD113:AD114)</f>
        <v/>
      </c>
      <c r="AE115" s="350">
        <f>SUM(AE113:AE114)</f>
        <v/>
      </c>
      <c r="AF115" s="350">
        <f>SUM(AF113:AF114)</f>
        <v/>
      </c>
      <c r="AG115" s="350">
        <f>SUM(AG113:AG114)</f>
        <v/>
      </c>
      <c r="AH115" s="350">
        <f>SUM(AH113:AH114)</f>
        <v/>
      </c>
      <c r="AI115" s="350">
        <f>SUM(AI113:AI114)</f>
        <v/>
      </c>
      <c r="AJ115" s="350">
        <f>SUM(AJ113:AJ114)</f>
        <v/>
      </c>
      <c r="AK115" s="350">
        <f>SUM(AK113:AK114)</f>
        <v/>
      </c>
      <c r="AL115" s="350">
        <f>SUM(AL113:AL114)</f>
        <v/>
      </c>
      <c r="AM115" s="350">
        <f>SUM(AM113:AM114)</f>
        <v/>
      </c>
      <c r="AN115" s="350">
        <f>SUM(AN113:AN114)</f>
        <v/>
      </c>
      <c r="AO115" s="350">
        <f>SUM(AO113:AO114)</f>
        <v/>
      </c>
      <c r="AP115" s="350">
        <f>SUM(AP113:AP114)</f>
        <v/>
      </c>
      <c r="AQ115" s="350">
        <f>SUM(AQ113:AQ114)</f>
        <v/>
      </c>
      <c r="AR115" s="350">
        <f>SUM(AR113:AR114)</f>
        <v/>
      </c>
      <c r="AS115" s="350">
        <f>SUM(AS113:AS114)</f>
        <v/>
      </c>
      <c r="AT115" s="350">
        <f>SUM(AT113:AT114)</f>
        <v/>
      </c>
      <c r="AU115" s="350">
        <f>SUM(AU113:AU114)</f>
        <v/>
      </c>
      <c r="AV115" s="350">
        <f>SUM(AV113:AV114)</f>
        <v/>
      </c>
      <c r="AW115" s="350">
        <f>SUM(AW113:AW114)</f>
        <v/>
      </c>
      <c r="AX115" s="350">
        <f>SUM(AX113:AX114)</f>
        <v/>
      </c>
      <c r="AY115" s="350">
        <f>SUM(AY113:AY114)</f>
        <v/>
      </c>
      <c r="AZ115" s="350">
        <f>SUM(AZ113:AZ114)</f>
        <v/>
      </c>
      <c r="BA115" s="350">
        <f>SUM(BA113:BA114)</f>
        <v/>
      </c>
      <c r="BB115" s="350">
        <f>SUM(BB113:BB114)</f>
        <v/>
      </c>
      <c r="BC115" s="350">
        <f>SUM(BC113:BC114)</f>
        <v/>
      </c>
      <c r="BD115" s="350">
        <f>SUM(BD113:BD114)</f>
        <v/>
      </c>
      <c r="BE115" s="350">
        <f>SUM(BE113:BE114)</f>
        <v/>
      </c>
      <c r="BF115" s="350">
        <f>SUM(BF113:BF114)</f>
        <v/>
      </c>
      <c r="BG115" s="350">
        <f>SUM(BG113:BG114)</f>
        <v/>
      </c>
      <c r="BH115" s="350">
        <f>SUM(BH113:BH114)</f>
        <v/>
      </c>
      <c r="BI115" s="350">
        <f>SUM(BI113:BI114)</f>
        <v/>
      </c>
      <c r="BJ115" s="350">
        <f>SUM(BJ113:BJ114)</f>
        <v/>
      </c>
      <c r="BK115" s="350">
        <f>SUM(BK113:BK114)</f>
        <v/>
      </c>
      <c r="BL115" s="350">
        <f>SUM(BL113:BL114)</f>
        <v/>
      </c>
      <c r="BM115" s="350">
        <f>SUM(BM113:BM114)</f>
        <v/>
      </c>
      <c r="BN115" s="350">
        <f>SUM(BN113:BN114)</f>
        <v/>
      </c>
      <c r="BO115" s="350">
        <f>SUM(BO113:BO114)</f>
        <v/>
      </c>
      <c r="BP115" s="350">
        <f>SUM(BP113:BP114)</f>
        <v/>
      </c>
      <c r="BQ115" s="350">
        <f>SUM(BQ113:BQ114)</f>
        <v/>
      </c>
      <c r="BR115" s="350">
        <f>SUM(BR113:BR114)</f>
        <v/>
      </c>
      <c r="BS115" s="350">
        <f>SUM(BS113:BS114)</f>
        <v/>
      </c>
      <c r="BT115" s="350">
        <f>SUM(BT113:BT114)</f>
        <v/>
      </c>
      <c r="BU115" s="350">
        <f>SUM(BU113:BU114)</f>
        <v/>
      </c>
      <c r="BV115" s="350">
        <f>SUM(BV113:BV114)</f>
        <v/>
      </c>
      <c r="BW115" s="350">
        <f>SUM(BW113:BW114)</f>
        <v/>
      </c>
      <c r="BX115" s="350">
        <f>SUM(BX113:BX114)</f>
        <v/>
      </c>
      <c r="BY115" s="350">
        <f>SUM(BY113:BY114)</f>
        <v/>
      </c>
      <c r="BZ115" s="350">
        <f>SUM(BZ113:BZ114)</f>
        <v/>
      </c>
      <c r="CA115" s="350">
        <f>SUM(CA113:CA114)</f>
        <v/>
      </c>
      <c r="CB115" s="350">
        <f>SUM(CB113:CB114)</f>
        <v/>
      </c>
      <c r="CC115" s="350">
        <f>SUM(CC113:CC114)</f>
        <v/>
      </c>
      <c r="CD115" s="350">
        <f>SUM(CD113:CD114)</f>
        <v/>
      </c>
      <c r="CE115" s="350">
        <f>SUM(CE113:CE114)</f>
        <v/>
      </c>
      <c r="CF115" s="350">
        <f>SUM(CF113:CF114)</f>
        <v/>
      </c>
      <c r="CG115" s="350">
        <f>SUM(CG113:CG114)</f>
        <v/>
      </c>
      <c r="CH115" s="350">
        <f>SUM(CH113:CH114)</f>
        <v/>
      </c>
      <c r="CI115" s="350">
        <f>SUM(CI113:CI114)</f>
        <v/>
      </c>
      <c r="CJ115" s="350">
        <f>SUM(CJ113:CJ114)</f>
        <v/>
      </c>
      <c r="CK115" s="350">
        <f>SUM(CK113:CK114)</f>
        <v/>
      </c>
      <c r="CL115" s="350">
        <f>SUM(CL113:CL114)</f>
        <v/>
      </c>
      <c r="CM115" s="350">
        <f>SUM(CM113:CM114)</f>
        <v/>
      </c>
      <c r="CN115" s="350">
        <f>SUM(CN113:CN114)</f>
        <v/>
      </c>
      <c r="CO115" s="350">
        <f>SUM(CO113:CO114)</f>
        <v/>
      </c>
      <c r="CP115" s="350">
        <f>SUM(CP113:CP114)</f>
        <v/>
      </c>
      <c r="CQ115" s="350">
        <f>SUM(CQ113:CQ114)</f>
        <v/>
      </c>
      <c r="CR115" s="350">
        <f>SUM(CR113:CR114)</f>
        <v/>
      </c>
      <c r="CS115" s="350">
        <f>SUM(CS113:CS114)</f>
        <v/>
      </c>
      <c r="CT115" s="350">
        <f>SUM(CT113:CT114)</f>
        <v/>
      </c>
      <c r="CU115" s="350">
        <f>SUM(CU113:CU114)</f>
        <v/>
      </c>
      <c r="CV115" s="350">
        <f>SUM(CV113:CV114)</f>
        <v/>
      </c>
      <c r="CW115" s="350">
        <f>SUM(CW113:CW114)</f>
        <v/>
      </c>
      <c r="CX115" s="350">
        <f>SUM(CX113:CX114)</f>
        <v/>
      </c>
      <c r="CY115" s="350">
        <f>SUM(CY113:CY114)</f>
        <v/>
      </c>
      <c r="CZ115" s="350">
        <f>SUM(CZ113:CZ114)</f>
        <v/>
      </c>
      <c r="DA115" s="350">
        <f>SUM(DA113:DA114)</f>
        <v/>
      </c>
      <c r="DB115" s="350">
        <f>SUM(DB113:DB114)</f>
        <v/>
      </c>
      <c r="DC115" s="350">
        <f>SUM(DC113:DC114)</f>
        <v/>
      </c>
      <c r="DD115" s="350">
        <f>SUM(DD113:DD114)</f>
        <v/>
      </c>
      <c r="DE115" s="350">
        <f>SUM(DE113:DE114)</f>
        <v/>
      </c>
      <c r="DF115" s="350">
        <f>SUM(DF113:DF114)</f>
        <v/>
      </c>
      <c r="DG115" s="350">
        <f>SUM(DG113:DG114)</f>
        <v/>
      </c>
      <c r="DH115" s="350">
        <f>SUM(DH113:DH114)</f>
        <v/>
      </c>
      <c r="DI115" s="350">
        <f>SUM(DI113:DI114)</f>
        <v/>
      </c>
      <c r="DJ115" s="350">
        <f>SUM(DJ113:DJ114)</f>
        <v/>
      </c>
      <c r="DK115" s="350">
        <f>SUM(DK113:DK114)</f>
        <v/>
      </c>
      <c r="DL115" s="350">
        <f>SUM(DL113:DL114)</f>
        <v/>
      </c>
      <c r="DM115" s="350">
        <f>SUM(DM113:DM114)</f>
        <v/>
      </c>
      <c r="DN115" s="350">
        <f>SUM(DN113:DN114)</f>
        <v/>
      </c>
      <c r="DO115" s="350">
        <f>SUM(DO113:DO114)</f>
        <v/>
      </c>
      <c r="DP115" s="350">
        <f>SUM(DP113:DP114)</f>
        <v/>
      </c>
      <c r="DQ115" s="350">
        <f>SUM(DQ113:DQ114)</f>
        <v/>
      </c>
      <c r="DR115" s="350">
        <f>SUM(DR113:DR114)</f>
        <v/>
      </c>
      <c r="DS115" s="350">
        <f>SUM(DS113:DS114)</f>
        <v/>
      </c>
      <c r="DT115" s="350">
        <f>SUM(DT113:DT114)</f>
        <v/>
      </c>
      <c r="DU115" s="350">
        <f>SUM(DU113:DU114)</f>
        <v/>
      </c>
      <c r="DV115" s="350">
        <f>SUM(DV113:DV114)</f>
        <v/>
      </c>
      <c r="DW115" s="350">
        <f>SUM(DW113:DW114)</f>
        <v/>
      </c>
      <c r="DX115" s="350">
        <f>SUM(DX113:DX114)</f>
        <v/>
      </c>
      <c r="DY115" s="350">
        <f>SUM(DY113:DY114)</f>
        <v/>
      </c>
      <c r="DZ115" s="350">
        <f>SUM(DZ113:DZ114)</f>
        <v/>
      </c>
      <c r="EA115" s="350">
        <f>SUM(EA113:EA114)</f>
        <v/>
      </c>
      <c r="EB115" s="350">
        <f>SUM(EB113:EB114)</f>
        <v/>
      </c>
      <c r="EC115" s="350">
        <f>SUM(EC113:EC114)</f>
        <v/>
      </c>
      <c r="ED115" s="350">
        <f>SUM(ED113:ED114)</f>
        <v/>
      </c>
      <c r="EE115" s="350">
        <f>SUM(EE113:EE114)</f>
        <v/>
      </c>
      <c r="EF115" s="350">
        <f>SUM(EF113:EF114)</f>
        <v/>
      </c>
      <c r="EG115" s="350">
        <f>SUM(EG113:EG114)</f>
        <v/>
      </c>
      <c r="EH115" s="350">
        <f>SUM(EH113:EH114)</f>
        <v/>
      </c>
      <c r="EI115" s="350">
        <f>SUM(EI113:EI114)</f>
        <v/>
      </c>
      <c r="EJ115" s="350">
        <f>SUM(EJ113:EJ114)</f>
        <v/>
      </c>
      <c r="EK115" s="350">
        <f>SUM(EK113:EK114)</f>
        <v/>
      </c>
      <c r="EL115" s="350">
        <f>SUM(EL113:EL114)</f>
        <v/>
      </c>
      <c r="EM115" s="350">
        <f>SUM(EM113:EM114)</f>
        <v/>
      </c>
      <c r="EN115" s="350">
        <f>SUM(EN113:EN114)</f>
        <v/>
      </c>
      <c r="EO115" s="350">
        <f>SUM(EO113:EO114)</f>
        <v/>
      </c>
      <c r="EP115" s="350">
        <f>SUM(EP113:EP114)</f>
        <v/>
      </c>
      <c r="EQ115" s="350">
        <f>SUM(EQ113:EQ114)</f>
        <v/>
      </c>
      <c r="ER115" s="350">
        <f>SUM(ER113:ER114)</f>
        <v/>
      </c>
      <c r="ES115" s="350">
        <f>SUM(ES113:ES114)</f>
        <v/>
      </c>
      <c r="ET115" s="350">
        <f>SUM(ET113:ET114)</f>
        <v/>
      </c>
      <c r="EU115" s="350">
        <f>SUM(EU113:EU114)</f>
        <v/>
      </c>
      <c r="EV115" s="350">
        <f>SUM(EV113:EV114)</f>
        <v/>
      </c>
      <c r="EW115" s="350">
        <f>SUM(EW113:EW114)</f>
        <v/>
      </c>
      <c r="EX115" s="350">
        <f>SUM(EX113:EX114)</f>
        <v/>
      </c>
    </row>
    <row r="116" ht="15.75" customFormat="1" customHeight="1" s="282">
      <c r="B116" s="9" t="n"/>
      <c r="C116" s="9" t="n"/>
      <c r="D116" s="9" t="n"/>
      <c r="E116" s="9" t="n"/>
      <c r="F116" s="9" t="n"/>
      <c r="G116" s="9" t="n"/>
      <c r="H116" s="9" t="n"/>
      <c r="I116" s="270" t="n"/>
      <c r="J116" s="9" t="n"/>
      <c r="K116" s="15" t="inlineStr">
        <is>
          <t>Net Profit</t>
        </is>
      </c>
      <c r="L116" s="194" t="n"/>
      <c r="M116" s="264">
        <f>SUM(V115:EX115)</f>
        <v/>
      </c>
      <c r="N116" s="56" t="n"/>
      <c r="O116" s="25" t="n"/>
      <c r="P116" s="25" t="n"/>
      <c r="Q116" s="25" t="n"/>
      <c r="R116" s="25" t="n"/>
      <c r="S116" s="25" t="n"/>
      <c r="T116" s="25" t="n"/>
      <c r="U116" s="56" t="n"/>
      <c r="V116" s="349" t="n"/>
      <c r="W116" s="349" t="n"/>
      <c r="X116" s="349" t="n"/>
      <c r="Y116" s="349" t="n"/>
      <c r="Z116" s="349" t="n"/>
      <c r="AA116" s="349" t="n"/>
      <c r="AB116" s="349" t="n"/>
      <c r="AC116" s="349" t="n"/>
      <c r="AD116" s="349" t="n"/>
      <c r="AE116" s="349" t="n"/>
      <c r="AF116" s="349" t="n"/>
      <c r="AG116" s="349" t="n"/>
      <c r="AH116" s="349" t="n"/>
      <c r="AI116" s="349" t="n"/>
      <c r="AJ116" s="349" t="n"/>
      <c r="AK116" s="349" t="n"/>
      <c r="AL116" s="349" t="n"/>
      <c r="AM116" s="349" t="n"/>
      <c r="AN116" s="349" t="n"/>
      <c r="AO116" s="349" t="n"/>
      <c r="AP116" s="349" t="n"/>
      <c r="AQ116" s="349" t="n"/>
      <c r="AR116" s="349" t="n"/>
      <c r="AS116" s="349" t="n"/>
      <c r="AT116" s="349" t="n"/>
      <c r="AU116" s="349" t="n"/>
      <c r="AV116" s="349" t="n"/>
      <c r="AW116" s="349" t="n"/>
      <c r="AX116" s="349" t="n"/>
      <c r="AY116" s="349" t="n"/>
      <c r="AZ116" s="349" t="n"/>
      <c r="BA116" s="349" t="n"/>
      <c r="BB116" s="349" t="n"/>
      <c r="BC116" s="349" t="n"/>
      <c r="BD116" s="349" t="n"/>
      <c r="BE116" s="349" t="n"/>
      <c r="BF116" s="349" t="n"/>
      <c r="BG116" s="349" t="n"/>
      <c r="BH116" s="349" t="n"/>
      <c r="BI116" s="349" t="n"/>
      <c r="BJ116" s="349" t="n"/>
      <c r="BK116" s="349" t="n"/>
      <c r="BL116" s="349" t="n"/>
      <c r="BM116" s="349" t="n"/>
      <c r="BN116" s="349" t="n"/>
      <c r="BO116" s="349" t="n"/>
      <c r="BP116" s="349" t="n"/>
      <c r="BQ116" s="349" t="n"/>
      <c r="BR116" s="349" t="n"/>
      <c r="BS116" s="349" t="n"/>
      <c r="BT116" s="349" t="n"/>
      <c r="BU116" s="349" t="n"/>
      <c r="BV116" s="349" t="n"/>
      <c r="BW116" s="349" t="n"/>
      <c r="BX116" s="349" t="n"/>
      <c r="BY116" s="349" t="n"/>
      <c r="BZ116" s="349" t="n"/>
      <c r="CA116" s="349" t="n"/>
      <c r="CB116" s="349" t="n"/>
      <c r="CC116" s="349" t="n"/>
      <c r="CD116" s="349" t="n"/>
      <c r="CE116" s="349" t="n"/>
      <c r="CF116" s="349" t="n"/>
      <c r="CG116" s="349" t="n"/>
      <c r="CH116" s="349" t="n"/>
      <c r="CI116" s="349" t="n"/>
      <c r="CJ116" s="349" t="n"/>
      <c r="CK116" s="349" t="n"/>
      <c r="CL116" s="349" t="n"/>
      <c r="CM116" s="349" t="n"/>
      <c r="CN116" s="349" t="n"/>
      <c r="CO116" s="349" t="n"/>
      <c r="CP116" s="349" t="n"/>
      <c r="CQ116" s="349" t="n"/>
      <c r="CR116" s="349" t="n"/>
      <c r="CS116" s="349" t="n"/>
      <c r="CT116" s="349" t="n"/>
      <c r="CU116" s="349" t="n"/>
      <c r="CV116" s="349" t="n"/>
      <c r="CW116" s="349" t="n"/>
      <c r="CX116" s="349" t="n"/>
      <c r="CY116" s="349" t="n"/>
      <c r="CZ116" s="349" t="n"/>
      <c r="DA116" s="349" t="n"/>
      <c r="DB116" s="349" t="n"/>
      <c r="DC116" s="349" t="n"/>
      <c r="DD116" s="349" t="n"/>
      <c r="DE116" s="349" t="n"/>
      <c r="DF116" s="349" t="n"/>
      <c r="DG116" s="349" t="n"/>
      <c r="DH116" s="349" t="n"/>
      <c r="DI116" s="349" t="n"/>
      <c r="DJ116" s="349" t="n"/>
      <c r="DK116" s="349" t="n"/>
      <c r="DL116" s="349" t="n"/>
      <c r="DM116" s="349" t="n"/>
      <c r="DN116" s="349" t="n"/>
      <c r="DO116" s="349" t="n"/>
      <c r="DP116" s="349" t="n"/>
      <c r="DQ116" s="349" t="n"/>
      <c r="DR116" s="349" t="n"/>
      <c r="DS116" s="349" t="n"/>
      <c r="DT116" s="349" t="n"/>
      <c r="DU116" s="349" t="n"/>
      <c r="DV116" s="349" t="n"/>
      <c r="DW116" s="349" t="n"/>
      <c r="DX116" s="349" t="n"/>
      <c r="DY116" s="349" t="n"/>
      <c r="DZ116" s="349" t="n"/>
      <c r="EA116" s="349" t="n"/>
      <c r="EB116" s="349" t="n"/>
      <c r="EC116" s="349" t="n"/>
      <c r="ED116" s="349" t="n"/>
      <c r="EE116" s="349" t="n"/>
      <c r="EF116" s="349" t="n"/>
      <c r="EG116" s="349" t="n"/>
      <c r="EH116" s="349" t="n"/>
      <c r="EI116" s="349" t="n"/>
      <c r="EJ116" s="349" t="n"/>
      <c r="EK116" s="349" t="n"/>
      <c r="EL116" s="349" t="n"/>
      <c r="EM116" s="349" t="n"/>
      <c r="EN116" s="349" t="n"/>
      <c r="EO116" s="349" t="n"/>
      <c r="EP116" s="349" t="n"/>
      <c r="EQ116" s="349" t="n"/>
      <c r="ER116" s="349" t="n"/>
      <c r="ES116" s="349" t="n"/>
      <c r="ET116" s="349" t="n"/>
      <c r="EU116" s="349" t="n"/>
      <c r="EV116" s="349" t="n"/>
      <c r="EW116" s="349" t="n"/>
      <c r="EX116" s="349" t="n"/>
    </row>
    <row r="117" ht="15.75" customHeight="1">
      <c r="K117" s="15" t="inlineStr">
        <is>
          <t>Peak Equity</t>
        </is>
      </c>
      <c r="L117" s="194" t="n"/>
      <c r="M117" s="264">
        <f>SUMIF(V115:EX115,"&lt;0",V115:EX115)</f>
        <v/>
      </c>
      <c r="N117" s="56" t="n"/>
      <c r="O117" s="25" t="n"/>
      <c r="P117" s="25" t="n"/>
      <c r="Q117" s="25" t="n"/>
      <c r="R117" s="25" t="n"/>
      <c r="S117" s="25" t="n"/>
      <c r="T117" s="25" t="n"/>
      <c r="U117" s="56" t="n"/>
      <c r="V117" s="349" t="n"/>
      <c r="W117" s="349" t="n"/>
      <c r="X117" s="349" t="n"/>
      <c r="Y117" s="349" t="n"/>
      <c r="Z117" s="349" t="n"/>
      <c r="AA117" s="349" t="n"/>
      <c r="AB117" s="349" t="n"/>
      <c r="AC117" s="349" t="n"/>
      <c r="AD117" s="349" t="n"/>
      <c r="AE117" s="349" t="n"/>
      <c r="AF117" s="349" t="n"/>
      <c r="AG117" s="349" t="n"/>
      <c r="AH117" s="349" t="n"/>
      <c r="AI117" s="349" t="n"/>
      <c r="AJ117" s="349" t="n"/>
      <c r="AK117" s="349" t="n"/>
      <c r="AL117" s="349" t="n"/>
      <c r="AM117" s="349" t="n"/>
      <c r="AN117" s="349" t="n"/>
      <c r="AO117" s="349" t="n"/>
      <c r="AP117" s="349" t="n"/>
      <c r="AQ117" s="349" t="n"/>
      <c r="AR117" s="349" t="n"/>
      <c r="AS117" s="349" t="n"/>
      <c r="AT117" s="349" t="n"/>
      <c r="AU117" s="349" t="n"/>
      <c r="AV117" s="349" t="n"/>
      <c r="AW117" s="349" t="n"/>
      <c r="AX117" s="349" t="n"/>
      <c r="AY117" s="349" t="n"/>
      <c r="AZ117" s="349" t="n"/>
      <c r="BA117" s="349" t="n"/>
      <c r="BB117" s="349" t="n"/>
      <c r="BC117" s="349" t="n"/>
      <c r="BD117" s="349" t="n"/>
      <c r="BE117" s="349" t="n"/>
      <c r="BF117" s="349" t="n"/>
      <c r="BG117" s="349" t="n"/>
      <c r="BH117" s="349" t="n"/>
      <c r="BI117" s="349" t="n"/>
      <c r="BJ117" s="349" t="n"/>
      <c r="BK117" s="349" t="n"/>
      <c r="BL117" s="349" t="n"/>
      <c r="BM117" s="349" t="n"/>
      <c r="BN117" s="349" t="n"/>
      <c r="BO117" s="349" t="n"/>
      <c r="BP117" s="349" t="n"/>
      <c r="BQ117" s="349" t="n"/>
      <c r="BR117" s="349" t="n"/>
      <c r="BS117" s="349" t="n"/>
      <c r="BT117" s="349" t="n"/>
      <c r="BU117" s="349" t="n"/>
      <c r="BV117" s="349" t="n"/>
      <c r="BW117" s="349" t="n"/>
      <c r="BX117" s="349" t="n"/>
      <c r="BY117" s="349" t="n"/>
      <c r="BZ117" s="349" t="n"/>
      <c r="CA117" s="349" t="n"/>
      <c r="CB117" s="349" t="n"/>
      <c r="CC117" s="349" t="n"/>
      <c r="CD117" s="349" t="n"/>
      <c r="CE117" s="349" t="n"/>
      <c r="CF117" s="349" t="n"/>
      <c r="CG117" s="349" t="n"/>
      <c r="CH117" s="349" t="n"/>
      <c r="CI117" s="349" t="n"/>
      <c r="CJ117" s="349" t="n"/>
      <c r="CK117" s="349" t="n"/>
      <c r="CL117" s="349" t="n"/>
      <c r="CM117" s="349" t="n"/>
      <c r="CN117" s="349" t="n"/>
      <c r="CO117" s="349" t="n"/>
      <c r="CP117" s="349" t="n"/>
      <c r="CQ117" s="349" t="n"/>
      <c r="CR117" s="349" t="n"/>
      <c r="CS117" s="349" t="n"/>
      <c r="CT117" s="349" t="n"/>
      <c r="CU117" s="349" t="n"/>
      <c r="CV117" s="349" t="n"/>
      <c r="CW117" s="349" t="n"/>
      <c r="CX117" s="349" t="n"/>
      <c r="CY117" s="349" t="n"/>
      <c r="CZ117" s="349" t="n"/>
      <c r="DA117" s="349" t="n"/>
      <c r="DB117" s="349" t="n"/>
      <c r="DC117" s="349" t="n"/>
      <c r="DD117" s="349" t="n"/>
      <c r="DE117" s="349" t="n"/>
      <c r="DF117" s="349" t="n"/>
      <c r="DG117" s="349" t="n"/>
      <c r="DH117" s="349" t="n"/>
      <c r="DI117" s="349" t="n"/>
      <c r="DJ117" s="349" t="n"/>
      <c r="DK117" s="349" t="n"/>
      <c r="DL117" s="349" t="n"/>
      <c r="DM117" s="349" t="n"/>
      <c r="DN117" s="349" t="n"/>
      <c r="DO117" s="349" t="n"/>
      <c r="DP117" s="349" t="n"/>
      <c r="DQ117" s="349" t="n"/>
      <c r="DR117" s="349" t="n"/>
      <c r="DS117" s="349" t="n"/>
      <c r="DT117" s="349" t="n"/>
      <c r="DU117" s="349" t="n"/>
      <c r="DV117" s="349" t="n"/>
      <c r="DW117" s="349" t="n"/>
      <c r="DX117" s="349" t="n"/>
      <c r="DY117" s="349" t="n"/>
      <c r="DZ117" s="349" t="n"/>
      <c r="EA117" s="349" t="n"/>
      <c r="EB117" s="349" t="n"/>
      <c r="EC117" s="349" t="n"/>
      <c r="ED117" s="349" t="n"/>
      <c r="EE117" s="349" t="n"/>
      <c r="EF117" s="349" t="n"/>
      <c r="EG117" s="349" t="n"/>
      <c r="EH117" s="349" t="n"/>
      <c r="EI117" s="349" t="n"/>
      <c r="EJ117" s="349" t="n"/>
      <c r="EK117" s="349" t="n"/>
      <c r="EL117" s="349" t="n"/>
      <c r="EM117" s="349" t="n"/>
      <c r="EN117" s="349" t="n"/>
      <c r="EO117" s="349" t="n"/>
      <c r="EP117" s="349" t="n"/>
      <c r="EQ117" s="349" t="n"/>
      <c r="ER117" s="349" t="n"/>
      <c r="ES117" s="349" t="n"/>
      <c r="ET117" s="349" t="n"/>
      <c r="EU117" s="349" t="n"/>
      <c r="EV117" s="349" t="n"/>
      <c r="EW117" s="349" t="n"/>
      <c r="EX117" s="349" t="n"/>
    </row>
    <row r="118" ht="15.75" customHeight="1">
      <c r="B118" s="266" t="n"/>
      <c r="K118" s="15" t="inlineStr">
        <is>
          <t>IRR</t>
        </is>
      </c>
      <c r="L118" s="194" t="n"/>
      <c r="M118" s="164">
        <f>(1+IRR(V115:EX115,0))^12-1</f>
        <v/>
      </c>
      <c r="N118" s="159" t="n"/>
      <c r="O118" s="28" t="n"/>
      <c r="P118" s="28" t="n"/>
      <c r="Q118" s="28" t="n"/>
      <c r="R118" s="28" t="n"/>
      <c r="S118" s="28" t="n"/>
      <c r="T118" s="28" t="n"/>
      <c r="U118" s="159" t="n"/>
      <c r="V118" s="157" t="n"/>
      <c r="W118" s="349" t="n"/>
      <c r="X118" s="349" t="n"/>
      <c r="Y118" s="349" t="n"/>
      <c r="Z118" s="349" t="n"/>
      <c r="AA118" s="349" t="n"/>
      <c r="AB118" s="349" t="n"/>
      <c r="AC118" s="349" t="n"/>
      <c r="AD118" s="349" t="n"/>
      <c r="AE118" s="349" t="n"/>
      <c r="AF118" s="142" t="n"/>
      <c r="AG118" s="351" t="n"/>
      <c r="AH118" s="351" t="n"/>
      <c r="AI118" s="351" t="n"/>
      <c r="AJ118" s="351" t="n"/>
      <c r="AK118" s="351" t="n"/>
      <c r="AL118" s="351" t="n"/>
      <c r="AM118" s="351" t="n"/>
      <c r="AN118" s="351" t="n"/>
      <c r="AO118" s="351" t="n"/>
      <c r="AP118" s="351" t="n"/>
      <c r="AQ118" s="351" t="n"/>
      <c r="AR118" s="351" t="n"/>
      <c r="AS118" s="351" t="n"/>
      <c r="AT118" s="351" t="n"/>
      <c r="AU118" s="351" t="n"/>
      <c r="AV118" s="351" t="n"/>
      <c r="AW118" s="351" t="n"/>
      <c r="AX118" s="351" t="n"/>
      <c r="AY118" s="351" t="n"/>
      <c r="AZ118" s="351" t="n"/>
      <c r="BA118" s="351" t="n"/>
      <c r="BB118" s="351" t="n"/>
      <c r="BC118" s="351" t="n"/>
      <c r="BD118" s="351" t="n"/>
      <c r="BE118" s="351" t="n"/>
      <c r="BF118" s="351" t="n"/>
      <c r="BG118" s="351" t="n"/>
      <c r="BH118" s="351" t="n"/>
      <c r="BI118" s="351" t="n"/>
      <c r="BJ118" s="351" t="n"/>
      <c r="BK118" s="351" t="n"/>
      <c r="BL118" s="351" t="n"/>
      <c r="BM118" s="351" t="n"/>
      <c r="BN118" s="351" t="n"/>
      <c r="BO118" s="351" t="n"/>
      <c r="BP118" s="351" t="n"/>
      <c r="BQ118" s="351" t="n"/>
      <c r="BR118" s="351" t="n"/>
      <c r="BS118" s="351" t="n"/>
      <c r="BT118" s="351" t="n"/>
      <c r="BU118" s="351" t="n"/>
      <c r="BV118" s="351" t="n"/>
      <c r="BW118" s="351" t="n"/>
      <c r="BX118" s="351" t="n"/>
      <c r="BY118" s="351" t="n"/>
      <c r="BZ118" s="351" t="n"/>
      <c r="CA118" s="351" t="n"/>
      <c r="CB118" s="351" t="n"/>
      <c r="CC118" s="351" t="n"/>
      <c r="CD118" s="351" t="n"/>
      <c r="CE118" s="351" t="n"/>
      <c r="CF118" s="351" t="n"/>
      <c r="CG118" s="351" t="n"/>
      <c r="CH118" s="351" t="n"/>
      <c r="CI118" s="351" t="n"/>
      <c r="CJ118" s="351" t="n"/>
      <c r="CK118" s="351" t="n"/>
      <c r="CL118" s="351" t="n"/>
      <c r="CM118" s="351" t="n"/>
      <c r="CN118" s="351" t="n"/>
      <c r="CO118" s="351" t="n"/>
      <c r="CP118" s="351" t="n"/>
      <c r="CQ118" s="351" t="n"/>
      <c r="CR118" s="351" t="n"/>
      <c r="CS118" s="351" t="n"/>
      <c r="CT118" s="351" t="n"/>
      <c r="CU118" s="351" t="n"/>
      <c r="CV118" s="351" t="n"/>
      <c r="CW118" s="351" t="n"/>
      <c r="CX118" s="351" t="n"/>
      <c r="CY118" s="351" t="n"/>
      <c r="CZ118" s="351" t="n"/>
      <c r="DA118" s="351" t="n"/>
      <c r="DB118" s="351" t="n"/>
      <c r="DC118" s="351" t="n"/>
      <c r="DD118" s="351" t="n"/>
      <c r="DE118" s="351" t="n"/>
      <c r="DF118" s="351" t="n"/>
      <c r="DG118" s="351" t="n"/>
      <c r="DH118" s="351" t="n"/>
      <c r="DI118" s="351" t="n"/>
      <c r="DJ118" s="351" t="n"/>
      <c r="DK118" s="351" t="n"/>
      <c r="DL118" s="351" t="n"/>
      <c r="DM118" s="351" t="n"/>
      <c r="DN118" s="351" t="n"/>
      <c r="DO118" s="351" t="n"/>
      <c r="DP118" s="351" t="n"/>
      <c r="DQ118" s="351" t="n"/>
      <c r="DR118" s="351" t="n"/>
      <c r="DS118" s="351" t="n"/>
      <c r="DT118" s="351" t="n"/>
      <c r="DU118" s="351" t="n"/>
      <c r="DV118" s="351" t="n"/>
      <c r="DW118" s="351" t="n"/>
      <c r="DX118" s="351" t="n"/>
      <c r="DY118" s="351" t="n"/>
      <c r="DZ118" s="351" t="n"/>
      <c r="EA118" s="351" t="n"/>
      <c r="EB118" s="351" t="n"/>
      <c r="EC118" s="351" t="n"/>
      <c r="ED118" s="351" t="n"/>
      <c r="EE118" s="351" t="n"/>
      <c r="EF118" s="351" t="n"/>
      <c r="EG118" s="351" t="n"/>
      <c r="EH118" s="351" t="n"/>
      <c r="EI118" s="351" t="n"/>
      <c r="EJ118" s="351" t="n"/>
      <c r="EK118" s="351" t="n"/>
      <c r="EL118" s="351" t="n"/>
      <c r="EM118" s="351" t="n"/>
      <c r="EN118" s="351" t="n"/>
      <c r="EO118" s="351" t="n"/>
      <c r="EP118" s="351" t="n"/>
      <c r="EQ118" s="351" t="n"/>
      <c r="ER118" s="351" t="n"/>
      <c r="ES118" s="351" t="n"/>
      <c r="ET118" s="351" t="n"/>
      <c r="EU118" s="351" t="n"/>
      <c r="EV118" s="351" t="n"/>
      <c r="EW118" s="351" t="n"/>
      <c r="EX118" s="351" t="n"/>
    </row>
    <row r="119">
      <c r="B119" s="16" t="n"/>
      <c r="K119" s="15" t="inlineStr">
        <is>
          <t>Equity Multiple</t>
        </is>
      </c>
      <c r="L119" s="194" t="n"/>
      <c r="M119" s="312">
        <f>(M116-M117)/-M117</f>
        <v/>
      </c>
      <c r="N119" s="352" t="n"/>
      <c r="O119" s="353" t="n"/>
      <c r="P119" s="353" t="n"/>
      <c r="Q119" s="353" t="n"/>
      <c r="R119" s="353" t="n"/>
      <c r="S119" s="353" t="n"/>
      <c r="T119" s="353" t="n"/>
      <c r="U119" s="352" t="n"/>
    </row>
    <row r="120">
      <c r="J120" s="16" t="n"/>
      <c r="K120" s="16" t="n"/>
      <c r="L120" s="14" t="n"/>
      <c r="M120" s="205" t="n"/>
      <c r="N120" s="352" t="n"/>
      <c r="O120" s="353" t="n"/>
      <c r="P120" s="353" t="n"/>
      <c r="Q120" s="353" t="n"/>
      <c r="R120" s="353" t="n"/>
      <c r="S120" s="353" t="n"/>
      <c r="T120" s="353" t="n"/>
      <c r="U120" s="352" t="n"/>
    </row>
    <row r="121" ht="15.75" customHeight="1">
      <c r="J121" s="142" t="inlineStr">
        <is>
          <t>GP Cash Flow</t>
        </is>
      </c>
      <c r="K121" s="143" t="n"/>
      <c r="L121" s="143" t="n"/>
      <c r="M121" s="147" t="n"/>
      <c r="N121" s="143" t="n"/>
      <c r="O121" s="143" t="n"/>
      <c r="P121" s="143" t="n"/>
      <c r="Q121" s="143" t="n"/>
      <c r="R121" s="143" t="n"/>
      <c r="S121" s="143" t="n"/>
      <c r="T121" s="143" t="n"/>
      <c r="U121" s="143" t="n"/>
      <c r="V121" s="143" t="n"/>
      <c r="W121" s="143" t="n"/>
      <c r="X121" s="143" t="n"/>
      <c r="Y121" s="143" t="n"/>
      <c r="Z121" s="143" t="n"/>
      <c r="AA121" s="143" t="n"/>
      <c r="AB121" s="143" t="n"/>
      <c r="AC121" s="143" t="n"/>
      <c r="AD121" s="143" t="n"/>
      <c r="AE121" s="143" t="n"/>
      <c r="AF121" s="143" t="n"/>
      <c r="AG121" s="143" t="n"/>
      <c r="AH121" s="143" t="n"/>
      <c r="AI121" s="143" t="n"/>
      <c r="AJ121" s="143" t="n"/>
      <c r="AK121" s="143" t="n"/>
      <c r="AL121" s="143" t="n"/>
      <c r="AM121" s="143" t="n"/>
      <c r="AN121" s="143" t="n"/>
      <c r="AO121" s="143" t="n"/>
      <c r="AP121" s="143" t="n"/>
      <c r="AQ121" s="143" t="n"/>
      <c r="AR121" s="143" t="n"/>
      <c r="AS121" s="143" t="n"/>
      <c r="AT121" s="143" t="n"/>
      <c r="AU121" s="143" t="n"/>
      <c r="AV121" s="143" t="n"/>
      <c r="AW121" s="143" t="n"/>
      <c r="AX121" s="143" t="n"/>
      <c r="AY121" s="143" t="n"/>
      <c r="AZ121" s="143" t="n"/>
      <c r="BA121" s="143" t="n"/>
      <c r="BB121" s="143" t="n"/>
      <c r="BC121" s="143" t="n"/>
      <c r="BD121" s="143" t="n"/>
      <c r="BE121" s="143" t="n"/>
      <c r="BF121" s="143" t="n"/>
      <c r="BG121" s="143" t="n"/>
      <c r="BH121" s="143" t="n"/>
      <c r="BI121" s="143" t="n"/>
      <c r="BJ121" s="143" t="n"/>
      <c r="BK121" s="143" t="n"/>
      <c r="BL121" s="143" t="n"/>
      <c r="BM121" s="143" t="n"/>
      <c r="BN121" s="143" t="n"/>
      <c r="BO121" s="143" t="n"/>
      <c r="BP121" s="143" t="n"/>
      <c r="BQ121" s="143" t="n"/>
      <c r="BR121" s="143" t="n"/>
      <c r="BS121" s="143" t="n"/>
      <c r="BT121" s="143" t="n"/>
      <c r="BU121" s="143" t="n"/>
      <c r="BV121" s="143" t="n"/>
      <c r="BW121" s="143" t="n"/>
      <c r="BX121" s="143" t="n"/>
      <c r="BY121" s="143" t="n"/>
      <c r="BZ121" s="143" t="n"/>
      <c r="CA121" s="143" t="n"/>
      <c r="CB121" s="143" t="n"/>
      <c r="CC121" s="143" t="n"/>
      <c r="CD121" s="143" t="n"/>
      <c r="CE121" s="143" t="n"/>
      <c r="CF121" s="143" t="n"/>
      <c r="CG121" s="143" t="n"/>
      <c r="CH121" s="143" t="n"/>
      <c r="CI121" s="143" t="n"/>
      <c r="CJ121" s="143" t="n"/>
      <c r="CK121" s="143" t="n"/>
      <c r="CL121" s="143" t="n"/>
      <c r="CM121" s="143" t="n"/>
      <c r="CN121" s="143" t="n"/>
      <c r="CO121" s="143" t="n"/>
      <c r="CP121" s="143" t="n"/>
      <c r="CQ121" s="143" t="n"/>
      <c r="CR121" s="143" t="n"/>
      <c r="CS121" s="143" t="n"/>
      <c r="CT121" s="143" t="n"/>
      <c r="CU121" s="143" t="n"/>
      <c r="CV121" s="143" t="n"/>
      <c r="CW121" s="143" t="n"/>
      <c r="CX121" s="143" t="n"/>
      <c r="CY121" s="143" t="n"/>
      <c r="CZ121" s="143" t="n"/>
      <c r="DA121" s="143" t="n"/>
      <c r="DB121" s="143" t="n"/>
      <c r="DC121" s="143" t="n"/>
      <c r="DD121" s="143" t="n"/>
      <c r="DE121" s="143" t="n"/>
      <c r="DF121" s="143" t="n"/>
      <c r="DG121" s="143" t="n"/>
      <c r="DH121" s="143" t="n"/>
      <c r="DI121" s="143" t="n"/>
      <c r="DJ121" s="143" t="n"/>
      <c r="DK121" s="143" t="n"/>
      <c r="DL121" s="143" t="n"/>
      <c r="DM121" s="143" t="n"/>
      <c r="DN121" s="143" t="n"/>
      <c r="DO121" s="143" t="n"/>
      <c r="DP121" s="143" t="n"/>
      <c r="DQ121" s="143" t="n"/>
      <c r="DR121" s="143" t="n"/>
      <c r="DS121" s="143" t="n"/>
      <c r="DT121" s="143" t="n"/>
      <c r="DU121" s="143" t="n"/>
      <c r="DV121" s="143" t="n"/>
      <c r="DW121" s="143" t="n"/>
      <c r="DX121" s="143" t="n"/>
      <c r="DY121" s="143" t="n"/>
      <c r="DZ121" s="143" t="n"/>
      <c r="EA121" s="143" t="n"/>
      <c r="EB121" s="143" t="n"/>
      <c r="EC121" s="143" t="n"/>
      <c r="ED121" s="143" t="n"/>
      <c r="EE121" s="143" t="n"/>
      <c r="EF121" s="143" t="n"/>
      <c r="EG121" s="143" t="n"/>
      <c r="EH121" s="143" t="n"/>
      <c r="EI121" s="143" t="n"/>
      <c r="EJ121" s="143" t="n"/>
      <c r="EK121" s="143" t="n"/>
      <c r="EL121" s="143" t="n"/>
      <c r="EM121" s="143" t="n"/>
      <c r="EN121" s="143" t="n"/>
      <c r="EO121" s="143" t="n"/>
      <c r="EP121" s="143" t="n"/>
      <c r="EQ121" s="143" t="n"/>
      <c r="ER121" s="143" t="n"/>
      <c r="ES121" s="143" t="n"/>
      <c r="ET121" s="143" t="n"/>
      <c r="EU121" s="143" t="n"/>
      <c r="EV121" s="143" t="n"/>
      <c r="EW121" s="143" t="n"/>
      <c r="EX121" s="143" t="n"/>
    </row>
    <row r="122" ht="16.5" customHeight="1">
      <c r="J122" s="144" t="inlineStr">
        <is>
          <t>Contributions</t>
        </is>
      </c>
      <c r="K122" s="145" t="n"/>
      <c r="L122" s="146" t="n"/>
      <c r="M122" s="144">
        <f>SUMIF($V$4:$EX$4,"&lt;="&amp;$H$19,$V122:$EX122)</f>
        <v/>
      </c>
      <c r="N122" s="147" t="n"/>
      <c r="O122" s="144">
        <f>SUMIF($V$5:$EX$5,O$7,$V122:$EX122)</f>
        <v/>
      </c>
      <c r="P122" s="144">
        <f>SUMIF($V$5:$EX$5,P$7,$V122:$EX122)</f>
        <v/>
      </c>
      <c r="Q122" s="144">
        <f>SUMIF($V$5:$EX$5,Q$7,$V122:$EX122)</f>
        <v/>
      </c>
      <c r="R122" s="144">
        <f>SUMIF($V$5:$EX$5,R$7,$V122:$EX122)</f>
        <v/>
      </c>
      <c r="S122" s="144">
        <f>SUMIF($V$5:$EX$5,S$7,$V122:$EX122)</f>
        <v/>
      </c>
      <c r="T122" s="144">
        <f>SUMIF($V$5:$EX$5,T$7,$V122:$EX122)</f>
        <v/>
      </c>
      <c r="U122" s="147" t="n"/>
      <c r="V122" s="147">
        <f>V109*$H$8</f>
        <v/>
      </c>
      <c r="W122" s="147">
        <f>W109*$H$8</f>
        <v/>
      </c>
      <c r="X122" s="147">
        <f>X109*$H$8</f>
        <v/>
      </c>
      <c r="Y122" s="147">
        <f>Y109*$H$8</f>
        <v/>
      </c>
      <c r="Z122" s="147">
        <f>Z109*$H$8</f>
        <v/>
      </c>
      <c r="AA122" s="147">
        <f>AA109*$H$8</f>
        <v/>
      </c>
      <c r="AB122" s="147">
        <f>AB109*$H$8</f>
        <v/>
      </c>
      <c r="AC122" s="147">
        <f>AC109*$H$8</f>
        <v/>
      </c>
      <c r="AD122" s="147">
        <f>AD109*$H$8</f>
        <v/>
      </c>
      <c r="AE122" s="147">
        <f>AE109*$H$8</f>
        <v/>
      </c>
      <c r="AF122" s="147">
        <f>AF109*$H$8</f>
        <v/>
      </c>
      <c r="AG122" s="147">
        <f>AG109*$H$8</f>
        <v/>
      </c>
      <c r="AH122" s="147">
        <f>AH109*$H$8</f>
        <v/>
      </c>
      <c r="AI122" s="147">
        <f>AI109*$H$8</f>
        <v/>
      </c>
      <c r="AJ122" s="147">
        <f>AJ109*$H$8</f>
        <v/>
      </c>
      <c r="AK122" s="147">
        <f>AK109*$H$8</f>
        <v/>
      </c>
      <c r="AL122" s="147">
        <f>AL109*$H$8</f>
        <v/>
      </c>
      <c r="AM122" s="147">
        <f>AM109*$H$8</f>
        <v/>
      </c>
      <c r="AN122" s="147">
        <f>AN109*$H$8</f>
        <v/>
      </c>
      <c r="AO122" s="147">
        <f>AO109*$H$8</f>
        <v/>
      </c>
      <c r="AP122" s="147">
        <f>AP109*$H$8</f>
        <v/>
      </c>
      <c r="AQ122" s="147">
        <f>AQ109*$H$8</f>
        <v/>
      </c>
      <c r="AR122" s="147">
        <f>AR109*$H$8</f>
        <v/>
      </c>
      <c r="AS122" s="147">
        <f>AS109*$H$8</f>
        <v/>
      </c>
      <c r="AT122" s="147">
        <f>AT109*$H$8</f>
        <v/>
      </c>
      <c r="AU122" s="147">
        <f>AU109*$H$8</f>
        <v/>
      </c>
      <c r="AV122" s="147">
        <f>AV109*$H$8</f>
        <v/>
      </c>
      <c r="AW122" s="147">
        <f>AW109*$H$8</f>
        <v/>
      </c>
      <c r="AX122" s="147">
        <f>AX109*$H$8</f>
        <v/>
      </c>
      <c r="AY122" s="147">
        <f>AY109*$H$8</f>
        <v/>
      </c>
      <c r="AZ122" s="147">
        <f>AZ109*$H$8</f>
        <v/>
      </c>
      <c r="BA122" s="147">
        <f>BA109*$H$8</f>
        <v/>
      </c>
      <c r="BB122" s="147">
        <f>BB109*$H$8</f>
        <v/>
      </c>
      <c r="BC122" s="147">
        <f>BC109*$H$8</f>
        <v/>
      </c>
      <c r="BD122" s="147">
        <f>BD109*$H$8</f>
        <v/>
      </c>
      <c r="BE122" s="147">
        <f>BE109*$H$8</f>
        <v/>
      </c>
      <c r="BF122" s="147">
        <f>BF109*$H$8</f>
        <v/>
      </c>
      <c r="BG122" s="147">
        <f>BG109*$H$8</f>
        <v/>
      </c>
      <c r="BH122" s="147">
        <f>BH109*$H$8</f>
        <v/>
      </c>
      <c r="BI122" s="147">
        <f>BI109*$H$8</f>
        <v/>
      </c>
      <c r="BJ122" s="147">
        <f>BJ109*$H$8</f>
        <v/>
      </c>
      <c r="BK122" s="147">
        <f>BK109*$H$8</f>
        <v/>
      </c>
      <c r="BL122" s="147">
        <f>BL109*$H$8</f>
        <v/>
      </c>
      <c r="BM122" s="147">
        <f>BM109*$H$8</f>
        <v/>
      </c>
      <c r="BN122" s="147">
        <f>BN109*$H$8</f>
        <v/>
      </c>
      <c r="BO122" s="147">
        <f>BO109*$H$8</f>
        <v/>
      </c>
      <c r="BP122" s="147">
        <f>BP109*$H$8</f>
        <v/>
      </c>
      <c r="BQ122" s="147">
        <f>BQ109*$H$8</f>
        <v/>
      </c>
      <c r="BR122" s="147">
        <f>BR109*$H$8</f>
        <v/>
      </c>
      <c r="BS122" s="147">
        <f>BS109*$H$8</f>
        <v/>
      </c>
      <c r="BT122" s="147">
        <f>BT109*$H$8</f>
        <v/>
      </c>
      <c r="BU122" s="147">
        <f>BU109*$H$8</f>
        <v/>
      </c>
      <c r="BV122" s="147">
        <f>BV109*$H$8</f>
        <v/>
      </c>
      <c r="BW122" s="147">
        <f>BW109*$H$8</f>
        <v/>
      </c>
      <c r="BX122" s="147">
        <f>BX109*$H$8</f>
        <v/>
      </c>
      <c r="BY122" s="147">
        <f>BY109*$H$8</f>
        <v/>
      </c>
      <c r="BZ122" s="147">
        <f>BZ109*$H$8</f>
        <v/>
      </c>
      <c r="CA122" s="147">
        <f>CA109*$H$8</f>
        <v/>
      </c>
      <c r="CB122" s="147">
        <f>CB109*$H$8</f>
        <v/>
      </c>
      <c r="CC122" s="147">
        <f>CC109*$H$8</f>
        <v/>
      </c>
      <c r="CD122" s="147">
        <f>CD109*$H$8</f>
        <v/>
      </c>
      <c r="CE122" s="147">
        <f>CE109*$H$8</f>
        <v/>
      </c>
      <c r="CF122" s="147">
        <f>CF109*$H$8</f>
        <v/>
      </c>
      <c r="CG122" s="147">
        <f>CG109*$H$8</f>
        <v/>
      </c>
      <c r="CH122" s="147">
        <f>CH109*$H$8</f>
        <v/>
      </c>
      <c r="CI122" s="147">
        <f>CI109*$H$8</f>
        <v/>
      </c>
      <c r="CJ122" s="147">
        <f>CJ109*$H$8</f>
        <v/>
      </c>
      <c r="CK122" s="147">
        <f>CK109*$H$8</f>
        <v/>
      </c>
      <c r="CL122" s="147">
        <f>CL109*$H$8</f>
        <v/>
      </c>
      <c r="CM122" s="147">
        <f>CM109*$H$8</f>
        <v/>
      </c>
      <c r="CN122" s="147">
        <f>CN109*$H$8</f>
        <v/>
      </c>
      <c r="CO122" s="147">
        <f>CO109*$H$8</f>
        <v/>
      </c>
      <c r="CP122" s="147">
        <f>CP109*$H$8</f>
        <v/>
      </c>
      <c r="CQ122" s="147">
        <f>CQ109*$H$8</f>
        <v/>
      </c>
      <c r="CR122" s="147">
        <f>CR109*$H$8</f>
        <v/>
      </c>
      <c r="CS122" s="147">
        <f>CS109*$H$8</f>
        <v/>
      </c>
      <c r="CT122" s="147">
        <f>CT109*$H$8</f>
        <v/>
      </c>
      <c r="CU122" s="147">
        <f>CU109*$H$8</f>
        <v/>
      </c>
      <c r="CV122" s="147">
        <f>CV109*$H$8</f>
        <v/>
      </c>
      <c r="CW122" s="147">
        <f>CW109*$H$8</f>
        <v/>
      </c>
      <c r="CX122" s="147">
        <f>CX109*$H$8</f>
        <v/>
      </c>
      <c r="CY122" s="147">
        <f>CY109*$H$8</f>
        <v/>
      </c>
      <c r="CZ122" s="147">
        <f>CZ109*$H$8</f>
        <v/>
      </c>
      <c r="DA122" s="147">
        <f>DA109*$H$8</f>
        <v/>
      </c>
      <c r="DB122" s="147">
        <f>DB109*$H$8</f>
        <v/>
      </c>
      <c r="DC122" s="147">
        <f>DC109*$H$8</f>
        <v/>
      </c>
      <c r="DD122" s="147">
        <f>DD109*$H$8</f>
        <v/>
      </c>
      <c r="DE122" s="147">
        <f>DE109*$H$8</f>
        <v/>
      </c>
      <c r="DF122" s="147">
        <f>DF109*$H$8</f>
        <v/>
      </c>
      <c r="DG122" s="147">
        <f>DG109*$H$8</f>
        <v/>
      </c>
      <c r="DH122" s="147">
        <f>DH109*$H$8</f>
        <v/>
      </c>
      <c r="DI122" s="147">
        <f>DI109*$H$8</f>
        <v/>
      </c>
      <c r="DJ122" s="147">
        <f>DJ109*$H$8</f>
        <v/>
      </c>
      <c r="DK122" s="147">
        <f>DK109*$H$8</f>
        <v/>
      </c>
      <c r="DL122" s="147">
        <f>DL109*$H$8</f>
        <v/>
      </c>
      <c r="DM122" s="147">
        <f>DM109*$H$8</f>
        <v/>
      </c>
      <c r="DN122" s="147">
        <f>DN109*$H$8</f>
        <v/>
      </c>
      <c r="DO122" s="147">
        <f>DO109*$H$8</f>
        <v/>
      </c>
      <c r="DP122" s="147">
        <f>DP109*$H$8</f>
        <v/>
      </c>
      <c r="DQ122" s="147">
        <f>DQ109*$H$8</f>
        <v/>
      </c>
      <c r="DR122" s="147">
        <f>DR109*$H$8</f>
        <v/>
      </c>
      <c r="DS122" s="147">
        <f>DS109*$H$8</f>
        <v/>
      </c>
      <c r="DT122" s="147">
        <f>DT109*$H$8</f>
        <v/>
      </c>
      <c r="DU122" s="147">
        <f>DU109*$H$8</f>
        <v/>
      </c>
      <c r="DV122" s="147">
        <f>DV109*$H$8</f>
        <v/>
      </c>
      <c r="DW122" s="147">
        <f>DW109*$H$8</f>
        <v/>
      </c>
      <c r="DX122" s="147">
        <f>DX109*$H$8</f>
        <v/>
      </c>
      <c r="DY122" s="147">
        <f>DY109*$H$8</f>
        <v/>
      </c>
      <c r="DZ122" s="147">
        <f>DZ109*$H$8</f>
        <v/>
      </c>
      <c r="EA122" s="147">
        <f>EA109*$H$8</f>
        <v/>
      </c>
      <c r="EB122" s="147">
        <f>EB109*$H$8</f>
        <v/>
      </c>
      <c r="EC122" s="147">
        <f>EC109*$H$8</f>
        <v/>
      </c>
      <c r="ED122" s="147">
        <f>ED109*$H$8</f>
        <v/>
      </c>
      <c r="EE122" s="147">
        <f>EE109*$H$8</f>
        <v/>
      </c>
      <c r="EF122" s="147">
        <f>EF109*$H$8</f>
        <v/>
      </c>
      <c r="EG122" s="147">
        <f>EG109*$H$8</f>
        <v/>
      </c>
      <c r="EH122" s="147">
        <f>EH109*$H$8</f>
        <v/>
      </c>
      <c r="EI122" s="147">
        <f>EI109*$H$8</f>
        <v/>
      </c>
      <c r="EJ122" s="147">
        <f>EJ109*$H$8</f>
        <v/>
      </c>
      <c r="EK122" s="147">
        <f>EK109*$H$8</f>
        <v/>
      </c>
      <c r="EL122" s="147">
        <f>EL109*$H$8</f>
        <v/>
      </c>
      <c r="EM122" s="147">
        <f>EM109*$H$8</f>
        <v/>
      </c>
      <c r="EN122" s="147">
        <f>EN109*$H$8</f>
        <v/>
      </c>
      <c r="EO122" s="147">
        <f>EO109*$H$8</f>
        <v/>
      </c>
      <c r="EP122" s="147">
        <f>EP109*$H$8</f>
        <v/>
      </c>
      <c r="EQ122" s="147">
        <f>EQ109*$H$8</f>
        <v/>
      </c>
      <c r="ER122" s="147">
        <f>ER109*$H$8</f>
        <v/>
      </c>
      <c r="ES122" s="147">
        <f>ES109*$H$8</f>
        <v/>
      </c>
      <c r="ET122" s="147">
        <f>ET109*$H$8</f>
        <v/>
      </c>
      <c r="EU122" s="147">
        <f>EU109*$H$8</f>
        <v/>
      </c>
      <c r="EV122" s="147">
        <f>EV109*$H$8</f>
        <v/>
      </c>
      <c r="EW122" s="147">
        <f>EW109*$H$8</f>
        <v/>
      </c>
      <c r="EX122" s="147">
        <f>EX109*$H$8</f>
        <v/>
      </c>
    </row>
    <row r="123" ht="16.5" customHeight="1">
      <c r="J123" s="144" t="inlineStr">
        <is>
          <t>Distribution</t>
        </is>
      </c>
      <c r="K123" s="145" t="n"/>
      <c r="L123" s="146" t="n"/>
      <c r="M123" s="144">
        <f>SUMIF($V$4:$EX$4,"&lt;="&amp;$H$19,$V123:$EX123)</f>
        <v/>
      </c>
      <c r="N123" s="147" t="n"/>
      <c r="O123" s="144">
        <f>SUMIF($V$5:$EX$5,O$7,$V123:$EX123)</f>
        <v/>
      </c>
      <c r="P123" s="144">
        <f>SUMIF($V$5:$EX$5,P$7,$V123:$EX123)</f>
        <v/>
      </c>
      <c r="Q123" s="144">
        <f>SUMIF($V$5:$EX$5,Q$7,$V123:$EX123)</f>
        <v/>
      </c>
      <c r="R123" s="144">
        <f>SUMIF($V$5:$EX$5,R$7,$V123:$EX123)</f>
        <v/>
      </c>
      <c r="S123" s="144">
        <f>SUMIF($V$5:$EX$5,S$7,$V123:$EX123)</f>
        <v/>
      </c>
      <c r="T123" s="144">
        <f>SUMIF($V$5:$EX$5,T$7,$V123:$EX123)</f>
        <v/>
      </c>
      <c r="U123" s="147" t="n"/>
      <c r="V123" s="147">
        <f>V110*$H$8</f>
        <v/>
      </c>
      <c r="W123" s="147">
        <f>W110*$H$8</f>
        <v/>
      </c>
      <c r="X123" s="147">
        <f>X110*$H$8</f>
        <v/>
      </c>
      <c r="Y123" s="147">
        <f>Y110*$H$8</f>
        <v/>
      </c>
      <c r="Z123" s="147">
        <f>Z110*$H$8</f>
        <v/>
      </c>
      <c r="AA123" s="147">
        <f>AA110*$H$8</f>
        <v/>
      </c>
      <c r="AB123" s="147">
        <f>AB110*$H$8</f>
        <v/>
      </c>
      <c r="AC123" s="147">
        <f>AC110*$H$8</f>
        <v/>
      </c>
      <c r="AD123" s="147">
        <f>AD110*$H$8</f>
        <v/>
      </c>
      <c r="AE123" s="147">
        <f>AE110*$H$8</f>
        <v/>
      </c>
      <c r="AF123" s="147">
        <f>AF110*$H$8</f>
        <v/>
      </c>
      <c r="AG123" s="147">
        <f>AG110*$H$8</f>
        <v/>
      </c>
      <c r="AH123" s="147">
        <f>AH110*$H$8</f>
        <v/>
      </c>
      <c r="AI123" s="147">
        <f>AI110*$H$8</f>
        <v/>
      </c>
      <c r="AJ123" s="147">
        <f>AJ110*$H$8</f>
        <v/>
      </c>
      <c r="AK123" s="147">
        <f>AK110*$H$8</f>
        <v/>
      </c>
      <c r="AL123" s="147">
        <f>AL110*$H$8</f>
        <v/>
      </c>
      <c r="AM123" s="147">
        <f>AM110*$H$8</f>
        <v/>
      </c>
      <c r="AN123" s="147">
        <f>AN110*$H$8</f>
        <v/>
      </c>
      <c r="AO123" s="147">
        <f>AO110*$H$8</f>
        <v/>
      </c>
      <c r="AP123" s="147">
        <f>AP110*$H$8</f>
        <v/>
      </c>
      <c r="AQ123" s="147">
        <f>AQ110*$H$8</f>
        <v/>
      </c>
      <c r="AR123" s="147">
        <f>AR110*$H$8</f>
        <v/>
      </c>
      <c r="AS123" s="147">
        <f>AS110*$H$8</f>
        <v/>
      </c>
      <c r="AT123" s="147">
        <f>AT110*$H$8</f>
        <v/>
      </c>
      <c r="AU123" s="147">
        <f>AU110*$H$8</f>
        <v/>
      </c>
      <c r="AV123" s="147">
        <f>AV110*$H$8</f>
        <v/>
      </c>
      <c r="AW123" s="147">
        <f>AW110*$H$8</f>
        <v/>
      </c>
      <c r="AX123" s="147">
        <f>AX110*$H$8</f>
        <v/>
      </c>
      <c r="AY123" s="147">
        <f>AY110*$H$8</f>
        <v/>
      </c>
      <c r="AZ123" s="147">
        <f>AZ110*$H$8</f>
        <v/>
      </c>
      <c r="BA123" s="147">
        <f>BA110*$H$8</f>
        <v/>
      </c>
      <c r="BB123" s="147">
        <f>BB110*$H$8</f>
        <v/>
      </c>
      <c r="BC123" s="147">
        <f>BC110*$H$8</f>
        <v/>
      </c>
      <c r="BD123" s="147">
        <f>BD110*$H$8</f>
        <v/>
      </c>
      <c r="BE123" s="147">
        <f>BE110*$H$8</f>
        <v/>
      </c>
      <c r="BF123" s="147">
        <f>BF110*$H$8</f>
        <v/>
      </c>
      <c r="BG123" s="147">
        <f>BG110*$H$8</f>
        <v/>
      </c>
      <c r="BH123" s="147">
        <f>BH110*$H$8</f>
        <v/>
      </c>
      <c r="BI123" s="147">
        <f>BI110*$H$8</f>
        <v/>
      </c>
      <c r="BJ123" s="147">
        <f>BJ110*$H$8</f>
        <v/>
      </c>
      <c r="BK123" s="147">
        <f>BK110*$H$8</f>
        <v/>
      </c>
      <c r="BL123" s="147">
        <f>BL110*$H$8</f>
        <v/>
      </c>
      <c r="BM123" s="147">
        <f>BM110*$H$8</f>
        <v/>
      </c>
      <c r="BN123" s="147">
        <f>BN110*$H$8</f>
        <v/>
      </c>
      <c r="BO123" s="147">
        <f>BO110*$H$8</f>
        <v/>
      </c>
      <c r="BP123" s="147">
        <f>BP110*$H$8</f>
        <v/>
      </c>
      <c r="BQ123" s="147">
        <f>BQ110*$H$8</f>
        <v/>
      </c>
      <c r="BR123" s="147">
        <f>BR110*$H$8</f>
        <v/>
      </c>
      <c r="BS123" s="147">
        <f>BS110*$H$8</f>
        <v/>
      </c>
      <c r="BT123" s="147">
        <f>BT110*$H$8</f>
        <v/>
      </c>
      <c r="BU123" s="147">
        <f>BU110*$H$8</f>
        <v/>
      </c>
      <c r="BV123" s="147">
        <f>BV110*$H$8</f>
        <v/>
      </c>
      <c r="BW123" s="147">
        <f>BW110*$H$8</f>
        <v/>
      </c>
      <c r="BX123" s="147">
        <f>BX110*$H$8</f>
        <v/>
      </c>
      <c r="BY123" s="147">
        <f>BY110*$H$8</f>
        <v/>
      </c>
      <c r="BZ123" s="147">
        <f>BZ110*$H$8</f>
        <v/>
      </c>
      <c r="CA123" s="147">
        <f>CA110*$H$8</f>
        <v/>
      </c>
      <c r="CB123" s="147">
        <f>CB110*$H$8</f>
        <v/>
      </c>
      <c r="CC123" s="147">
        <f>CC110*$H$8</f>
        <v/>
      </c>
      <c r="CD123" s="147">
        <f>CD110*$H$8</f>
        <v/>
      </c>
      <c r="CE123" s="147">
        <f>CE110*$H$8</f>
        <v/>
      </c>
      <c r="CF123" s="147">
        <f>CF110*$H$8</f>
        <v/>
      </c>
      <c r="CG123" s="147">
        <f>CG110*$H$8</f>
        <v/>
      </c>
      <c r="CH123" s="147">
        <f>CH110*$H$8</f>
        <v/>
      </c>
      <c r="CI123" s="147">
        <f>CI110*$H$8</f>
        <v/>
      </c>
      <c r="CJ123" s="147">
        <f>CJ110*$H$8</f>
        <v/>
      </c>
      <c r="CK123" s="147">
        <f>CK110*$H$8</f>
        <v/>
      </c>
      <c r="CL123" s="147">
        <f>CL110*$H$8</f>
        <v/>
      </c>
      <c r="CM123" s="147">
        <f>CM110*$H$8</f>
        <v/>
      </c>
      <c r="CN123" s="147">
        <f>CN110*$H$8</f>
        <v/>
      </c>
      <c r="CO123" s="147">
        <f>CO110*$H$8</f>
        <v/>
      </c>
      <c r="CP123" s="147">
        <f>CP110*$H$8</f>
        <v/>
      </c>
      <c r="CQ123" s="147">
        <f>CQ110*$H$8</f>
        <v/>
      </c>
      <c r="CR123" s="147">
        <f>CR110*$H$8</f>
        <v/>
      </c>
      <c r="CS123" s="147">
        <f>CS110*$H$8</f>
        <v/>
      </c>
      <c r="CT123" s="147">
        <f>CT110*$H$8</f>
        <v/>
      </c>
      <c r="CU123" s="147">
        <f>CU110*$H$8</f>
        <v/>
      </c>
      <c r="CV123" s="147">
        <f>CV110*$H$8</f>
        <v/>
      </c>
      <c r="CW123" s="147">
        <f>CW110*$H$8</f>
        <v/>
      </c>
      <c r="CX123" s="147">
        <f>CX110*$H$8</f>
        <v/>
      </c>
      <c r="CY123" s="147">
        <f>CY110*$H$8</f>
        <v/>
      </c>
      <c r="CZ123" s="147">
        <f>CZ110*$H$8</f>
        <v/>
      </c>
      <c r="DA123" s="147">
        <f>DA110*$H$8</f>
        <v/>
      </c>
      <c r="DB123" s="147">
        <f>DB110*$H$8</f>
        <v/>
      </c>
      <c r="DC123" s="147">
        <f>DC110*$H$8</f>
        <v/>
      </c>
      <c r="DD123" s="147">
        <f>DD110*$H$8</f>
        <v/>
      </c>
      <c r="DE123" s="147">
        <f>DE110*$H$8</f>
        <v/>
      </c>
      <c r="DF123" s="147">
        <f>DF110*$H$8</f>
        <v/>
      </c>
      <c r="DG123" s="147">
        <f>DG110*$H$8</f>
        <v/>
      </c>
      <c r="DH123" s="147">
        <f>DH110*$H$8</f>
        <v/>
      </c>
      <c r="DI123" s="147">
        <f>DI110*$H$8</f>
        <v/>
      </c>
      <c r="DJ123" s="147">
        <f>DJ110*$H$8</f>
        <v/>
      </c>
      <c r="DK123" s="147">
        <f>DK110*$H$8</f>
        <v/>
      </c>
      <c r="DL123" s="147">
        <f>DL110*$H$8</f>
        <v/>
      </c>
      <c r="DM123" s="147">
        <f>DM110*$H$8</f>
        <v/>
      </c>
      <c r="DN123" s="147">
        <f>DN110*$H$8</f>
        <v/>
      </c>
      <c r="DO123" s="147">
        <f>DO110*$H$8</f>
        <v/>
      </c>
      <c r="DP123" s="147">
        <f>DP110*$H$8</f>
        <v/>
      </c>
      <c r="DQ123" s="147">
        <f>DQ110*$H$8</f>
        <v/>
      </c>
      <c r="DR123" s="147">
        <f>DR110*$H$8</f>
        <v/>
      </c>
      <c r="DS123" s="147">
        <f>DS110*$H$8</f>
        <v/>
      </c>
      <c r="DT123" s="147">
        <f>DT110*$H$8</f>
        <v/>
      </c>
      <c r="DU123" s="147">
        <f>DU110*$H$8</f>
        <v/>
      </c>
      <c r="DV123" s="147">
        <f>DV110*$H$8</f>
        <v/>
      </c>
      <c r="DW123" s="147">
        <f>DW110*$H$8</f>
        <v/>
      </c>
      <c r="DX123" s="147">
        <f>DX110*$H$8</f>
        <v/>
      </c>
      <c r="DY123" s="147">
        <f>DY110*$H$8</f>
        <v/>
      </c>
      <c r="DZ123" s="147">
        <f>DZ110*$H$8</f>
        <v/>
      </c>
      <c r="EA123" s="147">
        <f>EA110*$H$8</f>
        <v/>
      </c>
      <c r="EB123" s="147">
        <f>EB110*$H$8</f>
        <v/>
      </c>
      <c r="EC123" s="147">
        <f>EC110*$H$8</f>
        <v/>
      </c>
      <c r="ED123" s="147">
        <f>ED110*$H$8</f>
        <v/>
      </c>
      <c r="EE123" s="147">
        <f>EE110*$H$8</f>
        <v/>
      </c>
      <c r="EF123" s="147">
        <f>EF110*$H$8</f>
        <v/>
      </c>
      <c r="EG123" s="147">
        <f>EG110*$H$8</f>
        <v/>
      </c>
      <c r="EH123" s="147">
        <f>EH110*$H$8</f>
        <v/>
      </c>
      <c r="EI123" s="147">
        <f>EI110*$H$8</f>
        <v/>
      </c>
      <c r="EJ123" s="147">
        <f>EJ110*$H$8</f>
        <v/>
      </c>
      <c r="EK123" s="147">
        <f>EK110*$H$8</f>
        <v/>
      </c>
      <c r="EL123" s="147">
        <f>EL110*$H$8</f>
        <v/>
      </c>
      <c r="EM123" s="147">
        <f>EM110*$H$8</f>
        <v/>
      </c>
      <c r="EN123" s="147">
        <f>EN110*$H$8</f>
        <v/>
      </c>
      <c r="EO123" s="147">
        <f>EO110*$H$8</f>
        <v/>
      </c>
      <c r="EP123" s="147">
        <f>EP110*$H$8</f>
        <v/>
      </c>
      <c r="EQ123" s="147">
        <f>EQ110*$H$8</f>
        <v/>
      </c>
      <c r="ER123" s="147">
        <f>ER110*$H$8</f>
        <v/>
      </c>
      <c r="ES123" s="147">
        <f>ES110*$H$8</f>
        <v/>
      </c>
      <c r="ET123" s="147">
        <f>ET110*$H$8</f>
        <v/>
      </c>
      <c r="EU123" s="147">
        <f>EU110*$H$8</f>
        <v/>
      </c>
      <c r="EV123" s="147">
        <f>EV110*$H$8</f>
        <v/>
      </c>
      <c r="EW123" s="147">
        <f>EW110*$H$8</f>
        <v/>
      </c>
      <c r="EX123" s="147">
        <f>EX110*$H$8</f>
        <v/>
      </c>
    </row>
    <row r="124" ht="18.75" customHeight="1">
      <c r="I124" s="155" t="n"/>
      <c r="J124" s="346" t="inlineStr">
        <is>
          <t>GP Cash Flow</t>
        </is>
      </c>
      <c r="K124" s="347" t="n"/>
      <c r="L124" s="348" t="n"/>
      <c r="M124" s="346">
        <f>SUMIF($V$4:$EX$4,"&lt;="&amp;$H$19,$V124:$EX124)</f>
        <v/>
      </c>
      <c r="N124" s="349" t="n"/>
      <c r="O124" s="346">
        <f>SUMIF($V$5:$EX$5,O$7,$V124:$EX124)</f>
        <v/>
      </c>
      <c r="P124" s="346">
        <f>SUMIF($V$5:$EX$5,P$7,$V124:$EX124)</f>
        <v/>
      </c>
      <c r="Q124" s="346">
        <f>SUMIF($V$5:$EX$5,Q$7,$V124:$EX124)</f>
        <v/>
      </c>
      <c r="R124" s="346">
        <f>SUMIF($V$5:$EX$5,R$7,$V124:$EX124)</f>
        <v/>
      </c>
      <c r="S124" s="346">
        <f>SUMIF($V$5:$EX$5,S$7,$V124:$EX124)</f>
        <v/>
      </c>
      <c r="T124" s="346">
        <f>SUMIF($V$5:$EX$5,T$7,$V124:$EX124)</f>
        <v/>
      </c>
      <c r="U124" s="349" t="n"/>
      <c r="V124" s="350">
        <f>SUM(V122:V123)</f>
        <v/>
      </c>
      <c r="W124" s="350">
        <f>SUM(W122:W123)</f>
        <v/>
      </c>
      <c r="X124" s="350">
        <f>SUM(X122:X123)</f>
        <v/>
      </c>
      <c r="Y124" s="350">
        <f>SUM(Y122:Y123)</f>
        <v/>
      </c>
      <c r="Z124" s="350">
        <f>SUM(Z122:Z123)</f>
        <v/>
      </c>
      <c r="AA124" s="350">
        <f>SUM(AA122:AA123)</f>
        <v/>
      </c>
      <c r="AB124" s="350">
        <f>SUM(AB122:AB123)</f>
        <v/>
      </c>
      <c r="AC124" s="350">
        <f>SUM(AC122:AC123)</f>
        <v/>
      </c>
      <c r="AD124" s="350">
        <f>SUM(AD122:AD123)</f>
        <v/>
      </c>
      <c r="AE124" s="350">
        <f>SUM(AE122:AE123)</f>
        <v/>
      </c>
      <c r="AF124" s="350">
        <f>SUM(AF122:AF123)</f>
        <v/>
      </c>
      <c r="AG124" s="350">
        <f>SUM(AG122:AG123)</f>
        <v/>
      </c>
      <c r="AH124" s="350">
        <f>SUM(AH122:AH123)</f>
        <v/>
      </c>
      <c r="AI124" s="350">
        <f>SUM(AI122:AI123)</f>
        <v/>
      </c>
      <c r="AJ124" s="350">
        <f>SUM(AJ122:AJ123)</f>
        <v/>
      </c>
      <c r="AK124" s="350">
        <f>SUM(AK122:AK123)</f>
        <v/>
      </c>
      <c r="AL124" s="350">
        <f>SUM(AL122:AL123)</f>
        <v/>
      </c>
      <c r="AM124" s="350">
        <f>SUM(AM122:AM123)</f>
        <v/>
      </c>
      <c r="AN124" s="350">
        <f>SUM(AN122:AN123)</f>
        <v/>
      </c>
      <c r="AO124" s="350">
        <f>SUM(AO122:AO123)</f>
        <v/>
      </c>
      <c r="AP124" s="350">
        <f>SUM(AP122:AP123)</f>
        <v/>
      </c>
      <c r="AQ124" s="350">
        <f>SUM(AQ122:AQ123)</f>
        <v/>
      </c>
      <c r="AR124" s="350">
        <f>SUM(AR122:AR123)</f>
        <v/>
      </c>
      <c r="AS124" s="350">
        <f>SUM(AS122:AS123)</f>
        <v/>
      </c>
      <c r="AT124" s="350">
        <f>SUM(AT122:AT123)</f>
        <v/>
      </c>
      <c r="AU124" s="350">
        <f>SUM(AU122:AU123)</f>
        <v/>
      </c>
      <c r="AV124" s="350">
        <f>SUM(AV122:AV123)</f>
        <v/>
      </c>
      <c r="AW124" s="350">
        <f>SUM(AW122:AW123)</f>
        <v/>
      </c>
      <c r="AX124" s="350">
        <f>SUM(AX122:AX123)</f>
        <v/>
      </c>
      <c r="AY124" s="350">
        <f>SUM(AY122:AY123)</f>
        <v/>
      </c>
      <c r="AZ124" s="350">
        <f>SUM(AZ122:AZ123)</f>
        <v/>
      </c>
      <c r="BA124" s="350">
        <f>SUM(BA122:BA123)</f>
        <v/>
      </c>
      <c r="BB124" s="350">
        <f>SUM(BB122:BB123)</f>
        <v/>
      </c>
      <c r="BC124" s="350">
        <f>SUM(BC122:BC123)</f>
        <v/>
      </c>
      <c r="BD124" s="350">
        <f>SUM(BD122:BD123)</f>
        <v/>
      </c>
      <c r="BE124" s="350">
        <f>SUM(BE122:BE123)</f>
        <v/>
      </c>
      <c r="BF124" s="350">
        <f>SUM(BF122:BF123)</f>
        <v/>
      </c>
      <c r="BG124" s="350">
        <f>SUM(BG122:BG123)</f>
        <v/>
      </c>
      <c r="BH124" s="350">
        <f>SUM(BH122:BH123)</f>
        <v/>
      </c>
      <c r="BI124" s="350">
        <f>SUM(BI122:BI123)</f>
        <v/>
      </c>
      <c r="BJ124" s="350">
        <f>SUM(BJ122:BJ123)</f>
        <v/>
      </c>
      <c r="BK124" s="350">
        <f>SUM(BK122:BK123)</f>
        <v/>
      </c>
      <c r="BL124" s="350">
        <f>SUM(BL122:BL123)</f>
        <v/>
      </c>
      <c r="BM124" s="350">
        <f>SUM(BM122:BM123)</f>
        <v/>
      </c>
      <c r="BN124" s="350">
        <f>SUM(BN122:BN123)</f>
        <v/>
      </c>
      <c r="BO124" s="350">
        <f>SUM(BO122:BO123)</f>
        <v/>
      </c>
      <c r="BP124" s="350">
        <f>SUM(BP122:BP123)</f>
        <v/>
      </c>
      <c r="BQ124" s="350">
        <f>SUM(BQ122:BQ123)</f>
        <v/>
      </c>
      <c r="BR124" s="350">
        <f>SUM(BR122:BR123)</f>
        <v/>
      </c>
      <c r="BS124" s="350">
        <f>SUM(BS122:BS123)</f>
        <v/>
      </c>
      <c r="BT124" s="350">
        <f>SUM(BT122:BT123)</f>
        <v/>
      </c>
      <c r="BU124" s="350">
        <f>SUM(BU122:BU123)</f>
        <v/>
      </c>
      <c r="BV124" s="350">
        <f>SUM(BV122:BV123)</f>
        <v/>
      </c>
      <c r="BW124" s="350">
        <f>SUM(BW122:BW123)</f>
        <v/>
      </c>
      <c r="BX124" s="350">
        <f>SUM(BX122:BX123)</f>
        <v/>
      </c>
      <c r="BY124" s="350">
        <f>SUM(BY122:BY123)</f>
        <v/>
      </c>
      <c r="BZ124" s="350">
        <f>SUM(BZ122:BZ123)</f>
        <v/>
      </c>
      <c r="CA124" s="350">
        <f>SUM(CA122:CA123)</f>
        <v/>
      </c>
      <c r="CB124" s="350">
        <f>SUM(CB122:CB123)</f>
        <v/>
      </c>
      <c r="CC124" s="350">
        <f>SUM(CC122:CC123)</f>
        <v/>
      </c>
      <c r="CD124" s="350">
        <f>SUM(CD122:CD123)</f>
        <v/>
      </c>
      <c r="CE124" s="350">
        <f>SUM(CE122:CE123)</f>
        <v/>
      </c>
      <c r="CF124" s="350">
        <f>SUM(CF122:CF123)</f>
        <v/>
      </c>
      <c r="CG124" s="350">
        <f>SUM(CG122:CG123)</f>
        <v/>
      </c>
      <c r="CH124" s="350">
        <f>SUM(CH122:CH123)</f>
        <v/>
      </c>
      <c r="CI124" s="350">
        <f>SUM(CI122:CI123)</f>
        <v/>
      </c>
      <c r="CJ124" s="350">
        <f>SUM(CJ122:CJ123)</f>
        <v/>
      </c>
      <c r="CK124" s="350">
        <f>SUM(CK122:CK123)</f>
        <v/>
      </c>
      <c r="CL124" s="350">
        <f>SUM(CL122:CL123)</f>
        <v/>
      </c>
      <c r="CM124" s="350">
        <f>SUM(CM122:CM123)</f>
        <v/>
      </c>
      <c r="CN124" s="350">
        <f>SUM(CN122:CN123)</f>
        <v/>
      </c>
      <c r="CO124" s="350">
        <f>SUM(CO122:CO123)</f>
        <v/>
      </c>
      <c r="CP124" s="350">
        <f>SUM(CP122:CP123)</f>
        <v/>
      </c>
      <c r="CQ124" s="350">
        <f>SUM(CQ122:CQ123)</f>
        <v/>
      </c>
      <c r="CR124" s="350">
        <f>SUM(CR122:CR123)</f>
        <v/>
      </c>
      <c r="CS124" s="350">
        <f>SUM(CS122:CS123)</f>
        <v/>
      </c>
      <c r="CT124" s="350">
        <f>SUM(CT122:CT123)</f>
        <v/>
      </c>
      <c r="CU124" s="350">
        <f>SUM(CU122:CU123)</f>
        <v/>
      </c>
      <c r="CV124" s="350">
        <f>SUM(CV122:CV123)</f>
        <v/>
      </c>
      <c r="CW124" s="350">
        <f>SUM(CW122:CW123)</f>
        <v/>
      </c>
      <c r="CX124" s="350">
        <f>SUM(CX122:CX123)</f>
        <v/>
      </c>
      <c r="CY124" s="350">
        <f>SUM(CY122:CY123)</f>
        <v/>
      </c>
      <c r="CZ124" s="350">
        <f>SUM(CZ122:CZ123)</f>
        <v/>
      </c>
      <c r="DA124" s="350">
        <f>SUM(DA122:DA123)</f>
        <v/>
      </c>
      <c r="DB124" s="350">
        <f>SUM(DB122:DB123)</f>
        <v/>
      </c>
      <c r="DC124" s="350">
        <f>SUM(DC122:DC123)</f>
        <v/>
      </c>
      <c r="DD124" s="350">
        <f>SUM(DD122:DD123)</f>
        <v/>
      </c>
      <c r="DE124" s="350">
        <f>SUM(DE122:DE123)</f>
        <v/>
      </c>
      <c r="DF124" s="350">
        <f>SUM(DF122:DF123)</f>
        <v/>
      </c>
      <c r="DG124" s="350">
        <f>SUM(DG122:DG123)</f>
        <v/>
      </c>
      <c r="DH124" s="350">
        <f>SUM(DH122:DH123)</f>
        <v/>
      </c>
      <c r="DI124" s="350">
        <f>SUM(DI122:DI123)</f>
        <v/>
      </c>
      <c r="DJ124" s="350">
        <f>SUM(DJ122:DJ123)</f>
        <v/>
      </c>
      <c r="DK124" s="350">
        <f>SUM(DK122:DK123)</f>
        <v/>
      </c>
      <c r="DL124" s="350">
        <f>SUM(DL122:DL123)</f>
        <v/>
      </c>
      <c r="DM124" s="350">
        <f>SUM(DM122:DM123)</f>
        <v/>
      </c>
      <c r="DN124" s="350">
        <f>SUM(DN122:DN123)</f>
        <v/>
      </c>
      <c r="DO124" s="350">
        <f>SUM(DO122:DO123)</f>
        <v/>
      </c>
      <c r="DP124" s="350">
        <f>SUM(DP122:DP123)</f>
        <v/>
      </c>
      <c r="DQ124" s="350">
        <f>SUM(DQ122:DQ123)</f>
        <v/>
      </c>
      <c r="DR124" s="350">
        <f>SUM(DR122:DR123)</f>
        <v/>
      </c>
      <c r="DS124" s="350">
        <f>SUM(DS122:DS123)</f>
        <v/>
      </c>
      <c r="DT124" s="350">
        <f>SUM(DT122:DT123)</f>
        <v/>
      </c>
      <c r="DU124" s="350">
        <f>SUM(DU122:DU123)</f>
        <v/>
      </c>
      <c r="DV124" s="350">
        <f>SUM(DV122:DV123)</f>
        <v/>
      </c>
      <c r="DW124" s="350">
        <f>SUM(DW122:DW123)</f>
        <v/>
      </c>
      <c r="DX124" s="350">
        <f>SUM(DX122:DX123)</f>
        <v/>
      </c>
      <c r="DY124" s="350">
        <f>SUM(DY122:DY123)</f>
        <v/>
      </c>
      <c r="DZ124" s="350">
        <f>SUM(DZ122:DZ123)</f>
        <v/>
      </c>
      <c r="EA124" s="350">
        <f>SUM(EA122:EA123)</f>
        <v/>
      </c>
      <c r="EB124" s="350">
        <f>SUM(EB122:EB123)</f>
        <v/>
      </c>
      <c r="EC124" s="350">
        <f>SUM(EC122:EC123)</f>
        <v/>
      </c>
      <c r="ED124" s="350">
        <f>SUM(ED122:ED123)</f>
        <v/>
      </c>
      <c r="EE124" s="350">
        <f>SUM(EE122:EE123)</f>
        <v/>
      </c>
      <c r="EF124" s="350">
        <f>SUM(EF122:EF123)</f>
        <v/>
      </c>
      <c r="EG124" s="350">
        <f>SUM(EG122:EG123)</f>
        <v/>
      </c>
      <c r="EH124" s="350">
        <f>SUM(EH122:EH123)</f>
        <v/>
      </c>
      <c r="EI124" s="350">
        <f>SUM(EI122:EI123)</f>
        <v/>
      </c>
      <c r="EJ124" s="350">
        <f>SUM(EJ122:EJ123)</f>
        <v/>
      </c>
      <c r="EK124" s="350">
        <f>SUM(EK122:EK123)</f>
        <v/>
      </c>
      <c r="EL124" s="350">
        <f>SUM(EL122:EL123)</f>
        <v/>
      </c>
      <c r="EM124" s="350">
        <f>SUM(EM122:EM123)</f>
        <v/>
      </c>
      <c r="EN124" s="350">
        <f>SUM(EN122:EN123)</f>
        <v/>
      </c>
      <c r="EO124" s="350">
        <f>SUM(EO122:EO123)</f>
        <v/>
      </c>
      <c r="EP124" s="350">
        <f>SUM(EP122:EP123)</f>
        <v/>
      </c>
      <c r="EQ124" s="350">
        <f>SUM(EQ122:EQ123)</f>
        <v/>
      </c>
      <c r="ER124" s="350">
        <f>SUM(ER122:ER123)</f>
        <v/>
      </c>
      <c r="ES124" s="350">
        <f>SUM(ES122:ES123)</f>
        <v/>
      </c>
      <c r="ET124" s="350">
        <f>SUM(ET122:ET123)</f>
        <v/>
      </c>
      <c r="EU124" s="350">
        <f>SUM(EU122:EU123)</f>
        <v/>
      </c>
      <c r="EV124" s="350">
        <f>SUM(EV122:EV123)</f>
        <v/>
      </c>
      <c r="EW124" s="350">
        <f>SUM(EW122:EW123)</f>
        <v/>
      </c>
      <c r="EX124" s="350">
        <f>SUM(EX122:EX123)</f>
        <v/>
      </c>
    </row>
    <row r="125" ht="15.75" customFormat="1" customHeight="1" s="282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12" t="n"/>
      <c r="J125" s="9" t="n"/>
      <c r="K125" s="15" t="inlineStr">
        <is>
          <t>Net Profit</t>
        </is>
      </c>
      <c r="L125" s="194" t="n"/>
      <c r="M125" s="264">
        <f>SUM(V124:EX124)</f>
        <v/>
      </c>
      <c r="N125" s="56" t="n"/>
      <c r="O125" s="25" t="n"/>
      <c r="P125" s="25" t="n"/>
      <c r="Q125" s="25" t="n"/>
      <c r="R125" s="25" t="n"/>
      <c r="S125" s="25" t="n"/>
      <c r="T125" s="25" t="n"/>
      <c r="U125" s="56" t="n"/>
      <c r="V125" s="349" t="n"/>
      <c r="W125" s="349" t="n"/>
      <c r="X125" s="349" t="n"/>
      <c r="Y125" s="349" t="n"/>
      <c r="Z125" s="349" t="n"/>
      <c r="AA125" s="349" t="n"/>
      <c r="AB125" s="349" t="n"/>
      <c r="AC125" s="349" t="n"/>
      <c r="AD125" s="349" t="n"/>
      <c r="AE125" s="349" t="n"/>
      <c r="AF125" s="349" t="n"/>
      <c r="AG125" s="349" t="n"/>
      <c r="AH125" s="349" t="n"/>
      <c r="AI125" s="349" t="n"/>
      <c r="AJ125" s="349" t="n"/>
      <c r="AK125" s="349" t="n"/>
      <c r="AL125" s="349" t="n"/>
      <c r="AM125" s="349" t="n"/>
      <c r="AN125" s="349" t="n"/>
      <c r="AO125" s="349" t="n"/>
      <c r="AP125" s="349" t="n"/>
      <c r="AQ125" s="349" t="n"/>
      <c r="AR125" s="349" t="n"/>
      <c r="AS125" s="349" t="n"/>
      <c r="AT125" s="349" t="n"/>
      <c r="AU125" s="349" t="n"/>
      <c r="AV125" s="349" t="n"/>
      <c r="AW125" s="349" t="n"/>
      <c r="AX125" s="349" t="n"/>
      <c r="AY125" s="349" t="n"/>
      <c r="AZ125" s="349" t="n"/>
      <c r="BA125" s="349" t="n"/>
      <c r="BB125" s="349" t="n"/>
      <c r="BC125" s="349" t="n"/>
      <c r="BD125" s="349" t="n"/>
      <c r="BE125" s="349" t="n"/>
      <c r="BF125" s="349" t="n"/>
      <c r="BG125" s="349" t="n"/>
      <c r="BH125" s="349" t="n"/>
      <c r="BI125" s="349" t="n"/>
      <c r="BJ125" s="349" t="n"/>
      <c r="BK125" s="349" t="n"/>
      <c r="BL125" s="349" t="n"/>
      <c r="BM125" s="349" t="n"/>
      <c r="BN125" s="349" t="n"/>
      <c r="BO125" s="349" t="n"/>
      <c r="BP125" s="349" t="n"/>
      <c r="BQ125" s="349" t="n"/>
      <c r="BR125" s="349" t="n"/>
      <c r="BS125" s="349" t="n"/>
      <c r="BT125" s="349" t="n"/>
      <c r="BU125" s="349" t="n"/>
      <c r="BV125" s="349" t="n"/>
      <c r="BW125" s="349" t="n"/>
      <c r="BX125" s="349" t="n"/>
      <c r="BY125" s="349" t="n"/>
      <c r="BZ125" s="349" t="n"/>
      <c r="CA125" s="349" t="n"/>
      <c r="CB125" s="349" t="n"/>
      <c r="CC125" s="349" t="n"/>
      <c r="CD125" s="349" t="n"/>
      <c r="CE125" s="349" t="n"/>
      <c r="CF125" s="349" t="n"/>
      <c r="CG125" s="349" t="n"/>
      <c r="CH125" s="349" t="n"/>
      <c r="CI125" s="349" t="n"/>
      <c r="CJ125" s="349" t="n"/>
      <c r="CK125" s="349" t="n"/>
      <c r="CL125" s="349" t="n"/>
      <c r="CM125" s="349" t="n"/>
      <c r="CN125" s="349" t="n"/>
      <c r="CO125" s="349" t="n"/>
      <c r="CP125" s="349" t="n"/>
      <c r="CQ125" s="349" t="n"/>
      <c r="CR125" s="349" t="n"/>
      <c r="CS125" s="349" t="n"/>
      <c r="CT125" s="349" t="n"/>
      <c r="CU125" s="349" t="n"/>
      <c r="CV125" s="349" t="n"/>
      <c r="CW125" s="349" t="n"/>
      <c r="CX125" s="349" t="n"/>
      <c r="CY125" s="349" t="n"/>
      <c r="CZ125" s="349" t="n"/>
      <c r="DA125" s="349" t="n"/>
      <c r="DB125" s="349" t="n"/>
      <c r="DC125" s="349" t="n"/>
      <c r="DD125" s="349" t="n"/>
      <c r="DE125" s="349" t="n"/>
      <c r="DF125" s="349" t="n"/>
      <c r="DG125" s="349" t="n"/>
      <c r="DH125" s="349" t="n"/>
      <c r="DI125" s="349" t="n"/>
      <c r="DJ125" s="349" t="n"/>
      <c r="DK125" s="349" t="n"/>
      <c r="DL125" s="349" t="n"/>
      <c r="DM125" s="349" t="n"/>
      <c r="DN125" s="349" t="n"/>
      <c r="DO125" s="349" t="n"/>
      <c r="DP125" s="349" t="n"/>
      <c r="DQ125" s="349" t="n"/>
      <c r="DR125" s="349" t="n"/>
      <c r="DS125" s="349" t="n"/>
      <c r="DT125" s="349" t="n"/>
      <c r="DU125" s="349" t="n"/>
      <c r="DV125" s="349" t="n"/>
      <c r="DW125" s="349" t="n"/>
      <c r="DX125" s="349" t="n"/>
      <c r="DY125" s="349" t="n"/>
      <c r="DZ125" s="349" t="n"/>
      <c r="EA125" s="349" t="n"/>
      <c r="EB125" s="349" t="n"/>
      <c r="EC125" s="349" t="n"/>
      <c r="ED125" s="349" t="n"/>
      <c r="EE125" s="349" t="n"/>
      <c r="EF125" s="349" t="n"/>
      <c r="EG125" s="349" t="n"/>
      <c r="EH125" s="349" t="n"/>
      <c r="EI125" s="349" t="n"/>
      <c r="EJ125" s="349" t="n"/>
      <c r="EK125" s="349" t="n"/>
      <c r="EL125" s="349" t="n"/>
      <c r="EM125" s="349" t="n"/>
      <c r="EN125" s="349" t="n"/>
      <c r="EO125" s="349" t="n"/>
      <c r="EP125" s="349" t="n"/>
      <c r="EQ125" s="349" t="n"/>
      <c r="ER125" s="349" t="n"/>
      <c r="ES125" s="349" t="n"/>
      <c r="ET125" s="349" t="n"/>
      <c r="EU125" s="349" t="n"/>
      <c r="EV125" s="349" t="n"/>
      <c r="EW125" s="349" t="n"/>
      <c r="EX125" s="349" t="n"/>
    </row>
    <row r="126" ht="15.75" customHeight="1">
      <c r="K126" s="15" t="inlineStr">
        <is>
          <t>Peak Equity</t>
        </is>
      </c>
      <c r="L126" s="194" t="n"/>
      <c r="M126" s="264">
        <f>SUMIF(V124:EX124,"&lt;0",V124:EX124)</f>
        <v/>
      </c>
      <c r="N126" s="56" t="n"/>
      <c r="O126" s="25" t="n"/>
      <c r="P126" s="25" t="n"/>
      <c r="Q126" s="25" t="n"/>
      <c r="R126" s="25" t="n"/>
      <c r="S126" s="25" t="n"/>
      <c r="T126" s="25" t="n"/>
      <c r="U126" s="56" t="n"/>
      <c r="V126" s="349" t="n"/>
      <c r="W126" s="349" t="n"/>
      <c r="X126" s="349" t="n"/>
      <c r="Y126" s="349" t="n"/>
      <c r="Z126" s="349" t="n"/>
      <c r="AA126" s="349" t="n"/>
      <c r="AB126" s="349" t="n"/>
      <c r="AC126" s="349" t="n"/>
      <c r="AD126" s="349" t="n"/>
      <c r="AE126" s="349" t="n"/>
      <c r="AF126" s="349" t="n"/>
      <c r="AG126" s="349" t="n"/>
      <c r="AH126" s="349" t="n"/>
      <c r="AI126" s="349" t="n"/>
      <c r="AJ126" s="349" t="n"/>
      <c r="AK126" s="349" t="n"/>
      <c r="AL126" s="349" t="n"/>
      <c r="AM126" s="349" t="n"/>
      <c r="AN126" s="349" t="n"/>
      <c r="AO126" s="349" t="n"/>
      <c r="AP126" s="349" t="n"/>
      <c r="AQ126" s="349" t="n"/>
      <c r="AR126" s="349" t="n"/>
      <c r="AS126" s="349" t="n"/>
      <c r="AT126" s="349" t="n"/>
      <c r="AU126" s="349" t="n"/>
      <c r="AV126" s="349" t="n"/>
      <c r="AW126" s="349" t="n"/>
      <c r="AX126" s="349" t="n"/>
      <c r="AY126" s="349" t="n"/>
      <c r="AZ126" s="349" t="n"/>
      <c r="BA126" s="349" t="n"/>
      <c r="BB126" s="349" t="n"/>
      <c r="BC126" s="349" t="n"/>
      <c r="BD126" s="349" t="n"/>
      <c r="BE126" s="349" t="n"/>
      <c r="BF126" s="349" t="n"/>
      <c r="BG126" s="349" t="n"/>
      <c r="BH126" s="349" t="n"/>
      <c r="BI126" s="349" t="n"/>
      <c r="BJ126" s="349" t="n"/>
      <c r="BK126" s="349" t="n"/>
      <c r="BL126" s="349" t="n"/>
      <c r="BM126" s="349" t="n"/>
      <c r="BN126" s="349" t="n"/>
      <c r="BO126" s="349" t="n"/>
      <c r="BP126" s="349" t="n"/>
      <c r="BQ126" s="349" t="n"/>
      <c r="BR126" s="349" t="n"/>
      <c r="BS126" s="349" t="n"/>
      <c r="BT126" s="349" t="n"/>
      <c r="BU126" s="349" t="n"/>
      <c r="BV126" s="349" t="n"/>
      <c r="BW126" s="349" t="n"/>
      <c r="BX126" s="349" t="n"/>
      <c r="BY126" s="349" t="n"/>
      <c r="BZ126" s="349" t="n"/>
      <c r="CA126" s="349" t="n"/>
      <c r="CB126" s="349" t="n"/>
      <c r="CC126" s="349" t="n"/>
      <c r="CD126" s="349" t="n"/>
      <c r="CE126" s="349" t="n"/>
      <c r="CF126" s="349" t="n"/>
      <c r="CG126" s="349" t="n"/>
      <c r="CH126" s="349" t="n"/>
      <c r="CI126" s="349" t="n"/>
      <c r="CJ126" s="349" t="n"/>
      <c r="CK126" s="349" t="n"/>
      <c r="CL126" s="349" t="n"/>
      <c r="CM126" s="349" t="n"/>
      <c r="CN126" s="349" t="n"/>
      <c r="CO126" s="349" t="n"/>
      <c r="CP126" s="349" t="n"/>
      <c r="CQ126" s="349" t="n"/>
      <c r="CR126" s="349" t="n"/>
      <c r="CS126" s="349" t="n"/>
      <c r="CT126" s="349" t="n"/>
      <c r="CU126" s="349" t="n"/>
      <c r="CV126" s="349" t="n"/>
      <c r="CW126" s="349" t="n"/>
      <c r="CX126" s="349" t="n"/>
      <c r="CY126" s="349" t="n"/>
      <c r="CZ126" s="349" t="n"/>
      <c r="DA126" s="349" t="n"/>
      <c r="DB126" s="349" t="n"/>
      <c r="DC126" s="349" t="n"/>
      <c r="DD126" s="349" t="n"/>
      <c r="DE126" s="349" t="n"/>
      <c r="DF126" s="349" t="n"/>
      <c r="DG126" s="349" t="n"/>
      <c r="DH126" s="349" t="n"/>
      <c r="DI126" s="349" t="n"/>
      <c r="DJ126" s="349" t="n"/>
      <c r="DK126" s="349" t="n"/>
      <c r="DL126" s="349" t="n"/>
      <c r="DM126" s="349" t="n"/>
      <c r="DN126" s="349" t="n"/>
      <c r="DO126" s="349" t="n"/>
      <c r="DP126" s="349" t="n"/>
      <c r="DQ126" s="349" t="n"/>
      <c r="DR126" s="349" t="n"/>
      <c r="DS126" s="349" t="n"/>
      <c r="DT126" s="349" t="n"/>
      <c r="DU126" s="349" t="n"/>
      <c r="DV126" s="349" t="n"/>
      <c r="DW126" s="349" t="n"/>
      <c r="DX126" s="349" t="n"/>
      <c r="DY126" s="349" t="n"/>
      <c r="DZ126" s="349" t="n"/>
      <c r="EA126" s="349" t="n"/>
      <c r="EB126" s="349" t="n"/>
      <c r="EC126" s="349" t="n"/>
      <c r="ED126" s="349" t="n"/>
      <c r="EE126" s="349" t="n"/>
      <c r="EF126" s="349" t="n"/>
      <c r="EG126" s="349" t="n"/>
      <c r="EH126" s="349" t="n"/>
      <c r="EI126" s="349" t="n"/>
      <c r="EJ126" s="349" t="n"/>
      <c r="EK126" s="349" t="n"/>
      <c r="EL126" s="349" t="n"/>
      <c r="EM126" s="349" t="n"/>
      <c r="EN126" s="349" t="n"/>
      <c r="EO126" s="349" t="n"/>
      <c r="EP126" s="349" t="n"/>
      <c r="EQ126" s="349" t="n"/>
      <c r="ER126" s="349" t="n"/>
      <c r="ES126" s="349" t="n"/>
      <c r="ET126" s="349" t="n"/>
      <c r="EU126" s="349" t="n"/>
      <c r="EV126" s="349" t="n"/>
      <c r="EW126" s="349" t="n"/>
      <c r="EX126" s="349" t="n"/>
    </row>
    <row r="127" ht="16.5" customHeight="1">
      <c r="B127" s="145" t="n"/>
      <c r="K127" s="15" t="inlineStr">
        <is>
          <t>IRR</t>
        </is>
      </c>
      <c r="L127" s="194" t="n"/>
      <c r="M127" s="164">
        <f>(1+IRR(V124:EX124,0))^12-1</f>
        <v/>
      </c>
      <c r="N127" s="159" t="n"/>
      <c r="O127" s="28" t="n"/>
      <c r="P127" s="28" t="n"/>
      <c r="Q127" s="28" t="n"/>
      <c r="R127" s="28" t="n"/>
      <c r="S127" s="28" t="n"/>
      <c r="T127" s="28" t="n"/>
      <c r="U127" s="159" t="n"/>
      <c r="V127" s="157" t="n"/>
      <c r="W127" s="349" t="n"/>
      <c r="X127" s="349" t="n"/>
      <c r="Y127" s="349" t="n"/>
      <c r="Z127" s="349" t="n"/>
      <c r="AA127" s="349" t="n"/>
      <c r="AB127" s="349" t="n"/>
      <c r="AC127" s="349" t="n"/>
      <c r="AD127" s="349" t="n"/>
      <c r="AE127" s="349" t="n"/>
      <c r="AF127" s="142" t="n"/>
      <c r="AG127" s="351" t="n"/>
      <c r="AH127" s="351" t="n"/>
      <c r="AI127" s="351" t="n"/>
      <c r="AJ127" s="351" t="n"/>
      <c r="AK127" s="351" t="n"/>
      <c r="AL127" s="351" t="n"/>
      <c r="AM127" s="351" t="n"/>
      <c r="AN127" s="351" t="n"/>
      <c r="AO127" s="351" t="n"/>
      <c r="AP127" s="351" t="n"/>
      <c r="AQ127" s="351" t="n"/>
      <c r="AR127" s="351" t="n"/>
      <c r="AS127" s="351" t="n"/>
      <c r="AT127" s="351" t="n"/>
      <c r="AU127" s="351" t="n"/>
      <c r="AV127" s="351" t="n"/>
      <c r="AW127" s="351" t="n"/>
      <c r="AX127" s="351" t="n"/>
      <c r="AY127" s="351" t="n"/>
      <c r="AZ127" s="351" t="n"/>
      <c r="BA127" s="351" t="n"/>
      <c r="BB127" s="351" t="n"/>
      <c r="BC127" s="351" t="n"/>
      <c r="BD127" s="351" t="n"/>
      <c r="BE127" s="351" t="n"/>
      <c r="BF127" s="351" t="n"/>
      <c r="BG127" s="351" t="n"/>
      <c r="BH127" s="351" t="n"/>
      <c r="BI127" s="351" t="n"/>
      <c r="BJ127" s="351" t="n"/>
      <c r="BK127" s="351" t="n"/>
      <c r="BL127" s="351" t="n"/>
      <c r="BM127" s="351" t="n"/>
      <c r="BN127" s="351" t="n"/>
      <c r="BO127" s="351" t="n"/>
      <c r="BP127" s="351" t="n"/>
      <c r="BQ127" s="351" t="n"/>
      <c r="BR127" s="351" t="n"/>
      <c r="BS127" s="351" t="n"/>
      <c r="BT127" s="351" t="n"/>
      <c r="BU127" s="351" t="n"/>
      <c r="BV127" s="351" t="n"/>
      <c r="BW127" s="351" t="n"/>
      <c r="BX127" s="351" t="n"/>
      <c r="BY127" s="351" t="n"/>
      <c r="BZ127" s="351" t="n"/>
      <c r="CA127" s="351" t="n"/>
      <c r="CB127" s="351" t="n"/>
      <c r="CC127" s="351" t="n"/>
      <c r="CD127" s="351" t="n"/>
      <c r="CE127" s="351" t="n"/>
      <c r="CF127" s="351" t="n"/>
      <c r="CG127" s="351" t="n"/>
      <c r="CH127" s="351" t="n"/>
      <c r="CI127" s="351" t="n"/>
      <c r="CJ127" s="351" t="n"/>
      <c r="CK127" s="351" t="n"/>
      <c r="CL127" s="351" t="n"/>
      <c r="CM127" s="351" t="n"/>
      <c r="CN127" s="351" t="n"/>
      <c r="CO127" s="351" t="n"/>
      <c r="CP127" s="351" t="n"/>
      <c r="CQ127" s="351" t="n"/>
      <c r="CR127" s="351" t="n"/>
      <c r="CS127" s="351" t="n"/>
      <c r="CT127" s="351" t="n"/>
      <c r="CU127" s="351" t="n"/>
      <c r="CV127" s="351" t="n"/>
      <c r="CW127" s="351" t="n"/>
      <c r="CX127" s="351" t="n"/>
      <c r="CY127" s="351" t="n"/>
      <c r="CZ127" s="351" t="n"/>
      <c r="DA127" s="351" t="n"/>
      <c r="DB127" s="351" t="n"/>
      <c r="DC127" s="351" t="n"/>
      <c r="DD127" s="351" t="n"/>
      <c r="DE127" s="351" t="n"/>
      <c r="DF127" s="351" t="n"/>
      <c r="DG127" s="351" t="n"/>
      <c r="DH127" s="351" t="n"/>
      <c r="DI127" s="351" t="n"/>
      <c r="DJ127" s="351" t="n"/>
      <c r="DK127" s="351" t="n"/>
      <c r="DL127" s="351" t="n"/>
      <c r="DM127" s="351" t="n"/>
      <c r="DN127" s="351" t="n"/>
      <c r="DO127" s="351" t="n"/>
      <c r="DP127" s="351" t="n"/>
      <c r="DQ127" s="351" t="n"/>
      <c r="DR127" s="351" t="n"/>
      <c r="DS127" s="351" t="n"/>
      <c r="DT127" s="351" t="n"/>
      <c r="DU127" s="351" t="n"/>
      <c r="DV127" s="351" t="n"/>
      <c r="DW127" s="351" t="n"/>
      <c r="DX127" s="351" t="n"/>
      <c r="DY127" s="351" t="n"/>
      <c r="DZ127" s="351" t="n"/>
      <c r="EA127" s="351" t="n"/>
      <c r="EB127" s="351" t="n"/>
      <c r="EC127" s="351" t="n"/>
      <c r="ED127" s="351" t="n"/>
      <c r="EE127" s="351" t="n"/>
      <c r="EF127" s="351" t="n"/>
      <c r="EG127" s="351" t="n"/>
      <c r="EH127" s="351" t="n"/>
      <c r="EI127" s="351" t="n"/>
      <c r="EJ127" s="351" t="n"/>
      <c r="EK127" s="351" t="n"/>
      <c r="EL127" s="351" t="n"/>
      <c r="EM127" s="351" t="n"/>
      <c r="EN127" s="351" t="n"/>
      <c r="EO127" s="351" t="n"/>
      <c r="EP127" s="351" t="n"/>
      <c r="EQ127" s="351" t="n"/>
      <c r="ER127" s="351" t="n"/>
      <c r="ES127" s="351" t="n"/>
      <c r="ET127" s="351" t="n"/>
      <c r="EU127" s="351" t="n"/>
      <c r="EV127" s="351" t="n"/>
      <c r="EW127" s="351" t="n"/>
      <c r="EX127" s="351" t="n"/>
    </row>
    <row r="128" ht="16.5" customHeight="1">
      <c r="B128" s="145" t="n"/>
      <c r="K128" s="15" t="inlineStr">
        <is>
          <t>Equity Multiple</t>
        </is>
      </c>
      <c r="L128" s="194" t="n"/>
      <c r="M128" s="312">
        <f>(M125-M126)/-M126</f>
        <v/>
      </c>
      <c r="N128" s="352" t="n"/>
      <c r="O128" s="353" t="n"/>
      <c r="P128" s="353" t="n"/>
      <c r="Q128" s="353" t="n"/>
      <c r="R128" s="353" t="n"/>
      <c r="S128" s="353" t="n"/>
      <c r="T128" s="353" t="n"/>
      <c r="U128" s="352" t="n"/>
    </row>
    <row r="129" ht="18.75" customHeight="1">
      <c r="A129" s="266" t="n"/>
      <c r="B129" s="354" t="n"/>
      <c r="J129" s="16" t="n"/>
      <c r="K129" s="16" t="n"/>
      <c r="L129" s="14" t="n"/>
      <c r="M129" s="205" t="n"/>
      <c r="N129" s="352" t="n"/>
      <c r="O129" s="353" t="n"/>
      <c r="P129" s="353" t="n"/>
      <c r="Q129" s="353" t="n"/>
      <c r="R129" s="353" t="n"/>
      <c r="S129" s="353" t="n"/>
      <c r="T129" s="353" t="n"/>
      <c r="U129" s="352" t="n"/>
    </row>
    <row r="130">
      <c r="J130" s="36" t="inlineStr">
        <is>
          <t>Loan Schedule</t>
        </is>
      </c>
      <c r="K130" s="133" t="n"/>
      <c r="M130" s="204" t="n"/>
      <c r="O130" s="133" t="n"/>
      <c r="P130" s="133" t="n"/>
      <c r="Q130" s="133" t="n"/>
      <c r="R130" s="133" t="n"/>
      <c r="S130" s="133" t="n"/>
      <c r="T130" s="133" t="n"/>
      <c r="V130" s="133" t="n"/>
      <c r="W130" s="133" t="n"/>
      <c r="X130" s="133" t="n"/>
      <c r="Y130" s="133" t="n"/>
      <c r="Z130" s="133" t="n"/>
      <c r="AA130" s="133" t="n"/>
      <c r="AB130" s="133" t="n"/>
      <c r="AC130" s="133" t="n"/>
      <c r="AD130" s="133" t="n"/>
      <c r="AE130" s="133" t="n"/>
      <c r="AF130" s="133" t="n"/>
      <c r="AG130" s="133" t="n"/>
      <c r="AH130" s="133" t="n"/>
      <c r="AI130" s="133" t="n"/>
      <c r="AJ130" s="133" t="n"/>
      <c r="AK130" s="133" t="n"/>
      <c r="AL130" s="133" t="n"/>
      <c r="AM130" s="133" t="n"/>
      <c r="AN130" s="133" t="n"/>
      <c r="AO130" s="133" t="n"/>
      <c r="AP130" s="133" t="n"/>
      <c r="AQ130" s="133" t="n"/>
      <c r="AR130" s="133" t="n"/>
      <c r="AS130" s="133" t="n"/>
      <c r="AT130" s="133" t="n"/>
      <c r="AU130" s="133" t="n"/>
      <c r="AV130" s="133" t="n"/>
      <c r="AW130" s="133" t="n"/>
      <c r="AX130" s="133" t="n"/>
      <c r="AY130" s="133" t="n"/>
      <c r="AZ130" s="133" t="n"/>
      <c r="BA130" s="133" t="n"/>
      <c r="BB130" s="133" t="n"/>
      <c r="BC130" s="133" t="n"/>
      <c r="BD130" s="133" t="n"/>
      <c r="BE130" s="133" t="n"/>
      <c r="BF130" s="133" t="n"/>
      <c r="BG130" s="133" t="n"/>
      <c r="BH130" s="133" t="n"/>
      <c r="BI130" s="133" t="n"/>
      <c r="BJ130" s="133" t="n"/>
      <c r="BK130" s="133" t="n"/>
      <c r="BL130" s="133" t="n"/>
      <c r="BM130" s="133" t="n"/>
      <c r="BN130" s="133" t="n"/>
      <c r="BO130" s="133" t="n"/>
      <c r="BP130" s="133" t="n"/>
      <c r="BQ130" s="133" t="n"/>
      <c r="BR130" s="133" t="n"/>
      <c r="BS130" s="133" t="n"/>
      <c r="BT130" s="133" t="n"/>
      <c r="BU130" s="133" t="n"/>
      <c r="BV130" s="133" t="n"/>
      <c r="BW130" s="133" t="n"/>
      <c r="BX130" s="133" t="n"/>
      <c r="BY130" s="133" t="n"/>
      <c r="BZ130" s="133" t="n"/>
      <c r="CA130" s="133" t="n"/>
      <c r="CB130" s="133" t="n"/>
      <c r="CC130" s="133" t="n"/>
      <c r="CD130" s="133" t="n"/>
      <c r="CE130" s="133" t="n"/>
      <c r="CF130" s="133" t="n"/>
      <c r="CG130" s="133" t="n"/>
      <c r="CH130" s="133" t="n"/>
      <c r="CI130" s="133" t="n"/>
      <c r="CJ130" s="133" t="n"/>
      <c r="CK130" s="133" t="n"/>
      <c r="CL130" s="133" t="n"/>
      <c r="CM130" s="133" t="n"/>
      <c r="CN130" s="133" t="n"/>
      <c r="CO130" s="133" t="n"/>
      <c r="CP130" s="133" t="n"/>
      <c r="CQ130" s="133" t="n"/>
      <c r="CR130" s="133" t="n"/>
      <c r="CS130" s="133" t="n"/>
      <c r="CT130" s="133" t="n"/>
      <c r="CU130" s="133" t="n"/>
      <c r="CV130" s="133" t="n"/>
      <c r="CW130" s="133" t="n"/>
      <c r="CX130" s="133" t="n"/>
      <c r="CY130" s="133" t="n"/>
      <c r="CZ130" s="133" t="n"/>
      <c r="DA130" s="133" t="n"/>
      <c r="DB130" s="133" t="n"/>
      <c r="DC130" s="133" t="n"/>
      <c r="DD130" s="133" t="n"/>
      <c r="DE130" s="133" t="n"/>
      <c r="DF130" s="133" t="n"/>
      <c r="DG130" s="133" t="n"/>
      <c r="DH130" s="133" t="n"/>
      <c r="DI130" s="133" t="n"/>
      <c r="DJ130" s="133" t="n"/>
      <c r="DK130" s="133" t="n"/>
      <c r="DL130" s="133" t="n"/>
      <c r="DM130" s="133" t="n"/>
      <c r="DN130" s="133" t="n"/>
      <c r="DO130" s="133" t="n"/>
      <c r="DP130" s="133" t="n"/>
      <c r="DQ130" s="133" t="n"/>
      <c r="DR130" s="133" t="n"/>
      <c r="DS130" s="133" t="n"/>
      <c r="DT130" s="133" t="n"/>
      <c r="DU130" s="133" t="n"/>
      <c r="DV130" s="133" t="n"/>
      <c r="DW130" s="133" t="n"/>
      <c r="DX130" s="133" t="n"/>
      <c r="DY130" s="133" t="n"/>
      <c r="DZ130" s="133" t="n"/>
      <c r="EA130" s="133" t="n"/>
      <c r="EB130" s="133" t="n"/>
      <c r="EC130" s="133" t="n"/>
      <c r="ED130" s="133" t="n"/>
      <c r="EE130" s="133" t="n"/>
      <c r="EF130" s="133" t="n"/>
      <c r="EG130" s="133" t="n"/>
      <c r="EH130" s="133" t="n"/>
      <c r="EI130" s="133" t="n"/>
      <c r="EJ130" s="133" t="n"/>
      <c r="EK130" s="133" t="n"/>
      <c r="EL130" s="133" t="n"/>
      <c r="EM130" s="133" t="n"/>
      <c r="EN130" s="133" t="n"/>
      <c r="EO130" s="133" t="n"/>
      <c r="EP130" s="133" t="n"/>
      <c r="EQ130" s="133" t="n"/>
      <c r="ER130" s="133" t="n"/>
      <c r="ES130" s="133" t="n"/>
      <c r="ET130" s="133" t="n"/>
      <c r="EU130" s="133" t="n"/>
      <c r="EV130" s="133" t="n"/>
      <c r="EW130" s="133" t="n"/>
      <c r="EX130" s="133" t="n"/>
    </row>
    <row r="131">
      <c r="J131" s="16" t="inlineStr">
        <is>
          <t>Interest Rate</t>
        </is>
      </c>
    </row>
    <row r="132">
      <c r="J132" s="9" t="inlineStr">
        <is>
          <t>SOFR</t>
        </is>
      </c>
      <c r="V132" s="164" t="n">
        <v>0</v>
      </c>
      <c r="W132" s="164" t="n">
        <v>0</v>
      </c>
      <c r="X132" s="164" t="n">
        <v>0</v>
      </c>
      <c r="Y132" s="164" t="n">
        <v>0</v>
      </c>
      <c r="Z132" s="164" t="n">
        <v>0</v>
      </c>
      <c r="AA132" s="164" t="n">
        <v>0</v>
      </c>
      <c r="AB132" s="164" t="n">
        <v>0</v>
      </c>
      <c r="AC132" s="164" t="n">
        <v>0</v>
      </c>
      <c r="AD132" s="164" t="n">
        <v>0</v>
      </c>
      <c r="AE132" s="164" t="n">
        <v>0</v>
      </c>
      <c r="AF132" s="164" t="n">
        <v>0</v>
      </c>
      <c r="AG132" s="164" t="n">
        <v>0</v>
      </c>
      <c r="AH132" s="164" t="n">
        <v>0</v>
      </c>
      <c r="AI132" s="164" t="n">
        <v>0</v>
      </c>
      <c r="AJ132" s="164" t="n">
        <v>0</v>
      </c>
      <c r="AK132" s="164" t="n">
        <v>0</v>
      </c>
      <c r="AL132" s="164" t="n">
        <v>0</v>
      </c>
      <c r="AM132" s="164" t="n">
        <v>0</v>
      </c>
      <c r="AN132" s="164" t="n">
        <v>0</v>
      </c>
      <c r="AO132" s="164" t="n">
        <v>0</v>
      </c>
      <c r="AP132" s="164" t="n">
        <v>0</v>
      </c>
      <c r="AQ132" s="164" t="n">
        <v>0</v>
      </c>
      <c r="AR132" s="164" t="n">
        <v>0</v>
      </c>
      <c r="AS132" s="164" t="n">
        <v>0</v>
      </c>
      <c r="AT132" s="164" t="n">
        <v>0</v>
      </c>
      <c r="AU132" s="164" t="n">
        <v>0</v>
      </c>
      <c r="AV132" s="164" t="n">
        <v>0</v>
      </c>
      <c r="AW132" s="164" t="n">
        <v>0</v>
      </c>
      <c r="AX132" s="164" t="n">
        <v>0</v>
      </c>
      <c r="AY132" s="164" t="n">
        <v>0</v>
      </c>
      <c r="AZ132" s="164" t="n">
        <v>0</v>
      </c>
      <c r="BA132" s="164" t="n">
        <v>0</v>
      </c>
      <c r="BB132" s="164" t="n">
        <v>0</v>
      </c>
      <c r="BC132" s="164" t="n">
        <v>0</v>
      </c>
      <c r="BD132" s="164" t="n">
        <v>0</v>
      </c>
      <c r="BE132" s="164" t="n">
        <v>0</v>
      </c>
      <c r="BF132" s="164" t="n">
        <v>0</v>
      </c>
      <c r="BG132" s="164" t="n">
        <v>0</v>
      </c>
      <c r="BH132" s="164" t="n">
        <v>0</v>
      </c>
      <c r="BI132" s="164" t="n">
        <v>0</v>
      </c>
      <c r="BJ132" s="164" t="n">
        <v>0</v>
      </c>
      <c r="BK132" s="164" t="n">
        <v>0</v>
      </c>
      <c r="BL132" s="164" t="n">
        <v>0</v>
      </c>
      <c r="BM132" s="164" t="n">
        <v>0</v>
      </c>
      <c r="BN132" s="164" t="n">
        <v>0</v>
      </c>
      <c r="BO132" s="164" t="n">
        <v>0</v>
      </c>
      <c r="BP132" s="164" t="n">
        <v>0</v>
      </c>
      <c r="BQ132" s="164" t="n">
        <v>0</v>
      </c>
      <c r="BR132" s="164" t="n">
        <v>0</v>
      </c>
      <c r="BS132" s="164" t="n">
        <v>0</v>
      </c>
      <c r="BT132" s="164" t="n">
        <v>0</v>
      </c>
      <c r="BU132" s="164" t="n">
        <v>0</v>
      </c>
      <c r="BV132" s="164" t="n">
        <v>0</v>
      </c>
      <c r="BW132" s="164" t="n">
        <v>0</v>
      </c>
      <c r="BX132" s="164" t="n">
        <v>0</v>
      </c>
      <c r="BY132" s="164" t="n">
        <v>0</v>
      </c>
      <c r="BZ132" s="164" t="n">
        <v>0</v>
      </c>
      <c r="CA132" s="164" t="n">
        <v>0</v>
      </c>
      <c r="CB132" s="164" t="n">
        <v>0</v>
      </c>
      <c r="CC132" s="164" t="n">
        <v>0</v>
      </c>
      <c r="CD132" s="164" t="n">
        <v>0</v>
      </c>
      <c r="CE132" s="164" t="n">
        <v>0</v>
      </c>
      <c r="CF132" s="164" t="n">
        <v>0</v>
      </c>
      <c r="CG132" s="164" t="n">
        <v>0</v>
      </c>
      <c r="CH132" s="164" t="n">
        <v>0</v>
      </c>
      <c r="CI132" s="164" t="n">
        <v>0</v>
      </c>
      <c r="CJ132" s="164" t="n">
        <v>0</v>
      </c>
      <c r="CK132" s="164" t="n">
        <v>0</v>
      </c>
      <c r="CL132" s="164" t="n">
        <v>0</v>
      </c>
      <c r="CM132" s="164" t="n">
        <v>0</v>
      </c>
      <c r="CN132" s="164" t="n">
        <v>0</v>
      </c>
      <c r="CO132" s="164" t="n">
        <v>0</v>
      </c>
      <c r="CP132" s="164" t="n">
        <v>0</v>
      </c>
      <c r="CQ132" s="164" t="n">
        <v>0</v>
      </c>
      <c r="CR132" s="164" t="n">
        <v>0</v>
      </c>
      <c r="CS132" s="164" t="n">
        <v>0</v>
      </c>
      <c r="CT132" s="164" t="n">
        <v>0</v>
      </c>
      <c r="CU132" s="164" t="n">
        <v>0</v>
      </c>
      <c r="CV132" s="164" t="n">
        <v>0</v>
      </c>
      <c r="CW132" s="164" t="n">
        <v>0</v>
      </c>
      <c r="CX132" s="164" t="n">
        <v>0</v>
      </c>
      <c r="CY132" s="164" t="n">
        <v>0</v>
      </c>
      <c r="CZ132" s="164" t="n">
        <v>0</v>
      </c>
      <c r="DA132" s="164" t="n">
        <v>0</v>
      </c>
      <c r="DB132" s="164" t="n">
        <v>0</v>
      </c>
      <c r="DC132" s="164" t="n">
        <v>0</v>
      </c>
      <c r="DD132" s="164" t="n">
        <v>0</v>
      </c>
      <c r="DE132" s="164" t="n">
        <v>0</v>
      </c>
      <c r="DF132" s="164" t="n">
        <v>0</v>
      </c>
      <c r="DG132" s="164" t="n">
        <v>0</v>
      </c>
      <c r="DH132" s="164" t="n">
        <v>0</v>
      </c>
      <c r="DI132" s="164" t="n">
        <v>0</v>
      </c>
      <c r="DJ132" s="164" t="n">
        <v>0</v>
      </c>
      <c r="DK132" s="164" t="n">
        <v>0</v>
      </c>
      <c r="DL132" s="164" t="n">
        <v>0</v>
      </c>
      <c r="DM132" s="164" t="n">
        <v>0</v>
      </c>
      <c r="DN132" s="164" t="n">
        <v>0</v>
      </c>
      <c r="DO132" s="164" t="n">
        <v>0</v>
      </c>
      <c r="DP132" s="164" t="n">
        <v>0</v>
      </c>
      <c r="DQ132" s="164" t="n">
        <v>0</v>
      </c>
      <c r="DR132" s="164" t="n">
        <v>0</v>
      </c>
      <c r="DS132" s="164" t="n">
        <v>0</v>
      </c>
      <c r="DT132" s="164" t="n">
        <v>0</v>
      </c>
      <c r="DU132" s="164" t="n">
        <v>0</v>
      </c>
      <c r="DV132" s="164" t="n">
        <v>0</v>
      </c>
      <c r="DW132" s="164" t="n">
        <v>0</v>
      </c>
      <c r="DX132" s="164" t="n">
        <v>0</v>
      </c>
      <c r="DY132" s="164" t="n">
        <v>0</v>
      </c>
      <c r="DZ132" s="164" t="n">
        <v>0</v>
      </c>
      <c r="EA132" s="164" t="n">
        <v>0</v>
      </c>
      <c r="EB132" s="164" t="n">
        <v>0</v>
      </c>
      <c r="EC132" s="164" t="n">
        <v>0</v>
      </c>
      <c r="ED132" s="164" t="n">
        <v>0</v>
      </c>
      <c r="EE132" s="164" t="n">
        <v>0</v>
      </c>
      <c r="EF132" s="164" t="n">
        <v>0</v>
      </c>
      <c r="EG132" s="164" t="n">
        <v>0</v>
      </c>
      <c r="EH132" s="164" t="n">
        <v>0</v>
      </c>
      <c r="EI132" s="164" t="n">
        <v>0</v>
      </c>
      <c r="EJ132" s="164" t="n">
        <v>0</v>
      </c>
      <c r="EK132" s="164" t="n">
        <v>0</v>
      </c>
      <c r="EL132" s="164" t="n">
        <v>0</v>
      </c>
      <c r="EM132" s="164" t="n">
        <v>0</v>
      </c>
      <c r="EN132" s="164" t="n">
        <v>0</v>
      </c>
      <c r="EO132" s="164" t="n">
        <v>0</v>
      </c>
      <c r="EP132" s="164" t="n">
        <v>0</v>
      </c>
      <c r="EQ132" s="164" t="n">
        <v>0</v>
      </c>
      <c r="ER132" s="164" t="n">
        <v>0</v>
      </c>
      <c r="ES132" s="164" t="n">
        <v>0</v>
      </c>
      <c r="ET132" s="164" t="n">
        <v>0</v>
      </c>
      <c r="EU132" s="164" t="n">
        <v>0</v>
      </c>
      <c r="EV132" s="164" t="n">
        <v>0</v>
      </c>
      <c r="EW132" s="164" t="n">
        <v>0</v>
      </c>
      <c r="EX132" s="164" t="n">
        <v>0</v>
      </c>
    </row>
    <row r="133">
      <c r="J133" s="9" t="inlineStr">
        <is>
          <t>Spread</t>
        </is>
      </c>
      <c r="V133" s="164">
        <f>$E$49/10000</f>
        <v/>
      </c>
      <c r="W133" s="164">
        <f>$E$49/10000</f>
        <v/>
      </c>
      <c r="X133" s="164">
        <f>$E$49/10000</f>
        <v/>
      </c>
      <c r="Y133" s="164">
        <f>$E$49/10000</f>
        <v/>
      </c>
      <c r="Z133" s="164">
        <f>$E$49/10000</f>
        <v/>
      </c>
      <c r="AA133" s="164">
        <f>$E$49/10000</f>
        <v/>
      </c>
      <c r="AB133" s="164">
        <f>$E$49/10000</f>
        <v/>
      </c>
      <c r="AC133" s="164">
        <f>$E$49/10000</f>
        <v/>
      </c>
      <c r="AD133" s="164">
        <f>$E$49/10000</f>
        <v/>
      </c>
      <c r="AE133" s="164">
        <f>$E$49/10000</f>
        <v/>
      </c>
      <c r="AF133" s="164">
        <f>$E$49/10000</f>
        <v/>
      </c>
      <c r="AG133" s="164">
        <f>$E$49/10000</f>
        <v/>
      </c>
      <c r="AH133" s="164">
        <f>$E$49/10000</f>
        <v/>
      </c>
      <c r="AI133" s="164">
        <f>$E$49/10000</f>
        <v/>
      </c>
      <c r="AJ133" s="164">
        <f>$E$49/10000</f>
        <v/>
      </c>
      <c r="AK133" s="164">
        <f>$E$49/10000</f>
        <v/>
      </c>
      <c r="AL133" s="164">
        <f>$E$49/10000</f>
        <v/>
      </c>
      <c r="AM133" s="164">
        <f>$E$49/10000</f>
        <v/>
      </c>
      <c r="AN133" s="164">
        <f>$E$49/10000</f>
        <v/>
      </c>
      <c r="AO133" s="164">
        <f>$E$49/10000</f>
        <v/>
      </c>
      <c r="AP133" s="164">
        <f>$E$49/10000</f>
        <v/>
      </c>
      <c r="AQ133" s="164">
        <f>$E$49/10000</f>
        <v/>
      </c>
      <c r="AR133" s="164">
        <f>$E$49/10000</f>
        <v/>
      </c>
      <c r="AS133" s="164">
        <f>$E$49/10000</f>
        <v/>
      </c>
      <c r="AT133" s="164">
        <f>$E$49/10000</f>
        <v/>
      </c>
      <c r="AU133" s="164">
        <f>$E$49/10000</f>
        <v/>
      </c>
      <c r="AV133" s="164">
        <f>$E$49/10000</f>
        <v/>
      </c>
      <c r="AW133" s="164">
        <f>$E$49/10000</f>
        <v/>
      </c>
      <c r="AX133" s="164">
        <f>$E$49/10000</f>
        <v/>
      </c>
      <c r="AY133" s="164">
        <f>$E$49/10000</f>
        <v/>
      </c>
      <c r="AZ133" s="164">
        <f>$E$49/10000</f>
        <v/>
      </c>
      <c r="BA133" s="164">
        <f>$E$49/10000</f>
        <v/>
      </c>
      <c r="BB133" s="164">
        <f>$E$49/10000</f>
        <v/>
      </c>
      <c r="BC133" s="164">
        <f>$E$49/10000</f>
        <v/>
      </c>
      <c r="BD133" s="164">
        <f>$E$49/10000</f>
        <v/>
      </c>
      <c r="BE133" s="164">
        <f>$E$49/10000</f>
        <v/>
      </c>
      <c r="BF133" s="164">
        <f>$E$49/10000</f>
        <v/>
      </c>
      <c r="BG133" s="164">
        <f>$E$49/10000</f>
        <v/>
      </c>
      <c r="BH133" s="164">
        <f>$E$49/10000</f>
        <v/>
      </c>
      <c r="BI133" s="164">
        <f>$E$49/10000</f>
        <v/>
      </c>
      <c r="BJ133" s="164">
        <f>$E$49/10000</f>
        <v/>
      </c>
      <c r="BK133" s="164">
        <f>$E$49/10000</f>
        <v/>
      </c>
      <c r="BL133" s="164">
        <f>$E$49/10000</f>
        <v/>
      </c>
      <c r="BM133" s="164">
        <f>$E$49/10000</f>
        <v/>
      </c>
      <c r="BN133" s="164">
        <f>$E$49/10000</f>
        <v/>
      </c>
      <c r="BO133" s="164">
        <f>$E$49/10000</f>
        <v/>
      </c>
      <c r="BP133" s="164">
        <f>$E$49/10000</f>
        <v/>
      </c>
      <c r="BQ133" s="164">
        <f>$E$49/10000</f>
        <v/>
      </c>
      <c r="BR133" s="164">
        <f>$E$49/10000</f>
        <v/>
      </c>
      <c r="BS133" s="164">
        <f>$E$49/10000</f>
        <v/>
      </c>
      <c r="BT133" s="164">
        <f>$E$49/10000</f>
        <v/>
      </c>
      <c r="BU133" s="164">
        <f>$E$49/10000</f>
        <v/>
      </c>
      <c r="BV133" s="164">
        <f>$E$49/10000</f>
        <v/>
      </c>
      <c r="BW133" s="164">
        <f>$E$49/10000</f>
        <v/>
      </c>
      <c r="BX133" s="164">
        <f>$E$49/10000</f>
        <v/>
      </c>
      <c r="BY133" s="164">
        <f>$E$49/10000</f>
        <v/>
      </c>
      <c r="BZ133" s="164">
        <f>$E$49/10000</f>
        <v/>
      </c>
      <c r="CA133" s="164">
        <f>$E$49/10000</f>
        <v/>
      </c>
      <c r="CB133" s="164">
        <f>$E$49/10000</f>
        <v/>
      </c>
      <c r="CC133" s="164">
        <f>$E$49/10000</f>
        <v/>
      </c>
      <c r="CD133" s="164">
        <f>$E$49/10000</f>
        <v/>
      </c>
      <c r="CE133" s="164">
        <f>$E$49/10000</f>
        <v/>
      </c>
      <c r="CF133" s="164">
        <f>$E$49/10000</f>
        <v/>
      </c>
      <c r="CG133" s="164">
        <f>$E$49/10000</f>
        <v/>
      </c>
      <c r="CH133" s="164">
        <f>$E$49/10000</f>
        <v/>
      </c>
      <c r="CI133" s="164">
        <f>$E$49/10000</f>
        <v/>
      </c>
      <c r="CJ133" s="164">
        <f>$E$49/10000</f>
        <v/>
      </c>
      <c r="CK133" s="164">
        <f>$E$49/10000</f>
        <v/>
      </c>
      <c r="CL133" s="164">
        <f>$E$49/10000</f>
        <v/>
      </c>
      <c r="CM133" s="164">
        <f>$E$49/10000</f>
        <v/>
      </c>
      <c r="CN133" s="164">
        <f>$E$49/10000</f>
        <v/>
      </c>
      <c r="CO133" s="164">
        <f>$E$49/10000</f>
        <v/>
      </c>
      <c r="CP133" s="164">
        <f>$E$49/10000</f>
        <v/>
      </c>
      <c r="CQ133" s="164">
        <f>$E$49/10000</f>
        <v/>
      </c>
      <c r="CR133" s="164">
        <f>$E$49/10000</f>
        <v/>
      </c>
      <c r="CS133" s="164">
        <f>$E$49/10000</f>
        <v/>
      </c>
      <c r="CT133" s="164">
        <f>$E$49/10000</f>
        <v/>
      </c>
      <c r="CU133" s="164">
        <f>$E$49/10000</f>
        <v/>
      </c>
      <c r="CV133" s="164">
        <f>$E$49/10000</f>
        <v/>
      </c>
      <c r="CW133" s="164">
        <f>$E$49/10000</f>
        <v/>
      </c>
      <c r="CX133" s="164">
        <f>$E$49/10000</f>
        <v/>
      </c>
      <c r="CY133" s="164">
        <f>$E$49/10000</f>
        <v/>
      </c>
      <c r="CZ133" s="164">
        <f>$E$49/10000</f>
        <v/>
      </c>
      <c r="DA133" s="164">
        <f>$E$49/10000</f>
        <v/>
      </c>
      <c r="DB133" s="164">
        <f>$E$49/10000</f>
        <v/>
      </c>
      <c r="DC133" s="164">
        <f>$E$49/10000</f>
        <v/>
      </c>
      <c r="DD133" s="164">
        <f>$E$49/10000</f>
        <v/>
      </c>
      <c r="DE133" s="164">
        <f>$E$49/10000</f>
        <v/>
      </c>
      <c r="DF133" s="164">
        <f>$E$49/10000</f>
        <v/>
      </c>
      <c r="DG133" s="164">
        <f>$E$49/10000</f>
        <v/>
      </c>
      <c r="DH133" s="164">
        <f>$E$49/10000</f>
        <v/>
      </c>
      <c r="DI133" s="164">
        <f>$E$49/10000</f>
        <v/>
      </c>
      <c r="DJ133" s="164">
        <f>$E$49/10000</f>
        <v/>
      </c>
      <c r="DK133" s="164">
        <f>$E$49/10000</f>
        <v/>
      </c>
      <c r="DL133" s="164">
        <f>$E$49/10000</f>
        <v/>
      </c>
      <c r="DM133" s="164">
        <f>$E$49/10000</f>
        <v/>
      </c>
      <c r="DN133" s="164">
        <f>$E$49/10000</f>
        <v/>
      </c>
      <c r="DO133" s="164">
        <f>$E$49/10000</f>
        <v/>
      </c>
      <c r="DP133" s="164">
        <f>$E$49/10000</f>
        <v/>
      </c>
      <c r="DQ133" s="164">
        <f>$E$49/10000</f>
        <v/>
      </c>
      <c r="DR133" s="164">
        <f>$E$49/10000</f>
        <v/>
      </c>
      <c r="DS133" s="164">
        <f>$E$49/10000</f>
        <v/>
      </c>
      <c r="DT133" s="164">
        <f>$E$49/10000</f>
        <v/>
      </c>
      <c r="DU133" s="164">
        <f>$E$49/10000</f>
        <v/>
      </c>
      <c r="DV133" s="164">
        <f>$E$49/10000</f>
        <v/>
      </c>
      <c r="DW133" s="164">
        <f>$E$49/10000</f>
        <v/>
      </c>
      <c r="DX133" s="164">
        <f>$E$49/10000</f>
        <v/>
      </c>
      <c r="DY133" s="164">
        <f>$E$49/10000</f>
        <v/>
      </c>
      <c r="DZ133" s="164">
        <f>$E$49/10000</f>
        <v/>
      </c>
      <c r="EA133" s="164">
        <f>$E$49/10000</f>
        <v/>
      </c>
      <c r="EB133" s="164">
        <f>$E$49/10000</f>
        <v/>
      </c>
      <c r="EC133" s="164">
        <f>$E$49/10000</f>
        <v/>
      </c>
      <c r="ED133" s="164">
        <f>$E$49/10000</f>
        <v/>
      </c>
      <c r="EE133" s="164">
        <f>$E$49/10000</f>
        <v/>
      </c>
      <c r="EF133" s="164">
        <f>$E$49/10000</f>
        <v/>
      </c>
      <c r="EG133" s="164">
        <f>$E$49/10000</f>
        <v/>
      </c>
      <c r="EH133" s="164">
        <f>$E$49/10000</f>
        <v/>
      </c>
      <c r="EI133" s="164">
        <f>$E$49/10000</f>
        <v/>
      </c>
      <c r="EJ133" s="164">
        <f>$E$49/10000</f>
        <v/>
      </c>
      <c r="EK133" s="164">
        <f>$E$49/10000</f>
        <v/>
      </c>
      <c r="EL133" s="164">
        <f>$E$49/10000</f>
        <v/>
      </c>
      <c r="EM133" s="164">
        <f>$E$49/10000</f>
        <v/>
      </c>
      <c r="EN133" s="164">
        <f>$E$49/10000</f>
        <v/>
      </c>
      <c r="EO133" s="164">
        <f>$E$49/10000</f>
        <v/>
      </c>
      <c r="EP133" s="164">
        <f>$E$49/10000</f>
        <v/>
      </c>
      <c r="EQ133" s="164">
        <f>$E$49/10000</f>
        <v/>
      </c>
      <c r="ER133" s="164">
        <f>$E$49/10000</f>
        <v/>
      </c>
      <c r="ES133" s="164">
        <f>$E$49/10000</f>
        <v/>
      </c>
      <c r="ET133" s="164">
        <f>$E$49/10000</f>
        <v/>
      </c>
      <c r="EU133" s="164">
        <f>$E$49/10000</f>
        <v/>
      </c>
      <c r="EV133" s="164">
        <f>$E$49/10000</f>
        <v/>
      </c>
      <c r="EW133" s="164">
        <f>$E$49/10000</f>
        <v/>
      </c>
      <c r="EX133" s="164">
        <f>$E$49/10000</f>
        <v/>
      </c>
    </row>
    <row r="134" ht="16.5" customHeight="1">
      <c r="A134" s="155" t="n"/>
      <c r="J134" s="166" t="inlineStr">
        <is>
          <t>Interest Rate</t>
        </is>
      </c>
      <c r="K134" s="166" t="n"/>
      <c r="L134" s="14" t="n"/>
      <c r="M134" s="196" t="n"/>
      <c r="N134" s="14" t="n"/>
      <c r="O134" s="166" t="n"/>
      <c r="P134" s="166" t="n"/>
      <c r="Q134" s="166" t="n"/>
      <c r="R134" s="166" t="n"/>
      <c r="S134" s="166" t="n"/>
      <c r="T134" s="166" t="n"/>
      <c r="U134" s="14" t="n"/>
      <c r="V134" s="167">
        <f>IF($D$49="Floating",SUM(V132:V133),$E$49)</f>
        <v/>
      </c>
      <c r="W134" s="167">
        <f>IF($D$49="Floating",SUM(W132:W133),$E$49)</f>
        <v/>
      </c>
      <c r="X134" s="167">
        <f>IF($D$49="Floating",SUM(X132:X133),$E$49)</f>
        <v/>
      </c>
      <c r="Y134" s="167">
        <f>IF($D$49="Floating",SUM(Y132:Y133),$E$49)</f>
        <v/>
      </c>
      <c r="Z134" s="167">
        <f>IF($D$49="Floating",SUM(Z132:Z133),$E$49)</f>
        <v/>
      </c>
      <c r="AA134" s="167">
        <f>IF($D$49="Floating",SUM(AA132:AA133),$E$49)</f>
        <v/>
      </c>
      <c r="AB134" s="167">
        <f>IF($D$49="Floating",SUM(AB132:AB133),$E$49)</f>
        <v/>
      </c>
      <c r="AC134" s="167">
        <f>IF($D$49="Floating",SUM(AC132:AC133),$E$49)</f>
        <v/>
      </c>
      <c r="AD134" s="167">
        <f>IF($D$49="Floating",SUM(AD132:AD133),$E$49)</f>
        <v/>
      </c>
      <c r="AE134" s="167">
        <f>IF($D$49="Floating",SUM(AE132:AE133),$E$49)</f>
        <v/>
      </c>
      <c r="AF134" s="167">
        <f>IF($D$49="Floating",SUM(AF132:AF133),$E$49)</f>
        <v/>
      </c>
      <c r="AG134" s="167">
        <f>IF($D$49="Floating",SUM(AG132:AG133),$E$49)</f>
        <v/>
      </c>
      <c r="AH134" s="167">
        <f>IF($D$49="Floating",SUM(AH132:AH133),$E$49)</f>
        <v/>
      </c>
      <c r="AI134" s="167">
        <f>IF($D$49="Floating",SUM(AI132:AI133),$E$49)</f>
        <v/>
      </c>
      <c r="AJ134" s="167">
        <f>IF($D$49="Floating",SUM(AJ132:AJ133),$E$49)</f>
        <v/>
      </c>
      <c r="AK134" s="167">
        <f>IF($D$49="Floating",SUM(AK132:AK133),$E$49)</f>
        <v/>
      </c>
      <c r="AL134" s="167">
        <f>IF($D$49="Floating",SUM(AL132:AL133),$E$49)</f>
        <v/>
      </c>
      <c r="AM134" s="167">
        <f>IF($D$49="Floating",SUM(AM132:AM133),$E$49)</f>
        <v/>
      </c>
      <c r="AN134" s="167">
        <f>IF($D$49="Floating",SUM(AN132:AN133),$E$49)</f>
        <v/>
      </c>
      <c r="AO134" s="167">
        <f>IF($D$49="Floating",SUM(AO132:AO133),$E$49)</f>
        <v/>
      </c>
      <c r="AP134" s="167">
        <f>IF($D$49="Floating",SUM(AP132:AP133),$E$49)</f>
        <v/>
      </c>
      <c r="AQ134" s="167">
        <f>IF($D$49="Floating",SUM(AQ132:AQ133),$E$49)</f>
        <v/>
      </c>
      <c r="AR134" s="167">
        <f>IF($D$49="Floating",SUM(AR132:AR133),$E$49)</f>
        <v/>
      </c>
      <c r="AS134" s="167">
        <f>IF($D$49="Floating",SUM(AS132:AS133),$E$49)</f>
        <v/>
      </c>
      <c r="AT134" s="167">
        <f>IF($D$49="Floating",SUM(AT132:AT133),$E$49)</f>
        <v/>
      </c>
      <c r="AU134" s="167">
        <f>IF($D$49="Floating",SUM(AU132:AU133),$E$49)</f>
        <v/>
      </c>
      <c r="AV134" s="167">
        <f>IF($D$49="Floating",SUM(AV132:AV133),$E$49)</f>
        <v/>
      </c>
      <c r="AW134" s="167">
        <f>IF($D$49="Floating",SUM(AW132:AW133),$E$49)</f>
        <v/>
      </c>
      <c r="AX134" s="167">
        <f>IF($D$49="Floating",SUM(AX132:AX133),$E$49)</f>
        <v/>
      </c>
      <c r="AY134" s="167">
        <f>IF($D$49="Floating",SUM(AY132:AY133),$E$49)</f>
        <v/>
      </c>
      <c r="AZ134" s="167">
        <f>IF($D$49="Floating",SUM(AZ132:AZ133),$E$49)</f>
        <v/>
      </c>
      <c r="BA134" s="167">
        <f>IF($D$49="Floating",SUM(BA132:BA133),$E$49)</f>
        <v/>
      </c>
      <c r="BB134" s="167">
        <f>IF($D$49="Floating",SUM(BB132:BB133),$E$49)</f>
        <v/>
      </c>
      <c r="BC134" s="167">
        <f>IF($D$49="Floating",SUM(BC132:BC133),$E$49)</f>
        <v/>
      </c>
      <c r="BD134" s="167">
        <f>IF($D$49="Floating",SUM(BD132:BD133),$E$49)</f>
        <v/>
      </c>
      <c r="BE134" s="167">
        <f>IF($D$49="Floating",SUM(BE132:BE133),$E$49)</f>
        <v/>
      </c>
      <c r="BF134" s="167">
        <f>IF($D$49="Floating",SUM(BF132:BF133),$E$49)</f>
        <v/>
      </c>
      <c r="BG134" s="167">
        <f>IF($D$49="Floating",SUM(BG132:BG133),$E$49)</f>
        <v/>
      </c>
      <c r="BH134" s="167">
        <f>IF($D$49="Floating",SUM(BH132:BH133),$E$49)</f>
        <v/>
      </c>
      <c r="BI134" s="167">
        <f>IF($D$49="Floating",SUM(BI132:BI133),$E$49)</f>
        <v/>
      </c>
      <c r="BJ134" s="167">
        <f>IF($D$49="Floating",SUM(BJ132:BJ133),$E$49)</f>
        <v/>
      </c>
      <c r="BK134" s="167">
        <f>IF($D$49="Floating",SUM(BK132:BK133),$E$49)</f>
        <v/>
      </c>
      <c r="BL134" s="167">
        <f>IF($D$49="Floating",SUM(BL132:BL133),$E$49)</f>
        <v/>
      </c>
      <c r="BM134" s="167">
        <f>IF($D$49="Floating",SUM(BM132:BM133),$E$49)</f>
        <v/>
      </c>
      <c r="BN134" s="167">
        <f>IF($D$49="Floating",SUM(BN132:BN133),$E$49)</f>
        <v/>
      </c>
      <c r="BO134" s="167">
        <f>IF($D$49="Floating",SUM(BO132:BO133),$E$49)</f>
        <v/>
      </c>
      <c r="BP134" s="167">
        <f>IF($D$49="Floating",SUM(BP132:BP133),$E$49)</f>
        <v/>
      </c>
      <c r="BQ134" s="167">
        <f>IF($D$49="Floating",SUM(BQ132:BQ133),$E$49)</f>
        <v/>
      </c>
      <c r="BR134" s="167">
        <f>IF($D$49="Floating",SUM(BR132:BR133),$E$49)</f>
        <v/>
      </c>
      <c r="BS134" s="167">
        <f>IF($D$49="Floating",SUM(BS132:BS133),$E$49)</f>
        <v/>
      </c>
      <c r="BT134" s="167">
        <f>IF($D$49="Floating",SUM(BT132:BT133),$E$49)</f>
        <v/>
      </c>
      <c r="BU134" s="167">
        <f>IF($D$49="Floating",SUM(BU132:BU133),$E$49)</f>
        <v/>
      </c>
      <c r="BV134" s="167">
        <f>IF($D$49="Floating",SUM(BV132:BV133),$E$49)</f>
        <v/>
      </c>
      <c r="BW134" s="167">
        <f>IF($D$49="Floating",SUM(BW132:BW133),$E$49)</f>
        <v/>
      </c>
      <c r="BX134" s="167">
        <f>IF($D$49="Floating",SUM(BX132:BX133),$E$49)</f>
        <v/>
      </c>
      <c r="BY134" s="167">
        <f>IF($D$49="Floating",SUM(BY132:BY133),$E$49)</f>
        <v/>
      </c>
      <c r="BZ134" s="167">
        <f>IF($D$49="Floating",SUM(BZ132:BZ133),$E$49)</f>
        <v/>
      </c>
      <c r="CA134" s="167">
        <f>IF($D$49="Floating",SUM(CA132:CA133),$E$49)</f>
        <v/>
      </c>
      <c r="CB134" s="167">
        <f>IF($D$49="Floating",SUM(CB132:CB133),$E$49)</f>
        <v/>
      </c>
      <c r="CC134" s="167">
        <f>IF($D$49="Floating",SUM(CC132:CC133),$E$49)</f>
        <v/>
      </c>
      <c r="CD134" s="167">
        <f>IF($D$49="Floating",SUM(CD132:CD133),$E$49)</f>
        <v/>
      </c>
      <c r="CE134" s="167">
        <f>IF($D$49="Floating",SUM(CE132:CE133),$E$49)</f>
        <v/>
      </c>
      <c r="CF134" s="167">
        <f>IF($D$49="Floating",SUM(CF132:CF133),$E$49)</f>
        <v/>
      </c>
      <c r="CG134" s="167">
        <f>IF($D$49="Floating",SUM(CG132:CG133),$E$49)</f>
        <v/>
      </c>
      <c r="CH134" s="167">
        <f>IF($D$49="Floating",SUM(CH132:CH133),$E$49)</f>
        <v/>
      </c>
      <c r="CI134" s="167">
        <f>IF($D$49="Floating",SUM(CI132:CI133),$E$49)</f>
        <v/>
      </c>
      <c r="CJ134" s="167">
        <f>IF($D$49="Floating",SUM(CJ132:CJ133),$E$49)</f>
        <v/>
      </c>
      <c r="CK134" s="167">
        <f>IF($D$49="Floating",SUM(CK132:CK133),$E$49)</f>
        <v/>
      </c>
      <c r="CL134" s="167">
        <f>IF($D$49="Floating",SUM(CL132:CL133),$E$49)</f>
        <v/>
      </c>
      <c r="CM134" s="167">
        <f>IF($D$49="Floating",SUM(CM132:CM133),$E$49)</f>
        <v/>
      </c>
      <c r="CN134" s="167">
        <f>IF($D$49="Floating",SUM(CN132:CN133),$E$49)</f>
        <v/>
      </c>
      <c r="CO134" s="167">
        <f>IF($D$49="Floating",SUM(CO132:CO133),$E$49)</f>
        <v/>
      </c>
      <c r="CP134" s="167">
        <f>IF($D$49="Floating",SUM(CP132:CP133),$E$49)</f>
        <v/>
      </c>
      <c r="CQ134" s="167">
        <f>IF($D$49="Floating",SUM(CQ132:CQ133),$E$49)</f>
        <v/>
      </c>
      <c r="CR134" s="167">
        <f>IF($D$49="Floating",SUM(CR132:CR133),$E$49)</f>
        <v/>
      </c>
      <c r="CS134" s="167">
        <f>IF($D$49="Floating",SUM(CS132:CS133),$E$49)</f>
        <v/>
      </c>
      <c r="CT134" s="167">
        <f>IF($D$49="Floating",SUM(CT132:CT133),$E$49)</f>
        <v/>
      </c>
      <c r="CU134" s="167">
        <f>IF($D$49="Floating",SUM(CU132:CU133),$E$49)</f>
        <v/>
      </c>
      <c r="CV134" s="167">
        <f>IF($D$49="Floating",SUM(CV132:CV133),$E$49)</f>
        <v/>
      </c>
      <c r="CW134" s="167">
        <f>IF($D$49="Floating",SUM(CW132:CW133),$E$49)</f>
        <v/>
      </c>
      <c r="CX134" s="167">
        <f>IF($D$49="Floating",SUM(CX132:CX133),$E$49)</f>
        <v/>
      </c>
      <c r="CY134" s="167">
        <f>IF($D$49="Floating",SUM(CY132:CY133),$E$49)</f>
        <v/>
      </c>
      <c r="CZ134" s="167">
        <f>IF($D$49="Floating",SUM(CZ132:CZ133),$E$49)</f>
        <v/>
      </c>
      <c r="DA134" s="167">
        <f>IF($D$49="Floating",SUM(DA132:DA133),$E$49)</f>
        <v/>
      </c>
      <c r="DB134" s="167">
        <f>IF($D$49="Floating",SUM(DB132:DB133),$E$49)</f>
        <v/>
      </c>
      <c r="DC134" s="167">
        <f>IF($D$49="Floating",SUM(DC132:DC133),$E$49)</f>
        <v/>
      </c>
      <c r="DD134" s="167">
        <f>IF($D$49="Floating",SUM(DD132:DD133),$E$49)</f>
        <v/>
      </c>
      <c r="DE134" s="167">
        <f>IF($D$49="Floating",SUM(DE132:DE133),$E$49)</f>
        <v/>
      </c>
      <c r="DF134" s="167">
        <f>IF($D$49="Floating",SUM(DF132:DF133),$E$49)</f>
        <v/>
      </c>
      <c r="DG134" s="167">
        <f>IF($D$49="Floating",SUM(DG132:DG133),$E$49)</f>
        <v/>
      </c>
      <c r="DH134" s="167">
        <f>IF($D$49="Floating",SUM(DH132:DH133),$E$49)</f>
        <v/>
      </c>
      <c r="DI134" s="167">
        <f>IF($D$49="Floating",SUM(DI132:DI133),$E$49)</f>
        <v/>
      </c>
      <c r="DJ134" s="167">
        <f>IF($D$49="Floating",SUM(DJ132:DJ133),$E$49)</f>
        <v/>
      </c>
      <c r="DK134" s="167">
        <f>IF($D$49="Floating",SUM(DK132:DK133),$E$49)</f>
        <v/>
      </c>
      <c r="DL134" s="167">
        <f>IF($D$49="Floating",SUM(DL132:DL133),$E$49)</f>
        <v/>
      </c>
      <c r="DM134" s="167">
        <f>IF($D$49="Floating",SUM(DM132:DM133),$E$49)</f>
        <v/>
      </c>
      <c r="DN134" s="167">
        <f>IF($D$49="Floating",SUM(DN132:DN133),$E$49)</f>
        <v/>
      </c>
      <c r="DO134" s="167">
        <f>IF($D$49="Floating",SUM(DO132:DO133),$E$49)</f>
        <v/>
      </c>
      <c r="DP134" s="167">
        <f>IF($D$49="Floating",SUM(DP132:DP133),$E$49)</f>
        <v/>
      </c>
      <c r="DQ134" s="167">
        <f>IF($D$49="Floating",SUM(DQ132:DQ133),$E$49)</f>
        <v/>
      </c>
      <c r="DR134" s="167">
        <f>IF($D$49="Floating",SUM(DR132:DR133),$E$49)</f>
        <v/>
      </c>
      <c r="DS134" s="167">
        <f>IF($D$49="Floating",SUM(DS132:DS133),$E$49)</f>
        <v/>
      </c>
      <c r="DT134" s="167">
        <f>IF($D$49="Floating",SUM(DT132:DT133),$E$49)</f>
        <v/>
      </c>
      <c r="DU134" s="167">
        <f>IF($D$49="Floating",SUM(DU132:DU133),$E$49)</f>
        <v/>
      </c>
      <c r="DV134" s="167">
        <f>IF($D$49="Floating",SUM(DV132:DV133),$E$49)</f>
        <v/>
      </c>
      <c r="DW134" s="167">
        <f>IF($D$49="Floating",SUM(DW132:DW133),$E$49)</f>
        <v/>
      </c>
      <c r="DX134" s="167">
        <f>IF($D$49="Floating",SUM(DX132:DX133),$E$49)</f>
        <v/>
      </c>
      <c r="DY134" s="167">
        <f>IF($D$49="Floating",SUM(DY132:DY133),$E$49)</f>
        <v/>
      </c>
      <c r="DZ134" s="167">
        <f>IF($D$49="Floating",SUM(DZ132:DZ133),$E$49)</f>
        <v/>
      </c>
      <c r="EA134" s="167">
        <f>IF($D$49="Floating",SUM(EA132:EA133),$E$49)</f>
        <v/>
      </c>
      <c r="EB134" s="167">
        <f>IF($D$49="Floating",SUM(EB132:EB133),$E$49)</f>
        <v/>
      </c>
      <c r="EC134" s="167">
        <f>IF($D$49="Floating",SUM(EC132:EC133),$E$49)</f>
        <v/>
      </c>
      <c r="ED134" s="167">
        <f>IF($D$49="Floating",SUM(ED132:ED133),$E$49)</f>
        <v/>
      </c>
      <c r="EE134" s="167">
        <f>IF($D$49="Floating",SUM(EE132:EE133),$E$49)</f>
        <v/>
      </c>
      <c r="EF134" s="167">
        <f>IF($D$49="Floating",SUM(EF132:EF133),$E$49)</f>
        <v/>
      </c>
      <c r="EG134" s="167">
        <f>IF($D$49="Floating",SUM(EG132:EG133),$E$49)</f>
        <v/>
      </c>
      <c r="EH134" s="167">
        <f>IF($D$49="Floating",SUM(EH132:EH133),$E$49)</f>
        <v/>
      </c>
      <c r="EI134" s="167">
        <f>IF($D$49="Floating",SUM(EI132:EI133),$E$49)</f>
        <v/>
      </c>
      <c r="EJ134" s="167">
        <f>IF($D$49="Floating",SUM(EJ132:EJ133),$E$49)</f>
        <v/>
      </c>
      <c r="EK134" s="167">
        <f>IF($D$49="Floating",SUM(EK132:EK133),$E$49)</f>
        <v/>
      </c>
      <c r="EL134" s="167">
        <f>IF($D$49="Floating",SUM(EL132:EL133),$E$49)</f>
        <v/>
      </c>
      <c r="EM134" s="167">
        <f>IF($D$49="Floating",SUM(EM132:EM133),$E$49)</f>
        <v/>
      </c>
      <c r="EN134" s="167">
        <f>IF($D$49="Floating",SUM(EN132:EN133),$E$49)</f>
        <v/>
      </c>
      <c r="EO134" s="167">
        <f>IF($D$49="Floating",SUM(EO132:EO133),$E$49)</f>
        <v/>
      </c>
      <c r="EP134" s="167">
        <f>IF($D$49="Floating",SUM(EP132:EP133),$E$49)</f>
        <v/>
      </c>
      <c r="EQ134" s="167">
        <f>IF($D$49="Floating",SUM(EQ132:EQ133),$E$49)</f>
        <v/>
      </c>
      <c r="ER134" s="167">
        <f>IF($D$49="Floating",SUM(ER132:ER133),$E$49)</f>
        <v/>
      </c>
      <c r="ES134" s="167">
        <f>IF($D$49="Floating",SUM(ES132:ES133),$E$49)</f>
        <v/>
      </c>
      <c r="ET134" s="167">
        <f>IF($D$49="Floating",SUM(ET132:ET133),$E$49)</f>
        <v/>
      </c>
      <c r="EU134" s="167">
        <f>IF($D$49="Floating",SUM(EU132:EU133),$E$49)</f>
        <v/>
      </c>
      <c r="EV134" s="167">
        <f>IF($D$49="Floating",SUM(EV132:EV133),$E$49)</f>
        <v/>
      </c>
      <c r="EW134" s="167">
        <f>IF($D$49="Floating",SUM(EW132:EW133),$E$49)</f>
        <v/>
      </c>
      <c r="EX134" s="167">
        <f>IF($D$49="Floating",SUM(EX132:EX133),$E$49)</f>
        <v/>
      </c>
    </row>
    <row r="135" ht="16.5" customHeight="1">
      <c r="A135" s="145" t="n"/>
      <c r="B135" s="12" t="n"/>
    </row>
    <row r="136" ht="16.5" customHeight="1">
      <c r="A136" s="177" t="n"/>
      <c r="I136" s="270" t="n"/>
      <c r="J136" s="16" t="inlineStr">
        <is>
          <t>Senior Loan</t>
        </is>
      </c>
    </row>
    <row r="137" ht="16.5" customHeight="1">
      <c r="A137" s="177" t="n"/>
      <c r="I137" s="146" t="n"/>
      <c r="J137" s="9" t="inlineStr">
        <is>
          <t>Loan BOE</t>
        </is>
      </c>
      <c r="V137" s="25" t="n">
        <v>0</v>
      </c>
      <c r="W137" s="25">
        <f>V143</f>
        <v/>
      </c>
      <c r="X137" s="25">
        <f>W143</f>
        <v/>
      </c>
      <c r="Y137" s="25">
        <f>X143</f>
        <v/>
      </c>
      <c r="Z137" s="25">
        <f>Y143</f>
        <v/>
      </c>
      <c r="AA137" s="25">
        <f>Z143</f>
        <v/>
      </c>
      <c r="AB137" s="25">
        <f>AA143</f>
        <v/>
      </c>
      <c r="AC137" s="25">
        <f>AB143</f>
        <v/>
      </c>
      <c r="AD137" s="25">
        <f>AC143</f>
        <v/>
      </c>
      <c r="AE137" s="25">
        <f>AD143</f>
        <v/>
      </c>
      <c r="AF137" s="25">
        <f>AE143</f>
        <v/>
      </c>
      <c r="AG137" s="25">
        <f>AF143</f>
        <v/>
      </c>
      <c r="AH137" s="25">
        <f>AG143</f>
        <v/>
      </c>
      <c r="AI137" s="25">
        <f>AH143</f>
        <v/>
      </c>
      <c r="AJ137" s="25">
        <f>AI143</f>
        <v/>
      </c>
      <c r="AK137" s="25">
        <f>AJ143</f>
        <v/>
      </c>
      <c r="AL137" s="25">
        <f>AK143</f>
        <v/>
      </c>
      <c r="AM137" s="25">
        <f>AL143</f>
        <v/>
      </c>
      <c r="AN137" s="25">
        <f>AM143</f>
        <v/>
      </c>
      <c r="AO137" s="25">
        <f>AN143</f>
        <v/>
      </c>
      <c r="AP137" s="25">
        <f>AO143</f>
        <v/>
      </c>
      <c r="AQ137" s="25">
        <f>AP143</f>
        <v/>
      </c>
      <c r="AR137" s="25">
        <f>AQ143</f>
        <v/>
      </c>
      <c r="AS137" s="25">
        <f>AR143</f>
        <v/>
      </c>
      <c r="AT137" s="25">
        <f>AS143</f>
        <v/>
      </c>
      <c r="AU137" s="25">
        <f>AT143</f>
        <v/>
      </c>
      <c r="AV137" s="25">
        <f>AU143</f>
        <v/>
      </c>
      <c r="AW137" s="25">
        <f>AV143</f>
        <v/>
      </c>
      <c r="AX137" s="25">
        <f>AW143</f>
        <v/>
      </c>
      <c r="AY137" s="25">
        <f>AX143</f>
        <v/>
      </c>
      <c r="AZ137" s="25">
        <f>AY143</f>
        <v/>
      </c>
      <c r="BA137" s="25">
        <f>AZ143</f>
        <v/>
      </c>
      <c r="BB137" s="25">
        <f>BA143</f>
        <v/>
      </c>
      <c r="BC137" s="25">
        <f>BB143</f>
        <v/>
      </c>
      <c r="BD137" s="25">
        <f>BC143</f>
        <v/>
      </c>
      <c r="BE137" s="25">
        <f>BD143</f>
        <v/>
      </c>
      <c r="BF137" s="25">
        <f>BE143</f>
        <v/>
      </c>
      <c r="BG137" s="25">
        <f>BF143</f>
        <v/>
      </c>
      <c r="BH137" s="25">
        <f>BG143</f>
        <v/>
      </c>
      <c r="BI137" s="25">
        <f>BH143</f>
        <v/>
      </c>
      <c r="BJ137" s="25">
        <f>BI143</f>
        <v/>
      </c>
      <c r="BK137" s="25">
        <f>BJ143</f>
        <v/>
      </c>
      <c r="BL137" s="25">
        <f>BK143</f>
        <v/>
      </c>
      <c r="BM137" s="25">
        <f>BL143</f>
        <v/>
      </c>
      <c r="BN137" s="25">
        <f>BM143</f>
        <v/>
      </c>
      <c r="BO137" s="25">
        <f>BN143</f>
        <v/>
      </c>
      <c r="BP137" s="25">
        <f>BO143</f>
        <v/>
      </c>
      <c r="BQ137" s="25">
        <f>BP143</f>
        <v/>
      </c>
      <c r="BR137" s="25">
        <f>BQ143</f>
        <v/>
      </c>
      <c r="BS137" s="25">
        <f>BR143</f>
        <v/>
      </c>
      <c r="BT137" s="25">
        <f>BS143</f>
        <v/>
      </c>
      <c r="BU137" s="25">
        <f>BT143</f>
        <v/>
      </c>
      <c r="BV137" s="25">
        <f>BU143</f>
        <v/>
      </c>
      <c r="BW137" s="25">
        <f>BV143</f>
        <v/>
      </c>
      <c r="BX137" s="25">
        <f>BW143</f>
        <v/>
      </c>
      <c r="BY137" s="25">
        <f>BX143</f>
        <v/>
      </c>
      <c r="BZ137" s="25">
        <f>BY143</f>
        <v/>
      </c>
      <c r="CA137" s="25">
        <f>BZ143</f>
        <v/>
      </c>
      <c r="CB137" s="25">
        <f>CA143</f>
        <v/>
      </c>
      <c r="CC137" s="25">
        <f>CB143</f>
        <v/>
      </c>
      <c r="CD137" s="25">
        <f>CC143</f>
        <v/>
      </c>
      <c r="CE137" s="25">
        <f>CD143</f>
        <v/>
      </c>
      <c r="CF137" s="25">
        <f>CE143</f>
        <v/>
      </c>
      <c r="CG137" s="25">
        <f>CF143</f>
        <v/>
      </c>
      <c r="CH137" s="25">
        <f>CG143</f>
        <v/>
      </c>
      <c r="CI137" s="25">
        <f>CH143</f>
        <v/>
      </c>
      <c r="CJ137" s="25">
        <f>CI143</f>
        <v/>
      </c>
      <c r="CK137" s="25">
        <f>CJ143</f>
        <v/>
      </c>
      <c r="CL137" s="25">
        <f>CK143</f>
        <v/>
      </c>
      <c r="CM137" s="25">
        <f>CL143</f>
        <v/>
      </c>
      <c r="CN137" s="25">
        <f>CM143</f>
        <v/>
      </c>
      <c r="CO137" s="25">
        <f>CN143</f>
        <v/>
      </c>
      <c r="CP137" s="25">
        <f>CO143</f>
        <v/>
      </c>
      <c r="CQ137" s="25">
        <f>CP143</f>
        <v/>
      </c>
      <c r="CR137" s="25">
        <f>CQ143</f>
        <v/>
      </c>
      <c r="CS137" s="25">
        <f>CR143</f>
        <v/>
      </c>
      <c r="CT137" s="25">
        <f>CS143</f>
        <v/>
      </c>
      <c r="CU137" s="25">
        <f>CT143</f>
        <v/>
      </c>
      <c r="CV137" s="25">
        <f>CU143</f>
        <v/>
      </c>
      <c r="CW137" s="25">
        <f>CV143</f>
        <v/>
      </c>
      <c r="CX137" s="25">
        <f>CW143</f>
        <v/>
      </c>
      <c r="CY137" s="25">
        <f>CX143</f>
        <v/>
      </c>
      <c r="CZ137" s="25">
        <f>CY143</f>
        <v/>
      </c>
      <c r="DA137" s="25">
        <f>CZ143</f>
        <v/>
      </c>
      <c r="DB137" s="25">
        <f>DA143</f>
        <v/>
      </c>
      <c r="DC137" s="25">
        <f>DB143</f>
        <v/>
      </c>
      <c r="DD137" s="25">
        <f>DC143</f>
        <v/>
      </c>
      <c r="DE137" s="25">
        <f>DD143</f>
        <v/>
      </c>
      <c r="DF137" s="25">
        <f>DE143</f>
        <v/>
      </c>
      <c r="DG137" s="25">
        <f>DF143</f>
        <v/>
      </c>
      <c r="DH137" s="25">
        <f>DG143</f>
        <v/>
      </c>
      <c r="DI137" s="25">
        <f>DH143</f>
        <v/>
      </c>
      <c r="DJ137" s="25">
        <f>DI143</f>
        <v/>
      </c>
      <c r="DK137" s="25">
        <f>DJ143</f>
        <v/>
      </c>
      <c r="DL137" s="25">
        <f>DK143</f>
        <v/>
      </c>
      <c r="DM137" s="25">
        <f>DL143</f>
        <v/>
      </c>
      <c r="DN137" s="25">
        <f>DM143</f>
        <v/>
      </c>
      <c r="DO137" s="25">
        <f>DN143</f>
        <v/>
      </c>
      <c r="DP137" s="25">
        <f>DO143</f>
        <v/>
      </c>
      <c r="DQ137" s="25">
        <f>DP143</f>
        <v/>
      </c>
      <c r="DR137" s="25">
        <f>DQ143</f>
        <v/>
      </c>
      <c r="DS137" s="25">
        <f>DR143</f>
        <v/>
      </c>
      <c r="DT137" s="25">
        <f>DS143</f>
        <v/>
      </c>
      <c r="DU137" s="25">
        <f>DT143</f>
        <v/>
      </c>
      <c r="DV137" s="25">
        <f>DU143</f>
        <v/>
      </c>
      <c r="DW137" s="25">
        <f>DV143</f>
        <v/>
      </c>
      <c r="DX137" s="25">
        <f>DW143</f>
        <v/>
      </c>
      <c r="DY137" s="25">
        <f>DX143</f>
        <v/>
      </c>
      <c r="DZ137" s="25">
        <f>DY143</f>
        <v/>
      </c>
      <c r="EA137" s="25">
        <f>DZ143</f>
        <v/>
      </c>
      <c r="EB137" s="25">
        <f>EA143</f>
        <v/>
      </c>
      <c r="EC137" s="25">
        <f>EB143</f>
        <v/>
      </c>
      <c r="ED137" s="25">
        <f>EC143</f>
        <v/>
      </c>
      <c r="EE137" s="25">
        <f>ED143</f>
        <v/>
      </c>
      <c r="EF137" s="25">
        <f>EE143</f>
        <v/>
      </c>
      <c r="EG137" s="25">
        <f>EF143</f>
        <v/>
      </c>
      <c r="EH137" s="25">
        <f>EG143</f>
        <v/>
      </c>
      <c r="EI137" s="25">
        <f>EH143</f>
        <v/>
      </c>
      <c r="EJ137" s="25">
        <f>EI143</f>
        <v/>
      </c>
      <c r="EK137" s="25">
        <f>EJ143</f>
        <v/>
      </c>
      <c r="EL137" s="25">
        <f>EK143</f>
        <v/>
      </c>
      <c r="EM137" s="25">
        <f>EL143</f>
        <v/>
      </c>
      <c r="EN137" s="25">
        <f>EM143</f>
        <v/>
      </c>
      <c r="EO137" s="25">
        <f>EN143</f>
        <v/>
      </c>
      <c r="EP137" s="25">
        <f>EO143</f>
        <v/>
      </c>
      <c r="EQ137" s="25">
        <f>EP143</f>
        <v/>
      </c>
      <c r="ER137" s="25">
        <f>EQ143</f>
        <v/>
      </c>
      <c r="ES137" s="25">
        <f>ER143</f>
        <v/>
      </c>
      <c r="ET137" s="25">
        <f>ES143</f>
        <v/>
      </c>
      <c r="EU137" s="25">
        <f>ET143</f>
        <v/>
      </c>
      <c r="EV137" s="25">
        <f>EU143</f>
        <v/>
      </c>
      <c r="EW137" s="25">
        <f>EV143</f>
        <v/>
      </c>
      <c r="EX137" s="25">
        <f>EW143</f>
        <v/>
      </c>
    </row>
    <row r="138" ht="16.5" customFormat="1" customHeight="1" s="266">
      <c r="A138" s="145" t="n"/>
      <c r="B138" s="9" t="n"/>
      <c r="C138" s="9" t="n"/>
      <c r="D138" s="9" t="n"/>
      <c r="E138" s="9" t="n"/>
      <c r="F138" s="9" t="n"/>
      <c r="G138" s="9" t="n"/>
      <c r="H138" s="9" t="n"/>
      <c r="I138" s="146" t="n"/>
      <c r="J138" s="9" t="inlineStr">
        <is>
          <t>Loan Draw</t>
        </is>
      </c>
      <c r="K138" s="9" t="n"/>
      <c r="L138" s="12" t="n"/>
      <c r="M138" s="25">
        <f>SUMIF($V$4:$EX$4,"&lt;"&amp;$H$19,$V138:$EX138)</f>
        <v/>
      </c>
      <c r="N138" s="56" t="n"/>
      <c r="O138" s="25">
        <f>SUMIF($V$5:$EX$5,O$7,$V138:$EX138)</f>
        <v/>
      </c>
      <c r="P138" s="25">
        <f>SUMIF($V$5:$EX$5,P$7,$V138:$EX138)</f>
        <v/>
      </c>
      <c r="Q138" s="25">
        <f>SUMIF($V$5:$EX$5,Q$7,$V138:$EX138)</f>
        <v/>
      </c>
      <c r="R138" s="25">
        <f>SUMIF($V$5:$EX$5,R$7,$V138:$EX138)</f>
        <v/>
      </c>
      <c r="S138" s="25">
        <f>SUMIF($V$5:$EX$5,S$7,$V138:$EX138)</f>
        <v/>
      </c>
      <c r="T138" s="25">
        <f>SUMIF($V$5:$EX$5,T$7,$V138:$EX138)</f>
        <v/>
      </c>
      <c r="U138" s="56" t="n"/>
      <c r="V138" s="25">
        <f>IF(V4=0,$E$47,0)</f>
        <v/>
      </c>
      <c r="W138" s="25">
        <f>IF(W4=0,$E$47,0)</f>
        <v/>
      </c>
      <c r="X138" s="25">
        <f>IF(X4=0,$E$47,0)</f>
        <v/>
      </c>
      <c r="Y138" s="25">
        <f>IF(Y4=0,$E$47,0)</f>
        <v/>
      </c>
      <c r="Z138" s="25">
        <f>IF(Z4=0,$E$47,0)</f>
        <v/>
      </c>
      <c r="AA138" s="25">
        <f>IF(AA4=0,$E$47,0)</f>
        <v/>
      </c>
      <c r="AB138" s="25">
        <f>IF(AB4=0,$E$47,0)</f>
        <v/>
      </c>
      <c r="AC138" s="25">
        <f>IF(AC4=0,$E$47,0)</f>
        <v/>
      </c>
      <c r="AD138" s="25">
        <f>IF(AD4=0,$E$47,0)</f>
        <v/>
      </c>
      <c r="AE138" s="25">
        <f>IF(AE4=0,$E$47,0)</f>
        <v/>
      </c>
      <c r="AF138" s="25">
        <f>IF(AF4=0,$E$47,0)</f>
        <v/>
      </c>
      <c r="AG138" s="25">
        <f>IF(AG4=0,$E$47,0)</f>
        <v/>
      </c>
      <c r="AH138" s="25">
        <f>IF(AH4=0,$E$47,0)</f>
        <v/>
      </c>
      <c r="AI138" s="25">
        <f>IF(AI4=0,$E$47,0)</f>
        <v/>
      </c>
      <c r="AJ138" s="25">
        <f>IF(AJ4=0,$E$47,0)</f>
        <v/>
      </c>
      <c r="AK138" s="25">
        <f>IF(AK4=0,$E$47,0)</f>
        <v/>
      </c>
      <c r="AL138" s="25">
        <f>IF(AL4=0,$E$47,0)</f>
        <v/>
      </c>
      <c r="AM138" s="25">
        <f>IF(AM4=0,$E$47,0)</f>
        <v/>
      </c>
      <c r="AN138" s="25">
        <f>IF(AN4=0,$E$47,0)</f>
        <v/>
      </c>
      <c r="AO138" s="25">
        <f>IF(AO4=0,$E$47,0)</f>
        <v/>
      </c>
      <c r="AP138" s="25">
        <f>IF(AP4=0,$E$47,0)</f>
        <v/>
      </c>
      <c r="AQ138" s="25">
        <f>IF(AQ4=0,$E$47,0)</f>
        <v/>
      </c>
      <c r="AR138" s="25">
        <f>IF(AR4=0,$E$47,0)</f>
        <v/>
      </c>
      <c r="AS138" s="25">
        <f>IF(AS4=0,$E$47,0)</f>
        <v/>
      </c>
      <c r="AT138" s="25">
        <f>IF(AT4=0,$E$47,0)</f>
        <v/>
      </c>
      <c r="AU138" s="25">
        <f>IF(AU4=0,$E$47,0)</f>
        <v/>
      </c>
      <c r="AV138" s="25">
        <f>IF(AV4=0,$E$47,0)</f>
        <v/>
      </c>
      <c r="AW138" s="25">
        <f>IF(AW4=0,$E$47,0)</f>
        <v/>
      </c>
      <c r="AX138" s="25">
        <f>IF(AX4=0,$E$47,0)</f>
        <v/>
      </c>
      <c r="AY138" s="25">
        <f>IF(AY4=0,$E$47,0)</f>
        <v/>
      </c>
      <c r="AZ138" s="25">
        <f>IF(AZ4=0,$E$47,0)</f>
        <v/>
      </c>
      <c r="BA138" s="25">
        <f>IF(BA4=0,$E$47,0)</f>
        <v/>
      </c>
      <c r="BB138" s="25">
        <f>IF(BB4=0,$E$47,0)</f>
        <v/>
      </c>
      <c r="BC138" s="25">
        <f>IF(BC4=0,$E$47,0)</f>
        <v/>
      </c>
      <c r="BD138" s="25">
        <f>IF(BD4=0,$E$47,0)</f>
        <v/>
      </c>
      <c r="BE138" s="25">
        <f>IF(BE4=0,$E$47,0)</f>
        <v/>
      </c>
      <c r="BF138" s="25">
        <f>IF(BF4=0,$E$47,0)</f>
        <v/>
      </c>
      <c r="BG138" s="25">
        <f>IF(BG4=0,$E$47,0)</f>
        <v/>
      </c>
      <c r="BH138" s="25">
        <f>IF(BH4=0,$E$47,0)</f>
        <v/>
      </c>
      <c r="BI138" s="25">
        <f>IF(BI4=0,$E$47,0)</f>
        <v/>
      </c>
      <c r="BJ138" s="25">
        <f>IF(BJ4=0,$E$47,0)</f>
        <v/>
      </c>
      <c r="BK138" s="25">
        <f>IF(BK4=0,$E$47,0)</f>
        <v/>
      </c>
      <c r="BL138" s="25">
        <f>IF(BL4=0,$E$47,0)</f>
        <v/>
      </c>
      <c r="BM138" s="25">
        <f>IF(BM4=0,$E$47,0)</f>
        <v/>
      </c>
      <c r="BN138" s="25">
        <f>IF(BN4=0,$E$47,0)</f>
        <v/>
      </c>
      <c r="BO138" s="25">
        <f>IF(BO4=0,$E$47,0)</f>
        <v/>
      </c>
      <c r="BP138" s="25">
        <f>IF(BP4=0,$E$47,0)</f>
        <v/>
      </c>
      <c r="BQ138" s="25">
        <f>IF(BQ4=0,$E$47,0)</f>
        <v/>
      </c>
      <c r="BR138" s="25">
        <f>IF(BR4=0,$E$47,0)</f>
        <v/>
      </c>
      <c r="BS138" s="25">
        <f>IF(BS4=0,$E$47,0)</f>
        <v/>
      </c>
      <c r="BT138" s="25">
        <f>IF(BT4=0,$E$47,0)</f>
        <v/>
      </c>
      <c r="BU138" s="25">
        <f>IF(BU4=0,$E$47,0)</f>
        <v/>
      </c>
      <c r="BV138" s="25">
        <f>IF(BV4=0,$E$47,0)</f>
        <v/>
      </c>
      <c r="BW138" s="25">
        <f>IF(BW4=0,$E$47,0)</f>
        <v/>
      </c>
      <c r="BX138" s="25">
        <f>IF(BX4=0,$E$47,0)</f>
        <v/>
      </c>
      <c r="BY138" s="25">
        <f>IF(BY4=0,$E$47,0)</f>
        <v/>
      </c>
      <c r="BZ138" s="25">
        <f>IF(BZ4=0,$E$47,0)</f>
        <v/>
      </c>
      <c r="CA138" s="25">
        <f>IF(CA4=0,$E$47,0)</f>
        <v/>
      </c>
      <c r="CB138" s="25">
        <f>IF(CB4=0,$E$47,0)</f>
        <v/>
      </c>
      <c r="CC138" s="25">
        <f>IF(CC4=0,$E$47,0)</f>
        <v/>
      </c>
      <c r="CD138" s="25">
        <f>IF(CD4=0,$E$47,0)</f>
        <v/>
      </c>
      <c r="CE138" s="25">
        <f>IF(CE4=0,$E$47,0)</f>
        <v/>
      </c>
      <c r="CF138" s="25">
        <f>IF(CF4=0,$E$47,0)</f>
        <v/>
      </c>
      <c r="CG138" s="25">
        <f>IF(CG4=0,$E$47,0)</f>
        <v/>
      </c>
      <c r="CH138" s="25">
        <f>IF(CH4=0,$E$47,0)</f>
        <v/>
      </c>
      <c r="CI138" s="25">
        <f>IF(CI4=0,$E$47,0)</f>
        <v/>
      </c>
      <c r="CJ138" s="25">
        <f>IF(CJ4=0,$E$47,0)</f>
        <v/>
      </c>
      <c r="CK138" s="25">
        <f>IF(CK4=0,$E$47,0)</f>
        <v/>
      </c>
      <c r="CL138" s="25">
        <f>IF(CL4=0,$E$47,0)</f>
        <v/>
      </c>
      <c r="CM138" s="25">
        <f>IF(CM4=0,$E$47,0)</f>
        <v/>
      </c>
      <c r="CN138" s="25">
        <f>IF(CN4=0,$E$47,0)</f>
        <v/>
      </c>
      <c r="CO138" s="25">
        <f>IF(CO4=0,$E$47,0)</f>
        <v/>
      </c>
      <c r="CP138" s="25">
        <f>IF(CP4=0,$E$47,0)</f>
        <v/>
      </c>
      <c r="CQ138" s="25">
        <f>IF(CQ4=0,$E$47,0)</f>
        <v/>
      </c>
      <c r="CR138" s="25">
        <f>IF(CR4=0,$E$47,0)</f>
        <v/>
      </c>
      <c r="CS138" s="25">
        <f>IF(CS4=0,$E$47,0)</f>
        <v/>
      </c>
      <c r="CT138" s="25">
        <f>IF(CT4=0,$E$47,0)</f>
        <v/>
      </c>
      <c r="CU138" s="25">
        <f>IF(CU4=0,$E$47,0)</f>
        <v/>
      </c>
      <c r="CV138" s="25">
        <f>IF(CV4=0,$E$47,0)</f>
        <v/>
      </c>
      <c r="CW138" s="25">
        <f>IF(CW4=0,$E$47,0)</f>
        <v/>
      </c>
      <c r="CX138" s="25">
        <f>IF(CX4=0,$E$47,0)</f>
        <v/>
      </c>
      <c r="CY138" s="25">
        <f>IF(CY4=0,$E$47,0)</f>
        <v/>
      </c>
      <c r="CZ138" s="25">
        <f>IF(CZ4=0,$E$47,0)</f>
        <v/>
      </c>
      <c r="DA138" s="25">
        <f>IF(DA4=0,$E$47,0)</f>
        <v/>
      </c>
      <c r="DB138" s="25">
        <f>IF(DB4=0,$E$47,0)</f>
        <v/>
      </c>
      <c r="DC138" s="25">
        <f>IF(DC4=0,$E$47,0)</f>
        <v/>
      </c>
      <c r="DD138" s="25">
        <f>IF(DD4=0,$E$47,0)</f>
        <v/>
      </c>
      <c r="DE138" s="25">
        <f>IF(DE4=0,$E$47,0)</f>
        <v/>
      </c>
      <c r="DF138" s="25">
        <f>IF(DF4=0,$E$47,0)</f>
        <v/>
      </c>
      <c r="DG138" s="25">
        <f>IF(DG4=0,$E$47,0)</f>
        <v/>
      </c>
      <c r="DH138" s="25">
        <f>IF(DH4=0,$E$47,0)</f>
        <v/>
      </c>
      <c r="DI138" s="25">
        <f>IF(DI4=0,$E$47,0)</f>
        <v/>
      </c>
      <c r="DJ138" s="25">
        <f>IF(DJ4=0,$E$47,0)</f>
        <v/>
      </c>
      <c r="DK138" s="25">
        <f>IF(DK4=0,$E$47,0)</f>
        <v/>
      </c>
      <c r="DL138" s="25">
        <f>IF(DL4=0,$E$47,0)</f>
        <v/>
      </c>
      <c r="DM138" s="25">
        <f>IF(DM4=0,$E$47,0)</f>
        <v/>
      </c>
      <c r="DN138" s="25">
        <f>IF(DN4=0,$E$47,0)</f>
        <v/>
      </c>
      <c r="DO138" s="25">
        <f>IF(DO4=0,$E$47,0)</f>
        <v/>
      </c>
      <c r="DP138" s="25">
        <f>IF(DP4=0,$E$47,0)</f>
        <v/>
      </c>
      <c r="DQ138" s="25">
        <f>IF(DQ4=0,$E$47,0)</f>
        <v/>
      </c>
      <c r="DR138" s="25">
        <f>IF(DR4=0,$E$47,0)</f>
        <v/>
      </c>
      <c r="DS138" s="25">
        <f>IF(DS4=0,$E$47,0)</f>
        <v/>
      </c>
      <c r="DT138" s="25">
        <f>IF(DT4=0,$E$47,0)</f>
        <v/>
      </c>
      <c r="DU138" s="25">
        <f>IF(DU4=0,$E$47,0)</f>
        <v/>
      </c>
      <c r="DV138" s="25">
        <f>IF(DV4=0,$E$47,0)</f>
        <v/>
      </c>
      <c r="DW138" s="25">
        <f>IF(DW4=0,$E$47,0)</f>
        <v/>
      </c>
      <c r="DX138" s="25">
        <f>IF(DX4=0,$E$47,0)</f>
        <v/>
      </c>
      <c r="DY138" s="25">
        <f>IF(DY4=0,$E$47,0)</f>
        <v/>
      </c>
      <c r="DZ138" s="25">
        <f>IF(DZ4=0,$E$47,0)</f>
        <v/>
      </c>
      <c r="EA138" s="25">
        <f>IF(EA4=0,$E$47,0)</f>
        <v/>
      </c>
      <c r="EB138" s="25">
        <f>IF(EB4=0,$E$47,0)</f>
        <v/>
      </c>
      <c r="EC138" s="25">
        <f>IF(EC4=0,$E$47,0)</f>
        <v/>
      </c>
      <c r="ED138" s="25">
        <f>IF(ED4=0,$E$47,0)</f>
        <v/>
      </c>
      <c r="EE138" s="25">
        <f>IF(EE4=0,$E$47,0)</f>
        <v/>
      </c>
      <c r="EF138" s="25">
        <f>IF(EF4=0,$E$47,0)</f>
        <v/>
      </c>
      <c r="EG138" s="25">
        <f>IF(EG4=0,$E$47,0)</f>
        <v/>
      </c>
      <c r="EH138" s="25">
        <f>IF(EH4=0,$E$47,0)</f>
        <v/>
      </c>
      <c r="EI138" s="25">
        <f>IF(EI4=0,$E$47,0)</f>
        <v/>
      </c>
      <c r="EJ138" s="25">
        <f>IF(EJ4=0,$E$47,0)</f>
        <v/>
      </c>
      <c r="EK138" s="25">
        <f>IF(EK4=0,$E$47,0)</f>
        <v/>
      </c>
      <c r="EL138" s="25">
        <f>IF(EL4=0,$E$47,0)</f>
        <v/>
      </c>
      <c r="EM138" s="25">
        <f>IF(EM4=0,$E$47,0)</f>
        <v/>
      </c>
      <c r="EN138" s="25">
        <f>IF(EN4=0,$E$47,0)</f>
        <v/>
      </c>
      <c r="EO138" s="25">
        <f>IF(EO4=0,$E$47,0)</f>
        <v/>
      </c>
      <c r="EP138" s="25">
        <f>IF(EP4=0,$E$47,0)</f>
        <v/>
      </c>
      <c r="EQ138" s="25">
        <f>IF(EQ4=0,$E$47,0)</f>
        <v/>
      </c>
      <c r="ER138" s="25">
        <f>IF(ER4=0,$E$47,0)</f>
        <v/>
      </c>
      <c r="ES138" s="25">
        <f>IF(ES4=0,$E$47,0)</f>
        <v/>
      </c>
      <c r="ET138" s="25">
        <f>IF(ET4=0,$E$47,0)</f>
        <v/>
      </c>
      <c r="EU138" s="25">
        <f>IF(EU4=0,$E$47,0)</f>
        <v/>
      </c>
      <c r="EV138" s="25">
        <f>IF(EV4=0,$E$47,0)</f>
        <v/>
      </c>
      <c r="EW138" s="25">
        <f>IF(EW4=0,$E$47,0)</f>
        <v/>
      </c>
      <c r="EX138" s="25">
        <f>IF(EX4=0,$E$47,0)</f>
        <v/>
      </c>
    </row>
    <row r="139" ht="18.75" customHeight="1">
      <c r="A139" s="354" t="n"/>
      <c r="J139" s="9" t="inlineStr">
        <is>
          <t>Accrued Interest</t>
        </is>
      </c>
      <c r="M139" s="25">
        <f>SUMIF($V$4:$EX$4,"&lt;"&amp;$H$19,$V139:$EX139)</f>
        <v/>
      </c>
      <c r="N139" s="56" t="n"/>
      <c r="O139" s="25">
        <f>SUMIF($V$5:$EX$5,O$7,$V139:$EX139)</f>
        <v/>
      </c>
      <c r="P139" s="25">
        <f>SUMIF($V$5:$EX$5,P$7,$V139:$EX139)</f>
        <v/>
      </c>
      <c r="Q139" s="25">
        <f>SUMIF($V$5:$EX$5,Q$7,$V139:$EX139)</f>
        <v/>
      </c>
      <c r="R139" s="25">
        <f>SUMIF($V$5:$EX$5,R$7,$V139:$EX139)</f>
        <v/>
      </c>
      <c r="S139" s="25">
        <f>SUMIF($V$5:$EX$5,S$7,$V139:$EX139)</f>
        <v/>
      </c>
      <c r="T139" s="25">
        <f>SUMIF($V$5:$EX$5,T$7,$V139:$EX139)</f>
        <v/>
      </c>
      <c r="U139" s="56" t="n"/>
      <c r="V139" s="25">
        <f>IF($C$56=TRUE,0,V137)*V134/12</f>
        <v/>
      </c>
      <c r="W139" s="25">
        <f>IF($C$56=TRUE,0,W137)*W134/12</f>
        <v/>
      </c>
      <c r="X139" s="25">
        <f>IF($C$56=TRUE,0,X137)*X134/12</f>
        <v/>
      </c>
      <c r="Y139" s="25">
        <f>IF($C$56=TRUE,0,Y137)*Y134/12</f>
        <v/>
      </c>
      <c r="Z139" s="25">
        <f>IF($C$56=TRUE,0,Z137)*Z134/12</f>
        <v/>
      </c>
      <c r="AA139" s="25">
        <f>IF($C$56=TRUE,0,AA137)*AA134/12</f>
        <v/>
      </c>
      <c r="AB139" s="25">
        <f>IF($C$56=TRUE,0,AB137)*AB134/12</f>
        <v/>
      </c>
      <c r="AC139" s="25">
        <f>IF($C$56=TRUE,0,AC137)*AC134/12</f>
        <v/>
      </c>
      <c r="AD139" s="25">
        <f>IF($C$56=TRUE,0,AD137)*AD134/12</f>
        <v/>
      </c>
      <c r="AE139" s="25">
        <f>IF($C$56=TRUE,0,AE137)*AE134/12</f>
        <v/>
      </c>
      <c r="AF139" s="25">
        <f>IF($C$56=TRUE,0,AF137)*AF134/12</f>
        <v/>
      </c>
      <c r="AG139" s="25">
        <f>IF($C$56=TRUE,0,AG137)*AG134/12</f>
        <v/>
      </c>
      <c r="AH139" s="25">
        <f>IF($C$56=TRUE,0,AH137)*AH134/12</f>
        <v/>
      </c>
      <c r="AI139" s="25">
        <f>IF($C$56=TRUE,0,AI137)*AI134/12</f>
        <v/>
      </c>
      <c r="AJ139" s="25">
        <f>IF($C$56=TRUE,0,AJ137)*AJ134/12</f>
        <v/>
      </c>
      <c r="AK139" s="25">
        <f>IF($C$56=TRUE,0,AK137)*AK134/12</f>
        <v/>
      </c>
      <c r="AL139" s="25">
        <f>IF($C$56=TRUE,0,AL137)*AL134/12</f>
        <v/>
      </c>
      <c r="AM139" s="25">
        <f>IF($C$56=TRUE,0,AM137)*AM134/12</f>
        <v/>
      </c>
      <c r="AN139" s="25">
        <f>IF($C$56=TRUE,0,AN137)*AN134/12</f>
        <v/>
      </c>
      <c r="AO139" s="25">
        <f>IF($C$56=TRUE,0,AO137)*AO134/12</f>
        <v/>
      </c>
      <c r="AP139" s="25">
        <f>IF($C$56=TRUE,0,AP137)*AP134/12</f>
        <v/>
      </c>
      <c r="AQ139" s="25">
        <f>IF($C$56=TRUE,0,AQ137)*AQ134/12</f>
        <v/>
      </c>
      <c r="AR139" s="25">
        <f>IF($C$56=TRUE,0,AR137)*AR134/12</f>
        <v/>
      </c>
      <c r="AS139" s="25">
        <f>IF($C$56=TRUE,0,AS137)*AS134/12</f>
        <v/>
      </c>
      <c r="AT139" s="25">
        <f>IF($C$56=TRUE,0,AT137)*AT134/12</f>
        <v/>
      </c>
      <c r="AU139" s="25">
        <f>IF($C$56=TRUE,0,AU137)*AU134/12</f>
        <v/>
      </c>
      <c r="AV139" s="25">
        <f>IF($C$56=TRUE,0,AV137)*AV134/12</f>
        <v/>
      </c>
      <c r="AW139" s="25">
        <f>IF($C$56=TRUE,0,AW137)*AW134/12</f>
        <v/>
      </c>
      <c r="AX139" s="25">
        <f>IF($C$56=TRUE,0,AX137)*AX134/12</f>
        <v/>
      </c>
      <c r="AY139" s="25">
        <f>IF($C$56=TRUE,0,AY137)*AY134/12</f>
        <v/>
      </c>
      <c r="AZ139" s="25">
        <f>IF($C$56=TRUE,0,AZ137)*AZ134/12</f>
        <v/>
      </c>
      <c r="BA139" s="25">
        <f>IF($C$56=TRUE,0,BA137)*BA134/12</f>
        <v/>
      </c>
      <c r="BB139" s="25">
        <f>IF($C$56=TRUE,0,BB137)*BB134/12</f>
        <v/>
      </c>
      <c r="BC139" s="25">
        <f>IF($C$56=TRUE,0,BC137)*BC134/12</f>
        <v/>
      </c>
      <c r="BD139" s="25">
        <f>IF($C$56=TRUE,0,BD137)*BD134/12</f>
        <v/>
      </c>
      <c r="BE139" s="25">
        <f>IF($C$56=TRUE,0,BE137)*BE134/12</f>
        <v/>
      </c>
      <c r="BF139" s="25">
        <f>IF($C$56=TRUE,0,BF137)*BF134/12</f>
        <v/>
      </c>
      <c r="BG139" s="25">
        <f>IF($C$56=TRUE,0,BG137)*BG134/12</f>
        <v/>
      </c>
      <c r="BH139" s="25">
        <f>IF($C$56=TRUE,0,BH137)*BH134/12</f>
        <v/>
      </c>
      <c r="BI139" s="25">
        <f>IF($C$56=TRUE,0,BI137)*BI134/12</f>
        <v/>
      </c>
      <c r="BJ139" s="25">
        <f>IF($C$56=TRUE,0,BJ137)*BJ134/12</f>
        <v/>
      </c>
      <c r="BK139" s="25">
        <f>IF($C$56=TRUE,0,BK137)*BK134/12</f>
        <v/>
      </c>
      <c r="BL139" s="25">
        <f>IF($C$56=TRUE,0,BL137)*BL134/12</f>
        <v/>
      </c>
      <c r="BM139" s="25">
        <f>IF($C$56=TRUE,0,BM137)*BM134/12</f>
        <v/>
      </c>
      <c r="BN139" s="25">
        <f>IF($C$56=TRUE,0,BN137)*BN134/12</f>
        <v/>
      </c>
      <c r="BO139" s="25">
        <f>IF($C$56=TRUE,0,BO137)*BO134/12</f>
        <v/>
      </c>
      <c r="BP139" s="25">
        <f>IF($C$56=TRUE,0,BP137)*BP134/12</f>
        <v/>
      </c>
      <c r="BQ139" s="25">
        <f>IF($C$56=TRUE,0,BQ137)*BQ134/12</f>
        <v/>
      </c>
      <c r="BR139" s="25">
        <f>IF($C$56=TRUE,0,BR137)*BR134/12</f>
        <v/>
      </c>
      <c r="BS139" s="25">
        <f>IF($C$56=TRUE,0,BS137)*BS134/12</f>
        <v/>
      </c>
      <c r="BT139" s="25">
        <f>IF($C$56=TRUE,0,BT137)*BT134/12</f>
        <v/>
      </c>
      <c r="BU139" s="25">
        <f>IF($C$56=TRUE,0,BU137)*BU134/12</f>
        <v/>
      </c>
      <c r="BV139" s="25">
        <f>IF($C$56=TRUE,0,BV137)*BV134/12</f>
        <v/>
      </c>
      <c r="BW139" s="25">
        <f>IF($C$56=TRUE,0,BW137)*BW134/12</f>
        <v/>
      </c>
      <c r="BX139" s="25">
        <f>IF($C$56=TRUE,0,BX137)*BX134/12</f>
        <v/>
      </c>
      <c r="BY139" s="25">
        <f>IF($C$56=TRUE,0,BY137)*BY134/12</f>
        <v/>
      </c>
      <c r="BZ139" s="25">
        <f>IF($C$56=TRUE,0,BZ137)*BZ134/12</f>
        <v/>
      </c>
      <c r="CA139" s="25">
        <f>IF($C$56=TRUE,0,CA137)*CA134/12</f>
        <v/>
      </c>
      <c r="CB139" s="25">
        <f>IF($C$56=TRUE,0,CB137)*CB134/12</f>
        <v/>
      </c>
      <c r="CC139" s="25">
        <f>IF($C$56=TRUE,0,CC137)*CC134/12</f>
        <v/>
      </c>
      <c r="CD139" s="25">
        <f>IF($C$56=TRUE,0,CD137)*CD134/12</f>
        <v/>
      </c>
      <c r="CE139" s="25">
        <f>IF($C$56=TRUE,0,CE137)*CE134/12</f>
        <v/>
      </c>
      <c r="CF139" s="25">
        <f>IF($C$56=TRUE,0,CF137)*CF134/12</f>
        <v/>
      </c>
      <c r="CG139" s="25">
        <f>IF($C$56=TRUE,0,CG137)*CG134/12</f>
        <v/>
      </c>
      <c r="CH139" s="25">
        <f>IF($C$56=TRUE,0,CH137)*CH134/12</f>
        <v/>
      </c>
      <c r="CI139" s="25">
        <f>IF($C$56=TRUE,0,CI137)*CI134/12</f>
        <v/>
      </c>
      <c r="CJ139" s="25">
        <f>IF($C$56=TRUE,0,CJ137)*CJ134/12</f>
        <v/>
      </c>
      <c r="CK139" s="25">
        <f>IF($C$56=TRUE,0,CK137)*CK134/12</f>
        <v/>
      </c>
      <c r="CL139" s="25">
        <f>IF($C$56=TRUE,0,CL137)*CL134/12</f>
        <v/>
      </c>
      <c r="CM139" s="25">
        <f>IF($C$56=TRUE,0,CM137)*CM134/12</f>
        <v/>
      </c>
      <c r="CN139" s="25">
        <f>IF($C$56=TRUE,0,CN137)*CN134/12</f>
        <v/>
      </c>
      <c r="CO139" s="25">
        <f>IF($C$56=TRUE,0,CO137)*CO134/12</f>
        <v/>
      </c>
      <c r="CP139" s="25">
        <f>IF($C$56=TRUE,0,CP137)*CP134/12</f>
        <v/>
      </c>
      <c r="CQ139" s="25">
        <f>IF($C$56=TRUE,0,CQ137)*CQ134/12</f>
        <v/>
      </c>
      <c r="CR139" s="25">
        <f>IF($C$56=TRUE,0,CR137)*CR134/12</f>
        <v/>
      </c>
      <c r="CS139" s="25">
        <f>IF($C$56=TRUE,0,CS137)*CS134/12</f>
        <v/>
      </c>
      <c r="CT139" s="25">
        <f>IF($C$56=TRUE,0,CT137)*CT134/12</f>
        <v/>
      </c>
      <c r="CU139" s="25">
        <f>IF($C$56=TRUE,0,CU137)*CU134/12</f>
        <v/>
      </c>
      <c r="CV139" s="25">
        <f>IF($C$56=TRUE,0,CV137)*CV134/12</f>
        <v/>
      </c>
      <c r="CW139" s="25">
        <f>IF($C$56=TRUE,0,CW137)*CW134/12</f>
        <v/>
      </c>
      <c r="CX139" s="25">
        <f>IF($C$56=TRUE,0,CX137)*CX134/12</f>
        <v/>
      </c>
      <c r="CY139" s="25">
        <f>IF($C$56=TRUE,0,CY137)*CY134/12</f>
        <v/>
      </c>
      <c r="CZ139" s="25">
        <f>IF($C$56=TRUE,0,CZ137)*CZ134/12</f>
        <v/>
      </c>
      <c r="DA139" s="25">
        <f>IF($C$56=TRUE,0,DA137)*DA134/12</f>
        <v/>
      </c>
      <c r="DB139" s="25">
        <f>IF($C$56=TRUE,0,DB137)*DB134/12</f>
        <v/>
      </c>
      <c r="DC139" s="25">
        <f>IF($C$56=TRUE,0,DC137)*DC134/12</f>
        <v/>
      </c>
      <c r="DD139" s="25">
        <f>IF($C$56=TRUE,0,DD137)*DD134/12</f>
        <v/>
      </c>
      <c r="DE139" s="25">
        <f>IF($C$56=TRUE,0,DE137)*DE134/12</f>
        <v/>
      </c>
      <c r="DF139" s="25">
        <f>IF($C$56=TRUE,0,DF137)*DF134/12</f>
        <v/>
      </c>
      <c r="DG139" s="25">
        <f>IF($C$56=TRUE,0,DG137)*DG134/12</f>
        <v/>
      </c>
      <c r="DH139" s="25">
        <f>IF($C$56=TRUE,0,DH137)*DH134/12</f>
        <v/>
      </c>
      <c r="DI139" s="25">
        <f>IF($C$56=TRUE,0,DI137)*DI134/12</f>
        <v/>
      </c>
      <c r="DJ139" s="25">
        <f>IF($C$56=TRUE,0,DJ137)*DJ134/12</f>
        <v/>
      </c>
      <c r="DK139" s="25">
        <f>IF($C$56=TRUE,0,DK137)*DK134/12</f>
        <v/>
      </c>
      <c r="DL139" s="25">
        <f>IF($C$56=TRUE,0,DL137)*DL134/12</f>
        <v/>
      </c>
      <c r="DM139" s="25">
        <f>IF($C$56=TRUE,0,DM137)*DM134/12</f>
        <v/>
      </c>
      <c r="DN139" s="25">
        <f>IF($C$56=TRUE,0,DN137)*DN134/12</f>
        <v/>
      </c>
      <c r="DO139" s="25">
        <f>IF($C$56=TRUE,0,DO137)*DO134/12</f>
        <v/>
      </c>
      <c r="DP139" s="25">
        <f>IF($C$56=TRUE,0,DP137)*DP134/12</f>
        <v/>
      </c>
      <c r="DQ139" s="25">
        <f>IF($C$56=TRUE,0,DQ137)*DQ134/12</f>
        <v/>
      </c>
      <c r="DR139" s="25">
        <f>IF($C$56=TRUE,0,DR137)*DR134/12</f>
        <v/>
      </c>
      <c r="DS139" s="25">
        <f>IF($C$56=TRUE,0,DS137)*DS134/12</f>
        <v/>
      </c>
      <c r="DT139" s="25">
        <f>IF($C$56=TRUE,0,DT137)*DT134/12</f>
        <v/>
      </c>
      <c r="DU139" s="25">
        <f>IF($C$56=TRUE,0,DU137)*DU134/12</f>
        <v/>
      </c>
      <c r="DV139" s="25">
        <f>IF($C$56=TRUE,0,DV137)*DV134/12</f>
        <v/>
      </c>
      <c r="DW139" s="25">
        <f>IF($C$56=TRUE,0,DW137)*DW134/12</f>
        <v/>
      </c>
      <c r="DX139" s="25">
        <f>IF($C$56=TRUE,0,DX137)*DX134/12</f>
        <v/>
      </c>
      <c r="DY139" s="25">
        <f>IF($C$56=TRUE,0,DY137)*DY134/12</f>
        <v/>
      </c>
      <c r="DZ139" s="25">
        <f>IF($C$56=TRUE,0,DZ137)*DZ134/12</f>
        <v/>
      </c>
      <c r="EA139" s="25">
        <f>IF($C$56=TRUE,0,EA137)*EA134/12</f>
        <v/>
      </c>
      <c r="EB139" s="25">
        <f>IF($C$56=TRUE,0,EB137)*EB134/12</f>
        <v/>
      </c>
      <c r="EC139" s="25">
        <f>IF($C$56=TRUE,0,EC137)*EC134/12</f>
        <v/>
      </c>
      <c r="ED139" s="25">
        <f>IF($C$56=TRUE,0,ED137)*ED134/12</f>
        <v/>
      </c>
      <c r="EE139" s="25">
        <f>IF($C$56=TRUE,0,EE137)*EE134/12</f>
        <v/>
      </c>
      <c r="EF139" s="25">
        <f>IF($C$56=TRUE,0,EF137)*EF134/12</f>
        <v/>
      </c>
      <c r="EG139" s="25">
        <f>IF($C$56=TRUE,0,EG137)*EG134/12</f>
        <v/>
      </c>
      <c r="EH139" s="25">
        <f>IF($C$56=TRUE,0,EH137)*EH134/12</f>
        <v/>
      </c>
      <c r="EI139" s="25">
        <f>IF($C$56=TRUE,0,EI137)*EI134/12</f>
        <v/>
      </c>
      <c r="EJ139" s="25">
        <f>IF($C$56=TRUE,0,EJ137)*EJ134/12</f>
        <v/>
      </c>
      <c r="EK139" s="25">
        <f>IF($C$56=TRUE,0,EK137)*EK134/12</f>
        <v/>
      </c>
      <c r="EL139" s="25">
        <f>IF($C$56=TRUE,0,EL137)*EL134/12</f>
        <v/>
      </c>
      <c r="EM139" s="25">
        <f>IF($C$56=TRUE,0,EM137)*EM134/12</f>
        <v/>
      </c>
      <c r="EN139" s="25">
        <f>IF($C$56=TRUE,0,EN137)*EN134/12</f>
        <v/>
      </c>
      <c r="EO139" s="25">
        <f>IF($C$56=TRUE,0,EO137)*EO134/12</f>
        <v/>
      </c>
      <c r="EP139" s="25">
        <f>IF($C$56=TRUE,0,EP137)*EP134/12</f>
        <v/>
      </c>
      <c r="EQ139" s="25">
        <f>IF($C$56=TRUE,0,EQ137)*EQ134/12</f>
        <v/>
      </c>
      <c r="ER139" s="25">
        <f>IF($C$56=TRUE,0,ER137)*ER134/12</f>
        <v/>
      </c>
      <c r="ES139" s="25">
        <f>IF($C$56=TRUE,0,ES137)*ES134/12</f>
        <v/>
      </c>
      <c r="ET139" s="25">
        <f>IF($C$56=TRUE,0,ET137)*ET134/12</f>
        <v/>
      </c>
      <c r="EU139" s="25">
        <f>IF($C$56=TRUE,0,EU137)*EU134/12</f>
        <v/>
      </c>
      <c r="EV139" s="25">
        <f>IF($C$56=TRUE,0,EV137)*EV134/12</f>
        <v/>
      </c>
      <c r="EW139" s="25">
        <f>IF($C$56=TRUE,0,EW137)*EW134/12</f>
        <v/>
      </c>
      <c r="EX139" s="25">
        <f>IF($C$56=TRUE,0,EX137)*EX134/12</f>
        <v/>
      </c>
    </row>
    <row r="140" ht="16.5" customHeight="1">
      <c r="J140" s="9" t="inlineStr">
        <is>
          <t>Interest Paydown</t>
        </is>
      </c>
      <c r="M140" s="25">
        <f>SUMIF($V$4:$EX$4,"&lt;"&amp;$H$19,$V140:$EX140)</f>
        <v/>
      </c>
      <c r="N140" s="56" t="n"/>
      <c r="O140" s="25">
        <f>SUMIF($V$5:$EX$5,O$7,$V140:$EX140)</f>
        <v/>
      </c>
      <c r="P140" s="25">
        <f>SUMIF($V$5:$EX$5,P$7,$V140:$EX140)</f>
        <v/>
      </c>
      <c r="Q140" s="25">
        <f>SUMIF($V$5:$EX$5,Q$7,$V140:$EX140)</f>
        <v/>
      </c>
      <c r="R140" s="25">
        <f>SUMIF($V$5:$EX$5,R$7,$V140:$EX140)</f>
        <v/>
      </c>
      <c r="S140" s="25">
        <f>SUMIF($V$5:$EX$5,S$7,$V140:$EX140)</f>
        <v/>
      </c>
      <c r="T140" s="25">
        <f>SUMIF($V$5:$EX$5,T$7,$V140:$EX140)</f>
        <v/>
      </c>
      <c r="U140" s="56" t="n"/>
      <c r="V140" s="25">
        <f>-MIN(V139,V67*(V67&gt;0))*(V4&gt;0)</f>
        <v/>
      </c>
      <c r="W140" s="25">
        <f>-MIN(W139,W67*(W67&gt;0))*(W4&gt;0)</f>
        <v/>
      </c>
      <c r="X140" s="25">
        <f>-MIN(X139,X67*(X67&gt;0))*(X4&gt;0)</f>
        <v/>
      </c>
      <c r="Y140" s="25">
        <f>-MIN(Y139,Y67*(Y67&gt;0))*(Y4&gt;0)</f>
        <v/>
      </c>
      <c r="Z140" s="25">
        <f>-MIN(Z139,Z67*(Z67&gt;0))*(Z4&gt;0)</f>
        <v/>
      </c>
      <c r="AA140" s="25">
        <f>-MIN(AA139,AA67*(AA67&gt;0))*(AA4&gt;0)</f>
        <v/>
      </c>
      <c r="AB140" s="25">
        <f>-MIN(AB139,AB67*(AB67&gt;0))*(AB4&gt;0)</f>
        <v/>
      </c>
      <c r="AC140" s="25">
        <f>-MIN(AC139,AC67*(AC67&gt;0))*(AC4&gt;0)</f>
        <v/>
      </c>
      <c r="AD140" s="25">
        <f>-MIN(AD139,AD67*(AD67&gt;0))*(AD4&gt;0)</f>
        <v/>
      </c>
      <c r="AE140" s="25">
        <f>-MIN(AE139,AE67*(AE67&gt;0))*(AE4&gt;0)</f>
        <v/>
      </c>
      <c r="AF140" s="25">
        <f>-MIN(AF139,AF67*(AF67&gt;0))*(AF4&gt;0)</f>
        <v/>
      </c>
      <c r="AG140" s="25">
        <f>-MIN(AG139,AG67*(AG67&gt;0))*(AG4&gt;0)</f>
        <v/>
      </c>
      <c r="AH140" s="25">
        <f>-MIN(AH139,AH67*(AH67&gt;0))*(AH4&gt;0)</f>
        <v/>
      </c>
      <c r="AI140" s="25">
        <f>-MIN(AI139,AI67*(AI67&gt;0))*(AI4&gt;0)</f>
        <v/>
      </c>
      <c r="AJ140" s="25">
        <f>-MIN(AJ139,AJ67*(AJ67&gt;0))*(AJ4&gt;0)</f>
        <v/>
      </c>
      <c r="AK140" s="25">
        <f>-MIN(AK139,AK67*(AK67&gt;0))*(AK4&gt;0)</f>
        <v/>
      </c>
      <c r="AL140" s="25">
        <f>-MIN(AL139,AL67*(AL67&gt;0))*(AL4&gt;0)</f>
        <v/>
      </c>
      <c r="AM140" s="25">
        <f>-MIN(AM139,AM67*(AM67&gt;0))*(AM4&gt;0)</f>
        <v/>
      </c>
      <c r="AN140" s="25">
        <f>-MIN(AN139,AN67*(AN67&gt;0))*(AN4&gt;0)</f>
        <v/>
      </c>
      <c r="AO140" s="25">
        <f>-MIN(AO139,AO67*(AO67&gt;0))*(AO4&gt;0)</f>
        <v/>
      </c>
      <c r="AP140" s="25">
        <f>-MIN(AP139,AP67*(AP67&gt;0))*(AP4&gt;0)</f>
        <v/>
      </c>
      <c r="AQ140" s="25">
        <f>-MIN(AQ139,AQ67*(AQ67&gt;0))*(AQ4&gt;0)</f>
        <v/>
      </c>
      <c r="AR140" s="25">
        <f>-MIN(AR139,AR67*(AR67&gt;0))*(AR4&gt;0)</f>
        <v/>
      </c>
      <c r="AS140" s="25">
        <f>-MIN(AS139,AS67*(AS67&gt;0))*(AS4&gt;0)</f>
        <v/>
      </c>
      <c r="AT140" s="25">
        <f>-MIN(AT139,AT67*(AT67&gt;0))*(AT4&gt;0)</f>
        <v/>
      </c>
      <c r="AU140" s="25">
        <f>-MIN(AU139,AU67*(AU67&gt;0))*(AU4&gt;0)</f>
        <v/>
      </c>
      <c r="AV140" s="25">
        <f>-MIN(AV139,AV67*(AV67&gt;0))*(AV4&gt;0)</f>
        <v/>
      </c>
      <c r="AW140" s="25">
        <f>-MIN(AW139,AW67*(AW67&gt;0))*(AW4&gt;0)</f>
        <v/>
      </c>
      <c r="AX140" s="25">
        <f>-MIN(AX139,AX67*(AX67&gt;0))*(AX4&gt;0)</f>
        <v/>
      </c>
      <c r="AY140" s="25">
        <f>-MIN(AY139,AY67*(AY67&gt;0))*(AY4&gt;0)</f>
        <v/>
      </c>
      <c r="AZ140" s="25">
        <f>-MIN(AZ139,AZ67*(AZ67&gt;0))*(AZ4&gt;0)</f>
        <v/>
      </c>
      <c r="BA140" s="25">
        <f>-MIN(BA139,BA67*(BA67&gt;0))*(BA4&gt;0)</f>
        <v/>
      </c>
      <c r="BB140" s="25">
        <f>-MIN(BB139,BB67*(BB67&gt;0))*(BB4&gt;0)</f>
        <v/>
      </c>
      <c r="BC140" s="25">
        <f>-MIN(BC139,BC67*(BC67&gt;0))*(BC4&gt;0)</f>
        <v/>
      </c>
      <c r="BD140" s="25">
        <f>-MIN(BD139,BD67*(BD67&gt;0))*(BD4&gt;0)</f>
        <v/>
      </c>
      <c r="BE140" s="25">
        <f>-MIN(BE139,BE67*(BE67&gt;0))*(BE4&gt;0)</f>
        <v/>
      </c>
      <c r="BF140" s="25">
        <f>-MIN(BF139,BF67*(BF67&gt;0))*(BF4&gt;0)</f>
        <v/>
      </c>
      <c r="BG140" s="25">
        <f>-MIN(BG139,BG67*(BG67&gt;0))*(BG4&gt;0)</f>
        <v/>
      </c>
      <c r="BH140" s="25">
        <f>-MIN(BH139,BH67*(BH67&gt;0))*(BH4&gt;0)</f>
        <v/>
      </c>
      <c r="BI140" s="25">
        <f>-MIN(BI139,BI67*(BI67&gt;0))*(BI4&gt;0)</f>
        <v/>
      </c>
      <c r="BJ140" s="25">
        <f>-MIN(BJ139,BJ67*(BJ67&gt;0))*(BJ4&gt;0)</f>
        <v/>
      </c>
      <c r="BK140" s="25">
        <f>-MIN(BK139,BK67*(BK67&gt;0))*(BK4&gt;0)</f>
        <v/>
      </c>
      <c r="BL140" s="25">
        <f>-MIN(BL139,BL67*(BL67&gt;0))*(BL4&gt;0)</f>
        <v/>
      </c>
      <c r="BM140" s="25">
        <f>-MIN(BM139,BM67*(BM67&gt;0))*(BM4&gt;0)</f>
        <v/>
      </c>
      <c r="BN140" s="25">
        <f>-MIN(BN139,BN67*(BN67&gt;0))*(BN4&gt;0)</f>
        <v/>
      </c>
      <c r="BO140" s="25">
        <f>-MIN(BO139,BO67*(BO67&gt;0))*(BO4&gt;0)</f>
        <v/>
      </c>
      <c r="BP140" s="25">
        <f>-MIN(BP139,BP67*(BP67&gt;0))*(BP4&gt;0)</f>
        <v/>
      </c>
      <c r="BQ140" s="25">
        <f>-MIN(BQ139,BQ67*(BQ67&gt;0))*(BQ4&gt;0)</f>
        <v/>
      </c>
      <c r="BR140" s="25">
        <f>-MIN(BR139,BR67*(BR67&gt;0))*(BR4&gt;0)</f>
        <v/>
      </c>
      <c r="BS140" s="25">
        <f>-MIN(BS139,BS67*(BS67&gt;0))*(BS4&gt;0)</f>
        <v/>
      </c>
      <c r="BT140" s="25">
        <f>-MIN(BT139,BT67*(BT67&gt;0))*(BT4&gt;0)</f>
        <v/>
      </c>
      <c r="BU140" s="25">
        <f>-MIN(BU139,BU67*(BU67&gt;0))*(BU4&gt;0)</f>
        <v/>
      </c>
      <c r="BV140" s="25">
        <f>-MIN(BV139,BV67*(BV67&gt;0))*(BV4&gt;0)</f>
        <v/>
      </c>
      <c r="BW140" s="25">
        <f>-MIN(BW139,BW67*(BW67&gt;0))*(BW4&gt;0)</f>
        <v/>
      </c>
      <c r="BX140" s="25">
        <f>-MIN(BX139,BX67*(BX67&gt;0))*(BX4&gt;0)</f>
        <v/>
      </c>
      <c r="BY140" s="25">
        <f>-MIN(BY139,BY67*(BY67&gt;0))*(BY4&gt;0)</f>
        <v/>
      </c>
      <c r="BZ140" s="25">
        <f>-MIN(BZ139,BZ67*(BZ67&gt;0))*(BZ4&gt;0)</f>
        <v/>
      </c>
      <c r="CA140" s="25">
        <f>-MIN(CA139,CA67*(CA67&gt;0))*(CA4&gt;0)</f>
        <v/>
      </c>
      <c r="CB140" s="25">
        <f>-MIN(CB139,CB67*(CB67&gt;0))*(CB4&gt;0)</f>
        <v/>
      </c>
      <c r="CC140" s="25">
        <f>-MIN(CC139,CC67*(CC67&gt;0))*(CC4&gt;0)</f>
        <v/>
      </c>
      <c r="CD140" s="25">
        <f>-MIN(CD139,CD67*(CD67&gt;0))*(CD4&gt;0)</f>
        <v/>
      </c>
      <c r="CE140" s="25">
        <f>-MIN(CE139,CE67*(CE67&gt;0))*(CE4&gt;0)</f>
        <v/>
      </c>
      <c r="CF140" s="25">
        <f>-MIN(CF139,CF67*(CF67&gt;0))*(CF4&gt;0)</f>
        <v/>
      </c>
      <c r="CG140" s="25">
        <f>-MIN(CG139,CG67*(CG67&gt;0))*(CG4&gt;0)</f>
        <v/>
      </c>
      <c r="CH140" s="25">
        <f>-MIN(CH139,CH67*(CH67&gt;0))*(CH4&gt;0)</f>
        <v/>
      </c>
      <c r="CI140" s="25">
        <f>-MIN(CI139,CI67*(CI67&gt;0))*(CI4&gt;0)</f>
        <v/>
      </c>
      <c r="CJ140" s="25">
        <f>-MIN(CJ139,CJ67*(CJ67&gt;0))*(CJ4&gt;0)</f>
        <v/>
      </c>
      <c r="CK140" s="25">
        <f>-MIN(CK139,CK67*(CK67&gt;0))*(CK4&gt;0)</f>
        <v/>
      </c>
      <c r="CL140" s="25">
        <f>-MIN(CL139,CL67*(CL67&gt;0))*(CL4&gt;0)</f>
        <v/>
      </c>
      <c r="CM140" s="25">
        <f>-MIN(CM139,CM67*(CM67&gt;0))*(CM4&gt;0)</f>
        <v/>
      </c>
      <c r="CN140" s="25">
        <f>-MIN(CN139,CN67*(CN67&gt;0))*(CN4&gt;0)</f>
        <v/>
      </c>
      <c r="CO140" s="25">
        <f>-MIN(CO139,CO67*(CO67&gt;0))*(CO4&gt;0)</f>
        <v/>
      </c>
      <c r="CP140" s="25">
        <f>-MIN(CP139,CP67*(CP67&gt;0))*(CP4&gt;0)</f>
        <v/>
      </c>
      <c r="CQ140" s="25">
        <f>-MIN(CQ139,CQ67*(CQ67&gt;0))*(CQ4&gt;0)</f>
        <v/>
      </c>
      <c r="CR140" s="25">
        <f>-MIN(CR139,CR67*(CR67&gt;0))*(CR4&gt;0)</f>
        <v/>
      </c>
      <c r="CS140" s="25">
        <f>-MIN(CS139,CS67*(CS67&gt;0))*(CS4&gt;0)</f>
        <v/>
      </c>
      <c r="CT140" s="25">
        <f>-MIN(CT139,CT67*(CT67&gt;0))*(CT4&gt;0)</f>
        <v/>
      </c>
      <c r="CU140" s="25">
        <f>-MIN(CU139,CU67*(CU67&gt;0))*(CU4&gt;0)</f>
        <v/>
      </c>
      <c r="CV140" s="25">
        <f>-MIN(CV139,CV67*(CV67&gt;0))*(CV4&gt;0)</f>
        <v/>
      </c>
      <c r="CW140" s="25">
        <f>-MIN(CW139,CW67*(CW67&gt;0))*(CW4&gt;0)</f>
        <v/>
      </c>
      <c r="CX140" s="25">
        <f>-MIN(CX139,CX67*(CX67&gt;0))*(CX4&gt;0)</f>
        <v/>
      </c>
      <c r="CY140" s="25">
        <f>-MIN(CY139,CY67*(CY67&gt;0))*(CY4&gt;0)</f>
        <v/>
      </c>
      <c r="CZ140" s="25">
        <f>-MIN(CZ139,CZ67*(CZ67&gt;0))*(CZ4&gt;0)</f>
        <v/>
      </c>
      <c r="DA140" s="25">
        <f>-MIN(DA139,DA67*(DA67&gt;0))*(DA4&gt;0)</f>
        <v/>
      </c>
      <c r="DB140" s="25">
        <f>-MIN(DB139,DB67*(DB67&gt;0))*(DB4&gt;0)</f>
        <v/>
      </c>
      <c r="DC140" s="25">
        <f>-MIN(DC139,DC67*(DC67&gt;0))*(DC4&gt;0)</f>
        <v/>
      </c>
      <c r="DD140" s="25">
        <f>-MIN(DD139,DD67*(DD67&gt;0))*(DD4&gt;0)</f>
        <v/>
      </c>
      <c r="DE140" s="25">
        <f>-MIN(DE139,DE67*(DE67&gt;0))*(DE4&gt;0)</f>
        <v/>
      </c>
      <c r="DF140" s="25">
        <f>-MIN(DF139,DF67*(DF67&gt;0))*(DF4&gt;0)</f>
        <v/>
      </c>
      <c r="DG140" s="25">
        <f>-MIN(DG139,DG67*(DG67&gt;0))*(DG4&gt;0)</f>
        <v/>
      </c>
      <c r="DH140" s="25">
        <f>-MIN(DH139,DH67*(DH67&gt;0))*(DH4&gt;0)</f>
        <v/>
      </c>
      <c r="DI140" s="25">
        <f>-MIN(DI139,DI67*(DI67&gt;0))*(DI4&gt;0)</f>
        <v/>
      </c>
      <c r="DJ140" s="25">
        <f>-MIN(DJ139,DJ67*(DJ67&gt;0))*(DJ4&gt;0)</f>
        <v/>
      </c>
      <c r="DK140" s="25">
        <f>-MIN(DK139,DK67*(DK67&gt;0))*(DK4&gt;0)</f>
        <v/>
      </c>
      <c r="DL140" s="25">
        <f>-MIN(DL139,DL67*(DL67&gt;0))*(DL4&gt;0)</f>
        <v/>
      </c>
      <c r="DM140" s="25">
        <f>-MIN(DM139,DM67*(DM67&gt;0))*(DM4&gt;0)</f>
        <v/>
      </c>
      <c r="DN140" s="25">
        <f>-MIN(DN139,DN67*(DN67&gt;0))*(DN4&gt;0)</f>
        <v/>
      </c>
      <c r="DO140" s="25">
        <f>-MIN(DO139,DO67*(DO67&gt;0))*(DO4&gt;0)</f>
        <v/>
      </c>
      <c r="DP140" s="25">
        <f>-MIN(DP139,DP67*(DP67&gt;0))*(DP4&gt;0)</f>
        <v/>
      </c>
      <c r="DQ140" s="25">
        <f>-MIN(DQ139,DQ67*(DQ67&gt;0))*(DQ4&gt;0)</f>
        <v/>
      </c>
      <c r="DR140" s="25">
        <f>-MIN(DR139,DR67*(DR67&gt;0))*(DR4&gt;0)</f>
        <v/>
      </c>
      <c r="DS140" s="25">
        <f>-MIN(DS139,DS67*(DS67&gt;0))*(DS4&gt;0)</f>
        <v/>
      </c>
      <c r="DT140" s="25">
        <f>-MIN(DT139,DT67*(DT67&gt;0))*(DT4&gt;0)</f>
        <v/>
      </c>
      <c r="DU140" s="25">
        <f>-MIN(DU139,DU67*(DU67&gt;0))*(DU4&gt;0)</f>
        <v/>
      </c>
      <c r="DV140" s="25">
        <f>-MIN(DV139,DV67*(DV67&gt;0))*(DV4&gt;0)</f>
        <v/>
      </c>
      <c r="DW140" s="25">
        <f>-MIN(DW139,DW67*(DW67&gt;0))*(DW4&gt;0)</f>
        <v/>
      </c>
      <c r="DX140" s="25">
        <f>-MIN(DX139,DX67*(DX67&gt;0))*(DX4&gt;0)</f>
        <v/>
      </c>
      <c r="DY140" s="25">
        <f>-MIN(DY139,DY67*(DY67&gt;0))*(DY4&gt;0)</f>
        <v/>
      </c>
      <c r="DZ140" s="25">
        <f>-MIN(DZ139,DZ67*(DZ67&gt;0))*(DZ4&gt;0)</f>
        <v/>
      </c>
      <c r="EA140" s="25">
        <f>-MIN(EA139,EA67*(EA67&gt;0))*(EA4&gt;0)</f>
        <v/>
      </c>
      <c r="EB140" s="25">
        <f>-MIN(EB139,EB67*(EB67&gt;0))*(EB4&gt;0)</f>
        <v/>
      </c>
      <c r="EC140" s="25">
        <f>-MIN(EC139,EC67*(EC67&gt;0))*(EC4&gt;0)</f>
        <v/>
      </c>
      <c r="ED140" s="25">
        <f>-MIN(ED139,ED67*(ED67&gt;0))*(ED4&gt;0)</f>
        <v/>
      </c>
      <c r="EE140" s="25">
        <f>-MIN(EE139,EE67*(EE67&gt;0))*(EE4&gt;0)</f>
        <v/>
      </c>
      <c r="EF140" s="25">
        <f>-MIN(EF139,EF67*(EF67&gt;0))*(EF4&gt;0)</f>
        <v/>
      </c>
      <c r="EG140" s="25">
        <f>-MIN(EG139,EG67*(EG67&gt;0))*(EG4&gt;0)</f>
        <v/>
      </c>
      <c r="EH140" s="25">
        <f>-MIN(EH139,EH67*(EH67&gt;0))*(EH4&gt;0)</f>
        <v/>
      </c>
      <c r="EI140" s="25">
        <f>-MIN(EI139,EI67*(EI67&gt;0))*(EI4&gt;0)</f>
        <v/>
      </c>
      <c r="EJ140" s="25">
        <f>-MIN(EJ139,EJ67*(EJ67&gt;0))*(EJ4&gt;0)</f>
        <v/>
      </c>
      <c r="EK140" s="25">
        <f>-MIN(EK139,EK67*(EK67&gt;0))*(EK4&gt;0)</f>
        <v/>
      </c>
      <c r="EL140" s="25">
        <f>-MIN(EL139,EL67*(EL67&gt;0))*(EL4&gt;0)</f>
        <v/>
      </c>
      <c r="EM140" s="25">
        <f>-MIN(EM139,EM67*(EM67&gt;0))*(EM4&gt;0)</f>
        <v/>
      </c>
      <c r="EN140" s="25">
        <f>-MIN(EN139,EN67*(EN67&gt;0))*(EN4&gt;0)</f>
        <v/>
      </c>
      <c r="EO140" s="25">
        <f>-MIN(EO139,EO67*(EO67&gt;0))*(EO4&gt;0)</f>
        <v/>
      </c>
      <c r="EP140" s="25">
        <f>-MIN(EP139,EP67*(EP67&gt;0))*(EP4&gt;0)</f>
        <v/>
      </c>
      <c r="EQ140" s="25">
        <f>-MIN(EQ139,EQ67*(EQ67&gt;0))*(EQ4&gt;0)</f>
        <v/>
      </c>
      <c r="ER140" s="25">
        <f>-MIN(ER139,ER67*(ER67&gt;0))*(ER4&gt;0)</f>
        <v/>
      </c>
      <c r="ES140" s="25">
        <f>-MIN(ES139,ES67*(ES67&gt;0))*(ES4&gt;0)</f>
        <v/>
      </c>
      <c r="ET140" s="25">
        <f>-MIN(ET139,ET67*(ET67&gt;0))*(ET4&gt;0)</f>
        <v/>
      </c>
      <c r="EU140" s="25">
        <f>-MIN(EU139,EU67*(EU67&gt;0))*(EU4&gt;0)</f>
        <v/>
      </c>
      <c r="EV140" s="25">
        <f>-MIN(EV139,EV67*(EV67&gt;0))*(EV4&gt;0)</f>
        <v/>
      </c>
      <c r="EW140" s="25">
        <f>-MIN(EW139,EW67*(EW67&gt;0))*(EW4&gt;0)</f>
        <v/>
      </c>
      <c r="EX140" s="25">
        <f>-MIN(EX139,EX67*(EX67&gt;0))*(EX4&gt;0)</f>
        <v/>
      </c>
    </row>
    <row r="141" ht="16.5" customHeight="1">
      <c r="J141" s="9" t="inlineStr">
        <is>
          <t>Amortization</t>
        </is>
      </c>
      <c r="M141" s="25">
        <f>SUMIF($V$4:$EX$4,"&lt;"&amp;$H$19,$V141:$EX141)</f>
        <v/>
      </c>
      <c r="N141" s="56" t="n"/>
      <c r="O141" s="25">
        <f>SUMIF($V$5:$EX$5,O$7,$V141:$EX141)</f>
        <v/>
      </c>
      <c r="P141" s="25">
        <f>SUMIF($V$5:$EX$5,P$7,$V141:$EX141)</f>
        <v/>
      </c>
      <c r="Q141" s="25">
        <f>SUMIF($V$5:$EX$5,Q$7,$V141:$EX141)</f>
        <v/>
      </c>
      <c r="R141" s="25">
        <f>SUMIF($V$5:$EX$5,R$7,$V141:$EX141)</f>
        <v/>
      </c>
      <c r="S141" s="25">
        <f>SUMIF($V$5:$EX$5,S$7,$V141:$EX141)</f>
        <v/>
      </c>
      <c r="T141" s="25">
        <f>SUMIF($V$5:$EX$5,T$7,$V141:$EX141)</f>
        <v/>
      </c>
      <c r="U141" s="56" t="n"/>
      <c r="V141" s="25">
        <f>IF(AND(V6&gt;=EOMONTH($E$16,$D$51),V6&lt;=$E$18),-($E$51+V140),0)*(V4&gt;0)</f>
        <v/>
      </c>
      <c r="W141" s="25">
        <f>IF(AND(W6&gt;=EOMONTH($E$16,$D$51),W6&lt;=$E$18),-($E$51+W140),0)*(W4&gt;0)</f>
        <v/>
      </c>
      <c r="X141" s="25">
        <f>IF(AND(X6&gt;=EOMONTH($E$16,$D$51),X6&lt;=$E$18),-($E$51+X140),0)*(X4&gt;0)</f>
        <v/>
      </c>
      <c r="Y141" s="25">
        <f>IF(AND(Y6&gt;=EOMONTH($E$16,$D$51),Y6&lt;=$E$18),-($E$51+Y140),0)*(Y4&gt;0)</f>
        <v/>
      </c>
      <c r="Z141" s="25">
        <f>IF(AND(Z6&gt;=EOMONTH($E$16,$D$51),Z6&lt;=$E$18),-($E$51+Z140),0)*(Z4&gt;0)</f>
        <v/>
      </c>
      <c r="AA141" s="25">
        <f>IF(AND(AA6&gt;=EOMONTH($E$16,$D$51),AA6&lt;=$E$18),-($E$51+AA140),0)*(AA4&gt;0)</f>
        <v/>
      </c>
      <c r="AB141" s="25">
        <f>IF(AND(AB6&gt;=EOMONTH($E$16,$D$51),AB6&lt;=$E$18),-($E$51+AB140),0)*(AB4&gt;0)</f>
        <v/>
      </c>
      <c r="AC141" s="25">
        <f>IF(AND(AC6&gt;=EOMONTH($E$16,$D$51),AC6&lt;=$E$18),-($E$51+AC140),0)*(AC4&gt;0)</f>
        <v/>
      </c>
      <c r="AD141" s="25">
        <f>IF(AND(AD6&gt;=EOMONTH($E$16,$D$51),AD6&lt;=$E$18),-($E$51+AD140),0)*(AD4&gt;0)</f>
        <v/>
      </c>
      <c r="AE141" s="25">
        <f>IF(AND(AE6&gt;=EOMONTH($E$16,$D$51),AE6&lt;=$E$18),-($E$51+AE140),0)*(AE4&gt;0)</f>
        <v/>
      </c>
      <c r="AF141" s="25">
        <f>IF(AND(AF6&gt;=EOMONTH($E$16,$D$51),AF6&lt;=$E$18),-($E$51+AF140),0)*(AF4&gt;0)</f>
        <v/>
      </c>
      <c r="AG141" s="25">
        <f>IF(AND(AG6&gt;=EOMONTH($E$16,$D$51),AG6&lt;=$E$18),-($E$51+AG140),0)*(AG4&gt;0)</f>
        <v/>
      </c>
      <c r="AH141" s="25">
        <f>IF(AND(AH6&gt;=EOMONTH($E$16,$D$51),AH6&lt;=$E$18),-($E$51+AH140),0)*(AH4&gt;0)</f>
        <v/>
      </c>
      <c r="AI141" s="25">
        <f>IF(AND(AI6&gt;=EOMONTH($E$16,$D$51),AI6&lt;=$E$18),-($E$51+AI140),0)*(AI4&gt;0)</f>
        <v/>
      </c>
      <c r="AJ141" s="25">
        <f>IF(AND(AJ6&gt;=EOMONTH($E$16,$D$51),AJ6&lt;=$E$18),-($E$51+AJ140),0)*(AJ4&gt;0)</f>
        <v/>
      </c>
      <c r="AK141" s="25">
        <f>IF(AND(AK6&gt;=EOMONTH($E$16,$D$51),AK6&lt;=$E$18),-($E$51+AK140),0)*(AK4&gt;0)</f>
        <v/>
      </c>
      <c r="AL141" s="25">
        <f>IF(AND(AL6&gt;=EOMONTH($E$16,$D$51),AL6&lt;=$E$18),-($E$51+AL140),0)*(AL4&gt;0)</f>
        <v/>
      </c>
      <c r="AM141" s="25">
        <f>IF(AND(AM6&gt;=EOMONTH($E$16,$D$51),AM6&lt;=$E$18),-($E$51+AM140),0)*(AM4&gt;0)</f>
        <v/>
      </c>
      <c r="AN141" s="25">
        <f>IF(AND(AN6&gt;=EOMONTH($E$16,$D$51),AN6&lt;=$E$18),-($E$51+AN140),0)*(AN4&gt;0)</f>
        <v/>
      </c>
      <c r="AO141" s="25">
        <f>IF(AND(AO6&gt;=EOMONTH($E$16,$D$51),AO6&lt;=$E$18),-($E$51+AO140),0)*(AO4&gt;0)</f>
        <v/>
      </c>
      <c r="AP141" s="25">
        <f>IF(AND(AP6&gt;=EOMONTH($E$16,$D$51),AP6&lt;=$E$18),-($E$51+AP140),0)*(AP4&gt;0)</f>
        <v/>
      </c>
      <c r="AQ141" s="25">
        <f>IF(AND(AQ6&gt;=EOMONTH($E$16,$D$51),AQ6&lt;=$E$18),-($E$51+AQ140),0)*(AQ4&gt;0)</f>
        <v/>
      </c>
      <c r="AR141" s="25">
        <f>IF(AND(AR6&gt;=EOMONTH($E$16,$D$51),AR6&lt;=$E$18),-($E$51+AR140),0)*(AR4&gt;0)</f>
        <v/>
      </c>
      <c r="AS141" s="25">
        <f>IF(AND(AS6&gt;=EOMONTH($E$16,$D$51),AS6&lt;=$E$18),-($E$51+AS140),0)*(AS4&gt;0)</f>
        <v/>
      </c>
      <c r="AT141" s="25">
        <f>IF(AND(AT6&gt;=EOMONTH($E$16,$D$51),AT6&lt;=$E$18),-($E$51+AT140),0)*(AT4&gt;0)</f>
        <v/>
      </c>
      <c r="AU141" s="25">
        <f>IF(AND(AU6&gt;=EOMONTH($E$16,$D$51),AU6&lt;=$E$18),-($E$51+AU140),0)*(AU4&gt;0)</f>
        <v/>
      </c>
      <c r="AV141" s="25">
        <f>IF(AND(AV6&gt;=EOMONTH($E$16,$D$51),AV6&lt;=$E$18),-($E$51+AV140),0)*(AV4&gt;0)</f>
        <v/>
      </c>
      <c r="AW141" s="25">
        <f>IF(AND(AW6&gt;=EOMONTH($E$16,$D$51),AW6&lt;=$E$18),-($E$51+AW140),0)*(AW4&gt;0)</f>
        <v/>
      </c>
      <c r="AX141" s="25">
        <f>IF(AND(AX6&gt;=EOMONTH($E$16,$D$51),AX6&lt;=$E$18),-($E$51+AX140),0)*(AX4&gt;0)</f>
        <v/>
      </c>
      <c r="AY141" s="25">
        <f>IF(AND(AY6&gt;=EOMONTH($E$16,$D$51),AY6&lt;=$E$18),-($E$51+AY140),0)*(AY4&gt;0)</f>
        <v/>
      </c>
      <c r="AZ141" s="25">
        <f>IF(AND(AZ6&gt;=EOMONTH($E$16,$D$51),AZ6&lt;=$E$18),-($E$51+AZ140),0)*(AZ4&gt;0)</f>
        <v/>
      </c>
      <c r="BA141" s="25">
        <f>IF(AND(BA6&gt;=EOMONTH($E$16,$D$51),BA6&lt;=$E$18),-($E$51+BA140),0)*(BA4&gt;0)</f>
        <v/>
      </c>
      <c r="BB141" s="25">
        <f>IF(AND(BB6&gt;=EOMONTH($E$16,$D$51),BB6&lt;=$E$18),-($E$51+BB140),0)*(BB4&gt;0)</f>
        <v/>
      </c>
      <c r="BC141" s="25">
        <f>IF(AND(BC6&gt;=EOMONTH($E$16,$D$51),BC6&lt;=$E$18),-($E$51+BC140),0)*(BC4&gt;0)</f>
        <v/>
      </c>
      <c r="BD141" s="25">
        <f>IF(AND(BD6&gt;=EOMONTH($E$16,$D$51),BD6&lt;=$E$18),-($E$51+BD140),0)*(BD4&gt;0)</f>
        <v/>
      </c>
      <c r="BE141" s="25">
        <f>IF(AND(BE6&gt;=EOMONTH($E$16,$D$51),BE6&lt;=$E$18),-($E$51+BE140),0)*(BE4&gt;0)</f>
        <v/>
      </c>
      <c r="BF141" s="25">
        <f>IF(AND(BF6&gt;=EOMONTH($E$16,$D$51),BF6&lt;=$E$18),-($E$51+BF140),0)*(BF4&gt;0)</f>
        <v/>
      </c>
      <c r="BG141" s="25">
        <f>IF(AND(BG6&gt;=EOMONTH($E$16,$D$51),BG6&lt;=$E$18),-($E$51+BG140),0)*(BG4&gt;0)</f>
        <v/>
      </c>
      <c r="BH141" s="25">
        <f>IF(AND(BH6&gt;=EOMONTH($E$16,$D$51),BH6&lt;=$E$18),-($E$51+BH140),0)*(BH4&gt;0)</f>
        <v/>
      </c>
      <c r="BI141" s="25">
        <f>IF(AND(BI6&gt;=EOMONTH($E$16,$D$51),BI6&lt;=$E$18),-($E$51+BI140),0)*(BI4&gt;0)</f>
        <v/>
      </c>
      <c r="BJ141" s="25">
        <f>IF(AND(BJ6&gt;=EOMONTH($E$16,$D$51),BJ6&lt;=$E$18),-($E$51+BJ140),0)*(BJ4&gt;0)</f>
        <v/>
      </c>
      <c r="BK141" s="25">
        <f>IF(AND(BK6&gt;=EOMONTH($E$16,$D$51),BK6&lt;=$E$18),-($E$51+BK140),0)*(BK4&gt;0)</f>
        <v/>
      </c>
      <c r="BL141" s="25">
        <f>IF(AND(BL6&gt;=EOMONTH($E$16,$D$51),BL6&lt;=$E$18),-($E$51+BL140),0)*(BL4&gt;0)</f>
        <v/>
      </c>
      <c r="BM141" s="25">
        <f>IF(AND(BM6&gt;=EOMONTH($E$16,$D$51),BM6&lt;=$E$18),-($E$51+BM140),0)*(BM4&gt;0)</f>
        <v/>
      </c>
      <c r="BN141" s="25">
        <f>IF(AND(BN6&gt;=EOMONTH($E$16,$D$51),BN6&lt;=$E$18),-($E$51+BN140),0)*(BN4&gt;0)</f>
        <v/>
      </c>
      <c r="BO141" s="25">
        <f>IF(AND(BO6&gt;=EOMONTH($E$16,$D$51),BO6&lt;=$E$18),-($E$51+BO140),0)*(BO4&gt;0)</f>
        <v/>
      </c>
      <c r="BP141" s="25">
        <f>IF(AND(BP6&gt;=EOMONTH($E$16,$D$51),BP6&lt;=$E$18),-($E$51+BP140),0)*(BP4&gt;0)</f>
        <v/>
      </c>
      <c r="BQ141" s="25">
        <f>IF(AND(BQ6&gt;=EOMONTH($E$16,$D$51),BQ6&lt;=$E$18),-($E$51+BQ140),0)*(BQ4&gt;0)</f>
        <v/>
      </c>
      <c r="BR141" s="25">
        <f>IF(AND(BR6&gt;=EOMONTH($E$16,$D$51),BR6&lt;=$E$18),-($E$51+BR140),0)*(BR4&gt;0)</f>
        <v/>
      </c>
      <c r="BS141" s="25">
        <f>IF(AND(BS6&gt;=EOMONTH($E$16,$D$51),BS6&lt;=$E$18),-($E$51+BS140),0)*(BS4&gt;0)</f>
        <v/>
      </c>
      <c r="BT141" s="25">
        <f>IF(AND(BT6&gt;=EOMONTH($E$16,$D$51),BT6&lt;=$E$18),-($E$51+BT140),0)*(BT4&gt;0)</f>
        <v/>
      </c>
      <c r="BU141" s="25">
        <f>IF(AND(BU6&gt;=EOMONTH($E$16,$D$51),BU6&lt;=$E$18),-($E$51+BU140),0)*(BU4&gt;0)</f>
        <v/>
      </c>
      <c r="BV141" s="25">
        <f>IF(AND(BV6&gt;=EOMONTH($E$16,$D$51),BV6&lt;=$E$18),-($E$51+BV140),0)*(BV4&gt;0)</f>
        <v/>
      </c>
      <c r="BW141" s="25">
        <f>IF(AND(BW6&gt;=EOMONTH($E$16,$D$51),BW6&lt;=$E$18),-($E$51+BW140),0)*(BW4&gt;0)</f>
        <v/>
      </c>
      <c r="BX141" s="25">
        <f>IF(AND(BX6&gt;=EOMONTH($E$16,$D$51),BX6&lt;=$E$18),-($E$51+BX140),0)*(BX4&gt;0)</f>
        <v/>
      </c>
      <c r="BY141" s="25">
        <f>IF(AND(BY6&gt;=EOMONTH($E$16,$D$51),BY6&lt;=$E$18),-($E$51+BY140),0)*(BY4&gt;0)</f>
        <v/>
      </c>
      <c r="BZ141" s="25">
        <f>IF(AND(BZ6&gt;=EOMONTH($E$16,$D$51),BZ6&lt;=$E$18),-($E$51+BZ140),0)*(BZ4&gt;0)</f>
        <v/>
      </c>
      <c r="CA141" s="25">
        <f>IF(AND(CA6&gt;=EOMONTH($E$16,$D$51),CA6&lt;=$E$18),-($E$51+CA140),0)*(CA4&gt;0)</f>
        <v/>
      </c>
      <c r="CB141" s="25">
        <f>IF(AND(CB6&gt;=EOMONTH($E$16,$D$51),CB6&lt;=$E$18),-($E$51+CB140),0)*(CB4&gt;0)</f>
        <v/>
      </c>
      <c r="CC141" s="25">
        <f>IF(AND(CC6&gt;=EOMONTH($E$16,$D$51),CC6&lt;=$E$18),-($E$51+CC140),0)*(CC4&gt;0)</f>
        <v/>
      </c>
      <c r="CD141" s="25">
        <f>IF(AND(CD6&gt;=EOMONTH($E$16,$D$51),CD6&lt;=$E$18),-($E$51+CD140),0)*(CD4&gt;0)</f>
        <v/>
      </c>
      <c r="CE141" s="25">
        <f>IF(AND(CE6&gt;=EOMONTH($E$16,$D$51),CE6&lt;=$E$18),-($E$51+CE140),0)*(CE4&gt;0)</f>
        <v/>
      </c>
      <c r="CF141" s="25">
        <f>IF(AND(CF6&gt;=EOMONTH($E$16,$D$51),CF6&lt;=$E$18),-($E$51+CF140),0)*(CF4&gt;0)</f>
        <v/>
      </c>
      <c r="CG141" s="25">
        <f>IF(AND(CG6&gt;=EOMONTH($E$16,$D$51),CG6&lt;=$E$18),-($E$51+CG140),0)*(CG4&gt;0)</f>
        <v/>
      </c>
      <c r="CH141" s="25">
        <f>IF(AND(CH6&gt;=EOMONTH($E$16,$D$51),CH6&lt;=$E$18),-($E$51+CH140),0)*(CH4&gt;0)</f>
        <v/>
      </c>
      <c r="CI141" s="25">
        <f>IF(AND(CI6&gt;=EOMONTH($E$16,$D$51),CI6&lt;=$E$18),-($E$51+CI140),0)*(CI4&gt;0)</f>
        <v/>
      </c>
      <c r="CJ141" s="25">
        <f>IF(AND(CJ6&gt;=EOMONTH($E$16,$D$51),CJ6&lt;=$E$18),-($E$51+CJ140),0)*(CJ4&gt;0)</f>
        <v/>
      </c>
      <c r="CK141" s="25">
        <f>IF(AND(CK6&gt;=EOMONTH($E$16,$D$51),CK6&lt;=$E$18),-($E$51+CK140),0)*(CK4&gt;0)</f>
        <v/>
      </c>
      <c r="CL141" s="25">
        <f>IF(AND(CL6&gt;=EOMONTH($E$16,$D$51),CL6&lt;=$E$18),-($E$51+CL140),0)*(CL4&gt;0)</f>
        <v/>
      </c>
      <c r="CM141" s="25">
        <f>IF(AND(CM6&gt;=EOMONTH($E$16,$D$51),CM6&lt;=$E$18),-($E$51+CM140),0)*(CM4&gt;0)</f>
        <v/>
      </c>
      <c r="CN141" s="25">
        <f>IF(AND(CN6&gt;=EOMONTH($E$16,$D$51),CN6&lt;=$E$18),-($E$51+CN140),0)*(CN4&gt;0)</f>
        <v/>
      </c>
      <c r="CO141" s="25">
        <f>IF(AND(CO6&gt;=EOMONTH($E$16,$D$51),CO6&lt;=$E$18),-($E$51+CO140),0)*(CO4&gt;0)</f>
        <v/>
      </c>
      <c r="CP141" s="25">
        <f>IF(AND(CP6&gt;=EOMONTH($E$16,$D$51),CP6&lt;=$E$18),-($E$51+CP140),0)*(CP4&gt;0)</f>
        <v/>
      </c>
      <c r="CQ141" s="25">
        <f>IF(AND(CQ6&gt;=EOMONTH($E$16,$D$51),CQ6&lt;=$E$18),-($E$51+CQ140),0)*(CQ4&gt;0)</f>
        <v/>
      </c>
      <c r="CR141" s="25">
        <f>IF(AND(CR6&gt;=EOMONTH($E$16,$D$51),CR6&lt;=$E$18),-($E$51+CR140),0)*(CR4&gt;0)</f>
        <v/>
      </c>
      <c r="CS141" s="25">
        <f>IF(AND(CS6&gt;=EOMONTH($E$16,$D$51),CS6&lt;=$E$18),-($E$51+CS140),0)*(CS4&gt;0)</f>
        <v/>
      </c>
      <c r="CT141" s="25">
        <f>IF(AND(CT6&gt;=EOMONTH($E$16,$D$51),CT6&lt;=$E$18),-($E$51+CT140),0)*(CT4&gt;0)</f>
        <v/>
      </c>
      <c r="CU141" s="25">
        <f>IF(AND(CU6&gt;=EOMONTH($E$16,$D$51),CU6&lt;=$E$18),-($E$51+CU140),0)*(CU4&gt;0)</f>
        <v/>
      </c>
      <c r="CV141" s="25">
        <f>IF(AND(CV6&gt;=EOMONTH($E$16,$D$51),CV6&lt;=$E$18),-($E$51+CV140),0)*(CV4&gt;0)</f>
        <v/>
      </c>
      <c r="CW141" s="25">
        <f>IF(AND(CW6&gt;=EOMONTH($E$16,$D$51),CW6&lt;=$E$18),-($E$51+CW140),0)*(CW4&gt;0)</f>
        <v/>
      </c>
      <c r="CX141" s="25">
        <f>IF(AND(CX6&gt;=EOMONTH($E$16,$D$51),CX6&lt;=$E$18),-($E$51+CX140),0)*(CX4&gt;0)</f>
        <v/>
      </c>
      <c r="CY141" s="25">
        <f>IF(AND(CY6&gt;=EOMONTH($E$16,$D$51),CY6&lt;=$E$18),-($E$51+CY140),0)*(CY4&gt;0)</f>
        <v/>
      </c>
      <c r="CZ141" s="25">
        <f>IF(AND(CZ6&gt;=EOMONTH($E$16,$D$51),CZ6&lt;=$E$18),-($E$51+CZ140),0)*(CZ4&gt;0)</f>
        <v/>
      </c>
      <c r="DA141" s="25">
        <f>IF(AND(DA6&gt;=EOMONTH($E$16,$D$51),DA6&lt;=$E$18),-($E$51+DA140),0)*(DA4&gt;0)</f>
        <v/>
      </c>
      <c r="DB141" s="25">
        <f>IF(AND(DB6&gt;=EOMONTH($E$16,$D$51),DB6&lt;=$E$18),-($E$51+DB140),0)*(DB4&gt;0)</f>
        <v/>
      </c>
      <c r="DC141" s="25">
        <f>IF(AND(DC6&gt;=EOMONTH($E$16,$D$51),DC6&lt;=$E$18),-($E$51+DC140),0)*(DC4&gt;0)</f>
        <v/>
      </c>
      <c r="DD141" s="25">
        <f>IF(AND(DD6&gt;=EOMONTH($E$16,$D$51),DD6&lt;=$E$18),-($E$51+DD140),0)*(DD4&gt;0)</f>
        <v/>
      </c>
      <c r="DE141" s="25">
        <f>IF(AND(DE6&gt;=EOMONTH($E$16,$D$51),DE6&lt;=$E$18),-($E$51+DE140),0)*(DE4&gt;0)</f>
        <v/>
      </c>
      <c r="DF141" s="25">
        <f>IF(AND(DF6&gt;=EOMONTH($E$16,$D$51),DF6&lt;=$E$18),-($E$51+DF140),0)*(DF4&gt;0)</f>
        <v/>
      </c>
      <c r="DG141" s="25">
        <f>IF(AND(DG6&gt;=EOMONTH($E$16,$D$51),DG6&lt;=$E$18),-($E$51+DG140),0)*(DG4&gt;0)</f>
        <v/>
      </c>
      <c r="DH141" s="25">
        <f>IF(AND(DH6&gt;=EOMONTH($E$16,$D$51),DH6&lt;=$E$18),-($E$51+DH140),0)*(DH4&gt;0)</f>
        <v/>
      </c>
      <c r="DI141" s="25">
        <f>IF(AND(DI6&gt;=EOMONTH($E$16,$D$51),DI6&lt;=$E$18),-($E$51+DI140),0)*(DI4&gt;0)</f>
        <v/>
      </c>
      <c r="DJ141" s="25">
        <f>IF(AND(DJ6&gt;=EOMONTH($E$16,$D$51),DJ6&lt;=$E$18),-($E$51+DJ140),0)*(DJ4&gt;0)</f>
        <v/>
      </c>
      <c r="DK141" s="25">
        <f>IF(AND(DK6&gt;=EOMONTH($E$16,$D$51),DK6&lt;=$E$18),-($E$51+DK140),0)*(DK4&gt;0)</f>
        <v/>
      </c>
      <c r="DL141" s="25">
        <f>IF(AND(DL6&gt;=EOMONTH($E$16,$D$51),DL6&lt;=$E$18),-($E$51+DL140),0)*(DL4&gt;0)</f>
        <v/>
      </c>
      <c r="DM141" s="25">
        <f>IF(AND(DM6&gt;=EOMONTH($E$16,$D$51),DM6&lt;=$E$18),-($E$51+DM140),0)*(DM4&gt;0)</f>
        <v/>
      </c>
      <c r="DN141" s="25">
        <f>IF(AND(DN6&gt;=EOMONTH($E$16,$D$51),DN6&lt;=$E$18),-($E$51+DN140),0)*(DN4&gt;0)</f>
        <v/>
      </c>
      <c r="DO141" s="25">
        <f>IF(AND(DO6&gt;=EOMONTH($E$16,$D$51),DO6&lt;=$E$18),-($E$51+DO140),0)*(DO4&gt;0)</f>
        <v/>
      </c>
      <c r="DP141" s="25">
        <f>IF(AND(DP6&gt;=EOMONTH($E$16,$D$51),DP6&lt;=$E$18),-($E$51+DP140),0)*(DP4&gt;0)</f>
        <v/>
      </c>
      <c r="DQ141" s="25">
        <f>IF(AND(DQ6&gt;=EOMONTH($E$16,$D$51),DQ6&lt;=$E$18),-($E$51+DQ140),0)*(DQ4&gt;0)</f>
        <v/>
      </c>
      <c r="DR141" s="25">
        <f>IF(AND(DR6&gt;=EOMONTH($E$16,$D$51),DR6&lt;=$E$18),-($E$51+DR140),0)*(DR4&gt;0)</f>
        <v/>
      </c>
      <c r="DS141" s="25">
        <f>IF(AND(DS6&gt;=EOMONTH($E$16,$D$51),DS6&lt;=$E$18),-($E$51+DS140),0)*(DS4&gt;0)</f>
        <v/>
      </c>
      <c r="DT141" s="25">
        <f>IF(AND(DT6&gt;=EOMONTH($E$16,$D$51),DT6&lt;=$E$18),-($E$51+DT140),0)*(DT4&gt;0)</f>
        <v/>
      </c>
      <c r="DU141" s="25">
        <f>IF(AND(DU6&gt;=EOMONTH($E$16,$D$51),DU6&lt;=$E$18),-($E$51+DU140),0)*(DU4&gt;0)</f>
        <v/>
      </c>
      <c r="DV141" s="25">
        <f>IF(AND(DV6&gt;=EOMONTH($E$16,$D$51),DV6&lt;=$E$18),-($E$51+DV140),0)*(DV4&gt;0)</f>
        <v/>
      </c>
      <c r="DW141" s="25">
        <f>IF(AND(DW6&gt;=EOMONTH($E$16,$D$51),DW6&lt;=$E$18),-($E$51+DW140),0)*(DW4&gt;0)</f>
        <v/>
      </c>
      <c r="DX141" s="25">
        <f>IF(AND(DX6&gt;=EOMONTH($E$16,$D$51),DX6&lt;=$E$18),-($E$51+DX140),0)*(DX4&gt;0)</f>
        <v/>
      </c>
      <c r="DY141" s="25">
        <f>IF(AND(DY6&gt;=EOMONTH($E$16,$D$51),DY6&lt;=$E$18),-($E$51+DY140),0)*(DY4&gt;0)</f>
        <v/>
      </c>
      <c r="DZ141" s="25">
        <f>IF(AND(DZ6&gt;=EOMONTH($E$16,$D$51),DZ6&lt;=$E$18),-($E$51+DZ140),0)*(DZ4&gt;0)</f>
        <v/>
      </c>
      <c r="EA141" s="25">
        <f>IF(AND(EA6&gt;=EOMONTH($E$16,$D$51),EA6&lt;=$E$18),-($E$51+EA140),0)*(EA4&gt;0)</f>
        <v/>
      </c>
      <c r="EB141" s="25">
        <f>IF(AND(EB6&gt;=EOMONTH($E$16,$D$51),EB6&lt;=$E$18),-($E$51+EB140),0)*(EB4&gt;0)</f>
        <v/>
      </c>
      <c r="EC141" s="25">
        <f>IF(AND(EC6&gt;=EOMONTH($E$16,$D$51),EC6&lt;=$E$18),-($E$51+EC140),0)*(EC4&gt;0)</f>
        <v/>
      </c>
      <c r="ED141" s="25">
        <f>IF(AND(ED6&gt;=EOMONTH($E$16,$D$51),ED6&lt;=$E$18),-($E$51+ED140),0)*(ED4&gt;0)</f>
        <v/>
      </c>
      <c r="EE141" s="25">
        <f>IF(AND(EE6&gt;=EOMONTH($E$16,$D$51),EE6&lt;=$E$18),-($E$51+EE140),0)*(EE4&gt;0)</f>
        <v/>
      </c>
      <c r="EF141" s="25">
        <f>IF(AND(EF6&gt;=EOMONTH($E$16,$D$51),EF6&lt;=$E$18),-($E$51+EF140),0)*(EF4&gt;0)</f>
        <v/>
      </c>
      <c r="EG141" s="25">
        <f>IF(AND(EG6&gt;=EOMONTH($E$16,$D$51),EG6&lt;=$E$18),-($E$51+EG140),0)*(EG4&gt;0)</f>
        <v/>
      </c>
      <c r="EH141" s="25">
        <f>IF(AND(EH6&gt;=EOMONTH($E$16,$D$51),EH6&lt;=$E$18),-($E$51+EH140),0)*(EH4&gt;0)</f>
        <v/>
      </c>
      <c r="EI141" s="25">
        <f>IF(AND(EI6&gt;=EOMONTH($E$16,$D$51),EI6&lt;=$E$18),-($E$51+EI140),0)*(EI4&gt;0)</f>
        <v/>
      </c>
      <c r="EJ141" s="25">
        <f>IF(AND(EJ6&gt;=EOMONTH($E$16,$D$51),EJ6&lt;=$E$18),-($E$51+EJ140),0)*(EJ4&gt;0)</f>
        <v/>
      </c>
      <c r="EK141" s="25">
        <f>IF(AND(EK6&gt;=EOMONTH($E$16,$D$51),EK6&lt;=$E$18),-($E$51+EK140),0)*(EK4&gt;0)</f>
        <v/>
      </c>
      <c r="EL141" s="25">
        <f>IF(AND(EL6&gt;=EOMONTH($E$16,$D$51),EL6&lt;=$E$18),-($E$51+EL140),0)*(EL4&gt;0)</f>
        <v/>
      </c>
      <c r="EM141" s="25">
        <f>IF(AND(EM6&gt;=EOMONTH($E$16,$D$51),EM6&lt;=$E$18),-($E$51+EM140),0)*(EM4&gt;0)</f>
        <v/>
      </c>
      <c r="EN141" s="25">
        <f>IF(AND(EN6&gt;=EOMONTH($E$16,$D$51),EN6&lt;=$E$18),-($E$51+EN140),0)*(EN4&gt;0)</f>
        <v/>
      </c>
      <c r="EO141" s="25">
        <f>IF(AND(EO6&gt;=EOMONTH($E$16,$D$51),EO6&lt;=$E$18),-($E$51+EO140),0)*(EO4&gt;0)</f>
        <v/>
      </c>
      <c r="EP141" s="25">
        <f>IF(AND(EP6&gt;=EOMONTH($E$16,$D$51),EP6&lt;=$E$18),-($E$51+EP140),0)*(EP4&gt;0)</f>
        <v/>
      </c>
      <c r="EQ141" s="25">
        <f>IF(AND(EQ6&gt;=EOMONTH($E$16,$D$51),EQ6&lt;=$E$18),-($E$51+EQ140),0)*(EQ4&gt;0)</f>
        <v/>
      </c>
      <c r="ER141" s="25">
        <f>IF(AND(ER6&gt;=EOMONTH($E$16,$D$51),ER6&lt;=$E$18),-($E$51+ER140),0)*(ER4&gt;0)</f>
        <v/>
      </c>
      <c r="ES141" s="25">
        <f>IF(AND(ES6&gt;=EOMONTH($E$16,$D$51),ES6&lt;=$E$18),-($E$51+ES140),0)*(ES4&gt;0)</f>
        <v/>
      </c>
      <c r="ET141" s="25">
        <f>IF(AND(ET6&gt;=EOMONTH($E$16,$D$51),ET6&lt;=$E$18),-($E$51+ET140),0)*(ET4&gt;0)</f>
        <v/>
      </c>
      <c r="EU141" s="25">
        <f>IF(AND(EU6&gt;=EOMONTH($E$16,$D$51),EU6&lt;=$E$18),-($E$51+EU140),0)*(EU4&gt;0)</f>
        <v/>
      </c>
      <c r="EV141" s="25">
        <f>IF(AND(EV6&gt;=EOMONTH($E$16,$D$51),EV6&lt;=$E$18),-($E$51+EV140),0)*(EV4&gt;0)</f>
        <v/>
      </c>
      <c r="EW141" s="25">
        <f>IF(AND(EW6&gt;=EOMONTH($E$16,$D$51),EW6&lt;=$E$18),-($E$51+EW140),0)*(EW4&gt;0)</f>
        <v/>
      </c>
      <c r="EX141" s="25">
        <f>IF(AND(EX6&gt;=EOMONTH($E$16,$D$51),EX6&lt;=$E$18),-($E$51+EX140),0)*(EX4&gt;0)</f>
        <v/>
      </c>
    </row>
    <row r="142" ht="16.5" customHeight="1">
      <c r="J142" s="9" t="inlineStr">
        <is>
          <t>Loan Payoff</t>
        </is>
      </c>
      <c r="M142" s="25">
        <f>SUMIF($V$4:$EX$4,"&lt;"&amp;$H$19,$V142:$EX142)</f>
        <v/>
      </c>
      <c r="N142" s="56" t="n"/>
      <c r="O142" s="25">
        <f>SUMIF($V$5:$EX$5,O$7,$V142:$EX142)</f>
        <v/>
      </c>
      <c r="P142" s="25">
        <f>SUMIF($V$5:$EX$5,P$7,$V142:$EX142)</f>
        <v/>
      </c>
      <c r="Q142" s="25">
        <f>SUMIF($V$5:$EX$5,Q$7,$V142:$EX142)</f>
        <v/>
      </c>
      <c r="R142" s="25">
        <f>SUMIF($V$5:$EX$5,R$7,$V142:$EX142)</f>
        <v/>
      </c>
      <c r="S142" s="25">
        <f>SUMIF($V$5:$EX$5,S$7,$V142:$EX142)</f>
        <v/>
      </c>
      <c r="T142" s="25">
        <f>SUMIF($V$5:$EX$5,T$7,$V142:$EX142)</f>
        <v/>
      </c>
      <c r="U142" s="56" t="n"/>
      <c r="V142" s="25">
        <f>IF(V6=$E$48,-SUM(V137:V141),0)</f>
        <v/>
      </c>
      <c r="W142" s="25">
        <f>IF(W6=$E$48,-SUM(W137:W141),0)</f>
        <v/>
      </c>
      <c r="X142" s="25">
        <f>IF(X6=$E$48,-SUM(X137:X141),0)</f>
        <v/>
      </c>
      <c r="Y142" s="25">
        <f>IF(Y6=$E$48,-SUM(Y137:Y141),0)</f>
        <v/>
      </c>
      <c r="Z142" s="25">
        <f>IF(Z6=$E$48,-SUM(Z137:Z141),0)</f>
        <v/>
      </c>
      <c r="AA142" s="25">
        <f>IF(AA6=$E$48,-SUM(AA137:AA141),0)</f>
        <v/>
      </c>
      <c r="AB142" s="25">
        <f>IF(AB6=$E$48,-SUM(AB137:AB141),0)</f>
        <v/>
      </c>
      <c r="AC142" s="25">
        <f>IF(AC6=$E$48,-SUM(AC137:AC141),0)</f>
        <v/>
      </c>
      <c r="AD142" s="25">
        <f>IF(AD6=$E$48,-SUM(AD137:AD141),0)</f>
        <v/>
      </c>
      <c r="AE142" s="25">
        <f>IF(AE6=$E$48,-SUM(AE137:AE141),0)</f>
        <v/>
      </c>
      <c r="AF142" s="25">
        <f>IF(AF6=$E$48,-SUM(AF137:AF141),0)</f>
        <v/>
      </c>
      <c r="AG142" s="25">
        <f>IF(AG6=$E$48,-SUM(AG137:AG141),0)</f>
        <v/>
      </c>
      <c r="AH142" s="25">
        <f>IF(AH6=$E$48,-SUM(AH137:AH141),0)</f>
        <v/>
      </c>
      <c r="AI142" s="25">
        <f>IF(AI6=$E$48,-SUM(AI137:AI141),0)</f>
        <v/>
      </c>
      <c r="AJ142" s="25">
        <f>IF(AJ6=$E$48,-SUM(AJ137:AJ141),0)</f>
        <v/>
      </c>
      <c r="AK142" s="25">
        <f>IF(AK6=$E$48,-SUM(AK137:AK141),0)</f>
        <v/>
      </c>
      <c r="AL142" s="25">
        <f>IF(AL6=$E$48,-SUM(AL137:AL141),0)</f>
        <v/>
      </c>
      <c r="AM142" s="25">
        <f>IF(AM6=$E$48,-SUM(AM137:AM141),0)</f>
        <v/>
      </c>
      <c r="AN142" s="25">
        <f>IF(AN6=$E$48,-SUM(AN137:AN141),0)</f>
        <v/>
      </c>
      <c r="AO142" s="25">
        <f>IF(AO6=$E$48,-SUM(AO137:AO141),0)</f>
        <v/>
      </c>
      <c r="AP142" s="25">
        <f>IF(AP6=$E$48,-SUM(AP137:AP141),0)</f>
        <v/>
      </c>
      <c r="AQ142" s="25">
        <f>IF(AQ6=$E$48,-SUM(AQ137:AQ141),0)</f>
        <v/>
      </c>
      <c r="AR142" s="25">
        <f>IF(AR6=$E$48,-SUM(AR137:AR141),0)</f>
        <v/>
      </c>
      <c r="AS142" s="25">
        <f>IF(AS6=$E$48,-SUM(AS137:AS141),0)</f>
        <v/>
      </c>
      <c r="AT142" s="25">
        <f>IF(AT6=$E$48,-SUM(AT137:AT141),0)</f>
        <v/>
      </c>
      <c r="AU142" s="25">
        <f>IF(AU6=$E$48,-SUM(AU137:AU141),0)</f>
        <v/>
      </c>
      <c r="AV142" s="25">
        <f>IF(AV6=$E$48,-SUM(AV137:AV141),0)</f>
        <v/>
      </c>
      <c r="AW142" s="25">
        <f>IF(AW6=$E$48,-SUM(AW137:AW141),0)</f>
        <v/>
      </c>
      <c r="AX142" s="25">
        <f>IF(AX6=$E$48,-SUM(AX137:AX141),0)</f>
        <v/>
      </c>
      <c r="AY142" s="25">
        <f>IF(AY6=$E$48,-SUM(AY137:AY141),0)</f>
        <v/>
      </c>
      <c r="AZ142" s="25">
        <f>IF(AZ6=$E$48,-SUM(AZ137:AZ141),0)</f>
        <v/>
      </c>
      <c r="BA142" s="25">
        <f>IF(BA6=$E$48,-SUM(BA137:BA141),0)</f>
        <v/>
      </c>
      <c r="BB142" s="25">
        <f>IF(BB6=$E$48,-SUM(BB137:BB141),0)</f>
        <v/>
      </c>
      <c r="BC142" s="25">
        <f>IF(BC6=$E$48,-SUM(BC137:BC141),0)</f>
        <v/>
      </c>
      <c r="BD142" s="25">
        <f>IF(BD6=$E$48,-SUM(BD137:BD141),0)</f>
        <v/>
      </c>
      <c r="BE142" s="25">
        <f>IF(BE6=$E$48,-SUM(BE137:BE141),0)</f>
        <v/>
      </c>
      <c r="BF142" s="25">
        <f>IF(BF6=$E$48,-SUM(BF137:BF141),0)</f>
        <v/>
      </c>
      <c r="BG142" s="25">
        <f>IF(BG6=$E$48,-SUM(BG137:BG141),0)</f>
        <v/>
      </c>
      <c r="BH142" s="25">
        <f>IF(BH6=$E$48,-SUM(BH137:BH141),0)</f>
        <v/>
      </c>
      <c r="BI142" s="25">
        <f>IF(BI6=$E$48,-SUM(BI137:BI141),0)</f>
        <v/>
      </c>
      <c r="BJ142" s="25">
        <f>IF(BJ6=$E$48,-SUM(BJ137:BJ141),0)</f>
        <v/>
      </c>
      <c r="BK142" s="25">
        <f>IF(BK6=$E$48,-SUM(BK137:BK141),0)</f>
        <v/>
      </c>
      <c r="BL142" s="25">
        <f>IF(BL6=$E$48,-SUM(BL137:BL141),0)</f>
        <v/>
      </c>
      <c r="BM142" s="25">
        <f>IF(BM6=$E$48,-SUM(BM137:BM141),0)</f>
        <v/>
      </c>
      <c r="BN142" s="25">
        <f>IF(BN6=$E$48,-SUM(BN137:BN141),0)</f>
        <v/>
      </c>
      <c r="BO142" s="25">
        <f>IF(BO6=$E$48,-SUM(BO137:BO141),0)</f>
        <v/>
      </c>
      <c r="BP142" s="25">
        <f>IF(BP6=$E$48,-SUM(BP137:BP141),0)</f>
        <v/>
      </c>
      <c r="BQ142" s="25">
        <f>IF(BQ6=$E$48,-SUM(BQ137:BQ141),0)</f>
        <v/>
      </c>
      <c r="BR142" s="25">
        <f>IF(BR6=$E$48,-SUM(BR137:BR141),0)</f>
        <v/>
      </c>
      <c r="BS142" s="25">
        <f>IF(BS6=$E$48,-SUM(BS137:BS141),0)</f>
        <v/>
      </c>
      <c r="BT142" s="25">
        <f>IF(BT6=$E$48,-SUM(BT137:BT141),0)</f>
        <v/>
      </c>
      <c r="BU142" s="25">
        <f>IF(BU6=$E$48,-SUM(BU137:BU141),0)</f>
        <v/>
      </c>
      <c r="BV142" s="25">
        <f>IF(BV6=$E$48,-SUM(BV137:BV141),0)</f>
        <v/>
      </c>
      <c r="BW142" s="25">
        <f>IF(BW6=$E$48,-SUM(BW137:BW141),0)</f>
        <v/>
      </c>
      <c r="BX142" s="25">
        <f>IF(BX6=$E$48,-SUM(BX137:BX141),0)</f>
        <v/>
      </c>
      <c r="BY142" s="25">
        <f>IF(BY6=$E$48,-SUM(BY137:BY141),0)</f>
        <v/>
      </c>
      <c r="BZ142" s="25">
        <f>IF(BZ6=$E$48,-SUM(BZ137:BZ141),0)</f>
        <v/>
      </c>
      <c r="CA142" s="25">
        <f>IF(CA6=$E$48,-SUM(CA137:CA141),0)</f>
        <v/>
      </c>
      <c r="CB142" s="25">
        <f>IF(CB6=$E$48,-SUM(CB137:CB141),0)</f>
        <v/>
      </c>
      <c r="CC142" s="25">
        <f>IF(CC6=$E$48,-SUM(CC137:CC141),0)</f>
        <v/>
      </c>
      <c r="CD142" s="25">
        <f>IF(CD6=$E$48,-SUM(CD137:CD141),0)</f>
        <v/>
      </c>
      <c r="CE142" s="25">
        <f>IF(CE6=$E$48,-SUM(CE137:CE141),0)</f>
        <v/>
      </c>
      <c r="CF142" s="25">
        <f>IF(CF6=$E$48,-SUM(CF137:CF141),0)</f>
        <v/>
      </c>
      <c r="CG142" s="25">
        <f>IF(CG6=$E$48,-SUM(CG137:CG141),0)</f>
        <v/>
      </c>
      <c r="CH142" s="25">
        <f>IF(CH6=$E$48,-SUM(CH137:CH141),0)</f>
        <v/>
      </c>
      <c r="CI142" s="25">
        <f>IF(CI6=$E$48,-SUM(CI137:CI141),0)</f>
        <v/>
      </c>
      <c r="CJ142" s="25">
        <f>IF(CJ6=$E$48,-SUM(CJ137:CJ141),0)</f>
        <v/>
      </c>
      <c r="CK142" s="25">
        <f>IF(CK6=$E$48,-SUM(CK137:CK141),0)</f>
        <v/>
      </c>
      <c r="CL142" s="25">
        <f>IF(CL6=$E$48,-SUM(CL137:CL141),0)</f>
        <v/>
      </c>
      <c r="CM142" s="25">
        <f>IF(CM6=$E$48,-SUM(CM137:CM141),0)</f>
        <v/>
      </c>
      <c r="CN142" s="25">
        <f>IF(CN6=$E$48,-SUM(CN137:CN141),0)</f>
        <v/>
      </c>
      <c r="CO142" s="25">
        <f>IF(CO6=$E$48,-SUM(CO137:CO141),0)</f>
        <v/>
      </c>
      <c r="CP142" s="25">
        <f>IF(CP6=$E$48,-SUM(CP137:CP141),0)</f>
        <v/>
      </c>
      <c r="CQ142" s="25">
        <f>IF(CQ6=$E$48,-SUM(CQ137:CQ141),0)</f>
        <v/>
      </c>
      <c r="CR142" s="25">
        <f>IF(CR6=$E$48,-SUM(CR137:CR141),0)</f>
        <v/>
      </c>
      <c r="CS142" s="25">
        <f>IF(CS6=$E$48,-SUM(CS137:CS141),0)</f>
        <v/>
      </c>
      <c r="CT142" s="25">
        <f>IF(CT6=$E$48,-SUM(CT137:CT141),0)</f>
        <v/>
      </c>
      <c r="CU142" s="25">
        <f>IF(CU6=$E$48,-SUM(CU137:CU141),0)</f>
        <v/>
      </c>
      <c r="CV142" s="25">
        <f>IF(CV6=$E$48,-SUM(CV137:CV141),0)</f>
        <v/>
      </c>
      <c r="CW142" s="25">
        <f>IF(CW6=$E$48,-SUM(CW137:CW141),0)</f>
        <v/>
      </c>
      <c r="CX142" s="25">
        <f>IF(CX6=$E$48,-SUM(CX137:CX141),0)</f>
        <v/>
      </c>
      <c r="CY142" s="25">
        <f>IF(CY6=$E$48,-SUM(CY137:CY141),0)</f>
        <v/>
      </c>
      <c r="CZ142" s="25">
        <f>IF(CZ6=$E$48,-SUM(CZ137:CZ141),0)</f>
        <v/>
      </c>
      <c r="DA142" s="25">
        <f>IF(DA6=$E$48,-SUM(DA137:DA141),0)</f>
        <v/>
      </c>
      <c r="DB142" s="25">
        <f>IF(DB6=$E$48,-SUM(DB137:DB141),0)</f>
        <v/>
      </c>
      <c r="DC142" s="25">
        <f>IF(DC6=$E$48,-SUM(DC137:DC141),0)</f>
        <v/>
      </c>
      <c r="DD142" s="25">
        <f>IF(DD6=$E$48,-SUM(DD137:DD141),0)</f>
        <v/>
      </c>
      <c r="DE142" s="25">
        <f>IF(DE6=$E$48,-SUM(DE137:DE141),0)</f>
        <v/>
      </c>
      <c r="DF142" s="25">
        <f>IF(DF6=$E$48,-SUM(DF137:DF141),0)</f>
        <v/>
      </c>
      <c r="DG142" s="25">
        <f>IF(DG6=$E$48,-SUM(DG137:DG141),0)</f>
        <v/>
      </c>
      <c r="DH142" s="25">
        <f>IF(DH6=$E$48,-SUM(DH137:DH141),0)</f>
        <v/>
      </c>
      <c r="DI142" s="25">
        <f>IF(DI6=$E$48,-SUM(DI137:DI141),0)</f>
        <v/>
      </c>
      <c r="DJ142" s="25">
        <f>IF(DJ6=$E$48,-SUM(DJ137:DJ141),0)</f>
        <v/>
      </c>
      <c r="DK142" s="25">
        <f>IF(DK6=$E$48,-SUM(DK137:DK141),0)</f>
        <v/>
      </c>
      <c r="DL142" s="25">
        <f>IF(DL6=$E$48,-SUM(DL137:DL141),0)</f>
        <v/>
      </c>
      <c r="DM142" s="25">
        <f>IF(DM6=$E$48,-SUM(DM137:DM141),0)</f>
        <v/>
      </c>
      <c r="DN142" s="25">
        <f>IF(DN6=$E$48,-SUM(DN137:DN141),0)</f>
        <v/>
      </c>
      <c r="DO142" s="25">
        <f>IF(DO6=$E$48,-SUM(DO137:DO141),0)</f>
        <v/>
      </c>
      <c r="DP142" s="25">
        <f>IF(DP6=$E$48,-SUM(DP137:DP141),0)</f>
        <v/>
      </c>
      <c r="DQ142" s="25">
        <f>IF(DQ6=$E$48,-SUM(DQ137:DQ141),0)</f>
        <v/>
      </c>
      <c r="DR142" s="25">
        <f>IF(DR6=$E$48,-SUM(DR137:DR141),0)</f>
        <v/>
      </c>
      <c r="DS142" s="25">
        <f>IF(DS6=$E$48,-SUM(DS137:DS141),0)</f>
        <v/>
      </c>
      <c r="DT142" s="25">
        <f>IF(DT6=$E$48,-SUM(DT137:DT141),0)</f>
        <v/>
      </c>
      <c r="DU142" s="25">
        <f>IF(DU6=$E$48,-SUM(DU137:DU141),0)</f>
        <v/>
      </c>
      <c r="DV142" s="25">
        <f>IF(DV6=$E$48,-SUM(DV137:DV141),0)</f>
        <v/>
      </c>
      <c r="DW142" s="25">
        <f>IF(DW6=$E$48,-SUM(DW137:DW141),0)</f>
        <v/>
      </c>
      <c r="DX142" s="25">
        <f>IF(DX6=$E$48,-SUM(DX137:DX141),0)</f>
        <v/>
      </c>
      <c r="DY142" s="25">
        <f>IF(DY6=$E$48,-SUM(DY137:DY141),0)</f>
        <v/>
      </c>
      <c r="DZ142" s="25">
        <f>IF(DZ6=$E$48,-SUM(DZ137:DZ141),0)</f>
        <v/>
      </c>
      <c r="EA142" s="25">
        <f>IF(EA6=$E$48,-SUM(EA137:EA141),0)</f>
        <v/>
      </c>
      <c r="EB142" s="25">
        <f>IF(EB6=$E$48,-SUM(EB137:EB141),0)</f>
        <v/>
      </c>
      <c r="EC142" s="25">
        <f>IF(EC6=$E$48,-SUM(EC137:EC141),0)</f>
        <v/>
      </c>
      <c r="ED142" s="25">
        <f>IF(ED6=$E$48,-SUM(ED137:ED141),0)</f>
        <v/>
      </c>
      <c r="EE142" s="25">
        <f>IF(EE6=$E$48,-SUM(EE137:EE141),0)</f>
        <v/>
      </c>
      <c r="EF142" s="25">
        <f>IF(EF6=$E$48,-SUM(EF137:EF141),0)</f>
        <v/>
      </c>
      <c r="EG142" s="25">
        <f>IF(EG6=$E$48,-SUM(EG137:EG141),0)</f>
        <v/>
      </c>
      <c r="EH142" s="25">
        <f>IF(EH6=$E$48,-SUM(EH137:EH141),0)</f>
        <v/>
      </c>
      <c r="EI142" s="25">
        <f>IF(EI6=$E$48,-SUM(EI137:EI141),0)</f>
        <v/>
      </c>
      <c r="EJ142" s="25">
        <f>IF(EJ6=$E$48,-SUM(EJ137:EJ141),0)</f>
        <v/>
      </c>
      <c r="EK142" s="25">
        <f>IF(EK6=$E$48,-SUM(EK137:EK141),0)</f>
        <v/>
      </c>
      <c r="EL142" s="25">
        <f>IF(EL6=$E$48,-SUM(EL137:EL141),0)</f>
        <v/>
      </c>
      <c r="EM142" s="25">
        <f>IF(EM6=$E$48,-SUM(EM137:EM141),0)</f>
        <v/>
      </c>
      <c r="EN142" s="25">
        <f>IF(EN6=$E$48,-SUM(EN137:EN141),0)</f>
        <v/>
      </c>
      <c r="EO142" s="25">
        <f>IF(EO6=$E$48,-SUM(EO137:EO141),0)</f>
        <v/>
      </c>
      <c r="EP142" s="25">
        <f>IF(EP6=$E$48,-SUM(EP137:EP141),0)</f>
        <v/>
      </c>
      <c r="EQ142" s="25">
        <f>IF(EQ6=$E$48,-SUM(EQ137:EQ141),0)</f>
        <v/>
      </c>
      <c r="ER142" s="25">
        <f>IF(ER6=$E$48,-SUM(ER137:ER141),0)</f>
        <v/>
      </c>
      <c r="ES142" s="25">
        <f>IF(ES6=$E$48,-SUM(ES137:ES141),0)</f>
        <v/>
      </c>
      <c r="ET142" s="25">
        <f>IF(ET6=$E$48,-SUM(ET137:ET141),0)</f>
        <v/>
      </c>
      <c r="EU142" s="25">
        <f>IF(EU6=$E$48,-SUM(EU137:EU141),0)</f>
        <v/>
      </c>
      <c r="EV142" s="25">
        <f>IF(EV6=$E$48,-SUM(EV137:EV141),0)</f>
        <v/>
      </c>
      <c r="EW142" s="25">
        <f>IF(EW6=$E$48,-SUM(EW137:EW141),0)</f>
        <v/>
      </c>
      <c r="EX142" s="25">
        <f>IF(EX6=$E$48,-SUM(EX137:EX141),0)</f>
        <v/>
      </c>
    </row>
    <row r="143" ht="16.5" customFormat="1" customHeight="1" s="155">
      <c r="B143" s="9" t="n"/>
      <c r="C143" s="9" t="n"/>
      <c r="D143" s="9" t="n"/>
      <c r="E143" s="9" t="n"/>
      <c r="F143" s="9" t="n"/>
      <c r="G143" s="9" t="n"/>
      <c r="H143" s="9" t="n"/>
      <c r="I143" s="12" t="n"/>
      <c r="J143" s="269" t="inlineStr">
        <is>
          <t>EOD Balance</t>
        </is>
      </c>
      <c r="K143" s="269" t="n"/>
      <c r="L143" s="270" t="n"/>
      <c r="M143" s="269">
        <f>SUM(M138:M142)</f>
        <v/>
      </c>
      <c r="N143" s="270" t="n"/>
      <c r="O143" s="269">
        <f>SUMIF($V$5:$EX$5,O$7,$V143:$EX143)</f>
        <v/>
      </c>
      <c r="P143" s="269">
        <f>SUMIF($V$5:$EX$5,P$7,$V143:$EX143)</f>
        <v/>
      </c>
      <c r="Q143" s="269">
        <f>SUMIF($V$5:$EX$5,Q$7,$V143:$EX143)</f>
        <v/>
      </c>
      <c r="R143" s="269">
        <f>SUMIF($V$5:$EX$5,R$7,$V143:$EX143)</f>
        <v/>
      </c>
      <c r="S143" s="269">
        <f>SUMIF($V$5:$EX$5,S$7,$V143:$EX143)</f>
        <v/>
      </c>
      <c r="T143" s="269">
        <f>SUMIF($V$5:$EX$5,T$7,$V143:$EX143)</f>
        <v/>
      </c>
      <c r="U143" s="270" t="n"/>
      <c r="V143" s="269">
        <f>SUM(V137:V142)</f>
        <v/>
      </c>
      <c r="W143" s="269">
        <f>SUM(W137:W142)</f>
        <v/>
      </c>
      <c r="X143" s="269">
        <f>SUM(X137:X142)</f>
        <v/>
      </c>
      <c r="Y143" s="269">
        <f>SUM(Y137:Y142)</f>
        <v/>
      </c>
      <c r="Z143" s="269">
        <f>SUM(Z137:Z142)</f>
        <v/>
      </c>
      <c r="AA143" s="269">
        <f>SUM(AA137:AA142)</f>
        <v/>
      </c>
      <c r="AB143" s="269">
        <f>SUM(AB137:AB142)</f>
        <v/>
      </c>
      <c r="AC143" s="269">
        <f>SUM(AC137:AC142)</f>
        <v/>
      </c>
      <c r="AD143" s="269">
        <f>SUM(AD137:AD142)</f>
        <v/>
      </c>
      <c r="AE143" s="269">
        <f>SUM(AE137:AE142)</f>
        <v/>
      </c>
      <c r="AF143" s="269">
        <f>SUM(AF137:AF142)</f>
        <v/>
      </c>
      <c r="AG143" s="269">
        <f>SUM(AG137:AG142)</f>
        <v/>
      </c>
      <c r="AH143" s="269">
        <f>SUM(AH137:AH142)</f>
        <v/>
      </c>
      <c r="AI143" s="269">
        <f>SUM(AI137:AI142)</f>
        <v/>
      </c>
      <c r="AJ143" s="269">
        <f>SUM(AJ137:AJ142)</f>
        <v/>
      </c>
      <c r="AK143" s="269">
        <f>SUM(AK137:AK142)</f>
        <v/>
      </c>
      <c r="AL143" s="269">
        <f>SUM(AL137:AL142)</f>
        <v/>
      </c>
      <c r="AM143" s="269">
        <f>SUM(AM137:AM142)</f>
        <v/>
      </c>
      <c r="AN143" s="269">
        <f>SUM(AN137:AN142)</f>
        <v/>
      </c>
      <c r="AO143" s="269">
        <f>SUM(AO137:AO142)</f>
        <v/>
      </c>
      <c r="AP143" s="269">
        <f>SUM(AP137:AP142)</f>
        <v/>
      </c>
      <c r="AQ143" s="269">
        <f>SUM(AQ137:AQ142)</f>
        <v/>
      </c>
      <c r="AR143" s="269">
        <f>SUM(AR137:AR142)</f>
        <v/>
      </c>
      <c r="AS143" s="269">
        <f>SUM(AS137:AS142)</f>
        <v/>
      </c>
      <c r="AT143" s="269">
        <f>SUM(AT137:AT142)</f>
        <v/>
      </c>
      <c r="AU143" s="269">
        <f>SUM(AU137:AU142)</f>
        <v/>
      </c>
      <c r="AV143" s="269">
        <f>SUM(AV137:AV142)</f>
        <v/>
      </c>
      <c r="AW143" s="269">
        <f>SUM(AW137:AW142)</f>
        <v/>
      </c>
      <c r="AX143" s="269">
        <f>SUM(AX137:AX142)</f>
        <v/>
      </c>
      <c r="AY143" s="269">
        <f>SUM(AY137:AY142)</f>
        <v/>
      </c>
      <c r="AZ143" s="269">
        <f>SUM(AZ137:AZ142)</f>
        <v/>
      </c>
      <c r="BA143" s="269">
        <f>SUM(BA137:BA142)</f>
        <v/>
      </c>
      <c r="BB143" s="269">
        <f>SUM(BB137:BB142)</f>
        <v/>
      </c>
      <c r="BC143" s="269">
        <f>SUM(BC137:BC142)</f>
        <v/>
      </c>
      <c r="BD143" s="269">
        <f>SUM(BD137:BD142)</f>
        <v/>
      </c>
      <c r="BE143" s="269">
        <f>SUM(BE137:BE142)</f>
        <v/>
      </c>
      <c r="BF143" s="269">
        <f>SUM(BF137:BF142)</f>
        <v/>
      </c>
      <c r="BG143" s="269">
        <f>SUM(BG137:BG142)</f>
        <v/>
      </c>
      <c r="BH143" s="269">
        <f>SUM(BH137:BH142)</f>
        <v/>
      </c>
      <c r="BI143" s="269">
        <f>SUM(BI137:BI142)</f>
        <v/>
      </c>
      <c r="BJ143" s="269">
        <f>SUM(BJ137:BJ142)</f>
        <v/>
      </c>
      <c r="BK143" s="269">
        <f>SUM(BK137:BK142)</f>
        <v/>
      </c>
      <c r="BL143" s="269">
        <f>SUM(BL137:BL142)</f>
        <v/>
      </c>
      <c r="BM143" s="269">
        <f>SUM(BM137:BM142)</f>
        <v/>
      </c>
      <c r="BN143" s="269">
        <f>SUM(BN137:BN142)</f>
        <v/>
      </c>
      <c r="BO143" s="269">
        <f>SUM(BO137:BO142)</f>
        <v/>
      </c>
      <c r="BP143" s="269">
        <f>SUM(BP137:BP142)</f>
        <v/>
      </c>
      <c r="BQ143" s="269">
        <f>SUM(BQ137:BQ142)</f>
        <v/>
      </c>
      <c r="BR143" s="269">
        <f>SUM(BR137:BR142)</f>
        <v/>
      </c>
      <c r="BS143" s="269">
        <f>SUM(BS137:BS142)</f>
        <v/>
      </c>
      <c r="BT143" s="269">
        <f>SUM(BT137:BT142)</f>
        <v/>
      </c>
      <c r="BU143" s="269">
        <f>SUM(BU137:BU142)</f>
        <v/>
      </c>
      <c r="BV143" s="269">
        <f>SUM(BV137:BV142)</f>
        <v/>
      </c>
      <c r="BW143" s="269">
        <f>SUM(BW137:BW142)</f>
        <v/>
      </c>
      <c r="BX143" s="269">
        <f>SUM(BX137:BX142)</f>
        <v/>
      </c>
      <c r="BY143" s="269">
        <f>SUM(BY137:BY142)</f>
        <v/>
      </c>
      <c r="BZ143" s="269">
        <f>SUM(BZ137:BZ142)</f>
        <v/>
      </c>
      <c r="CA143" s="269">
        <f>SUM(CA137:CA142)</f>
        <v/>
      </c>
      <c r="CB143" s="269">
        <f>SUM(CB137:CB142)</f>
        <v/>
      </c>
      <c r="CC143" s="269">
        <f>SUM(CC137:CC142)</f>
        <v/>
      </c>
      <c r="CD143" s="269">
        <f>SUM(CD137:CD142)</f>
        <v/>
      </c>
      <c r="CE143" s="269">
        <f>SUM(CE137:CE142)</f>
        <v/>
      </c>
      <c r="CF143" s="269">
        <f>SUM(CF137:CF142)</f>
        <v/>
      </c>
      <c r="CG143" s="269">
        <f>SUM(CG137:CG142)</f>
        <v/>
      </c>
      <c r="CH143" s="269">
        <f>SUM(CH137:CH142)</f>
        <v/>
      </c>
      <c r="CI143" s="269">
        <f>SUM(CI137:CI142)</f>
        <v/>
      </c>
      <c r="CJ143" s="269">
        <f>SUM(CJ137:CJ142)</f>
        <v/>
      </c>
      <c r="CK143" s="269">
        <f>SUM(CK137:CK142)</f>
        <v/>
      </c>
      <c r="CL143" s="269">
        <f>SUM(CL137:CL142)</f>
        <v/>
      </c>
      <c r="CM143" s="269">
        <f>SUM(CM137:CM142)</f>
        <v/>
      </c>
      <c r="CN143" s="269">
        <f>SUM(CN137:CN142)</f>
        <v/>
      </c>
      <c r="CO143" s="269">
        <f>SUM(CO137:CO142)</f>
        <v/>
      </c>
      <c r="CP143" s="269">
        <f>SUM(CP137:CP142)</f>
        <v/>
      </c>
      <c r="CQ143" s="269">
        <f>SUM(CQ137:CQ142)</f>
        <v/>
      </c>
      <c r="CR143" s="269">
        <f>SUM(CR137:CR142)</f>
        <v/>
      </c>
      <c r="CS143" s="269">
        <f>SUM(CS137:CS142)</f>
        <v/>
      </c>
      <c r="CT143" s="269">
        <f>SUM(CT137:CT142)</f>
        <v/>
      </c>
      <c r="CU143" s="269">
        <f>SUM(CU137:CU142)</f>
        <v/>
      </c>
      <c r="CV143" s="269">
        <f>SUM(CV137:CV142)</f>
        <v/>
      </c>
      <c r="CW143" s="269">
        <f>SUM(CW137:CW142)</f>
        <v/>
      </c>
      <c r="CX143" s="269">
        <f>SUM(CX137:CX142)</f>
        <v/>
      </c>
      <c r="CY143" s="269">
        <f>SUM(CY137:CY142)</f>
        <v/>
      </c>
      <c r="CZ143" s="269">
        <f>SUM(CZ137:CZ142)</f>
        <v/>
      </c>
      <c r="DA143" s="269">
        <f>SUM(DA137:DA142)</f>
        <v/>
      </c>
      <c r="DB143" s="269">
        <f>SUM(DB137:DB142)</f>
        <v/>
      </c>
      <c r="DC143" s="269">
        <f>SUM(DC137:DC142)</f>
        <v/>
      </c>
      <c r="DD143" s="269">
        <f>SUM(DD137:DD142)</f>
        <v/>
      </c>
      <c r="DE143" s="269">
        <f>SUM(DE137:DE142)</f>
        <v/>
      </c>
      <c r="DF143" s="269">
        <f>SUM(DF137:DF142)</f>
        <v/>
      </c>
      <c r="DG143" s="269">
        <f>SUM(DG137:DG142)</f>
        <v/>
      </c>
      <c r="DH143" s="269">
        <f>SUM(DH137:DH142)</f>
        <v/>
      </c>
      <c r="DI143" s="269">
        <f>SUM(DI137:DI142)</f>
        <v/>
      </c>
      <c r="DJ143" s="269">
        <f>SUM(DJ137:DJ142)</f>
        <v/>
      </c>
      <c r="DK143" s="269">
        <f>SUM(DK137:DK142)</f>
        <v/>
      </c>
      <c r="DL143" s="269">
        <f>SUM(DL137:DL142)</f>
        <v/>
      </c>
      <c r="DM143" s="269">
        <f>SUM(DM137:DM142)</f>
        <v/>
      </c>
      <c r="DN143" s="269">
        <f>SUM(DN137:DN142)</f>
        <v/>
      </c>
      <c r="DO143" s="269">
        <f>SUM(DO137:DO142)</f>
        <v/>
      </c>
      <c r="DP143" s="269">
        <f>SUM(DP137:DP142)</f>
        <v/>
      </c>
      <c r="DQ143" s="269">
        <f>SUM(DQ137:DQ142)</f>
        <v/>
      </c>
      <c r="DR143" s="269">
        <f>SUM(DR137:DR142)</f>
        <v/>
      </c>
      <c r="DS143" s="269">
        <f>SUM(DS137:DS142)</f>
        <v/>
      </c>
      <c r="DT143" s="269">
        <f>SUM(DT137:DT142)</f>
        <v/>
      </c>
      <c r="DU143" s="269">
        <f>SUM(DU137:DU142)</f>
        <v/>
      </c>
      <c r="DV143" s="269">
        <f>SUM(DV137:DV142)</f>
        <v/>
      </c>
      <c r="DW143" s="269">
        <f>SUM(DW137:DW142)</f>
        <v/>
      </c>
      <c r="DX143" s="269">
        <f>SUM(DX137:DX142)</f>
        <v/>
      </c>
      <c r="DY143" s="269">
        <f>SUM(DY137:DY142)</f>
        <v/>
      </c>
      <c r="DZ143" s="269">
        <f>SUM(DZ137:DZ142)</f>
        <v/>
      </c>
      <c r="EA143" s="269">
        <f>SUM(EA137:EA142)</f>
        <v/>
      </c>
      <c r="EB143" s="269">
        <f>SUM(EB137:EB142)</f>
        <v/>
      </c>
      <c r="EC143" s="269">
        <f>SUM(EC137:EC142)</f>
        <v/>
      </c>
      <c r="ED143" s="269">
        <f>SUM(ED137:ED142)</f>
        <v/>
      </c>
      <c r="EE143" s="269">
        <f>SUM(EE137:EE142)</f>
        <v/>
      </c>
      <c r="EF143" s="269">
        <f>SUM(EF137:EF142)</f>
        <v/>
      </c>
      <c r="EG143" s="269">
        <f>SUM(EG137:EG142)</f>
        <v/>
      </c>
      <c r="EH143" s="269">
        <f>SUM(EH137:EH142)</f>
        <v/>
      </c>
      <c r="EI143" s="269">
        <f>SUM(EI137:EI142)</f>
        <v/>
      </c>
      <c r="EJ143" s="269">
        <f>SUM(EJ137:EJ142)</f>
        <v/>
      </c>
      <c r="EK143" s="269">
        <f>SUM(EK137:EK142)</f>
        <v/>
      </c>
      <c r="EL143" s="269">
        <f>SUM(EL137:EL142)</f>
        <v/>
      </c>
      <c r="EM143" s="269">
        <f>SUM(EM137:EM142)</f>
        <v/>
      </c>
      <c r="EN143" s="269">
        <f>SUM(EN137:EN142)</f>
        <v/>
      </c>
      <c r="EO143" s="269">
        <f>SUM(EO137:EO142)</f>
        <v/>
      </c>
      <c r="EP143" s="269">
        <f>SUM(EP137:EP142)</f>
        <v/>
      </c>
      <c r="EQ143" s="269">
        <f>SUM(EQ137:EQ142)</f>
        <v/>
      </c>
      <c r="ER143" s="269">
        <f>SUM(ER137:ER142)</f>
        <v/>
      </c>
      <c r="ES143" s="269">
        <f>SUM(ES137:ES142)</f>
        <v/>
      </c>
      <c r="ET143" s="269">
        <f>SUM(ET137:ET142)</f>
        <v/>
      </c>
      <c r="EU143" s="269">
        <f>SUM(EU137:EU142)</f>
        <v/>
      </c>
      <c r="EV143" s="269">
        <f>SUM(EV137:EV142)</f>
        <v/>
      </c>
      <c r="EW143" s="269">
        <f>SUM(EW137:EW142)</f>
        <v/>
      </c>
      <c r="EX143" s="269">
        <f>SUM(EX137:EX142)</f>
        <v/>
      </c>
    </row>
    <row r="144" ht="16.5" customFormat="1" customHeight="1" s="145">
      <c r="B144" s="9" t="n"/>
      <c r="C144" s="9" t="n"/>
      <c r="D144" s="9" t="n"/>
      <c r="E144" s="9" t="n"/>
      <c r="F144" s="9" t="n"/>
      <c r="G144" s="9" t="n"/>
      <c r="H144" s="9" t="n"/>
      <c r="I144" s="12" t="n"/>
      <c r="J144" s="9" t="n"/>
      <c r="K144" s="9" t="n"/>
      <c r="L144" s="12" t="n"/>
      <c r="M144" s="25" t="n"/>
      <c r="N144" s="12" t="n"/>
      <c r="O144" s="9" t="n"/>
      <c r="P144" s="9" t="n"/>
      <c r="Q144" s="9" t="n"/>
      <c r="R144" s="9" t="n"/>
      <c r="S144" s="9" t="n"/>
      <c r="T144" s="9" t="n"/>
      <c r="U144" s="12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  <c r="BY144" s="9" t="n"/>
      <c r="BZ144" s="9" t="n"/>
      <c r="CA144" s="9" t="n"/>
      <c r="CB144" s="9" t="n"/>
      <c r="CC144" s="9" t="n"/>
      <c r="CD144" s="9" t="n"/>
      <c r="CE144" s="9" t="n"/>
      <c r="CF144" s="9" t="n"/>
      <c r="CG144" s="9" t="n"/>
      <c r="CH144" s="9" t="n"/>
      <c r="CI144" s="9" t="n"/>
      <c r="CJ144" s="9" t="n"/>
      <c r="CK144" s="9" t="n"/>
      <c r="CL144" s="9" t="n"/>
      <c r="CM144" s="9" t="n"/>
      <c r="CN144" s="9" t="n"/>
      <c r="CO144" s="9" t="n"/>
      <c r="CP144" s="9" t="n"/>
      <c r="CQ144" s="9" t="n"/>
      <c r="CR144" s="9" t="n"/>
      <c r="CS144" s="9" t="n"/>
      <c r="CT144" s="9" t="n"/>
      <c r="CU144" s="9" t="n"/>
      <c r="CV144" s="9" t="n"/>
      <c r="CW144" s="9" t="n"/>
      <c r="CX144" s="9" t="n"/>
      <c r="CY144" s="9" t="n"/>
      <c r="CZ144" s="9" t="n"/>
      <c r="DA144" s="9" t="n"/>
      <c r="DB144" s="9" t="n"/>
      <c r="DC144" s="9" t="n"/>
      <c r="DD144" s="9" t="n"/>
      <c r="DE144" s="9" t="n"/>
      <c r="DF144" s="9" t="n"/>
      <c r="DG144" s="9" t="n"/>
      <c r="DH144" s="9" t="n"/>
      <c r="DI144" s="9" t="n"/>
      <c r="DJ144" s="9" t="n"/>
      <c r="DK144" s="9" t="n"/>
      <c r="DL144" s="9" t="n"/>
      <c r="DM144" s="9" t="n"/>
      <c r="DN144" s="9" t="n"/>
      <c r="DO144" s="9" t="n"/>
      <c r="DP144" s="9" t="n"/>
      <c r="DQ144" s="9" t="n"/>
      <c r="DR144" s="9" t="n"/>
      <c r="DS144" s="9" t="n"/>
      <c r="DT144" s="9" t="n"/>
      <c r="DU144" s="9" t="n"/>
      <c r="DV144" s="9" t="n"/>
      <c r="DW144" s="9" t="n"/>
      <c r="DX144" s="9" t="n"/>
      <c r="DY144" s="9" t="n"/>
      <c r="DZ144" s="9" t="n"/>
      <c r="EA144" s="9" t="n"/>
      <c r="EB144" s="9" t="n"/>
      <c r="EC144" s="9" t="n"/>
      <c r="ED144" s="9" t="n"/>
      <c r="EE144" s="9" t="n"/>
      <c r="EF144" s="9" t="n"/>
      <c r="EG144" s="9" t="n"/>
      <c r="EH144" s="9" t="n"/>
      <c r="EI144" s="9" t="n"/>
      <c r="EJ144" s="9" t="n"/>
      <c r="EK144" s="9" t="n"/>
      <c r="EL144" s="9" t="n"/>
      <c r="EM144" s="9" t="n"/>
      <c r="EN144" s="9" t="n"/>
      <c r="EO144" s="9" t="n"/>
      <c r="EP144" s="9" t="n"/>
      <c r="EQ144" s="9" t="n"/>
      <c r="ER144" s="9" t="n"/>
      <c r="ES144" s="9" t="n"/>
      <c r="ET144" s="9" t="n"/>
      <c r="EU144" s="9" t="n"/>
      <c r="EV144" s="9" t="n"/>
      <c r="EW144" s="9" t="n"/>
      <c r="EX144" s="9" t="n"/>
    </row>
    <row r="145" ht="16.5" customFormat="1" customHeight="1" s="145">
      <c r="A145" s="155" t="n"/>
      <c r="B145" s="9" t="n"/>
      <c r="C145" s="9" t="n"/>
      <c r="D145" s="9" t="n"/>
      <c r="E145" s="9" t="n"/>
      <c r="F145" s="9" t="n"/>
      <c r="G145" s="9" t="n"/>
      <c r="H145" s="9" t="n"/>
      <c r="I145" s="12" t="n"/>
      <c r="J145" s="16" t="inlineStr">
        <is>
          <t>Refinance</t>
        </is>
      </c>
      <c r="K145" s="9" t="n"/>
      <c r="L145" s="12" t="n"/>
      <c r="M145" s="25" t="n"/>
      <c r="N145" s="12" t="n"/>
      <c r="O145" s="9" t="n"/>
      <c r="P145" s="9" t="n"/>
      <c r="Q145" s="9" t="n"/>
      <c r="R145" s="9" t="n"/>
      <c r="S145" s="9" t="n"/>
      <c r="T145" s="9" t="n"/>
      <c r="U145" s="12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  <c r="BY145" s="9" t="n"/>
      <c r="BZ145" s="9" t="n"/>
      <c r="CA145" s="9" t="n"/>
      <c r="CB145" s="9" t="n"/>
      <c r="CC145" s="9" t="n"/>
      <c r="CD145" s="9" t="n"/>
      <c r="CE145" s="9" t="n"/>
      <c r="CF145" s="9" t="n"/>
      <c r="CG145" s="9" t="n"/>
      <c r="CH145" s="9" t="n"/>
      <c r="CI145" s="9" t="n"/>
      <c r="CJ145" s="9" t="n"/>
      <c r="CK145" s="9" t="n"/>
      <c r="CL145" s="9" t="n"/>
      <c r="CM145" s="9" t="n"/>
      <c r="CN145" s="9" t="n"/>
      <c r="CO145" s="9" t="n"/>
      <c r="CP145" s="9" t="n"/>
      <c r="CQ145" s="9" t="n"/>
      <c r="CR145" s="9" t="n"/>
      <c r="CS145" s="9" t="n"/>
      <c r="CT145" s="9" t="n"/>
      <c r="CU145" s="9" t="n"/>
      <c r="CV145" s="9" t="n"/>
      <c r="CW145" s="9" t="n"/>
      <c r="CX145" s="9" t="n"/>
      <c r="CY145" s="9" t="n"/>
      <c r="CZ145" s="9" t="n"/>
      <c r="DA145" s="9" t="n"/>
      <c r="DB145" s="9" t="n"/>
      <c r="DC145" s="9" t="n"/>
      <c r="DD145" s="9" t="n"/>
      <c r="DE145" s="9" t="n"/>
      <c r="DF145" s="9" t="n"/>
      <c r="DG145" s="9" t="n"/>
      <c r="DH145" s="9" t="n"/>
      <c r="DI145" s="9" t="n"/>
      <c r="DJ145" s="9" t="n"/>
      <c r="DK145" s="9" t="n"/>
      <c r="DL145" s="9" t="n"/>
      <c r="DM145" s="9" t="n"/>
      <c r="DN145" s="9" t="n"/>
      <c r="DO145" s="9" t="n"/>
      <c r="DP145" s="9" t="n"/>
      <c r="DQ145" s="9" t="n"/>
      <c r="DR145" s="9" t="n"/>
      <c r="DS145" s="9" t="n"/>
      <c r="DT145" s="9" t="n"/>
      <c r="DU145" s="9" t="n"/>
      <c r="DV145" s="9" t="n"/>
      <c r="DW145" s="9" t="n"/>
      <c r="DX145" s="9" t="n"/>
      <c r="DY145" s="9" t="n"/>
      <c r="DZ145" s="9" t="n"/>
      <c r="EA145" s="9" t="n"/>
      <c r="EB145" s="9" t="n"/>
      <c r="EC145" s="9" t="n"/>
      <c r="ED145" s="9" t="n"/>
      <c r="EE145" s="9" t="n"/>
      <c r="EF145" s="9" t="n"/>
      <c r="EG145" s="9" t="n"/>
      <c r="EH145" s="9" t="n"/>
      <c r="EI145" s="9" t="n"/>
      <c r="EJ145" s="9" t="n"/>
      <c r="EK145" s="9" t="n"/>
      <c r="EL145" s="9" t="n"/>
      <c r="EM145" s="9" t="n"/>
      <c r="EN145" s="9" t="n"/>
      <c r="EO145" s="9" t="n"/>
      <c r="EP145" s="9" t="n"/>
      <c r="EQ145" s="9" t="n"/>
      <c r="ER145" s="9" t="n"/>
      <c r="ES145" s="9" t="n"/>
      <c r="ET145" s="9" t="n"/>
      <c r="EU145" s="9" t="n"/>
      <c r="EV145" s="9" t="n"/>
      <c r="EW145" s="9" t="n"/>
      <c r="EX145" s="9" t="n"/>
    </row>
    <row r="146" ht="16.5" customFormat="1" customHeight="1" s="145">
      <c r="A146" s="180" t="n"/>
      <c r="B146" s="16" t="n"/>
      <c r="C146" s="9" t="n"/>
      <c r="D146" s="9" t="n"/>
      <c r="E146" s="9" t="n"/>
      <c r="F146" s="9" t="n"/>
      <c r="G146" s="9" t="n"/>
      <c r="H146" s="9" t="n"/>
      <c r="I146" s="12" t="n"/>
      <c r="J146" s="9" t="inlineStr">
        <is>
          <t>Loan BOE</t>
        </is>
      </c>
      <c r="K146" s="9" t="n"/>
      <c r="L146" s="12" t="n"/>
      <c r="M146" s="25" t="n"/>
      <c r="N146" s="12" t="n"/>
      <c r="O146" s="9" t="n"/>
      <c r="P146" s="9" t="n"/>
      <c r="Q146" s="9" t="n"/>
      <c r="R146" s="9" t="n"/>
      <c r="S146" s="9" t="n"/>
      <c r="T146" s="9" t="n"/>
      <c r="U146" s="12" t="n"/>
      <c r="V146" s="25" t="n">
        <v>0</v>
      </c>
      <c r="W146" s="25">
        <f>V152</f>
        <v/>
      </c>
      <c r="X146" s="25">
        <f>W152</f>
        <v/>
      </c>
      <c r="Y146" s="25">
        <f>X152</f>
        <v/>
      </c>
      <c r="Z146" s="25">
        <f>Y152</f>
        <v/>
      </c>
      <c r="AA146" s="25">
        <f>Z152</f>
        <v/>
      </c>
      <c r="AB146" s="25">
        <f>AA152</f>
        <v/>
      </c>
      <c r="AC146" s="25">
        <f>AB152</f>
        <v/>
      </c>
      <c r="AD146" s="25">
        <f>AC152</f>
        <v/>
      </c>
      <c r="AE146" s="25">
        <f>AD152</f>
        <v/>
      </c>
      <c r="AF146" s="25">
        <f>AE152</f>
        <v/>
      </c>
      <c r="AG146" s="25">
        <f>AF152</f>
        <v/>
      </c>
      <c r="AH146" s="25">
        <f>AG152</f>
        <v/>
      </c>
      <c r="AI146" s="25">
        <f>AH152</f>
        <v/>
      </c>
      <c r="AJ146" s="25">
        <f>AI152</f>
        <v/>
      </c>
      <c r="AK146" s="25">
        <f>AJ152</f>
        <v/>
      </c>
      <c r="AL146" s="25">
        <f>AK152</f>
        <v/>
      </c>
      <c r="AM146" s="25">
        <f>AL152</f>
        <v/>
      </c>
      <c r="AN146" s="25">
        <f>AM152</f>
        <v/>
      </c>
      <c r="AO146" s="25">
        <f>AN152</f>
        <v/>
      </c>
      <c r="AP146" s="25">
        <f>AO152</f>
        <v/>
      </c>
      <c r="AQ146" s="25">
        <f>AP152</f>
        <v/>
      </c>
      <c r="AR146" s="25">
        <f>AQ152</f>
        <v/>
      </c>
      <c r="AS146" s="25">
        <f>AR152</f>
        <v/>
      </c>
      <c r="AT146" s="25">
        <f>AS152</f>
        <v/>
      </c>
      <c r="AU146" s="25">
        <f>AT152</f>
        <v/>
      </c>
      <c r="AV146" s="25">
        <f>AU152</f>
        <v/>
      </c>
      <c r="AW146" s="25">
        <f>AV152</f>
        <v/>
      </c>
      <c r="AX146" s="25">
        <f>AW152</f>
        <v/>
      </c>
      <c r="AY146" s="25">
        <f>AX152</f>
        <v/>
      </c>
      <c r="AZ146" s="25">
        <f>AY152</f>
        <v/>
      </c>
      <c r="BA146" s="25">
        <f>AZ152</f>
        <v/>
      </c>
      <c r="BB146" s="25">
        <f>BA152</f>
        <v/>
      </c>
      <c r="BC146" s="25">
        <f>BB152</f>
        <v/>
      </c>
      <c r="BD146" s="25">
        <f>BC152</f>
        <v/>
      </c>
      <c r="BE146" s="25">
        <f>BD152</f>
        <v/>
      </c>
      <c r="BF146" s="25">
        <f>BE152</f>
        <v/>
      </c>
      <c r="BG146" s="25">
        <f>BF152</f>
        <v/>
      </c>
      <c r="BH146" s="25">
        <f>BG152</f>
        <v/>
      </c>
      <c r="BI146" s="25">
        <f>BH152</f>
        <v/>
      </c>
      <c r="BJ146" s="25">
        <f>BI152</f>
        <v/>
      </c>
      <c r="BK146" s="25">
        <f>BJ152</f>
        <v/>
      </c>
      <c r="BL146" s="25">
        <f>BK152</f>
        <v/>
      </c>
      <c r="BM146" s="25">
        <f>BL152</f>
        <v/>
      </c>
      <c r="BN146" s="25">
        <f>BM152</f>
        <v/>
      </c>
      <c r="BO146" s="25">
        <f>BN152</f>
        <v/>
      </c>
      <c r="BP146" s="25">
        <f>BO152</f>
        <v/>
      </c>
      <c r="BQ146" s="25">
        <f>BP152</f>
        <v/>
      </c>
      <c r="BR146" s="25">
        <f>BQ152</f>
        <v/>
      </c>
      <c r="BS146" s="25">
        <f>BR152</f>
        <v/>
      </c>
      <c r="BT146" s="25">
        <f>BS152</f>
        <v/>
      </c>
      <c r="BU146" s="25">
        <f>BT152</f>
        <v/>
      </c>
      <c r="BV146" s="25">
        <f>BU152</f>
        <v/>
      </c>
      <c r="BW146" s="25">
        <f>BV152</f>
        <v/>
      </c>
      <c r="BX146" s="25">
        <f>BW152</f>
        <v/>
      </c>
      <c r="BY146" s="25">
        <f>BX152</f>
        <v/>
      </c>
      <c r="BZ146" s="25">
        <f>BY152</f>
        <v/>
      </c>
      <c r="CA146" s="25">
        <f>BZ152</f>
        <v/>
      </c>
      <c r="CB146" s="25">
        <f>CA152</f>
        <v/>
      </c>
      <c r="CC146" s="25">
        <f>CB152</f>
        <v/>
      </c>
      <c r="CD146" s="25">
        <f>CC152</f>
        <v/>
      </c>
      <c r="CE146" s="25">
        <f>CD152</f>
        <v/>
      </c>
      <c r="CF146" s="25">
        <f>CE152</f>
        <v/>
      </c>
      <c r="CG146" s="25">
        <f>CF152</f>
        <v/>
      </c>
      <c r="CH146" s="25">
        <f>CG152</f>
        <v/>
      </c>
      <c r="CI146" s="25">
        <f>CH152</f>
        <v/>
      </c>
      <c r="CJ146" s="25">
        <f>CI152</f>
        <v/>
      </c>
      <c r="CK146" s="25">
        <f>CJ152</f>
        <v/>
      </c>
      <c r="CL146" s="25">
        <f>CK152</f>
        <v/>
      </c>
      <c r="CM146" s="25">
        <f>CL152</f>
        <v/>
      </c>
      <c r="CN146" s="25">
        <f>CM152</f>
        <v/>
      </c>
      <c r="CO146" s="25">
        <f>CN152</f>
        <v/>
      </c>
      <c r="CP146" s="25">
        <f>CO152</f>
        <v/>
      </c>
      <c r="CQ146" s="25">
        <f>CP152</f>
        <v/>
      </c>
      <c r="CR146" s="25">
        <f>CQ152</f>
        <v/>
      </c>
      <c r="CS146" s="25">
        <f>CR152</f>
        <v/>
      </c>
      <c r="CT146" s="25">
        <f>CS152</f>
        <v/>
      </c>
      <c r="CU146" s="25">
        <f>CT152</f>
        <v/>
      </c>
      <c r="CV146" s="25">
        <f>CU152</f>
        <v/>
      </c>
      <c r="CW146" s="25">
        <f>CV152</f>
        <v/>
      </c>
      <c r="CX146" s="25">
        <f>CW152</f>
        <v/>
      </c>
      <c r="CY146" s="25">
        <f>CX152</f>
        <v/>
      </c>
      <c r="CZ146" s="25">
        <f>CY152</f>
        <v/>
      </c>
      <c r="DA146" s="25">
        <f>CZ152</f>
        <v/>
      </c>
      <c r="DB146" s="25">
        <f>DA152</f>
        <v/>
      </c>
      <c r="DC146" s="25">
        <f>DB152</f>
        <v/>
      </c>
      <c r="DD146" s="25">
        <f>DC152</f>
        <v/>
      </c>
      <c r="DE146" s="25">
        <f>DD152</f>
        <v/>
      </c>
      <c r="DF146" s="25">
        <f>DE152</f>
        <v/>
      </c>
      <c r="DG146" s="25">
        <f>DF152</f>
        <v/>
      </c>
      <c r="DH146" s="25">
        <f>DG152</f>
        <v/>
      </c>
      <c r="DI146" s="25">
        <f>DH152</f>
        <v/>
      </c>
      <c r="DJ146" s="25">
        <f>DI152</f>
        <v/>
      </c>
      <c r="DK146" s="25">
        <f>DJ152</f>
        <v/>
      </c>
      <c r="DL146" s="25">
        <f>DK152</f>
        <v/>
      </c>
      <c r="DM146" s="25">
        <f>DL152</f>
        <v/>
      </c>
      <c r="DN146" s="25">
        <f>DM152</f>
        <v/>
      </c>
      <c r="DO146" s="25">
        <f>DN152</f>
        <v/>
      </c>
      <c r="DP146" s="25">
        <f>DO152</f>
        <v/>
      </c>
      <c r="DQ146" s="25">
        <f>DP152</f>
        <v/>
      </c>
      <c r="DR146" s="25">
        <f>DQ152</f>
        <v/>
      </c>
      <c r="DS146" s="25">
        <f>DR152</f>
        <v/>
      </c>
      <c r="DT146" s="25">
        <f>DS152</f>
        <v/>
      </c>
      <c r="DU146" s="25">
        <f>DT152</f>
        <v/>
      </c>
      <c r="DV146" s="25">
        <f>DU152</f>
        <v/>
      </c>
      <c r="DW146" s="25">
        <f>DV152</f>
        <v/>
      </c>
      <c r="DX146" s="25">
        <f>DW152</f>
        <v/>
      </c>
      <c r="DY146" s="25">
        <f>DX152</f>
        <v/>
      </c>
      <c r="DZ146" s="25">
        <f>DY152</f>
        <v/>
      </c>
      <c r="EA146" s="25">
        <f>DZ152</f>
        <v/>
      </c>
      <c r="EB146" s="25">
        <f>EA152</f>
        <v/>
      </c>
      <c r="EC146" s="25">
        <f>EB152</f>
        <v/>
      </c>
      <c r="ED146" s="25">
        <f>EC152</f>
        <v/>
      </c>
      <c r="EE146" s="25">
        <f>ED152</f>
        <v/>
      </c>
      <c r="EF146" s="25">
        <f>EE152</f>
        <v/>
      </c>
      <c r="EG146" s="25">
        <f>EF152</f>
        <v/>
      </c>
      <c r="EH146" s="25">
        <f>EG152</f>
        <v/>
      </c>
      <c r="EI146" s="25">
        <f>EH152</f>
        <v/>
      </c>
      <c r="EJ146" s="25">
        <f>EI152</f>
        <v/>
      </c>
      <c r="EK146" s="25">
        <f>EJ152</f>
        <v/>
      </c>
      <c r="EL146" s="25">
        <f>EK152</f>
        <v/>
      </c>
      <c r="EM146" s="25">
        <f>EL152</f>
        <v/>
      </c>
      <c r="EN146" s="25">
        <f>EM152</f>
        <v/>
      </c>
      <c r="EO146" s="25">
        <f>EN152</f>
        <v/>
      </c>
      <c r="EP146" s="25">
        <f>EO152</f>
        <v/>
      </c>
      <c r="EQ146" s="25">
        <f>EP152</f>
        <v/>
      </c>
      <c r="ER146" s="25">
        <f>EQ152</f>
        <v/>
      </c>
      <c r="ES146" s="25">
        <f>ER152</f>
        <v/>
      </c>
      <c r="ET146" s="25">
        <f>ES152</f>
        <v/>
      </c>
      <c r="EU146" s="25">
        <f>ET152</f>
        <v/>
      </c>
      <c r="EV146" s="25">
        <f>EU152</f>
        <v/>
      </c>
      <c r="EW146" s="25">
        <f>EV152</f>
        <v/>
      </c>
      <c r="EX146" s="25">
        <f>EW152</f>
        <v/>
      </c>
    </row>
    <row r="147" ht="16.5" customFormat="1" customHeight="1" s="145">
      <c r="A147" s="180" t="n"/>
      <c r="B147" s="16" t="n"/>
      <c r="C147" s="9" t="n"/>
      <c r="D147" s="9" t="n"/>
      <c r="E147" s="9" t="n"/>
      <c r="F147" s="9" t="n"/>
      <c r="G147" s="9" t="n"/>
      <c r="H147" s="9" t="n"/>
      <c r="I147" s="282" t="n"/>
      <c r="J147" s="9" t="inlineStr">
        <is>
          <t>Loan Draw</t>
        </is>
      </c>
      <c r="K147" s="9" t="n"/>
      <c r="L147" s="12" t="n"/>
      <c r="M147" s="25">
        <f>SUMIF($V$4:$EX$4,"&lt;"&amp;$H$19,$V147:$EX147)</f>
        <v/>
      </c>
      <c r="N147" s="56" t="n"/>
      <c r="O147" s="25">
        <f>SUMIF($V$5:$EX$5,O$7,$V147:$EX147)</f>
        <v/>
      </c>
      <c r="P147" s="25">
        <f>SUMIF($V$5:$EX$5,P$7,$V147:$EX147)</f>
        <v/>
      </c>
      <c r="Q147" s="25">
        <f>SUMIF($V$5:$EX$5,Q$7,$V147:$EX147)</f>
        <v/>
      </c>
      <c r="R147" s="25">
        <f>SUMIF($V$5:$EX$5,R$7,$V147:$EX147)</f>
        <v/>
      </c>
      <c r="S147" s="25">
        <f>SUMIF($V$5:$EX$5,S$7,$V147:$EX147)</f>
        <v/>
      </c>
      <c r="T147" s="25">
        <f>SUMIF($V$5:$EX$5,T$7,$V147:$EX147)</f>
        <v/>
      </c>
      <c r="U147" s="56" t="n"/>
      <c r="V147" s="25">
        <f>IF($C$56=TRUE,0,IF(V4=$D$18,$H$47,0))</f>
        <v/>
      </c>
      <c r="W147" s="25">
        <f>IF($C$56=TRUE,0,IF(W4=$D$18,$H$47,0))</f>
        <v/>
      </c>
      <c r="X147" s="25">
        <f>IF($C$56=TRUE,0,IF(X4=$D$18,$H$47,0))</f>
        <v/>
      </c>
      <c r="Y147" s="25">
        <f>IF($C$56=TRUE,0,IF(Y4=$D$18,$H$47,0))</f>
        <v/>
      </c>
      <c r="Z147" s="25">
        <f>IF($C$56=TRUE,0,IF(Z4=$D$18,$H$47,0))</f>
        <v/>
      </c>
      <c r="AA147" s="25">
        <f>IF($C$56=TRUE,0,IF(AA4=$D$18,$H$47,0))</f>
        <v/>
      </c>
      <c r="AB147" s="25">
        <f>IF($C$56=TRUE,0,IF(AB4=$D$18,$H$47,0))</f>
        <v/>
      </c>
      <c r="AC147" s="25">
        <f>IF($C$56=TRUE,0,IF(AC4=$D$18,$H$47,0))</f>
        <v/>
      </c>
      <c r="AD147" s="25">
        <f>IF($C$56=TRUE,0,IF(AD4=$D$18,$H$47,0))</f>
        <v/>
      </c>
      <c r="AE147" s="25">
        <f>IF($C$56=TRUE,0,IF(AE4=$D$18,$H$47,0))</f>
        <v/>
      </c>
      <c r="AF147" s="25">
        <f>IF($C$56=TRUE,0,IF(AF4=$D$18,$H$47,0))</f>
        <v/>
      </c>
      <c r="AG147" s="25">
        <f>IF($C$56=TRUE,0,IF(AG4=$D$18,$H$47,0))</f>
        <v/>
      </c>
      <c r="AH147" s="25">
        <f>IF($C$56=TRUE,0,IF(AH4=$D$18,$H$47,0))</f>
        <v/>
      </c>
      <c r="AI147" s="25">
        <f>IF($C$56=TRUE,0,IF(AI4=$D$18,$H$47,0))</f>
        <v/>
      </c>
      <c r="AJ147" s="25">
        <f>IF($C$56=TRUE,0,IF(AJ4=$D$18,$H$47,0))</f>
        <v/>
      </c>
      <c r="AK147" s="25">
        <f>IF($C$56=TRUE,0,IF(AK4=$D$18,$H$47,0))</f>
        <v/>
      </c>
      <c r="AL147" s="25">
        <f>IF($C$56=TRUE,0,IF(AL4=$D$18,$H$47,0))</f>
        <v/>
      </c>
      <c r="AM147" s="25">
        <f>IF($C$56=TRUE,0,IF(AM4=$D$18,$H$47,0))</f>
        <v/>
      </c>
      <c r="AN147" s="25">
        <f>IF($C$56=TRUE,0,IF(AN4=$D$18,$H$47,0))</f>
        <v/>
      </c>
      <c r="AO147" s="25">
        <f>IF($C$56=TRUE,0,IF(AO4=$D$18,$H$47,0))</f>
        <v/>
      </c>
      <c r="AP147" s="25">
        <f>IF($C$56=TRUE,0,IF(AP4=$D$18,$H$47,0))</f>
        <v/>
      </c>
      <c r="AQ147" s="25">
        <f>IF($C$56=TRUE,0,IF(AQ4=$D$18,$H$47,0))</f>
        <v/>
      </c>
      <c r="AR147" s="25">
        <f>IF($C$56=TRUE,0,IF(AR4=$D$18,$H$47,0))</f>
        <v/>
      </c>
      <c r="AS147" s="25">
        <f>IF($C$56=TRUE,0,IF(AS4=$D$18,$H$47,0))</f>
        <v/>
      </c>
      <c r="AT147" s="25">
        <f>IF($C$56=TRUE,0,IF(AT4=$D$18,$H$47,0))</f>
        <v/>
      </c>
      <c r="AU147" s="25">
        <f>IF($C$56=TRUE,0,IF(AU4=$D$18,$H$47,0))</f>
        <v/>
      </c>
      <c r="AV147" s="25">
        <f>IF($C$56=TRUE,0,IF(AV4=$D$18,$H$47,0))</f>
        <v/>
      </c>
      <c r="AW147" s="25">
        <f>IF($C$56=TRUE,0,IF(AW4=$D$18,$H$47,0))</f>
        <v/>
      </c>
      <c r="AX147" s="25">
        <f>IF($C$56=TRUE,0,IF(AX4=$D$18,$H$47,0))</f>
        <v/>
      </c>
      <c r="AY147" s="25">
        <f>IF($C$56=TRUE,0,IF(AY4=$D$18,$H$47,0))</f>
        <v/>
      </c>
      <c r="AZ147" s="25">
        <f>IF($C$56=TRUE,0,IF(AZ4=$D$18,$H$47,0))</f>
        <v/>
      </c>
      <c r="BA147" s="25">
        <f>IF($C$56=TRUE,0,IF(BA4=$D$18,$H$47,0))</f>
        <v/>
      </c>
      <c r="BB147" s="25">
        <f>IF($C$56=TRUE,0,IF(BB4=$D$18,$H$47,0))</f>
        <v/>
      </c>
      <c r="BC147" s="25">
        <f>IF($C$56=TRUE,0,IF(BC4=$D$18,$H$47,0))</f>
        <v/>
      </c>
      <c r="BD147" s="25">
        <f>IF($C$56=TRUE,0,IF(BD4=$D$18,$H$47,0))</f>
        <v/>
      </c>
      <c r="BE147" s="25">
        <f>IF($C$56=TRUE,0,IF(BE4=$D$18,$H$47,0))</f>
        <v/>
      </c>
      <c r="BF147" s="25">
        <f>IF($C$56=TRUE,0,IF(BF4=$D$18,$H$47,0))</f>
        <v/>
      </c>
      <c r="BG147" s="25">
        <f>IF($C$56=TRUE,0,IF(BG4=$D$18,$H$47,0))</f>
        <v/>
      </c>
      <c r="BH147" s="25">
        <f>IF($C$56=TRUE,0,IF(BH4=$D$18,$H$47,0))</f>
        <v/>
      </c>
      <c r="BI147" s="25">
        <f>IF($C$56=TRUE,0,IF(BI4=$D$18,$H$47,0))</f>
        <v/>
      </c>
      <c r="BJ147" s="25">
        <f>IF($C$56=TRUE,0,IF(BJ4=$D$18,$H$47,0))</f>
        <v/>
      </c>
      <c r="BK147" s="25">
        <f>IF($C$56=TRUE,0,IF(BK4=$D$18,$H$47,0))</f>
        <v/>
      </c>
      <c r="BL147" s="25">
        <f>IF($C$56=TRUE,0,IF(BL4=$D$18,$H$47,0))</f>
        <v/>
      </c>
      <c r="BM147" s="25">
        <f>IF($C$56=TRUE,0,IF(BM4=$D$18,$H$47,0))</f>
        <v/>
      </c>
      <c r="BN147" s="25">
        <f>IF($C$56=TRUE,0,IF(BN4=$D$18,$H$47,0))</f>
        <v/>
      </c>
      <c r="BO147" s="25">
        <f>IF($C$56=TRUE,0,IF(BO4=$D$18,$H$47,0))</f>
        <v/>
      </c>
      <c r="BP147" s="25">
        <f>IF($C$56=TRUE,0,IF(BP4=$D$18,$H$47,0))</f>
        <v/>
      </c>
      <c r="BQ147" s="25">
        <f>IF($C$56=TRUE,0,IF(BQ4=$D$18,$H$47,0))</f>
        <v/>
      </c>
      <c r="BR147" s="25">
        <f>IF($C$56=TRUE,0,IF(BR4=$D$18,$H$47,0))</f>
        <v/>
      </c>
      <c r="BS147" s="25">
        <f>IF($C$56=TRUE,0,IF(BS4=$D$18,$H$47,0))</f>
        <v/>
      </c>
      <c r="BT147" s="25">
        <f>IF($C$56=TRUE,0,IF(BT4=$D$18,$H$47,0))</f>
        <v/>
      </c>
      <c r="BU147" s="25">
        <f>IF($C$56=TRUE,0,IF(BU4=$D$18,$H$47,0))</f>
        <v/>
      </c>
      <c r="BV147" s="25">
        <f>IF($C$56=TRUE,0,IF(BV4=$D$18,$H$47,0))</f>
        <v/>
      </c>
      <c r="BW147" s="25">
        <f>IF($C$56=TRUE,0,IF(BW4=$D$18,$H$47,0))</f>
        <v/>
      </c>
      <c r="BX147" s="25">
        <f>IF($C$56=TRUE,0,IF(BX4=$D$18,$H$47,0))</f>
        <v/>
      </c>
      <c r="BY147" s="25">
        <f>IF($C$56=TRUE,0,IF(BY4=$D$18,$H$47,0))</f>
        <v/>
      </c>
      <c r="BZ147" s="25">
        <f>IF($C$56=TRUE,0,IF(BZ4=$D$18,$H$47,0))</f>
        <v/>
      </c>
      <c r="CA147" s="25">
        <f>IF($C$56=TRUE,0,IF(CA4=$D$18,$H$47,0))</f>
        <v/>
      </c>
      <c r="CB147" s="25">
        <f>IF($C$56=TRUE,0,IF(CB4=$D$18,$H$47,0))</f>
        <v/>
      </c>
      <c r="CC147" s="25">
        <f>IF($C$56=TRUE,0,IF(CC4=$D$18,$H$47,0))</f>
        <v/>
      </c>
      <c r="CD147" s="25">
        <f>IF($C$56=TRUE,0,IF(CD4=$D$18,$H$47,0))</f>
        <v/>
      </c>
      <c r="CE147" s="25">
        <f>IF($C$56=TRUE,0,IF(CE4=$D$18,$H$47,0))</f>
        <v/>
      </c>
      <c r="CF147" s="25">
        <f>IF($C$56=TRUE,0,IF(CF4=$D$18,$H$47,0))</f>
        <v/>
      </c>
      <c r="CG147" s="25">
        <f>IF($C$56=TRUE,0,IF(CG4=$D$18,$H$47,0))</f>
        <v/>
      </c>
      <c r="CH147" s="25">
        <f>IF($C$56=TRUE,0,IF(CH4=$D$18,$H$47,0))</f>
        <v/>
      </c>
      <c r="CI147" s="25">
        <f>IF($C$56=TRUE,0,IF(CI4=$D$18,$H$47,0))</f>
        <v/>
      </c>
      <c r="CJ147" s="25">
        <f>IF($C$56=TRUE,0,IF(CJ4=$D$18,$H$47,0))</f>
        <v/>
      </c>
      <c r="CK147" s="25">
        <f>IF($C$56=TRUE,0,IF(CK4=$D$18,$H$47,0))</f>
        <v/>
      </c>
      <c r="CL147" s="25">
        <f>IF($C$56=TRUE,0,IF(CL4=$D$18,$H$47,0))</f>
        <v/>
      </c>
      <c r="CM147" s="25">
        <f>IF($C$56=TRUE,0,IF(CM4=$D$18,$H$47,0))</f>
        <v/>
      </c>
      <c r="CN147" s="25">
        <f>IF($C$56=TRUE,0,IF(CN4=$D$18,$H$47,0))</f>
        <v/>
      </c>
      <c r="CO147" s="25">
        <f>IF($C$56=TRUE,0,IF(CO4=$D$18,$H$47,0))</f>
        <v/>
      </c>
      <c r="CP147" s="25">
        <f>IF($C$56=TRUE,0,IF(CP4=$D$18,$H$47,0))</f>
        <v/>
      </c>
      <c r="CQ147" s="25">
        <f>IF($C$56=TRUE,0,IF(CQ4=$D$18,$H$47,0))</f>
        <v/>
      </c>
      <c r="CR147" s="25">
        <f>IF($C$56=TRUE,0,IF(CR4=$D$18,$H$47,0))</f>
        <v/>
      </c>
      <c r="CS147" s="25">
        <f>IF($C$56=TRUE,0,IF(CS4=$D$18,$H$47,0))</f>
        <v/>
      </c>
      <c r="CT147" s="25">
        <f>IF($C$56=TRUE,0,IF(CT4=$D$18,$H$47,0))</f>
        <v/>
      </c>
      <c r="CU147" s="25">
        <f>IF($C$56=TRUE,0,IF(CU4=$D$18,$H$47,0))</f>
        <v/>
      </c>
      <c r="CV147" s="25">
        <f>IF($C$56=TRUE,0,IF(CV4=$D$18,$H$47,0))</f>
        <v/>
      </c>
      <c r="CW147" s="25">
        <f>IF($C$56=TRUE,0,IF(CW4=$D$18,$H$47,0))</f>
        <v/>
      </c>
      <c r="CX147" s="25">
        <f>IF($C$56=TRUE,0,IF(CX4=$D$18,$H$47,0))</f>
        <v/>
      </c>
      <c r="CY147" s="25">
        <f>IF($C$56=TRUE,0,IF(CY4=$D$18,$H$47,0))</f>
        <v/>
      </c>
      <c r="CZ147" s="25">
        <f>IF($C$56=TRUE,0,IF(CZ4=$D$18,$H$47,0))</f>
        <v/>
      </c>
      <c r="DA147" s="25">
        <f>IF($C$56=TRUE,0,IF(DA4=$D$18,$H$47,0))</f>
        <v/>
      </c>
      <c r="DB147" s="25">
        <f>IF($C$56=TRUE,0,IF(DB4=$D$18,$H$47,0))</f>
        <v/>
      </c>
      <c r="DC147" s="25">
        <f>IF($C$56=TRUE,0,IF(DC4=$D$18,$H$47,0))</f>
        <v/>
      </c>
      <c r="DD147" s="25">
        <f>IF($C$56=TRUE,0,IF(DD4=$D$18,$H$47,0))</f>
        <v/>
      </c>
      <c r="DE147" s="25">
        <f>IF($C$56=TRUE,0,IF(DE4=$D$18,$H$47,0))</f>
        <v/>
      </c>
      <c r="DF147" s="25">
        <f>IF($C$56=TRUE,0,IF(DF4=$D$18,$H$47,0))</f>
        <v/>
      </c>
      <c r="DG147" s="25">
        <f>IF($C$56=TRUE,0,IF(DG4=$D$18,$H$47,0))</f>
        <v/>
      </c>
      <c r="DH147" s="25">
        <f>IF($C$56=TRUE,0,IF(DH4=$D$18,$H$47,0))</f>
        <v/>
      </c>
      <c r="DI147" s="25">
        <f>IF($C$56=TRUE,0,IF(DI4=$D$18,$H$47,0))</f>
        <v/>
      </c>
      <c r="DJ147" s="25">
        <f>IF($C$56=TRUE,0,IF(DJ4=$D$18,$H$47,0))</f>
        <v/>
      </c>
      <c r="DK147" s="25">
        <f>IF($C$56=TRUE,0,IF(DK4=$D$18,$H$47,0))</f>
        <v/>
      </c>
      <c r="DL147" s="25">
        <f>IF($C$56=TRUE,0,IF(DL4=$D$18,$H$47,0))</f>
        <v/>
      </c>
      <c r="DM147" s="25">
        <f>IF($C$56=TRUE,0,IF(DM4=$D$18,$H$47,0))</f>
        <v/>
      </c>
      <c r="DN147" s="25">
        <f>IF($C$56=TRUE,0,IF(DN4=$D$18,$H$47,0))</f>
        <v/>
      </c>
      <c r="DO147" s="25">
        <f>IF($C$56=TRUE,0,IF(DO4=$D$18,$H$47,0))</f>
        <v/>
      </c>
      <c r="DP147" s="25">
        <f>IF($C$56=TRUE,0,IF(DP4=$D$18,$H$47,0))</f>
        <v/>
      </c>
      <c r="DQ147" s="25">
        <f>IF($C$56=TRUE,0,IF(DQ4=$D$18,$H$47,0))</f>
        <v/>
      </c>
      <c r="DR147" s="25">
        <f>IF($C$56=TRUE,0,IF(DR4=$D$18,$H$47,0))</f>
        <v/>
      </c>
      <c r="DS147" s="25">
        <f>IF($C$56=TRUE,0,IF(DS4=$D$18,$H$47,0))</f>
        <v/>
      </c>
      <c r="DT147" s="25">
        <f>IF($C$56=TRUE,0,IF(DT4=$D$18,$H$47,0))</f>
        <v/>
      </c>
      <c r="DU147" s="25">
        <f>IF($C$56=TRUE,0,IF(DU4=$D$18,$H$47,0))</f>
        <v/>
      </c>
      <c r="DV147" s="25">
        <f>IF($C$56=TRUE,0,IF(DV4=$D$18,$H$47,0))</f>
        <v/>
      </c>
      <c r="DW147" s="25">
        <f>IF($C$56=TRUE,0,IF(DW4=$D$18,$H$47,0))</f>
        <v/>
      </c>
      <c r="DX147" s="25">
        <f>IF($C$56=TRUE,0,IF(DX4=$D$18,$H$47,0))</f>
        <v/>
      </c>
      <c r="DY147" s="25">
        <f>IF($C$56=TRUE,0,IF(DY4=$D$18,$H$47,0))</f>
        <v/>
      </c>
      <c r="DZ147" s="25">
        <f>IF($C$56=TRUE,0,IF(DZ4=$D$18,$H$47,0))</f>
        <v/>
      </c>
      <c r="EA147" s="25">
        <f>IF($C$56=TRUE,0,IF(EA4=$D$18,$H$47,0))</f>
        <v/>
      </c>
      <c r="EB147" s="25">
        <f>IF($C$56=TRUE,0,IF(EB4=$D$18,$H$47,0))</f>
        <v/>
      </c>
      <c r="EC147" s="25">
        <f>IF($C$56=TRUE,0,IF(EC4=$D$18,$H$47,0))</f>
        <v/>
      </c>
      <c r="ED147" s="25">
        <f>IF($C$56=TRUE,0,IF(ED4=$D$18,$H$47,0))</f>
        <v/>
      </c>
      <c r="EE147" s="25">
        <f>IF($C$56=TRUE,0,IF(EE4=$D$18,$H$47,0))</f>
        <v/>
      </c>
      <c r="EF147" s="25">
        <f>IF($C$56=TRUE,0,IF(EF4=$D$18,$H$47,0))</f>
        <v/>
      </c>
      <c r="EG147" s="25">
        <f>IF($C$56=TRUE,0,IF(EG4=$D$18,$H$47,0))</f>
        <v/>
      </c>
      <c r="EH147" s="25">
        <f>IF($C$56=TRUE,0,IF(EH4=$D$18,$H$47,0))</f>
        <v/>
      </c>
      <c r="EI147" s="25">
        <f>IF($C$56=TRUE,0,IF(EI4=$D$18,$H$47,0))</f>
        <v/>
      </c>
      <c r="EJ147" s="25">
        <f>IF($C$56=TRUE,0,IF(EJ4=$D$18,$H$47,0))</f>
        <v/>
      </c>
      <c r="EK147" s="25">
        <f>IF($C$56=TRUE,0,IF(EK4=$D$18,$H$47,0))</f>
        <v/>
      </c>
      <c r="EL147" s="25">
        <f>IF($C$56=TRUE,0,IF(EL4=$D$18,$H$47,0))</f>
        <v/>
      </c>
      <c r="EM147" s="25">
        <f>IF($C$56=TRUE,0,IF(EM4=$D$18,$H$47,0))</f>
        <v/>
      </c>
      <c r="EN147" s="25">
        <f>IF($C$56=TRUE,0,IF(EN4=$D$18,$H$47,0))</f>
        <v/>
      </c>
      <c r="EO147" s="25">
        <f>IF($C$56=TRUE,0,IF(EO4=$D$18,$H$47,0))</f>
        <v/>
      </c>
      <c r="EP147" s="25">
        <f>IF($C$56=TRUE,0,IF(EP4=$D$18,$H$47,0))</f>
        <v/>
      </c>
      <c r="EQ147" s="25">
        <f>IF($C$56=TRUE,0,IF(EQ4=$D$18,$H$47,0))</f>
        <v/>
      </c>
      <c r="ER147" s="25">
        <f>IF($C$56=TRUE,0,IF(ER4=$D$18,$H$47,0))</f>
        <v/>
      </c>
      <c r="ES147" s="25">
        <f>IF($C$56=TRUE,0,IF(ES4=$D$18,$H$47,0))</f>
        <v/>
      </c>
      <c r="ET147" s="25">
        <f>IF($C$56=TRUE,0,IF(ET4=$D$18,$H$47,0))</f>
        <v/>
      </c>
      <c r="EU147" s="25">
        <f>IF($C$56=TRUE,0,IF(EU4=$D$18,$H$47,0))</f>
        <v/>
      </c>
      <c r="EV147" s="25">
        <f>IF($C$56=TRUE,0,IF(EV4=$D$18,$H$47,0))</f>
        <v/>
      </c>
      <c r="EW147" s="25">
        <f>IF($C$56=TRUE,0,IF(EW4=$D$18,$H$47,0))</f>
        <v/>
      </c>
      <c r="EX147" s="25">
        <f>IF($C$56=TRUE,0,IF(EX4=$D$18,$H$47,0))</f>
        <v/>
      </c>
    </row>
    <row r="148" ht="18.75" customFormat="1" customHeight="1" s="354">
      <c r="A148" s="180" t="n"/>
      <c r="B148" s="16" t="n"/>
      <c r="C148" s="9" t="n"/>
      <c r="D148" s="9" t="n"/>
      <c r="E148" s="9" t="n"/>
      <c r="F148" s="9" t="n"/>
      <c r="G148" s="9" t="n"/>
      <c r="H148" s="9" t="n"/>
      <c r="I148" s="12" t="n"/>
      <c r="J148" s="9" t="inlineStr">
        <is>
          <t>Accrued Interest</t>
        </is>
      </c>
      <c r="K148" s="9" t="n"/>
      <c r="L148" s="12" t="n"/>
      <c r="M148" s="25">
        <f>SUMIF($V$4:$EX$4,"&lt;"&amp;$H$19,$V148:$EX148)</f>
        <v/>
      </c>
      <c r="N148" s="56" t="n"/>
      <c r="O148" s="25">
        <f>SUMIF($V$5:$EX$5,O$7,$V148:$EX148)</f>
        <v/>
      </c>
      <c r="P148" s="25">
        <f>SUMIF($V$5:$EX$5,P$7,$V148:$EX148)</f>
        <v/>
      </c>
      <c r="Q148" s="25">
        <f>SUMIF($V$5:$EX$5,Q$7,$V148:$EX148)</f>
        <v/>
      </c>
      <c r="R148" s="25">
        <f>SUMIF($V$5:$EX$5,R$7,$V148:$EX148)</f>
        <v/>
      </c>
      <c r="S148" s="25">
        <f>SUMIF($V$5:$EX$5,S$7,$V148:$EX148)</f>
        <v/>
      </c>
      <c r="T148" s="25">
        <f>SUMIF($V$5:$EX$5,T$7,$V148:$EX148)</f>
        <v/>
      </c>
      <c r="U148" s="56" t="n"/>
      <c r="V148" s="25">
        <f>IF($C$56=TRUE,0,V146)*$H$49/12</f>
        <v/>
      </c>
      <c r="W148" s="25">
        <f>IF($C$56=TRUE,0,W146)*$H$49/12</f>
        <v/>
      </c>
      <c r="X148" s="25">
        <f>IF($C$56=TRUE,0,X146)*$H$49/12</f>
        <v/>
      </c>
      <c r="Y148" s="25">
        <f>IF($C$56=TRUE,0,Y146)*$H$49/12</f>
        <v/>
      </c>
      <c r="Z148" s="25">
        <f>IF($C$56=TRUE,0,Z146)*$H$49/12</f>
        <v/>
      </c>
      <c r="AA148" s="25">
        <f>IF($C$56=TRUE,0,AA146)*$H$49/12</f>
        <v/>
      </c>
      <c r="AB148" s="25">
        <f>IF($C$56=TRUE,0,AB146)*$H$49/12</f>
        <v/>
      </c>
      <c r="AC148" s="25">
        <f>IF($C$56=TRUE,0,AC146)*$H$49/12</f>
        <v/>
      </c>
      <c r="AD148" s="25">
        <f>IF($C$56=TRUE,0,AD146)*$H$49/12</f>
        <v/>
      </c>
      <c r="AE148" s="25">
        <f>IF($C$56=TRUE,0,AE146)*$H$49/12</f>
        <v/>
      </c>
      <c r="AF148" s="25">
        <f>IF($C$56=TRUE,0,AF146)*$H$49/12</f>
        <v/>
      </c>
      <c r="AG148" s="25">
        <f>IF($C$56=TRUE,0,AG146)*$H$49/12</f>
        <v/>
      </c>
      <c r="AH148" s="25">
        <f>IF($C$56=TRUE,0,AH146)*$H$49/12</f>
        <v/>
      </c>
      <c r="AI148" s="25">
        <f>IF($C$56=TRUE,0,AI146)*$H$49/12</f>
        <v/>
      </c>
      <c r="AJ148" s="25">
        <f>IF($C$56=TRUE,0,AJ146)*$H$49/12</f>
        <v/>
      </c>
      <c r="AK148" s="25">
        <f>IF($C$56=TRUE,0,AK146)*$H$49/12</f>
        <v/>
      </c>
      <c r="AL148" s="25">
        <f>IF($C$56=TRUE,0,AL146)*$H$49/12</f>
        <v/>
      </c>
      <c r="AM148" s="25">
        <f>IF($C$56=TRUE,0,AM146)*$H$49/12</f>
        <v/>
      </c>
      <c r="AN148" s="25">
        <f>IF($C$56=TRUE,0,AN146)*$H$49/12</f>
        <v/>
      </c>
      <c r="AO148" s="25">
        <f>IF($C$56=TRUE,0,AO146)*$H$49/12</f>
        <v/>
      </c>
      <c r="AP148" s="25">
        <f>IF($C$56=TRUE,0,AP146)*$H$49/12</f>
        <v/>
      </c>
      <c r="AQ148" s="25">
        <f>IF($C$56=TRUE,0,AQ146)*$H$49/12</f>
        <v/>
      </c>
      <c r="AR148" s="25">
        <f>IF($C$56=TRUE,0,AR146)*$H$49/12</f>
        <v/>
      </c>
      <c r="AS148" s="25">
        <f>IF($C$56=TRUE,0,AS146)*$H$49/12</f>
        <v/>
      </c>
      <c r="AT148" s="25">
        <f>IF($C$56=TRUE,0,AT146)*$H$49/12</f>
        <v/>
      </c>
      <c r="AU148" s="25">
        <f>IF($C$56=TRUE,0,AU146)*$H$49/12</f>
        <v/>
      </c>
      <c r="AV148" s="25">
        <f>IF($C$56=TRUE,0,AV146)*$H$49/12</f>
        <v/>
      </c>
      <c r="AW148" s="25">
        <f>IF($C$56=TRUE,0,AW146)*$H$49/12</f>
        <v/>
      </c>
      <c r="AX148" s="25">
        <f>IF($C$56=TRUE,0,AX146)*$H$49/12</f>
        <v/>
      </c>
      <c r="AY148" s="25">
        <f>IF($C$56=TRUE,0,AY146)*$H$49/12</f>
        <v/>
      </c>
      <c r="AZ148" s="25">
        <f>IF($C$56=TRUE,0,AZ146)*$H$49/12</f>
        <v/>
      </c>
      <c r="BA148" s="25">
        <f>IF($C$56=TRUE,0,BA146)*$H$49/12</f>
        <v/>
      </c>
      <c r="BB148" s="25">
        <f>IF($C$56=TRUE,0,BB146)*$H$49/12</f>
        <v/>
      </c>
      <c r="BC148" s="25">
        <f>IF($C$56=TRUE,0,BC146)*$H$49/12</f>
        <v/>
      </c>
      <c r="BD148" s="25">
        <f>IF($C$56=TRUE,0,BD146)*$H$49/12</f>
        <v/>
      </c>
      <c r="BE148" s="25">
        <f>IF($C$56=TRUE,0,BE146)*$H$49/12</f>
        <v/>
      </c>
      <c r="BF148" s="25">
        <f>IF($C$56=TRUE,0,BF146)*$H$49/12</f>
        <v/>
      </c>
      <c r="BG148" s="25">
        <f>IF($C$56=TRUE,0,BG146)*$H$49/12</f>
        <v/>
      </c>
      <c r="BH148" s="25">
        <f>IF($C$56=TRUE,0,BH146)*$H$49/12</f>
        <v/>
      </c>
      <c r="BI148" s="25">
        <f>IF($C$56=TRUE,0,BI146)*$H$49/12</f>
        <v/>
      </c>
      <c r="BJ148" s="25">
        <f>IF($C$56=TRUE,0,BJ146)*$H$49/12</f>
        <v/>
      </c>
      <c r="BK148" s="25">
        <f>IF($C$56=TRUE,0,BK146)*$H$49/12</f>
        <v/>
      </c>
      <c r="BL148" s="25">
        <f>IF($C$56=TRUE,0,BL146)*$H$49/12</f>
        <v/>
      </c>
      <c r="BM148" s="25">
        <f>IF($C$56=TRUE,0,BM146)*$H$49/12</f>
        <v/>
      </c>
      <c r="BN148" s="25">
        <f>IF($C$56=TRUE,0,BN146)*$H$49/12</f>
        <v/>
      </c>
      <c r="BO148" s="25">
        <f>IF($C$56=TRUE,0,BO146)*$H$49/12</f>
        <v/>
      </c>
      <c r="BP148" s="25">
        <f>IF($C$56=TRUE,0,BP146)*$H$49/12</f>
        <v/>
      </c>
      <c r="BQ148" s="25">
        <f>IF($C$56=TRUE,0,BQ146)*$H$49/12</f>
        <v/>
      </c>
      <c r="BR148" s="25">
        <f>IF($C$56=TRUE,0,BR146)*$H$49/12</f>
        <v/>
      </c>
      <c r="BS148" s="25">
        <f>IF($C$56=TRUE,0,BS146)*$H$49/12</f>
        <v/>
      </c>
      <c r="BT148" s="25">
        <f>IF($C$56=TRUE,0,BT146)*$H$49/12</f>
        <v/>
      </c>
      <c r="BU148" s="25">
        <f>IF($C$56=TRUE,0,BU146)*$H$49/12</f>
        <v/>
      </c>
      <c r="BV148" s="25">
        <f>IF($C$56=TRUE,0,BV146)*$H$49/12</f>
        <v/>
      </c>
      <c r="BW148" s="25">
        <f>IF($C$56=TRUE,0,BW146)*$H$49/12</f>
        <v/>
      </c>
      <c r="BX148" s="25">
        <f>IF($C$56=TRUE,0,BX146)*$H$49/12</f>
        <v/>
      </c>
      <c r="BY148" s="25">
        <f>IF($C$56=TRUE,0,BY146)*$H$49/12</f>
        <v/>
      </c>
      <c r="BZ148" s="25">
        <f>IF($C$56=TRUE,0,BZ146)*$H$49/12</f>
        <v/>
      </c>
      <c r="CA148" s="25">
        <f>IF($C$56=TRUE,0,CA146)*$H$49/12</f>
        <v/>
      </c>
      <c r="CB148" s="25">
        <f>IF($C$56=TRUE,0,CB146)*$H$49/12</f>
        <v/>
      </c>
      <c r="CC148" s="25">
        <f>IF($C$56=TRUE,0,CC146)*$H$49/12</f>
        <v/>
      </c>
      <c r="CD148" s="25">
        <f>IF($C$56=TRUE,0,CD146)*$H$49/12</f>
        <v/>
      </c>
      <c r="CE148" s="25">
        <f>IF($C$56=TRUE,0,CE146)*$H$49/12</f>
        <v/>
      </c>
      <c r="CF148" s="25">
        <f>IF($C$56=TRUE,0,CF146)*$H$49/12</f>
        <v/>
      </c>
      <c r="CG148" s="25">
        <f>IF($C$56=TRUE,0,CG146)*$H$49/12</f>
        <v/>
      </c>
      <c r="CH148" s="25">
        <f>IF($C$56=TRUE,0,CH146)*$H$49/12</f>
        <v/>
      </c>
      <c r="CI148" s="25">
        <f>IF($C$56=TRUE,0,CI146)*$H$49/12</f>
        <v/>
      </c>
      <c r="CJ148" s="25">
        <f>IF($C$56=TRUE,0,CJ146)*$H$49/12</f>
        <v/>
      </c>
      <c r="CK148" s="25">
        <f>IF($C$56=TRUE,0,CK146)*$H$49/12</f>
        <v/>
      </c>
      <c r="CL148" s="25">
        <f>IF($C$56=TRUE,0,CL146)*$H$49/12</f>
        <v/>
      </c>
      <c r="CM148" s="25">
        <f>IF($C$56=TRUE,0,CM146)*$H$49/12</f>
        <v/>
      </c>
      <c r="CN148" s="25">
        <f>IF($C$56=TRUE,0,CN146)*$H$49/12</f>
        <v/>
      </c>
      <c r="CO148" s="25">
        <f>IF($C$56=TRUE,0,CO146)*$H$49/12</f>
        <v/>
      </c>
      <c r="CP148" s="25">
        <f>IF($C$56=TRUE,0,CP146)*$H$49/12</f>
        <v/>
      </c>
      <c r="CQ148" s="25">
        <f>IF($C$56=TRUE,0,CQ146)*$H$49/12</f>
        <v/>
      </c>
      <c r="CR148" s="25">
        <f>IF($C$56=TRUE,0,CR146)*$H$49/12</f>
        <v/>
      </c>
      <c r="CS148" s="25">
        <f>IF($C$56=TRUE,0,CS146)*$H$49/12</f>
        <v/>
      </c>
      <c r="CT148" s="25">
        <f>IF($C$56=TRUE,0,CT146)*$H$49/12</f>
        <v/>
      </c>
      <c r="CU148" s="25">
        <f>IF($C$56=TRUE,0,CU146)*$H$49/12</f>
        <v/>
      </c>
      <c r="CV148" s="25">
        <f>IF($C$56=TRUE,0,CV146)*$H$49/12</f>
        <v/>
      </c>
      <c r="CW148" s="25">
        <f>IF($C$56=TRUE,0,CW146)*$H$49/12</f>
        <v/>
      </c>
      <c r="CX148" s="25">
        <f>IF($C$56=TRUE,0,CX146)*$H$49/12</f>
        <v/>
      </c>
      <c r="CY148" s="25">
        <f>IF($C$56=TRUE,0,CY146)*$H$49/12</f>
        <v/>
      </c>
      <c r="CZ148" s="25">
        <f>IF($C$56=TRUE,0,CZ146)*$H$49/12</f>
        <v/>
      </c>
      <c r="DA148" s="25">
        <f>IF($C$56=TRUE,0,DA146)*$H$49/12</f>
        <v/>
      </c>
      <c r="DB148" s="25">
        <f>IF($C$56=TRUE,0,DB146)*$H$49/12</f>
        <v/>
      </c>
      <c r="DC148" s="25">
        <f>IF($C$56=TRUE,0,DC146)*$H$49/12</f>
        <v/>
      </c>
      <c r="DD148" s="25">
        <f>IF($C$56=TRUE,0,DD146)*$H$49/12</f>
        <v/>
      </c>
      <c r="DE148" s="25">
        <f>IF($C$56=TRUE,0,DE146)*$H$49/12</f>
        <v/>
      </c>
      <c r="DF148" s="25">
        <f>IF($C$56=TRUE,0,DF146)*$H$49/12</f>
        <v/>
      </c>
      <c r="DG148" s="25">
        <f>IF($C$56=TRUE,0,DG146)*$H$49/12</f>
        <v/>
      </c>
      <c r="DH148" s="25">
        <f>IF($C$56=TRUE,0,DH146)*$H$49/12</f>
        <v/>
      </c>
      <c r="DI148" s="25">
        <f>IF($C$56=TRUE,0,DI146)*$H$49/12</f>
        <v/>
      </c>
      <c r="DJ148" s="25">
        <f>IF($C$56=TRUE,0,DJ146)*$H$49/12</f>
        <v/>
      </c>
      <c r="DK148" s="25">
        <f>IF($C$56=TRUE,0,DK146)*$H$49/12</f>
        <v/>
      </c>
      <c r="DL148" s="25">
        <f>IF($C$56=TRUE,0,DL146)*$H$49/12</f>
        <v/>
      </c>
      <c r="DM148" s="25">
        <f>IF($C$56=TRUE,0,DM146)*$H$49/12</f>
        <v/>
      </c>
      <c r="DN148" s="25">
        <f>IF($C$56=TRUE,0,DN146)*$H$49/12</f>
        <v/>
      </c>
      <c r="DO148" s="25">
        <f>IF($C$56=TRUE,0,DO146)*$H$49/12</f>
        <v/>
      </c>
      <c r="DP148" s="25">
        <f>IF($C$56=TRUE,0,DP146)*$H$49/12</f>
        <v/>
      </c>
      <c r="DQ148" s="25">
        <f>IF($C$56=TRUE,0,DQ146)*$H$49/12</f>
        <v/>
      </c>
      <c r="DR148" s="25">
        <f>IF($C$56=TRUE,0,DR146)*$H$49/12</f>
        <v/>
      </c>
      <c r="DS148" s="25">
        <f>IF($C$56=TRUE,0,DS146)*$H$49/12</f>
        <v/>
      </c>
      <c r="DT148" s="25">
        <f>IF($C$56=TRUE,0,DT146)*$H$49/12</f>
        <v/>
      </c>
      <c r="DU148" s="25">
        <f>IF($C$56=TRUE,0,DU146)*$H$49/12</f>
        <v/>
      </c>
      <c r="DV148" s="25">
        <f>IF($C$56=TRUE,0,DV146)*$H$49/12</f>
        <v/>
      </c>
      <c r="DW148" s="25">
        <f>IF($C$56=TRUE,0,DW146)*$H$49/12</f>
        <v/>
      </c>
      <c r="DX148" s="25">
        <f>IF($C$56=TRUE,0,DX146)*$H$49/12</f>
        <v/>
      </c>
      <c r="DY148" s="25">
        <f>IF($C$56=TRUE,0,DY146)*$H$49/12</f>
        <v/>
      </c>
      <c r="DZ148" s="25">
        <f>IF($C$56=TRUE,0,DZ146)*$H$49/12</f>
        <v/>
      </c>
      <c r="EA148" s="25">
        <f>IF($C$56=TRUE,0,EA146)*$H$49/12</f>
        <v/>
      </c>
      <c r="EB148" s="25">
        <f>IF($C$56=TRUE,0,EB146)*$H$49/12</f>
        <v/>
      </c>
      <c r="EC148" s="25">
        <f>IF($C$56=TRUE,0,EC146)*$H$49/12</f>
        <v/>
      </c>
      <c r="ED148" s="25">
        <f>IF($C$56=TRUE,0,ED146)*$H$49/12</f>
        <v/>
      </c>
      <c r="EE148" s="25">
        <f>IF($C$56=TRUE,0,EE146)*$H$49/12</f>
        <v/>
      </c>
      <c r="EF148" s="25">
        <f>IF($C$56=TRUE,0,EF146)*$H$49/12</f>
        <v/>
      </c>
      <c r="EG148" s="25">
        <f>IF($C$56=TRUE,0,EG146)*$H$49/12</f>
        <v/>
      </c>
      <c r="EH148" s="25">
        <f>IF($C$56=TRUE,0,EH146)*$H$49/12</f>
        <v/>
      </c>
      <c r="EI148" s="25">
        <f>IF($C$56=TRUE,0,EI146)*$H$49/12</f>
        <v/>
      </c>
      <c r="EJ148" s="25">
        <f>IF($C$56=TRUE,0,EJ146)*$H$49/12</f>
        <v/>
      </c>
      <c r="EK148" s="25">
        <f>IF($C$56=TRUE,0,EK146)*$H$49/12</f>
        <v/>
      </c>
      <c r="EL148" s="25">
        <f>IF($C$56=TRUE,0,EL146)*$H$49/12</f>
        <v/>
      </c>
      <c r="EM148" s="25">
        <f>IF($C$56=TRUE,0,EM146)*$H$49/12</f>
        <v/>
      </c>
      <c r="EN148" s="25">
        <f>IF($C$56=TRUE,0,EN146)*$H$49/12</f>
        <v/>
      </c>
      <c r="EO148" s="25">
        <f>IF($C$56=TRUE,0,EO146)*$H$49/12</f>
        <v/>
      </c>
      <c r="EP148" s="25">
        <f>IF($C$56=TRUE,0,EP146)*$H$49/12</f>
        <v/>
      </c>
      <c r="EQ148" s="25">
        <f>IF($C$56=TRUE,0,EQ146)*$H$49/12</f>
        <v/>
      </c>
      <c r="ER148" s="25">
        <f>IF($C$56=TRUE,0,ER146)*$H$49/12</f>
        <v/>
      </c>
      <c r="ES148" s="25">
        <f>IF($C$56=TRUE,0,ES146)*$H$49/12</f>
        <v/>
      </c>
      <c r="ET148" s="25">
        <f>IF($C$56=TRUE,0,ET146)*$H$49/12</f>
        <v/>
      </c>
      <c r="EU148" s="25">
        <f>IF($C$56=TRUE,0,EU146)*$H$49/12</f>
        <v/>
      </c>
      <c r="EV148" s="25">
        <f>IF($C$56=TRUE,0,EV146)*$H$49/12</f>
        <v/>
      </c>
      <c r="EW148" s="25">
        <f>IF($C$56=TRUE,0,EW146)*$H$49/12</f>
        <v/>
      </c>
      <c r="EX148" s="25">
        <f>IF($C$56=TRUE,0,EX146)*$H$49/12</f>
        <v/>
      </c>
    </row>
    <row r="149" ht="16.5" customHeight="1">
      <c r="A149" s="180" t="n"/>
      <c r="B149" s="16" t="n"/>
      <c r="C149" s="9" t="n"/>
      <c r="D149" s="9" t="n"/>
      <c r="E149" s="9" t="n"/>
      <c r="F149" s="9" t="n"/>
      <c r="G149" s="9" t="n"/>
      <c r="H149" s="9" t="n"/>
      <c r="I149" s="12" t="n"/>
      <c r="J149" s="9" t="inlineStr">
        <is>
          <t>Interest Paydown</t>
        </is>
      </c>
      <c r="K149" s="9" t="n"/>
      <c r="L149" s="12" t="n"/>
      <c r="M149" s="25">
        <f>SUMIF($V$4:$EX$4,"&lt;"&amp;$H$19,$V149:$EX149)</f>
        <v/>
      </c>
      <c r="N149" s="56" t="n"/>
      <c r="O149" s="25">
        <f>SUMIF($V$5:$EX$5,O$7,$V149:$EX149)</f>
        <v/>
      </c>
      <c r="P149" s="25">
        <f>SUMIF($V$5:$EX$5,P$7,$V149:$EX149)</f>
        <v/>
      </c>
      <c r="Q149" s="25">
        <f>SUMIF($V$5:$EX$5,Q$7,$V149:$EX149)</f>
        <v/>
      </c>
      <c r="R149" s="25">
        <f>SUMIF($V$5:$EX$5,R$7,$V149:$EX149)</f>
        <v/>
      </c>
      <c r="S149" s="25">
        <f>SUMIF($V$5:$EX$5,S$7,$V149:$EX149)</f>
        <v/>
      </c>
      <c r="T149" s="25">
        <f>SUMIF($V$5:$EX$5,T$7,$V149:$EX149)</f>
        <v/>
      </c>
      <c r="U149" s="56" t="n"/>
      <c r="V149" s="25">
        <f>-MIN(V148,V67*(V67&gt;0))</f>
        <v/>
      </c>
      <c r="W149" s="25">
        <f>-MIN(W148,W67*(W67&gt;0))</f>
        <v/>
      </c>
      <c r="X149" s="25">
        <f>-MIN(X148,X67*(X67&gt;0))</f>
        <v/>
      </c>
      <c r="Y149" s="25">
        <f>-MIN(Y148,Y67*(Y67&gt;0))</f>
        <v/>
      </c>
      <c r="Z149" s="25">
        <f>-MIN(Z148,Z67*(Z67&gt;0))</f>
        <v/>
      </c>
      <c r="AA149" s="25">
        <f>-MIN(AA148,AA67*(AA67&gt;0))</f>
        <v/>
      </c>
      <c r="AB149" s="25">
        <f>-MIN(AB148,AB67*(AB67&gt;0))</f>
        <v/>
      </c>
      <c r="AC149" s="25">
        <f>-MIN(AC148,AC67*(AC67&gt;0))</f>
        <v/>
      </c>
      <c r="AD149" s="25">
        <f>-MIN(AD148,AD67*(AD67&gt;0))</f>
        <v/>
      </c>
      <c r="AE149" s="25">
        <f>-MIN(AE148,AE67*(AE67&gt;0))</f>
        <v/>
      </c>
      <c r="AF149" s="25">
        <f>-MIN(AF148,AF67*(AF67&gt;0))</f>
        <v/>
      </c>
      <c r="AG149" s="25">
        <f>-MIN(AG148,AG67*(AG67&gt;0))</f>
        <v/>
      </c>
      <c r="AH149" s="25">
        <f>-MIN(AH148,AH67*(AH67&gt;0))</f>
        <v/>
      </c>
      <c r="AI149" s="25">
        <f>-MIN(AI148,AI67*(AI67&gt;0))</f>
        <v/>
      </c>
      <c r="AJ149" s="25">
        <f>-MIN(AJ148,AJ67*(AJ67&gt;0))</f>
        <v/>
      </c>
      <c r="AK149" s="25">
        <f>-MIN(AK148,AK67*(AK67&gt;0))</f>
        <v/>
      </c>
      <c r="AL149" s="25">
        <f>-MIN(AL148,AL67*(AL67&gt;0))</f>
        <v/>
      </c>
      <c r="AM149" s="25">
        <f>-MIN(AM148,AM67*(AM67&gt;0))</f>
        <v/>
      </c>
      <c r="AN149" s="25">
        <f>-MIN(AN148,AN67*(AN67&gt;0))</f>
        <v/>
      </c>
      <c r="AO149" s="25">
        <f>-MIN(AO148,AO67*(AO67&gt;0))</f>
        <v/>
      </c>
      <c r="AP149" s="25">
        <f>-MIN(AP148,AP67*(AP67&gt;0))</f>
        <v/>
      </c>
      <c r="AQ149" s="25">
        <f>-MIN(AQ148,AQ67*(AQ67&gt;0))</f>
        <v/>
      </c>
      <c r="AR149" s="25">
        <f>-MIN(AR148,AR67*(AR67&gt;0))</f>
        <v/>
      </c>
      <c r="AS149" s="25">
        <f>-MIN(AS148,AS67*(AS67&gt;0))</f>
        <v/>
      </c>
      <c r="AT149" s="25">
        <f>-MIN(AT148,AT67*(AT67&gt;0))</f>
        <v/>
      </c>
      <c r="AU149" s="25">
        <f>-MIN(AU148,AU67*(AU67&gt;0))</f>
        <v/>
      </c>
      <c r="AV149" s="25">
        <f>-MIN(AV148,AV67*(AV67&gt;0))</f>
        <v/>
      </c>
      <c r="AW149" s="25">
        <f>-MIN(AW148,AW67*(AW67&gt;0))</f>
        <v/>
      </c>
      <c r="AX149" s="25">
        <f>-MIN(AX148,AX67*(AX67&gt;0))</f>
        <v/>
      </c>
      <c r="AY149" s="25">
        <f>-MIN(AY148,AY67*(AY67&gt;0))</f>
        <v/>
      </c>
      <c r="AZ149" s="25">
        <f>-MIN(AZ148,AZ67*(AZ67&gt;0))</f>
        <v/>
      </c>
      <c r="BA149" s="25">
        <f>-MIN(BA148,BA67*(BA67&gt;0))</f>
        <v/>
      </c>
      <c r="BB149" s="25">
        <f>-MIN(BB148,BB67*(BB67&gt;0))</f>
        <v/>
      </c>
      <c r="BC149" s="25">
        <f>-MIN(BC148,BC67*(BC67&gt;0))</f>
        <v/>
      </c>
      <c r="BD149" s="25">
        <f>-MIN(BD148,BD67*(BD67&gt;0))</f>
        <v/>
      </c>
      <c r="BE149" s="25">
        <f>-MIN(BE148,BE67*(BE67&gt;0))</f>
        <v/>
      </c>
      <c r="BF149" s="25">
        <f>-MIN(BF148,BF67*(BF67&gt;0))</f>
        <v/>
      </c>
      <c r="BG149" s="25">
        <f>-MIN(BG148,BG67*(BG67&gt;0))</f>
        <v/>
      </c>
      <c r="BH149" s="25">
        <f>-MIN(BH148,BH67*(BH67&gt;0))</f>
        <v/>
      </c>
      <c r="BI149" s="25">
        <f>-MIN(BI148,BI67*(BI67&gt;0))</f>
        <v/>
      </c>
      <c r="BJ149" s="25">
        <f>-MIN(BJ148,BJ67*(BJ67&gt;0))</f>
        <v/>
      </c>
      <c r="BK149" s="25">
        <f>-MIN(BK148,BK67*(BK67&gt;0))</f>
        <v/>
      </c>
      <c r="BL149" s="25">
        <f>-MIN(BL148,BL67*(BL67&gt;0))</f>
        <v/>
      </c>
      <c r="BM149" s="25">
        <f>-MIN(BM148,BM67*(BM67&gt;0))</f>
        <v/>
      </c>
      <c r="BN149" s="25">
        <f>-MIN(BN148,BN67*(BN67&gt;0))</f>
        <v/>
      </c>
      <c r="BO149" s="25">
        <f>-MIN(BO148,BO67*(BO67&gt;0))</f>
        <v/>
      </c>
      <c r="BP149" s="25">
        <f>-MIN(BP148,BP67*(BP67&gt;0))</f>
        <v/>
      </c>
      <c r="BQ149" s="25">
        <f>-MIN(BQ148,BQ67*(BQ67&gt;0))</f>
        <v/>
      </c>
      <c r="BR149" s="25">
        <f>-MIN(BR148,BR67*(BR67&gt;0))</f>
        <v/>
      </c>
      <c r="BS149" s="25">
        <f>-MIN(BS148,BS67*(BS67&gt;0))</f>
        <v/>
      </c>
      <c r="BT149" s="25">
        <f>-MIN(BT148,BT67*(BT67&gt;0))</f>
        <v/>
      </c>
      <c r="BU149" s="25">
        <f>-MIN(BU148,BU67*(BU67&gt;0))</f>
        <v/>
      </c>
      <c r="BV149" s="25">
        <f>-MIN(BV148,BV67*(BV67&gt;0))</f>
        <v/>
      </c>
      <c r="BW149" s="25">
        <f>-MIN(BW148,BW67*(BW67&gt;0))</f>
        <v/>
      </c>
      <c r="BX149" s="25">
        <f>-MIN(BX148,BX67*(BX67&gt;0))</f>
        <v/>
      </c>
      <c r="BY149" s="25">
        <f>-MIN(BY148,BY67*(BY67&gt;0))</f>
        <v/>
      </c>
      <c r="BZ149" s="25">
        <f>-MIN(BZ148,BZ67*(BZ67&gt;0))</f>
        <v/>
      </c>
      <c r="CA149" s="25">
        <f>-MIN(CA148,CA67*(CA67&gt;0))</f>
        <v/>
      </c>
      <c r="CB149" s="25">
        <f>-MIN(CB148,CB67*(CB67&gt;0))</f>
        <v/>
      </c>
      <c r="CC149" s="25">
        <f>-MIN(CC148,CC67*(CC67&gt;0))</f>
        <v/>
      </c>
      <c r="CD149" s="25">
        <f>-MIN(CD148,CD67*(CD67&gt;0))</f>
        <v/>
      </c>
      <c r="CE149" s="25">
        <f>-MIN(CE148,CE67*(CE67&gt;0))</f>
        <v/>
      </c>
      <c r="CF149" s="25">
        <f>-MIN(CF148,CF67*(CF67&gt;0))</f>
        <v/>
      </c>
      <c r="CG149" s="25">
        <f>-MIN(CG148,CG67*(CG67&gt;0))</f>
        <v/>
      </c>
      <c r="CH149" s="25">
        <f>-MIN(CH148,CH67*(CH67&gt;0))</f>
        <v/>
      </c>
      <c r="CI149" s="25">
        <f>-MIN(CI148,CI67*(CI67&gt;0))</f>
        <v/>
      </c>
      <c r="CJ149" s="25">
        <f>-MIN(CJ148,CJ67*(CJ67&gt;0))</f>
        <v/>
      </c>
      <c r="CK149" s="25">
        <f>-MIN(CK148,CK67*(CK67&gt;0))</f>
        <v/>
      </c>
      <c r="CL149" s="25">
        <f>-MIN(CL148,CL67*(CL67&gt;0))</f>
        <v/>
      </c>
      <c r="CM149" s="25">
        <f>-MIN(CM148,CM67*(CM67&gt;0))</f>
        <v/>
      </c>
      <c r="CN149" s="25">
        <f>-MIN(CN148,CN67*(CN67&gt;0))</f>
        <v/>
      </c>
      <c r="CO149" s="25">
        <f>-MIN(CO148,CO67*(CO67&gt;0))</f>
        <v/>
      </c>
      <c r="CP149" s="25">
        <f>-MIN(CP148,CP67*(CP67&gt;0))</f>
        <v/>
      </c>
      <c r="CQ149" s="25">
        <f>-MIN(CQ148,CQ67*(CQ67&gt;0))</f>
        <v/>
      </c>
      <c r="CR149" s="25">
        <f>-MIN(CR148,CR67*(CR67&gt;0))</f>
        <v/>
      </c>
      <c r="CS149" s="25">
        <f>-MIN(CS148,CS67*(CS67&gt;0))</f>
        <v/>
      </c>
      <c r="CT149" s="25">
        <f>-MIN(CT148,CT67*(CT67&gt;0))</f>
        <v/>
      </c>
      <c r="CU149" s="25">
        <f>-MIN(CU148,CU67*(CU67&gt;0))</f>
        <v/>
      </c>
      <c r="CV149" s="25">
        <f>-MIN(CV148,CV67*(CV67&gt;0))</f>
        <v/>
      </c>
      <c r="CW149" s="25">
        <f>-MIN(CW148,CW67*(CW67&gt;0))</f>
        <v/>
      </c>
      <c r="CX149" s="25">
        <f>-MIN(CX148,CX67*(CX67&gt;0))</f>
        <v/>
      </c>
      <c r="CY149" s="25">
        <f>-MIN(CY148,CY67*(CY67&gt;0))</f>
        <v/>
      </c>
      <c r="CZ149" s="25">
        <f>-MIN(CZ148,CZ67*(CZ67&gt;0))</f>
        <v/>
      </c>
      <c r="DA149" s="25">
        <f>-MIN(DA148,DA67*(DA67&gt;0))</f>
        <v/>
      </c>
      <c r="DB149" s="25">
        <f>-MIN(DB148,DB67*(DB67&gt;0))</f>
        <v/>
      </c>
      <c r="DC149" s="25">
        <f>-MIN(DC148,DC67*(DC67&gt;0))</f>
        <v/>
      </c>
      <c r="DD149" s="25">
        <f>-MIN(DD148,DD67*(DD67&gt;0))</f>
        <v/>
      </c>
      <c r="DE149" s="25">
        <f>-MIN(DE148,DE67*(DE67&gt;0))</f>
        <v/>
      </c>
      <c r="DF149" s="25">
        <f>-MIN(DF148,DF67*(DF67&gt;0))</f>
        <v/>
      </c>
      <c r="DG149" s="25">
        <f>-MIN(DG148,DG67*(DG67&gt;0))</f>
        <v/>
      </c>
      <c r="DH149" s="25">
        <f>-MIN(DH148,DH67*(DH67&gt;0))</f>
        <v/>
      </c>
      <c r="DI149" s="25">
        <f>-MIN(DI148,DI67*(DI67&gt;0))</f>
        <v/>
      </c>
      <c r="DJ149" s="25">
        <f>-MIN(DJ148,DJ67*(DJ67&gt;0))</f>
        <v/>
      </c>
      <c r="DK149" s="25">
        <f>-MIN(DK148,DK67*(DK67&gt;0))</f>
        <v/>
      </c>
      <c r="DL149" s="25">
        <f>-MIN(DL148,DL67*(DL67&gt;0))</f>
        <v/>
      </c>
      <c r="DM149" s="25">
        <f>-MIN(DM148,DM67*(DM67&gt;0))</f>
        <v/>
      </c>
      <c r="DN149" s="25">
        <f>-MIN(DN148,DN67*(DN67&gt;0))</f>
        <v/>
      </c>
      <c r="DO149" s="25">
        <f>-MIN(DO148,DO67*(DO67&gt;0))</f>
        <v/>
      </c>
      <c r="DP149" s="25">
        <f>-MIN(DP148,DP67*(DP67&gt;0))</f>
        <v/>
      </c>
      <c r="DQ149" s="25">
        <f>-MIN(DQ148,DQ67*(DQ67&gt;0))</f>
        <v/>
      </c>
      <c r="DR149" s="25">
        <f>-MIN(DR148,DR67*(DR67&gt;0))</f>
        <v/>
      </c>
      <c r="DS149" s="25">
        <f>-MIN(DS148,DS67*(DS67&gt;0))</f>
        <v/>
      </c>
      <c r="DT149" s="25">
        <f>-MIN(DT148,DT67*(DT67&gt;0))</f>
        <v/>
      </c>
      <c r="DU149" s="25">
        <f>-MIN(DU148,DU67*(DU67&gt;0))</f>
        <v/>
      </c>
      <c r="DV149" s="25">
        <f>-MIN(DV148,DV67*(DV67&gt;0))</f>
        <v/>
      </c>
      <c r="DW149" s="25">
        <f>-MIN(DW148,DW67*(DW67&gt;0))</f>
        <v/>
      </c>
      <c r="DX149" s="25">
        <f>-MIN(DX148,DX67*(DX67&gt;0))</f>
        <v/>
      </c>
      <c r="DY149" s="25">
        <f>-MIN(DY148,DY67*(DY67&gt;0))</f>
        <v/>
      </c>
      <c r="DZ149" s="25">
        <f>-MIN(DZ148,DZ67*(DZ67&gt;0))</f>
        <v/>
      </c>
      <c r="EA149" s="25">
        <f>-MIN(EA148,EA67*(EA67&gt;0))</f>
        <v/>
      </c>
      <c r="EB149" s="25">
        <f>-MIN(EB148,EB67*(EB67&gt;0))</f>
        <v/>
      </c>
      <c r="EC149" s="25">
        <f>-MIN(EC148,EC67*(EC67&gt;0))</f>
        <v/>
      </c>
      <c r="ED149" s="25">
        <f>-MIN(ED148,ED67*(ED67&gt;0))</f>
        <v/>
      </c>
      <c r="EE149" s="25">
        <f>-MIN(EE148,EE67*(EE67&gt;0))</f>
        <v/>
      </c>
      <c r="EF149" s="25">
        <f>-MIN(EF148,EF67*(EF67&gt;0))</f>
        <v/>
      </c>
      <c r="EG149" s="25">
        <f>-MIN(EG148,EG67*(EG67&gt;0))</f>
        <v/>
      </c>
      <c r="EH149" s="25">
        <f>-MIN(EH148,EH67*(EH67&gt;0))</f>
        <v/>
      </c>
      <c r="EI149" s="25">
        <f>-MIN(EI148,EI67*(EI67&gt;0))</f>
        <v/>
      </c>
      <c r="EJ149" s="25">
        <f>-MIN(EJ148,EJ67*(EJ67&gt;0))</f>
        <v/>
      </c>
      <c r="EK149" s="25">
        <f>-MIN(EK148,EK67*(EK67&gt;0))</f>
        <v/>
      </c>
      <c r="EL149" s="25">
        <f>-MIN(EL148,EL67*(EL67&gt;0))</f>
        <v/>
      </c>
      <c r="EM149" s="25">
        <f>-MIN(EM148,EM67*(EM67&gt;0))</f>
        <v/>
      </c>
      <c r="EN149" s="25">
        <f>-MIN(EN148,EN67*(EN67&gt;0))</f>
        <v/>
      </c>
      <c r="EO149" s="25">
        <f>-MIN(EO148,EO67*(EO67&gt;0))</f>
        <v/>
      </c>
      <c r="EP149" s="25">
        <f>-MIN(EP148,EP67*(EP67&gt;0))</f>
        <v/>
      </c>
      <c r="EQ149" s="25">
        <f>-MIN(EQ148,EQ67*(EQ67&gt;0))</f>
        <v/>
      </c>
      <c r="ER149" s="25">
        <f>-MIN(ER148,ER67*(ER67&gt;0))</f>
        <v/>
      </c>
      <c r="ES149" s="25">
        <f>-MIN(ES148,ES67*(ES67&gt;0))</f>
        <v/>
      </c>
      <c r="ET149" s="25">
        <f>-MIN(ET148,ET67*(ET67&gt;0))</f>
        <v/>
      </c>
      <c r="EU149" s="25">
        <f>-MIN(EU148,EU67*(EU67&gt;0))</f>
        <v/>
      </c>
      <c r="EV149" s="25">
        <f>-MIN(EV148,EV67*(EV67&gt;0))</f>
        <v/>
      </c>
      <c r="EW149" s="25">
        <f>-MIN(EW148,EW67*(EW67&gt;0))</f>
        <v/>
      </c>
      <c r="EX149" s="25">
        <f>-MIN(EX148,EX67*(EX67&gt;0))</f>
        <v/>
      </c>
    </row>
    <row r="150" ht="16.5" customHeight="1">
      <c r="A150" s="180" t="n"/>
      <c r="B150" s="16" t="n"/>
      <c r="C150" s="9" t="n"/>
      <c r="D150" s="9" t="n"/>
      <c r="E150" s="9" t="n"/>
      <c r="F150" s="9" t="n"/>
      <c r="G150" s="9" t="n"/>
      <c r="H150" s="9" t="n"/>
      <c r="I150" s="12" t="n"/>
      <c r="J150" s="9" t="inlineStr">
        <is>
          <t>Principal Payoff</t>
        </is>
      </c>
      <c r="K150" s="9" t="n"/>
      <c r="L150" s="12" t="n"/>
      <c r="M150" s="25">
        <f>SUMIF($V$4:$EX$4,"&lt;"&amp;$H$19,$V150:$EX150)</f>
        <v/>
      </c>
      <c r="N150" s="56" t="n"/>
      <c r="O150" s="25">
        <f>SUMIF($V$5:$EX$5,O$7,$V150:$EX150)</f>
        <v/>
      </c>
      <c r="P150" s="25">
        <f>SUMIF($V$5:$EX$5,P$7,$V150:$EX150)</f>
        <v/>
      </c>
      <c r="Q150" s="25">
        <f>SUMIF($V$5:$EX$5,Q$7,$V150:$EX150)</f>
        <v/>
      </c>
      <c r="R150" s="25">
        <f>SUMIF($V$5:$EX$5,R$7,$V150:$EX150)</f>
        <v/>
      </c>
      <c r="S150" s="25">
        <f>SUMIF($V$5:$EX$5,S$7,$V150:$EX150)</f>
        <v/>
      </c>
      <c r="T150" s="25">
        <f>SUMIF($V$5:$EX$5,T$7,$V150:$EX150)</f>
        <v/>
      </c>
      <c r="U150" s="56" t="n"/>
      <c r="V150" s="25">
        <f>IF(AND(V6&gt;=EOMONTH($E$18,$G$51+1),V6&lt;=$G$19),-($H$51+V149),0)</f>
        <v/>
      </c>
      <c r="W150" s="25">
        <f>IF(AND(W6&gt;=EOMONTH($E$18,$G$51+1),W6&lt;=$G$19),-($H$51+W149),0)</f>
        <v/>
      </c>
      <c r="X150" s="25">
        <f>IF(AND(X6&gt;=EOMONTH($E$18,$G$51+1),X6&lt;=$G$19),-($H$51+X149),0)</f>
        <v/>
      </c>
      <c r="Y150" s="25">
        <f>IF(AND(Y6&gt;=EOMONTH($E$18,$G$51+1),Y6&lt;=$G$19),-($H$51+Y149),0)</f>
        <v/>
      </c>
      <c r="Z150" s="25">
        <f>IF(AND(Z6&gt;=EOMONTH($E$18,$G$51+1),Z6&lt;=$G$19),-($H$51+Z149),0)</f>
        <v/>
      </c>
      <c r="AA150" s="25">
        <f>IF(AND(AA6&gt;=EOMONTH($E$18,$G$51+1),AA6&lt;=$G$19),-($H$51+AA149),0)</f>
        <v/>
      </c>
      <c r="AB150" s="25">
        <f>IF(AND(AB6&gt;=EOMONTH($E$18,$G$51+1),AB6&lt;=$G$19),-($H$51+AB149),0)</f>
        <v/>
      </c>
      <c r="AC150" s="25">
        <f>IF(AND(AC6&gt;=EOMONTH($E$18,$G$51+1),AC6&lt;=$G$19),-($H$51+AC149),0)</f>
        <v/>
      </c>
      <c r="AD150" s="25">
        <f>IF(AND(AD6&gt;=EOMONTH($E$18,$G$51+1),AD6&lt;=$G$19),-($H$51+AD149),0)</f>
        <v/>
      </c>
      <c r="AE150" s="25">
        <f>IF(AND(AE6&gt;=EOMONTH($E$18,$G$51+1),AE6&lt;=$G$19),-($H$51+AE149),0)</f>
        <v/>
      </c>
      <c r="AF150" s="25">
        <f>IF(AND(AF6&gt;=EOMONTH($E$18,$G$51+1),AF6&lt;=$G$19),-($H$51+AF149),0)</f>
        <v/>
      </c>
      <c r="AG150" s="25">
        <f>IF(AND(AG6&gt;=EOMONTH($E$18,$G$51+1),AG6&lt;=$G$19),-($H$51+AG149),0)</f>
        <v/>
      </c>
      <c r="AH150" s="25">
        <f>IF(AND(AH6&gt;=EOMONTH($E$18,$G$51+1),AH6&lt;=$G$19),-($H$51+AH149),0)</f>
        <v/>
      </c>
      <c r="AI150" s="25">
        <f>IF(AND(AI6&gt;=EOMONTH($E$18,$G$51+1),AI6&lt;=$G$19),-($H$51+AI149),0)</f>
        <v/>
      </c>
      <c r="AJ150" s="25">
        <f>IF(AND(AJ6&gt;=EOMONTH($E$18,$G$51+1),AJ6&lt;=$G$19),-($H$51+AJ149),0)</f>
        <v/>
      </c>
      <c r="AK150" s="25">
        <f>IF(AND(AK6&gt;=EOMONTH($E$18,$G$51+1),AK6&lt;=$G$19),-($H$51+AK149),0)</f>
        <v/>
      </c>
      <c r="AL150" s="25">
        <f>IF(AND(AL6&gt;=EOMONTH($E$18,$G$51+1),AL6&lt;=$G$19),-($H$51+AL149),0)</f>
        <v/>
      </c>
      <c r="AM150" s="25">
        <f>IF(AND(AM6&gt;=EOMONTH($E$18,$G$51+1),AM6&lt;=$G$19),-($H$51+AM149),0)</f>
        <v/>
      </c>
      <c r="AN150" s="25">
        <f>IF(AND(AN6&gt;=EOMONTH($E$18,$G$51+1),AN6&lt;=$G$19),-($H$51+AN149),0)</f>
        <v/>
      </c>
      <c r="AO150" s="25">
        <f>IF(AND(AO6&gt;=EOMONTH($E$18,$G$51+1),AO6&lt;=$G$19),-($H$51+AO149),0)</f>
        <v/>
      </c>
      <c r="AP150" s="25">
        <f>IF(AND(AP6&gt;=EOMONTH($E$18,$G$51+1),AP6&lt;=$G$19),-($H$51+AP149),0)</f>
        <v/>
      </c>
      <c r="AQ150" s="25">
        <f>IF(AND(AQ6&gt;=EOMONTH($E$18,$G$51+1),AQ6&lt;=$G$19),-($H$51+AQ149),0)</f>
        <v/>
      </c>
      <c r="AR150" s="25">
        <f>IF(AND(AR6&gt;=EOMONTH($E$18,$G$51+1),AR6&lt;=$G$19),-($H$51+AR149),0)</f>
        <v/>
      </c>
      <c r="AS150" s="25">
        <f>IF(AND(AS6&gt;=EOMONTH($E$18,$G$51+1),AS6&lt;=$G$19),-($H$51+AS149),0)</f>
        <v/>
      </c>
      <c r="AT150" s="25">
        <f>IF(AND(AT6&gt;=EOMONTH($E$18,$G$51+1),AT6&lt;=$G$19),-($H$51+AT149),0)</f>
        <v/>
      </c>
      <c r="AU150" s="25">
        <f>IF(AND(AU6&gt;=EOMONTH($E$18,$G$51+1),AU6&lt;=$G$19),-($H$51+AU149),0)</f>
        <v/>
      </c>
      <c r="AV150" s="25">
        <f>IF(AND(AV6&gt;=EOMONTH($E$18,$G$51+1),AV6&lt;=$G$19),-($H$51+AV149),0)</f>
        <v/>
      </c>
      <c r="AW150" s="25">
        <f>IF(AND(AW6&gt;=EOMONTH($E$18,$G$51+1),AW6&lt;=$G$19),-($H$51+AW149),0)</f>
        <v/>
      </c>
      <c r="AX150" s="25">
        <f>IF(AND(AX6&gt;=EOMONTH($E$18,$G$51+1),AX6&lt;=$G$19),-($H$51+AX149),0)</f>
        <v/>
      </c>
      <c r="AY150" s="25">
        <f>IF(AND(AY6&gt;=EOMONTH($E$18,$G$51+1),AY6&lt;=$G$19),-($H$51+AY149),0)</f>
        <v/>
      </c>
      <c r="AZ150" s="25">
        <f>IF(AND(AZ6&gt;=EOMONTH($E$18,$G$51+1),AZ6&lt;=$G$19),-($H$51+AZ149),0)</f>
        <v/>
      </c>
      <c r="BA150" s="25">
        <f>IF(AND(BA6&gt;=EOMONTH($E$18,$G$51+1),BA6&lt;=$G$19),-($H$51+BA149),0)</f>
        <v/>
      </c>
      <c r="BB150" s="25">
        <f>IF(AND(BB6&gt;=EOMONTH($E$18,$G$51+1),BB6&lt;=$G$19),-($H$51+BB149),0)</f>
        <v/>
      </c>
      <c r="BC150" s="25">
        <f>IF(AND(BC6&gt;=EOMONTH($E$18,$G$51+1),BC6&lt;=$G$19),-($H$51+BC149),0)</f>
        <v/>
      </c>
      <c r="BD150" s="25">
        <f>IF(AND(BD6&gt;=EOMONTH($E$18,$G$51+1),BD6&lt;=$G$19),-($H$51+BD149),0)</f>
        <v/>
      </c>
      <c r="BE150" s="25">
        <f>IF(AND(BE6&gt;=EOMONTH($E$18,$G$51+1),BE6&lt;=$G$19),-($H$51+BE149),0)</f>
        <v/>
      </c>
      <c r="BF150" s="25">
        <f>IF(AND(BF6&gt;=EOMONTH($E$18,$G$51+1),BF6&lt;=$G$19),-($H$51+BF149),0)</f>
        <v/>
      </c>
      <c r="BG150" s="25">
        <f>IF(AND(BG6&gt;=EOMONTH($E$18,$G$51+1),BG6&lt;=$G$19),-($H$51+BG149),0)</f>
        <v/>
      </c>
      <c r="BH150" s="25">
        <f>IF(AND(BH6&gt;=EOMONTH($E$18,$G$51+1),BH6&lt;=$G$19),-($H$51+BH149),0)</f>
        <v/>
      </c>
      <c r="BI150" s="25">
        <f>IF(AND(BI6&gt;=EOMONTH($E$18,$G$51+1),BI6&lt;=$G$19),-($H$51+BI149),0)</f>
        <v/>
      </c>
      <c r="BJ150" s="25">
        <f>IF(AND(BJ6&gt;=EOMONTH($E$18,$G$51+1),BJ6&lt;=$G$19),-($H$51+BJ149),0)</f>
        <v/>
      </c>
      <c r="BK150" s="25">
        <f>IF(AND(BK6&gt;=EOMONTH($E$18,$G$51+1),BK6&lt;=$G$19),-($H$51+BK149),0)</f>
        <v/>
      </c>
      <c r="BL150" s="25">
        <f>IF(AND(BL6&gt;=EOMONTH($E$18,$G$51+1),BL6&lt;=$G$19),-($H$51+BL149),0)</f>
        <v/>
      </c>
      <c r="BM150" s="25">
        <f>IF(AND(BM6&gt;=EOMONTH($E$18,$G$51+1),BM6&lt;=$G$19),-($H$51+BM149),0)</f>
        <v/>
      </c>
      <c r="BN150" s="25">
        <f>IF(AND(BN6&gt;=EOMONTH($E$18,$G$51+1),BN6&lt;=$G$19),-($H$51+BN149),0)</f>
        <v/>
      </c>
      <c r="BO150" s="25">
        <f>IF(AND(BO6&gt;=EOMONTH($E$18,$G$51+1),BO6&lt;=$G$19),-($H$51+BO149),0)</f>
        <v/>
      </c>
      <c r="BP150" s="25">
        <f>IF(AND(BP6&gt;=EOMONTH($E$18,$G$51+1),BP6&lt;=$G$19),-($H$51+BP149),0)</f>
        <v/>
      </c>
      <c r="BQ150" s="25">
        <f>IF(AND(BQ6&gt;=EOMONTH($E$18,$G$51+1),BQ6&lt;=$G$19),-($H$51+BQ149),0)</f>
        <v/>
      </c>
      <c r="BR150" s="25">
        <f>IF(AND(BR6&gt;=EOMONTH($E$18,$G$51+1),BR6&lt;=$G$19),-($H$51+BR149),0)</f>
        <v/>
      </c>
      <c r="BS150" s="25">
        <f>IF(AND(BS6&gt;=EOMONTH($E$18,$G$51+1),BS6&lt;=$G$19),-($H$51+BS149),0)</f>
        <v/>
      </c>
      <c r="BT150" s="25">
        <f>IF(AND(BT6&gt;=EOMONTH($E$18,$G$51+1),BT6&lt;=$G$19),-($H$51+BT149),0)</f>
        <v/>
      </c>
      <c r="BU150" s="25">
        <f>IF(AND(BU6&gt;=EOMONTH($E$18,$G$51+1),BU6&lt;=$G$19),-($H$51+BU149),0)</f>
        <v/>
      </c>
      <c r="BV150" s="25">
        <f>IF(AND(BV6&gt;=EOMONTH($E$18,$G$51+1),BV6&lt;=$G$19),-($H$51+BV149),0)</f>
        <v/>
      </c>
      <c r="BW150" s="25">
        <f>IF(AND(BW6&gt;=EOMONTH($E$18,$G$51+1),BW6&lt;=$G$19),-($H$51+BW149),0)</f>
        <v/>
      </c>
      <c r="BX150" s="25">
        <f>IF(AND(BX6&gt;=EOMONTH($E$18,$G$51+1),BX6&lt;=$G$19),-($H$51+BX149),0)</f>
        <v/>
      </c>
      <c r="BY150" s="25">
        <f>IF(AND(BY6&gt;=EOMONTH($E$18,$G$51+1),BY6&lt;=$G$19),-($H$51+BY149),0)</f>
        <v/>
      </c>
      <c r="BZ150" s="25">
        <f>IF(AND(BZ6&gt;=EOMONTH($E$18,$G$51+1),BZ6&lt;=$G$19),-($H$51+BZ149),0)</f>
        <v/>
      </c>
      <c r="CA150" s="25">
        <f>IF(AND(CA6&gt;=EOMONTH($E$18,$G$51+1),CA6&lt;=$G$19),-($H$51+CA149),0)</f>
        <v/>
      </c>
      <c r="CB150" s="25">
        <f>IF(AND(CB6&gt;=EOMONTH($E$18,$G$51+1),CB6&lt;=$G$19),-($H$51+CB149),0)</f>
        <v/>
      </c>
      <c r="CC150" s="25">
        <f>IF(AND(CC6&gt;=EOMONTH($E$18,$G$51+1),CC6&lt;=$G$19),-($H$51+CC149),0)</f>
        <v/>
      </c>
      <c r="CD150" s="25">
        <f>IF(AND(CD6&gt;=EOMONTH($E$18,$G$51+1),CD6&lt;=$G$19),-($H$51+CD149),0)</f>
        <v/>
      </c>
      <c r="CE150" s="25">
        <f>IF(AND(CE6&gt;=EOMONTH($E$18,$G$51+1),CE6&lt;=$G$19),-($H$51+CE149),0)</f>
        <v/>
      </c>
      <c r="CF150" s="25">
        <f>IF(AND(CF6&gt;=EOMONTH($E$18,$G$51+1),CF6&lt;=$G$19),-($H$51+CF149),0)</f>
        <v/>
      </c>
      <c r="CG150" s="25">
        <f>IF(AND(CG6&gt;=EOMONTH($E$18,$G$51+1),CG6&lt;=$G$19),-($H$51+CG149),0)</f>
        <v/>
      </c>
      <c r="CH150" s="25">
        <f>IF(AND(CH6&gt;=EOMONTH($E$18,$G$51+1),CH6&lt;=$G$19),-($H$51+CH149),0)</f>
        <v/>
      </c>
      <c r="CI150" s="25">
        <f>IF(AND(CI6&gt;=EOMONTH($E$18,$G$51+1),CI6&lt;=$G$19),-($H$51+CI149),0)</f>
        <v/>
      </c>
      <c r="CJ150" s="25">
        <f>IF(AND(CJ6&gt;=EOMONTH($E$18,$G$51+1),CJ6&lt;=$G$19),-($H$51+CJ149),0)</f>
        <v/>
      </c>
      <c r="CK150" s="25">
        <f>IF(AND(CK6&gt;=EOMONTH($E$18,$G$51+1),CK6&lt;=$G$19),-($H$51+CK149),0)</f>
        <v/>
      </c>
      <c r="CL150" s="25">
        <f>IF(AND(CL6&gt;=EOMONTH($E$18,$G$51+1),CL6&lt;=$G$19),-($H$51+CL149),0)</f>
        <v/>
      </c>
      <c r="CM150" s="25">
        <f>IF(AND(CM6&gt;=EOMONTH($E$18,$G$51+1),CM6&lt;=$G$19),-($H$51+CM149),0)</f>
        <v/>
      </c>
      <c r="CN150" s="25">
        <f>IF(AND(CN6&gt;=EOMONTH($E$18,$G$51+1),CN6&lt;=$G$19),-($H$51+CN149),0)</f>
        <v/>
      </c>
      <c r="CO150" s="25">
        <f>IF(AND(CO6&gt;=EOMONTH($E$18,$G$51+1),CO6&lt;=$G$19),-($H$51+CO149),0)</f>
        <v/>
      </c>
      <c r="CP150" s="25">
        <f>IF(AND(CP6&gt;=EOMONTH($E$18,$G$51+1),CP6&lt;=$G$19),-($H$51+CP149),0)</f>
        <v/>
      </c>
      <c r="CQ150" s="25">
        <f>IF(AND(CQ6&gt;=EOMONTH($E$18,$G$51+1),CQ6&lt;=$G$19),-($H$51+CQ149),0)</f>
        <v/>
      </c>
      <c r="CR150" s="25">
        <f>IF(AND(CR6&gt;=EOMONTH($E$18,$G$51+1),CR6&lt;=$G$19),-($H$51+CR149),0)</f>
        <v/>
      </c>
      <c r="CS150" s="25">
        <f>IF(AND(CS6&gt;=EOMONTH($E$18,$G$51+1),CS6&lt;=$G$19),-($H$51+CS149),0)</f>
        <v/>
      </c>
      <c r="CT150" s="25">
        <f>IF(AND(CT6&gt;=EOMONTH($E$18,$G$51+1),CT6&lt;=$G$19),-($H$51+CT149),0)</f>
        <v/>
      </c>
      <c r="CU150" s="25">
        <f>IF(AND(CU6&gt;=EOMONTH($E$18,$G$51+1),CU6&lt;=$G$19),-($H$51+CU149),0)</f>
        <v/>
      </c>
      <c r="CV150" s="25">
        <f>IF(AND(CV6&gt;=EOMONTH($E$18,$G$51+1),CV6&lt;=$G$19),-($H$51+CV149),0)</f>
        <v/>
      </c>
      <c r="CW150" s="25">
        <f>IF(AND(CW6&gt;=EOMONTH($E$18,$G$51+1),CW6&lt;=$G$19),-($H$51+CW149),0)</f>
        <v/>
      </c>
      <c r="CX150" s="25">
        <f>IF(AND(CX6&gt;=EOMONTH($E$18,$G$51+1),CX6&lt;=$G$19),-($H$51+CX149),0)</f>
        <v/>
      </c>
      <c r="CY150" s="25">
        <f>IF(AND(CY6&gt;=EOMONTH($E$18,$G$51+1),CY6&lt;=$G$19),-($H$51+CY149),0)</f>
        <v/>
      </c>
      <c r="CZ150" s="25">
        <f>IF(AND(CZ6&gt;=EOMONTH($E$18,$G$51+1),CZ6&lt;=$G$19),-($H$51+CZ149),0)</f>
        <v/>
      </c>
      <c r="DA150" s="25">
        <f>IF(AND(DA6&gt;=EOMONTH($E$18,$G$51+1),DA6&lt;=$G$19),-($H$51+DA149),0)</f>
        <v/>
      </c>
      <c r="DB150" s="25">
        <f>IF(AND(DB6&gt;=EOMONTH($E$18,$G$51+1),DB6&lt;=$G$19),-($H$51+DB149),0)</f>
        <v/>
      </c>
      <c r="DC150" s="25">
        <f>IF(AND(DC6&gt;=EOMONTH($E$18,$G$51+1),DC6&lt;=$G$19),-($H$51+DC149),0)</f>
        <v/>
      </c>
      <c r="DD150" s="25">
        <f>IF(AND(DD6&gt;=EOMONTH($E$18,$G$51+1),DD6&lt;=$G$19),-($H$51+DD149),0)</f>
        <v/>
      </c>
      <c r="DE150" s="25">
        <f>IF(AND(DE6&gt;=EOMONTH($E$18,$G$51+1),DE6&lt;=$G$19),-($H$51+DE149),0)</f>
        <v/>
      </c>
      <c r="DF150" s="25">
        <f>IF(AND(DF6&gt;=EOMONTH($E$18,$G$51+1),DF6&lt;=$G$19),-($H$51+DF149),0)</f>
        <v/>
      </c>
      <c r="DG150" s="25">
        <f>IF(AND(DG6&gt;=EOMONTH($E$18,$G$51+1),DG6&lt;=$G$19),-($H$51+DG149),0)</f>
        <v/>
      </c>
      <c r="DH150" s="25">
        <f>IF(AND(DH6&gt;=EOMONTH($E$18,$G$51+1),DH6&lt;=$G$19),-($H$51+DH149),0)</f>
        <v/>
      </c>
      <c r="DI150" s="25">
        <f>IF(AND(DI6&gt;=EOMONTH($E$18,$G$51+1),DI6&lt;=$G$19),-($H$51+DI149),0)</f>
        <v/>
      </c>
      <c r="DJ150" s="25">
        <f>IF(AND(DJ6&gt;=EOMONTH($E$18,$G$51+1),DJ6&lt;=$G$19),-($H$51+DJ149),0)</f>
        <v/>
      </c>
      <c r="DK150" s="25">
        <f>IF(AND(DK6&gt;=EOMONTH($E$18,$G$51+1),DK6&lt;=$G$19),-($H$51+DK149),0)</f>
        <v/>
      </c>
      <c r="DL150" s="25">
        <f>IF(AND(DL6&gt;=EOMONTH($E$18,$G$51+1),DL6&lt;=$G$19),-($H$51+DL149),0)</f>
        <v/>
      </c>
      <c r="DM150" s="25">
        <f>IF(AND(DM6&gt;=EOMONTH($E$18,$G$51+1),DM6&lt;=$G$19),-($H$51+DM149),0)</f>
        <v/>
      </c>
      <c r="DN150" s="25">
        <f>IF(AND(DN6&gt;=EOMONTH($E$18,$G$51+1),DN6&lt;=$G$19),-($H$51+DN149),0)</f>
        <v/>
      </c>
      <c r="DO150" s="25">
        <f>IF(AND(DO6&gt;=EOMONTH($E$18,$G$51+1),DO6&lt;=$G$19),-($H$51+DO149),0)</f>
        <v/>
      </c>
      <c r="DP150" s="25">
        <f>IF(AND(DP6&gt;=EOMONTH($E$18,$G$51+1),DP6&lt;=$G$19),-($H$51+DP149),0)</f>
        <v/>
      </c>
      <c r="DQ150" s="25">
        <f>IF(AND(DQ6&gt;=EOMONTH($E$18,$G$51+1),DQ6&lt;=$G$19),-($H$51+DQ149),0)</f>
        <v/>
      </c>
      <c r="DR150" s="25">
        <f>IF(AND(DR6&gt;=EOMONTH($E$18,$G$51+1),DR6&lt;=$G$19),-($H$51+DR149),0)</f>
        <v/>
      </c>
      <c r="DS150" s="25">
        <f>IF(AND(DS6&gt;=EOMONTH($E$18,$G$51+1),DS6&lt;=$G$19),-($H$51+DS149),0)</f>
        <v/>
      </c>
      <c r="DT150" s="25">
        <f>IF(AND(DT6&gt;=EOMONTH($E$18,$G$51+1),DT6&lt;=$G$19),-($H$51+DT149),0)</f>
        <v/>
      </c>
      <c r="DU150" s="25">
        <f>IF(AND(DU6&gt;=EOMONTH($E$18,$G$51+1),DU6&lt;=$G$19),-($H$51+DU149),0)</f>
        <v/>
      </c>
      <c r="DV150" s="25">
        <f>IF(AND(DV6&gt;=EOMONTH($E$18,$G$51+1),DV6&lt;=$G$19),-($H$51+DV149),0)</f>
        <v/>
      </c>
      <c r="DW150" s="25">
        <f>IF(AND(DW6&gt;=EOMONTH($E$18,$G$51+1),DW6&lt;=$G$19),-($H$51+DW149),0)</f>
        <v/>
      </c>
      <c r="DX150" s="25">
        <f>IF(AND(DX6&gt;=EOMONTH($E$18,$G$51+1),DX6&lt;=$G$19),-($H$51+DX149),0)</f>
        <v/>
      </c>
      <c r="DY150" s="25">
        <f>IF(AND(DY6&gt;=EOMONTH($E$18,$G$51+1),DY6&lt;=$G$19),-($H$51+DY149),0)</f>
        <v/>
      </c>
      <c r="DZ150" s="25">
        <f>IF(AND(DZ6&gt;=EOMONTH($E$18,$G$51+1),DZ6&lt;=$G$19),-($H$51+DZ149),0)</f>
        <v/>
      </c>
      <c r="EA150" s="25">
        <f>IF(AND(EA6&gt;=EOMONTH($E$18,$G$51+1),EA6&lt;=$G$19),-($H$51+EA149),0)</f>
        <v/>
      </c>
      <c r="EB150" s="25">
        <f>IF(AND(EB6&gt;=EOMONTH($E$18,$G$51+1),EB6&lt;=$G$19),-($H$51+EB149),0)</f>
        <v/>
      </c>
      <c r="EC150" s="25">
        <f>IF(AND(EC6&gt;=EOMONTH($E$18,$G$51+1),EC6&lt;=$G$19),-($H$51+EC149),0)</f>
        <v/>
      </c>
      <c r="ED150" s="25">
        <f>IF(AND(ED6&gt;=EOMONTH($E$18,$G$51+1),ED6&lt;=$G$19),-($H$51+ED149),0)</f>
        <v/>
      </c>
      <c r="EE150" s="25">
        <f>IF(AND(EE6&gt;=EOMONTH($E$18,$G$51+1),EE6&lt;=$G$19),-($H$51+EE149),0)</f>
        <v/>
      </c>
      <c r="EF150" s="25">
        <f>IF(AND(EF6&gt;=EOMONTH($E$18,$G$51+1),EF6&lt;=$G$19),-($H$51+EF149),0)</f>
        <v/>
      </c>
      <c r="EG150" s="25">
        <f>IF(AND(EG6&gt;=EOMONTH($E$18,$G$51+1),EG6&lt;=$G$19),-($H$51+EG149),0)</f>
        <v/>
      </c>
      <c r="EH150" s="25">
        <f>IF(AND(EH6&gt;=EOMONTH($E$18,$G$51+1),EH6&lt;=$G$19),-($H$51+EH149),0)</f>
        <v/>
      </c>
      <c r="EI150" s="25">
        <f>IF(AND(EI6&gt;=EOMONTH($E$18,$G$51+1),EI6&lt;=$G$19),-($H$51+EI149),0)</f>
        <v/>
      </c>
      <c r="EJ150" s="25">
        <f>IF(AND(EJ6&gt;=EOMONTH($E$18,$G$51+1),EJ6&lt;=$G$19),-($H$51+EJ149),0)</f>
        <v/>
      </c>
      <c r="EK150" s="25">
        <f>IF(AND(EK6&gt;=EOMONTH($E$18,$G$51+1),EK6&lt;=$G$19),-($H$51+EK149),0)</f>
        <v/>
      </c>
      <c r="EL150" s="25">
        <f>IF(AND(EL6&gt;=EOMONTH($E$18,$G$51+1),EL6&lt;=$G$19),-($H$51+EL149),0)</f>
        <v/>
      </c>
      <c r="EM150" s="25">
        <f>IF(AND(EM6&gt;=EOMONTH($E$18,$G$51+1),EM6&lt;=$G$19),-($H$51+EM149),0)</f>
        <v/>
      </c>
      <c r="EN150" s="25">
        <f>IF(AND(EN6&gt;=EOMONTH($E$18,$G$51+1),EN6&lt;=$G$19),-($H$51+EN149),0)</f>
        <v/>
      </c>
      <c r="EO150" s="25">
        <f>IF(AND(EO6&gt;=EOMONTH($E$18,$G$51+1),EO6&lt;=$G$19),-($H$51+EO149),0)</f>
        <v/>
      </c>
      <c r="EP150" s="25">
        <f>IF(AND(EP6&gt;=EOMONTH($E$18,$G$51+1),EP6&lt;=$G$19),-($H$51+EP149),0)</f>
        <v/>
      </c>
      <c r="EQ150" s="25">
        <f>IF(AND(EQ6&gt;=EOMONTH($E$18,$G$51+1),EQ6&lt;=$G$19),-($H$51+EQ149),0)</f>
        <v/>
      </c>
      <c r="ER150" s="25">
        <f>IF(AND(ER6&gt;=EOMONTH($E$18,$G$51+1),ER6&lt;=$G$19),-($H$51+ER149),0)</f>
        <v/>
      </c>
      <c r="ES150" s="25">
        <f>IF(AND(ES6&gt;=EOMONTH($E$18,$G$51+1),ES6&lt;=$G$19),-($H$51+ES149),0)</f>
        <v/>
      </c>
      <c r="ET150" s="25">
        <f>IF(AND(ET6&gt;=EOMONTH($E$18,$G$51+1),ET6&lt;=$G$19),-($H$51+ET149),0)</f>
        <v/>
      </c>
      <c r="EU150" s="25">
        <f>IF(AND(EU6&gt;=EOMONTH($E$18,$G$51+1),EU6&lt;=$G$19),-($H$51+EU149),0)</f>
        <v/>
      </c>
      <c r="EV150" s="25">
        <f>IF(AND(EV6&gt;=EOMONTH($E$18,$G$51+1),EV6&lt;=$G$19),-($H$51+EV149),0)</f>
        <v/>
      </c>
      <c r="EW150" s="25">
        <f>IF(AND(EW6&gt;=EOMONTH($E$18,$G$51+1),EW6&lt;=$G$19),-($H$51+EW149),0)</f>
        <v/>
      </c>
      <c r="EX150" s="25">
        <f>IF(AND(EX6&gt;=EOMONTH($E$18,$G$51+1),EX6&lt;=$G$19),-($H$51+EX149),0)</f>
        <v/>
      </c>
    </row>
    <row r="151" ht="16.5" customHeight="1">
      <c r="A151" s="180" t="n"/>
      <c r="B151" s="16" t="n"/>
      <c r="C151" s="9" t="n"/>
      <c r="D151" s="9" t="n"/>
      <c r="E151" s="9" t="n"/>
      <c r="F151" s="9" t="n"/>
      <c r="G151" s="9" t="n"/>
      <c r="H151" s="9" t="n"/>
      <c r="I151" s="12" t="n"/>
      <c r="J151" s="9" t="inlineStr">
        <is>
          <t>Loan Payoff</t>
        </is>
      </c>
      <c r="K151" s="9" t="n"/>
      <c r="L151" s="12" t="n"/>
      <c r="M151" s="25">
        <f>SUMIF($V$4:$EX$4,"&lt;"&amp;$H$19,$V151:$EX151)</f>
        <v/>
      </c>
      <c r="N151" s="56" t="n"/>
      <c r="O151" s="25">
        <f>SUMIF($V$5:$EX$5,O$7,$V151:$EX151)</f>
        <v/>
      </c>
      <c r="P151" s="25">
        <f>SUMIF($V$5:$EX$5,P$7,$V151:$EX151)</f>
        <v/>
      </c>
      <c r="Q151" s="25">
        <f>SUMIF($V$5:$EX$5,Q$7,$V151:$EX151)</f>
        <v/>
      </c>
      <c r="R151" s="25">
        <f>SUMIF($V$5:$EX$5,R$7,$V151:$EX151)</f>
        <v/>
      </c>
      <c r="S151" s="25">
        <f>SUMIF($V$5:$EX$5,S$7,$V151:$EX151)</f>
        <v/>
      </c>
      <c r="T151" s="25">
        <f>SUMIF($V$5:$EX$5,T$7,$V151:$EX151)</f>
        <v/>
      </c>
      <c r="U151" s="56" t="n"/>
      <c r="V151" s="25">
        <f>IF(V6=$G$19,-SUM(V146:V150),0)</f>
        <v/>
      </c>
      <c r="W151" s="25">
        <f>IF(W6=$G$19,-SUM(W146:W150),0)</f>
        <v/>
      </c>
      <c r="X151" s="25">
        <f>IF(X6=$G$19,-SUM(X146:X150),0)</f>
        <v/>
      </c>
      <c r="Y151" s="25">
        <f>IF(Y6=$G$19,-SUM(Y146:Y150),0)</f>
        <v/>
      </c>
      <c r="Z151" s="25">
        <f>IF(Z6=$G$19,-SUM(Z146:Z150),0)</f>
        <v/>
      </c>
      <c r="AA151" s="25">
        <f>IF(AA6=$G$19,-SUM(AA146:AA150),0)</f>
        <v/>
      </c>
      <c r="AB151" s="25">
        <f>IF(AB6=$G$19,-SUM(AB146:AB150),0)</f>
        <v/>
      </c>
      <c r="AC151" s="25">
        <f>IF(AC6=$G$19,-SUM(AC146:AC150),0)</f>
        <v/>
      </c>
      <c r="AD151" s="25">
        <f>IF(AD6=$G$19,-SUM(AD146:AD150),0)</f>
        <v/>
      </c>
      <c r="AE151" s="25">
        <f>IF(AE6=$G$19,-SUM(AE146:AE150),0)</f>
        <v/>
      </c>
      <c r="AF151" s="25">
        <f>IF(AF6=$G$19,-SUM(AF146:AF150),0)</f>
        <v/>
      </c>
      <c r="AG151" s="25">
        <f>IF(AG6=$G$19,-SUM(AG146:AG150),0)</f>
        <v/>
      </c>
      <c r="AH151" s="25">
        <f>IF(AH6=$G$19,-SUM(AH146:AH150),0)</f>
        <v/>
      </c>
      <c r="AI151" s="25">
        <f>IF(AI6=$G$19,-SUM(AI146:AI150),0)</f>
        <v/>
      </c>
      <c r="AJ151" s="25">
        <f>IF(AJ6=$G$19,-SUM(AJ146:AJ150),0)</f>
        <v/>
      </c>
      <c r="AK151" s="25">
        <f>IF(AK6=$G$19,-SUM(AK146:AK150),0)</f>
        <v/>
      </c>
      <c r="AL151" s="25">
        <f>IF(AL6=$G$19,-SUM(AL146:AL150),0)</f>
        <v/>
      </c>
      <c r="AM151" s="25">
        <f>IF(AM6=$G$19,-SUM(AM146:AM150),0)</f>
        <v/>
      </c>
      <c r="AN151" s="25">
        <f>IF(AN6=$G$19,-SUM(AN146:AN150),0)</f>
        <v/>
      </c>
      <c r="AO151" s="25">
        <f>IF(AO6=$G$19,-SUM(AO146:AO150),0)</f>
        <v/>
      </c>
      <c r="AP151" s="25">
        <f>IF(AP6=$G$19,-SUM(AP146:AP150),0)</f>
        <v/>
      </c>
      <c r="AQ151" s="25">
        <f>IF(AQ6=$G$19,-SUM(AQ146:AQ150),0)</f>
        <v/>
      </c>
      <c r="AR151" s="25">
        <f>IF(AR6=$G$19,-SUM(AR146:AR150),0)</f>
        <v/>
      </c>
      <c r="AS151" s="25">
        <f>IF(AS6=$G$19,-SUM(AS146:AS150),0)</f>
        <v/>
      </c>
      <c r="AT151" s="25">
        <f>IF(AT6=$G$19,-SUM(AT146:AT150),0)</f>
        <v/>
      </c>
      <c r="AU151" s="25">
        <f>IF(AU6=$G$19,-SUM(AU146:AU150),0)</f>
        <v/>
      </c>
      <c r="AV151" s="25">
        <f>IF(AV6=$G$19,-SUM(AV146:AV150),0)</f>
        <v/>
      </c>
      <c r="AW151" s="25">
        <f>IF(AW6=$G$19,-SUM(AW146:AW150),0)</f>
        <v/>
      </c>
      <c r="AX151" s="25">
        <f>IF(AX6=$G$19,-SUM(AX146:AX150),0)</f>
        <v/>
      </c>
      <c r="AY151" s="25">
        <f>IF(AY6=$G$19,-SUM(AY146:AY150),0)</f>
        <v/>
      </c>
      <c r="AZ151" s="25">
        <f>IF(AZ6=$G$19,-SUM(AZ146:AZ150),0)</f>
        <v/>
      </c>
      <c r="BA151" s="25">
        <f>IF(BA6=$G$19,-SUM(BA146:BA150),0)</f>
        <v/>
      </c>
      <c r="BB151" s="25">
        <f>IF(BB6=$G$19,-SUM(BB146:BB150),0)</f>
        <v/>
      </c>
      <c r="BC151" s="25">
        <f>IF(BC6=$G$19,-SUM(BC146:BC150),0)</f>
        <v/>
      </c>
      <c r="BD151" s="25">
        <f>IF(BD6=$G$19,-SUM(BD146:BD150),0)</f>
        <v/>
      </c>
      <c r="BE151" s="25">
        <f>IF(BE6=$G$19,-SUM(BE146:BE150),0)</f>
        <v/>
      </c>
      <c r="BF151" s="25">
        <f>IF(BF6=$G$19,-SUM(BF146:BF150),0)</f>
        <v/>
      </c>
      <c r="BG151" s="25">
        <f>IF(BG6=$G$19,-SUM(BG146:BG150),0)</f>
        <v/>
      </c>
      <c r="BH151" s="25">
        <f>IF(BH6=$G$19,-SUM(BH146:BH150),0)</f>
        <v/>
      </c>
      <c r="BI151" s="25">
        <f>IF(BI6=$G$19,-SUM(BI146:BI150),0)</f>
        <v/>
      </c>
      <c r="BJ151" s="25">
        <f>IF(BJ6=$G$19,-SUM(BJ146:BJ150),0)</f>
        <v/>
      </c>
      <c r="BK151" s="25">
        <f>IF(BK6=$G$19,-SUM(BK146:BK150),0)</f>
        <v/>
      </c>
      <c r="BL151" s="25">
        <f>IF(BL6=$G$19,-SUM(BL146:BL150),0)</f>
        <v/>
      </c>
      <c r="BM151" s="25">
        <f>IF(BM6=$G$19,-SUM(BM146:BM150),0)</f>
        <v/>
      </c>
      <c r="BN151" s="25">
        <f>IF(BN6=$G$19,-SUM(BN146:BN150),0)</f>
        <v/>
      </c>
      <c r="BO151" s="25">
        <f>IF(BO6=$G$19,-SUM(BO146:BO150),0)</f>
        <v/>
      </c>
      <c r="BP151" s="25">
        <f>IF(BP6=$G$19,-SUM(BP146:BP150),0)</f>
        <v/>
      </c>
      <c r="BQ151" s="25">
        <f>IF(BQ6=$G$19,-SUM(BQ146:BQ150),0)</f>
        <v/>
      </c>
      <c r="BR151" s="25">
        <f>IF(BR6=$G$19,-SUM(BR146:BR150),0)</f>
        <v/>
      </c>
      <c r="BS151" s="25">
        <f>IF(BS6=$G$19,-SUM(BS146:BS150),0)</f>
        <v/>
      </c>
      <c r="BT151" s="25">
        <f>IF(BT6=$G$19,-SUM(BT146:BT150),0)</f>
        <v/>
      </c>
      <c r="BU151" s="25">
        <f>IF(BU6=$G$19,-SUM(BU146:BU150),0)</f>
        <v/>
      </c>
      <c r="BV151" s="25">
        <f>IF(BV6=$G$19,-SUM(BV146:BV150),0)</f>
        <v/>
      </c>
      <c r="BW151" s="25">
        <f>IF(BW6=$G$19,-SUM(BW146:BW150),0)</f>
        <v/>
      </c>
      <c r="BX151" s="25">
        <f>IF(BX6=$G$19,-SUM(BX146:BX150),0)</f>
        <v/>
      </c>
      <c r="BY151" s="25">
        <f>IF(BY6=$G$19,-SUM(BY146:BY150),0)</f>
        <v/>
      </c>
      <c r="BZ151" s="25">
        <f>IF(BZ6=$G$19,-SUM(BZ146:BZ150),0)</f>
        <v/>
      </c>
      <c r="CA151" s="25">
        <f>IF(CA6=$G$19,-SUM(CA146:CA150),0)</f>
        <v/>
      </c>
      <c r="CB151" s="25">
        <f>IF(CB6=$G$19,-SUM(CB146:CB150),0)</f>
        <v/>
      </c>
      <c r="CC151" s="25">
        <f>IF(CC6=$G$19,-SUM(CC146:CC150),0)</f>
        <v/>
      </c>
      <c r="CD151" s="25">
        <f>IF(CD6=$G$19,-SUM(CD146:CD150),0)</f>
        <v/>
      </c>
      <c r="CE151" s="25">
        <f>IF(CE6=$G$19,-SUM(CE146:CE150),0)</f>
        <v/>
      </c>
      <c r="CF151" s="25">
        <f>IF(CF6=$G$19,-SUM(CF146:CF150),0)</f>
        <v/>
      </c>
      <c r="CG151" s="25">
        <f>IF(CG6=$G$19,-SUM(CG146:CG150),0)</f>
        <v/>
      </c>
      <c r="CH151" s="25">
        <f>IF(CH6=$G$19,-SUM(CH146:CH150),0)</f>
        <v/>
      </c>
      <c r="CI151" s="25">
        <f>IF(CI6=$G$19,-SUM(CI146:CI150),0)</f>
        <v/>
      </c>
      <c r="CJ151" s="25">
        <f>IF(CJ6=$G$19,-SUM(CJ146:CJ150),0)</f>
        <v/>
      </c>
      <c r="CK151" s="25">
        <f>IF(CK6=$G$19,-SUM(CK146:CK150),0)</f>
        <v/>
      </c>
      <c r="CL151" s="25">
        <f>IF(CL6=$G$19,-SUM(CL146:CL150),0)</f>
        <v/>
      </c>
      <c r="CM151" s="25">
        <f>IF(CM6=$G$19,-SUM(CM146:CM150),0)</f>
        <v/>
      </c>
      <c r="CN151" s="25">
        <f>IF(CN6=$G$19,-SUM(CN146:CN150),0)</f>
        <v/>
      </c>
      <c r="CO151" s="25">
        <f>IF(CO6=$G$19,-SUM(CO146:CO150),0)</f>
        <v/>
      </c>
      <c r="CP151" s="25">
        <f>IF(CP6=$G$19,-SUM(CP146:CP150),0)</f>
        <v/>
      </c>
      <c r="CQ151" s="25">
        <f>IF(CQ6=$G$19,-SUM(CQ146:CQ150),0)</f>
        <v/>
      </c>
      <c r="CR151" s="25">
        <f>IF(CR6=$G$19,-SUM(CR146:CR150),0)</f>
        <v/>
      </c>
      <c r="CS151" s="25">
        <f>IF(CS6=$G$19,-SUM(CS146:CS150),0)</f>
        <v/>
      </c>
      <c r="CT151" s="25">
        <f>IF(CT6=$G$19,-SUM(CT146:CT150),0)</f>
        <v/>
      </c>
      <c r="CU151" s="25">
        <f>IF(CU6=$G$19,-SUM(CU146:CU150),0)</f>
        <v/>
      </c>
      <c r="CV151" s="25">
        <f>IF(CV6=$G$19,-SUM(CV146:CV150),0)</f>
        <v/>
      </c>
      <c r="CW151" s="25">
        <f>IF(CW6=$G$19,-SUM(CW146:CW150),0)</f>
        <v/>
      </c>
      <c r="CX151" s="25">
        <f>IF(CX6=$G$19,-SUM(CX146:CX150),0)</f>
        <v/>
      </c>
      <c r="CY151" s="25">
        <f>IF(CY6=$G$19,-SUM(CY146:CY150),0)</f>
        <v/>
      </c>
      <c r="CZ151" s="25">
        <f>IF(CZ6=$G$19,-SUM(CZ146:CZ150),0)</f>
        <v/>
      </c>
      <c r="DA151" s="25">
        <f>IF(DA6=$G$19,-SUM(DA146:DA150),0)</f>
        <v/>
      </c>
      <c r="DB151" s="25">
        <f>IF(DB6=$G$19,-SUM(DB146:DB150),0)</f>
        <v/>
      </c>
      <c r="DC151" s="25">
        <f>IF(DC6=$G$19,-SUM(DC146:DC150),0)</f>
        <v/>
      </c>
      <c r="DD151" s="25">
        <f>IF(DD6=$G$19,-SUM(DD146:DD150),0)</f>
        <v/>
      </c>
      <c r="DE151" s="25">
        <f>IF(DE6=$G$19,-SUM(DE146:DE150),0)</f>
        <v/>
      </c>
      <c r="DF151" s="25">
        <f>IF(DF6=$G$19,-SUM(DF146:DF150),0)</f>
        <v/>
      </c>
      <c r="DG151" s="25">
        <f>IF(DG6=$G$19,-SUM(DG146:DG150),0)</f>
        <v/>
      </c>
      <c r="DH151" s="25">
        <f>IF(DH6=$G$19,-SUM(DH146:DH150),0)</f>
        <v/>
      </c>
      <c r="DI151" s="25">
        <f>IF(DI6=$G$19,-SUM(DI146:DI150),0)</f>
        <v/>
      </c>
      <c r="DJ151" s="25">
        <f>IF(DJ6=$G$19,-SUM(DJ146:DJ150),0)</f>
        <v/>
      </c>
      <c r="DK151" s="25">
        <f>IF(DK6=$G$19,-SUM(DK146:DK150),0)</f>
        <v/>
      </c>
      <c r="DL151" s="25">
        <f>IF(DL6=$G$19,-SUM(DL146:DL150),0)</f>
        <v/>
      </c>
      <c r="DM151" s="25">
        <f>IF(DM6=$G$19,-SUM(DM146:DM150),0)</f>
        <v/>
      </c>
      <c r="DN151" s="25">
        <f>IF(DN6=$G$19,-SUM(DN146:DN150),0)</f>
        <v/>
      </c>
      <c r="DO151" s="25">
        <f>IF(DO6=$G$19,-SUM(DO146:DO150),0)</f>
        <v/>
      </c>
      <c r="DP151" s="25">
        <f>IF(DP6=$G$19,-SUM(DP146:DP150),0)</f>
        <v/>
      </c>
      <c r="DQ151" s="25">
        <f>IF(DQ6=$G$19,-SUM(DQ146:DQ150),0)</f>
        <v/>
      </c>
      <c r="DR151" s="25">
        <f>IF(DR6=$G$19,-SUM(DR146:DR150),0)</f>
        <v/>
      </c>
      <c r="DS151" s="25">
        <f>IF(DS6=$G$19,-SUM(DS146:DS150),0)</f>
        <v/>
      </c>
      <c r="DT151" s="25">
        <f>IF(DT6=$G$19,-SUM(DT146:DT150),0)</f>
        <v/>
      </c>
      <c r="DU151" s="25">
        <f>IF(DU6=$G$19,-SUM(DU146:DU150),0)</f>
        <v/>
      </c>
      <c r="DV151" s="25">
        <f>IF(DV6=$G$19,-SUM(DV146:DV150),0)</f>
        <v/>
      </c>
      <c r="DW151" s="25">
        <f>IF(DW6=$G$19,-SUM(DW146:DW150),0)</f>
        <v/>
      </c>
      <c r="DX151" s="25">
        <f>IF(DX6=$G$19,-SUM(DX146:DX150),0)</f>
        <v/>
      </c>
      <c r="DY151" s="25">
        <f>IF(DY6=$G$19,-SUM(DY146:DY150),0)</f>
        <v/>
      </c>
      <c r="DZ151" s="25">
        <f>IF(DZ6=$G$19,-SUM(DZ146:DZ150),0)</f>
        <v/>
      </c>
      <c r="EA151" s="25">
        <f>IF(EA6=$G$19,-SUM(EA146:EA150),0)</f>
        <v/>
      </c>
      <c r="EB151" s="25">
        <f>IF(EB6=$G$19,-SUM(EB146:EB150),0)</f>
        <v/>
      </c>
      <c r="EC151" s="25">
        <f>IF(EC6=$G$19,-SUM(EC146:EC150),0)</f>
        <v/>
      </c>
      <c r="ED151" s="25">
        <f>IF(ED6=$G$19,-SUM(ED146:ED150),0)</f>
        <v/>
      </c>
      <c r="EE151" s="25">
        <f>IF(EE6=$G$19,-SUM(EE146:EE150),0)</f>
        <v/>
      </c>
      <c r="EF151" s="25">
        <f>IF(EF6=$G$19,-SUM(EF146:EF150),0)</f>
        <v/>
      </c>
      <c r="EG151" s="25">
        <f>IF(EG6=$G$19,-SUM(EG146:EG150),0)</f>
        <v/>
      </c>
      <c r="EH151" s="25">
        <f>IF(EH6=$G$19,-SUM(EH146:EH150),0)</f>
        <v/>
      </c>
      <c r="EI151" s="25">
        <f>IF(EI6=$G$19,-SUM(EI146:EI150),0)</f>
        <v/>
      </c>
      <c r="EJ151" s="25">
        <f>IF(EJ6=$G$19,-SUM(EJ146:EJ150),0)</f>
        <v/>
      </c>
      <c r="EK151" s="25">
        <f>IF(EK6=$G$19,-SUM(EK146:EK150),0)</f>
        <v/>
      </c>
      <c r="EL151" s="25">
        <f>IF(EL6=$G$19,-SUM(EL146:EL150),0)</f>
        <v/>
      </c>
      <c r="EM151" s="25">
        <f>IF(EM6=$G$19,-SUM(EM146:EM150),0)</f>
        <v/>
      </c>
      <c r="EN151" s="25">
        <f>IF(EN6=$G$19,-SUM(EN146:EN150),0)</f>
        <v/>
      </c>
      <c r="EO151" s="25">
        <f>IF(EO6=$G$19,-SUM(EO146:EO150),0)</f>
        <v/>
      </c>
      <c r="EP151" s="25">
        <f>IF(EP6=$G$19,-SUM(EP146:EP150),0)</f>
        <v/>
      </c>
      <c r="EQ151" s="25">
        <f>IF(EQ6=$G$19,-SUM(EQ146:EQ150),0)</f>
        <v/>
      </c>
      <c r="ER151" s="25">
        <f>IF(ER6=$G$19,-SUM(ER146:ER150),0)</f>
        <v/>
      </c>
      <c r="ES151" s="25">
        <f>IF(ES6=$G$19,-SUM(ES146:ES150),0)</f>
        <v/>
      </c>
      <c r="ET151" s="25">
        <f>IF(ET6=$G$19,-SUM(ET146:ET150),0)</f>
        <v/>
      </c>
      <c r="EU151" s="25">
        <f>IF(EU6=$G$19,-SUM(EU146:EU150),0)</f>
        <v/>
      </c>
      <c r="EV151" s="25">
        <f>IF(EV6=$G$19,-SUM(EV146:EV150),0)</f>
        <v/>
      </c>
      <c r="EW151" s="25">
        <f>IF(EW6=$G$19,-SUM(EW146:EW150),0)</f>
        <v/>
      </c>
      <c r="EX151" s="25">
        <f>IF(EX6=$G$19,-SUM(EX146:EX150),0)</f>
        <v/>
      </c>
    </row>
    <row r="152" ht="16.5" customHeight="1">
      <c r="A152" s="180" t="n"/>
      <c r="B152" s="16" t="n"/>
      <c r="C152" s="9" t="n"/>
      <c r="D152" s="9" t="n"/>
      <c r="E152" s="9" t="n"/>
      <c r="F152" s="9" t="n"/>
      <c r="G152" s="9" t="n"/>
      <c r="H152" s="9" t="n"/>
      <c r="I152" s="12" t="n"/>
      <c r="J152" s="269" t="inlineStr">
        <is>
          <t>EOD Balance</t>
        </is>
      </c>
      <c r="K152" s="269" t="n"/>
      <c r="L152" s="270" t="n"/>
      <c r="M152" s="269">
        <f>SUMIF($V$4:$EX$4,"&lt;"&amp;$H$19,$V152:$EX152)</f>
        <v/>
      </c>
      <c r="N152" s="270" t="n"/>
      <c r="O152" s="269">
        <f>SUMIF($V$5:$EX$5,O$7,$V152:$EX152)</f>
        <v/>
      </c>
      <c r="P152" s="269">
        <f>SUMIF($V$5:$EX$5,P$7,$V152:$EX152)</f>
        <v/>
      </c>
      <c r="Q152" s="269">
        <f>SUMIF($V$5:$EX$5,Q$7,$V152:$EX152)</f>
        <v/>
      </c>
      <c r="R152" s="269">
        <f>SUMIF($V$5:$EX$5,R$7,$V152:$EX152)</f>
        <v/>
      </c>
      <c r="S152" s="269">
        <f>SUMIF($V$5:$EX$5,S$7,$V152:$EX152)</f>
        <v/>
      </c>
      <c r="T152" s="269">
        <f>SUMIF($V$5:$EX$5,T$7,$V152:$EX152)</f>
        <v/>
      </c>
      <c r="U152" s="270" t="n"/>
      <c r="V152" s="269">
        <f>SUM(V146:V151)</f>
        <v/>
      </c>
      <c r="W152" s="269">
        <f>SUM(W146:W151)</f>
        <v/>
      </c>
      <c r="X152" s="269">
        <f>SUM(X146:X151)</f>
        <v/>
      </c>
      <c r="Y152" s="269">
        <f>SUM(Y146:Y151)</f>
        <v/>
      </c>
      <c r="Z152" s="269">
        <f>SUM(Z146:Z151)</f>
        <v/>
      </c>
      <c r="AA152" s="269">
        <f>SUM(AA146:AA151)</f>
        <v/>
      </c>
      <c r="AB152" s="269">
        <f>SUM(AB146:AB151)</f>
        <v/>
      </c>
      <c r="AC152" s="269">
        <f>SUM(AC146:AC151)</f>
        <v/>
      </c>
      <c r="AD152" s="269">
        <f>SUM(AD146:AD151)</f>
        <v/>
      </c>
      <c r="AE152" s="269">
        <f>SUM(AE146:AE151)</f>
        <v/>
      </c>
      <c r="AF152" s="269">
        <f>SUM(AF146:AF151)</f>
        <v/>
      </c>
      <c r="AG152" s="269">
        <f>SUM(AG146:AG151)</f>
        <v/>
      </c>
      <c r="AH152" s="269">
        <f>SUM(AH146:AH151)</f>
        <v/>
      </c>
      <c r="AI152" s="269">
        <f>SUM(AI146:AI151)</f>
        <v/>
      </c>
      <c r="AJ152" s="269">
        <f>SUM(AJ146:AJ151)</f>
        <v/>
      </c>
      <c r="AK152" s="269">
        <f>SUM(AK146:AK151)</f>
        <v/>
      </c>
      <c r="AL152" s="269">
        <f>SUM(AL146:AL151)</f>
        <v/>
      </c>
      <c r="AM152" s="269">
        <f>SUM(AM146:AM151)</f>
        <v/>
      </c>
      <c r="AN152" s="269">
        <f>SUM(AN146:AN151)</f>
        <v/>
      </c>
      <c r="AO152" s="269">
        <f>SUM(AO146:AO151)</f>
        <v/>
      </c>
      <c r="AP152" s="269">
        <f>SUM(AP146:AP151)</f>
        <v/>
      </c>
      <c r="AQ152" s="269">
        <f>SUM(AQ146:AQ151)</f>
        <v/>
      </c>
      <c r="AR152" s="269">
        <f>SUM(AR146:AR151)</f>
        <v/>
      </c>
      <c r="AS152" s="269">
        <f>SUM(AS146:AS151)</f>
        <v/>
      </c>
      <c r="AT152" s="269">
        <f>SUM(AT146:AT151)</f>
        <v/>
      </c>
      <c r="AU152" s="269">
        <f>SUM(AU146:AU151)</f>
        <v/>
      </c>
      <c r="AV152" s="269">
        <f>SUM(AV146:AV151)</f>
        <v/>
      </c>
      <c r="AW152" s="269">
        <f>SUM(AW146:AW151)</f>
        <v/>
      </c>
      <c r="AX152" s="269">
        <f>SUM(AX146:AX151)</f>
        <v/>
      </c>
      <c r="AY152" s="269">
        <f>SUM(AY146:AY151)</f>
        <v/>
      </c>
      <c r="AZ152" s="269">
        <f>SUM(AZ146:AZ151)</f>
        <v/>
      </c>
      <c r="BA152" s="269">
        <f>SUM(BA146:BA151)</f>
        <v/>
      </c>
      <c r="BB152" s="269">
        <f>SUM(BB146:BB151)</f>
        <v/>
      </c>
      <c r="BC152" s="269">
        <f>SUM(BC146:BC151)</f>
        <v/>
      </c>
      <c r="BD152" s="269">
        <f>SUM(BD146:BD151)</f>
        <v/>
      </c>
      <c r="BE152" s="269">
        <f>SUM(BE146:BE151)</f>
        <v/>
      </c>
      <c r="BF152" s="269">
        <f>SUM(BF146:BF151)</f>
        <v/>
      </c>
      <c r="BG152" s="269">
        <f>SUM(BG146:BG151)</f>
        <v/>
      </c>
      <c r="BH152" s="269">
        <f>SUM(BH146:BH151)</f>
        <v/>
      </c>
      <c r="BI152" s="269">
        <f>SUM(BI146:BI151)</f>
        <v/>
      </c>
      <c r="BJ152" s="269">
        <f>SUM(BJ146:BJ151)</f>
        <v/>
      </c>
      <c r="BK152" s="269">
        <f>SUM(BK146:BK151)</f>
        <v/>
      </c>
      <c r="BL152" s="269">
        <f>SUM(BL146:BL151)</f>
        <v/>
      </c>
      <c r="BM152" s="269">
        <f>SUM(BM146:BM151)</f>
        <v/>
      </c>
      <c r="BN152" s="269">
        <f>SUM(BN146:BN151)</f>
        <v/>
      </c>
      <c r="BO152" s="269">
        <f>SUM(BO146:BO151)</f>
        <v/>
      </c>
      <c r="BP152" s="269">
        <f>SUM(BP146:BP151)</f>
        <v/>
      </c>
      <c r="BQ152" s="269">
        <f>SUM(BQ146:BQ151)</f>
        <v/>
      </c>
      <c r="BR152" s="269">
        <f>SUM(BR146:BR151)</f>
        <v/>
      </c>
      <c r="BS152" s="269">
        <f>SUM(BS146:BS151)</f>
        <v/>
      </c>
      <c r="BT152" s="269">
        <f>SUM(BT146:BT151)</f>
        <v/>
      </c>
      <c r="BU152" s="269">
        <f>SUM(BU146:BU151)</f>
        <v/>
      </c>
      <c r="BV152" s="269">
        <f>SUM(BV146:BV151)</f>
        <v/>
      </c>
      <c r="BW152" s="269">
        <f>SUM(BW146:BW151)</f>
        <v/>
      </c>
      <c r="BX152" s="269">
        <f>SUM(BX146:BX151)</f>
        <v/>
      </c>
      <c r="BY152" s="269">
        <f>SUM(BY146:BY151)</f>
        <v/>
      </c>
      <c r="BZ152" s="269">
        <f>SUM(BZ146:BZ151)</f>
        <v/>
      </c>
      <c r="CA152" s="269">
        <f>SUM(CA146:CA151)</f>
        <v/>
      </c>
      <c r="CB152" s="269">
        <f>SUM(CB146:CB151)</f>
        <v/>
      </c>
      <c r="CC152" s="269">
        <f>SUM(CC146:CC151)</f>
        <v/>
      </c>
      <c r="CD152" s="269">
        <f>SUM(CD146:CD151)</f>
        <v/>
      </c>
      <c r="CE152" s="269">
        <f>SUM(CE146:CE151)</f>
        <v/>
      </c>
      <c r="CF152" s="269">
        <f>SUM(CF146:CF151)</f>
        <v/>
      </c>
      <c r="CG152" s="269">
        <f>SUM(CG146:CG151)</f>
        <v/>
      </c>
      <c r="CH152" s="269">
        <f>SUM(CH146:CH151)</f>
        <v/>
      </c>
      <c r="CI152" s="269">
        <f>SUM(CI146:CI151)</f>
        <v/>
      </c>
      <c r="CJ152" s="269">
        <f>SUM(CJ146:CJ151)</f>
        <v/>
      </c>
      <c r="CK152" s="269">
        <f>SUM(CK146:CK151)</f>
        <v/>
      </c>
      <c r="CL152" s="269">
        <f>SUM(CL146:CL151)</f>
        <v/>
      </c>
      <c r="CM152" s="269">
        <f>SUM(CM146:CM151)</f>
        <v/>
      </c>
      <c r="CN152" s="269">
        <f>SUM(CN146:CN151)</f>
        <v/>
      </c>
      <c r="CO152" s="269">
        <f>SUM(CO146:CO151)</f>
        <v/>
      </c>
      <c r="CP152" s="269">
        <f>SUM(CP146:CP151)</f>
        <v/>
      </c>
      <c r="CQ152" s="269">
        <f>SUM(CQ146:CQ151)</f>
        <v/>
      </c>
      <c r="CR152" s="269">
        <f>SUM(CR146:CR151)</f>
        <v/>
      </c>
      <c r="CS152" s="269">
        <f>SUM(CS146:CS151)</f>
        <v/>
      </c>
      <c r="CT152" s="269">
        <f>SUM(CT146:CT151)</f>
        <v/>
      </c>
      <c r="CU152" s="269">
        <f>SUM(CU146:CU151)</f>
        <v/>
      </c>
      <c r="CV152" s="269">
        <f>SUM(CV146:CV151)</f>
        <v/>
      </c>
      <c r="CW152" s="269">
        <f>SUM(CW146:CW151)</f>
        <v/>
      </c>
      <c r="CX152" s="269">
        <f>SUM(CX146:CX151)</f>
        <v/>
      </c>
      <c r="CY152" s="269">
        <f>SUM(CY146:CY151)</f>
        <v/>
      </c>
      <c r="CZ152" s="269">
        <f>SUM(CZ146:CZ151)</f>
        <v/>
      </c>
      <c r="DA152" s="269">
        <f>SUM(DA146:DA151)</f>
        <v/>
      </c>
      <c r="DB152" s="269">
        <f>SUM(DB146:DB151)</f>
        <v/>
      </c>
      <c r="DC152" s="269">
        <f>SUM(DC146:DC151)</f>
        <v/>
      </c>
      <c r="DD152" s="269">
        <f>SUM(DD146:DD151)</f>
        <v/>
      </c>
      <c r="DE152" s="269">
        <f>SUM(DE146:DE151)</f>
        <v/>
      </c>
      <c r="DF152" s="269">
        <f>SUM(DF146:DF151)</f>
        <v/>
      </c>
      <c r="DG152" s="269">
        <f>SUM(DG146:DG151)</f>
        <v/>
      </c>
      <c r="DH152" s="269">
        <f>SUM(DH146:DH151)</f>
        <v/>
      </c>
      <c r="DI152" s="269">
        <f>SUM(DI146:DI151)</f>
        <v/>
      </c>
      <c r="DJ152" s="269">
        <f>SUM(DJ146:DJ151)</f>
        <v/>
      </c>
      <c r="DK152" s="269">
        <f>SUM(DK146:DK151)</f>
        <v/>
      </c>
      <c r="DL152" s="269">
        <f>SUM(DL146:DL151)</f>
        <v/>
      </c>
      <c r="DM152" s="269">
        <f>SUM(DM146:DM151)</f>
        <v/>
      </c>
      <c r="DN152" s="269">
        <f>SUM(DN146:DN151)</f>
        <v/>
      </c>
      <c r="DO152" s="269">
        <f>SUM(DO146:DO151)</f>
        <v/>
      </c>
      <c r="DP152" s="269">
        <f>SUM(DP146:DP151)</f>
        <v/>
      </c>
      <c r="DQ152" s="269">
        <f>SUM(DQ146:DQ151)</f>
        <v/>
      </c>
      <c r="DR152" s="269">
        <f>SUM(DR146:DR151)</f>
        <v/>
      </c>
      <c r="DS152" s="269">
        <f>SUM(DS146:DS151)</f>
        <v/>
      </c>
      <c r="DT152" s="269">
        <f>SUM(DT146:DT151)</f>
        <v/>
      </c>
      <c r="DU152" s="269">
        <f>SUM(DU146:DU151)</f>
        <v/>
      </c>
      <c r="DV152" s="269">
        <f>SUM(DV146:DV151)</f>
        <v/>
      </c>
      <c r="DW152" s="269">
        <f>SUM(DW146:DW151)</f>
        <v/>
      </c>
      <c r="DX152" s="269">
        <f>SUM(DX146:DX151)</f>
        <v/>
      </c>
      <c r="DY152" s="269">
        <f>SUM(DY146:DY151)</f>
        <v/>
      </c>
      <c r="DZ152" s="269">
        <f>SUM(DZ146:DZ151)</f>
        <v/>
      </c>
      <c r="EA152" s="269">
        <f>SUM(EA146:EA151)</f>
        <v/>
      </c>
      <c r="EB152" s="269">
        <f>SUM(EB146:EB151)</f>
        <v/>
      </c>
      <c r="EC152" s="269">
        <f>SUM(EC146:EC151)</f>
        <v/>
      </c>
      <c r="ED152" s="269">
        <f>SUM(ED146:ED151)</f>
        <v/>
      </c>
      <c r="EE152" s="269">
        <f>SUM(EE146:EE151)</f>
        <v/>
      </c>
      <c r="EF152" s="269">
        <f>SUM(EF146:EF151)</f>
        <v/>
      </c>
      <c r="EG152" s="269">
        <f>SUM(EG146:EG151)</f>
        <v/>
      </c>
      <c r="EH152" s="269">
        <f>SUM(EH146:EH151)</f>
        <v/>
      </c>
      <c r="EI152" s="269">
        <f>SUM(EI146:EI151)</f>
        <v/>
      </c>
      <c r="EJ152" s="269">
        <f>SUM(EJ146:EJ151)</f>
        <v/>
      </c>
      <c r="EK152" s="269">
        <f>SUM(EK146:EK151)</f>
        <v/>
      </c>
      <c r="EL152" s="269">
        <f>SUM(EL146:EL151)</f>
        <v/>
      </c>
      <c r="EM152" s="269">
        <f>SUM(EM146:EM151)</f>
        <v/>
      </c>
      <c r="EN152" s="269">
        <f>SUM(EN146:EN151)</f>
        <v/>
      </c>
      <c r="EO152" s="269">
        <f>SUM(EO146:EO151)</f>
        <v/>
      </c>
      <c r="EP152" s="269">
        <f>SUM(EP146:EP151)</f>
        <v/>
      </c>
      <c r="EQ152" s="269">
        <f>SUM(EQ146:EQ151)</f>
        <v/>
      </c>
      <c r="ER152" s="269">
        <f>SUM(ER146:ER151)</f>
        <v/>
      </c>
      <c r="ES152" s="269">
        <f>SUM(ES146:ES151)</f>
        <v/>
      </c>
      <c r="ET152" s="269">
        <f>SUM(ET146:ET151)</f>
        <v/>
      </c>
      <c r="EU152" s="269">
        <f>SUM(EU146:EU151)</f>
        <v/>
      </c>
      <c r="EV152" s="269">
        <f>SUM(EV146:EV151)</f>
        <v/>
      </c>
      <c r="EW152" s="269">
        <f>SUM(EW146:EW151)</f>
        <v/>
      </c>
      <c r="EX152" s="269">
        <f>SUM(EX146:EX151)</f>
        <v/>
      </c>
    </row>
    <row r="153" ht="16.5" customHeight="1">
      <c r="A153" s="9" t="n"/>
      <c r="B153" s="16" t="n"/>
      <c r="C153" s="9" t="n"/>
      <c r="D153" s="9" t="n"/>
      <c r="E153" s="9" t="n"/>
      <c r="F153" s="9" t="n"/>
      <c r="G153" s="9" t="n"/>
      <c r="H153" s="9" t="n"/>
      <c r="I153" s="12" t="n"/>
      <c r="J153" s="9" t="n"/>
      <c r="K153" s="9" t="n"/>
      <c r="L153" s="12" t="n"/>
      <c r="M153" s="25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  <c r="BY153" s="9" t="n"/>
      <c r="BZ153" s="9" t="n"/>
      <c r="CA153" s="9" t="n"/>
      <c r="CB153" s="9" t="n"/>
      <c r="CC153" s="9" t="n"/>
      <c r="CD153" s="9" t="n"/>
      <c r="CE153" s="9" t="n"/>
      <c r="CF153" s="9" t="n"/>
      <c r="CG153" s="9" t="n"/>
      <c r="CH153" s="9" t="n"/>
      <c r="CI153" s="9" t="n"/>
      <c r="CJ153" s="9" t="n"/>
      <c r="CK153" s="9" t="n"/>
      <c r="CL153" s="9" t="n"/>
      <c r="CM153" s="9" t="n"/>
      <c r="CN153" s="9" t="n"/>
      <c r="CO153" s="9" t="n"/>
      <c r="CP153" s="9" t="n"/>
      <c r="CQ153" s="9" t="n"/>
      <c r="CR153" s="9" t="n"/>
      <c r="CS153" s="9" t="n"/>
      <c r="CT153" s="9" t="n"/>
      <c r="CU153" s="9" t="n"/>
      <c r="CV153" s="9" t="n"/>
      <c r="CW153" s="9" t="n"/>
      <c r="CX153" s="9" t="n"/>
      <c r="CY153" s="9" t="n"/>
      <c r="CZ153" s="9" t="n"/>
      <c r="DA153" s="9" t="n"/>
      <c r="DB153" s="9" t="n"/>
      <c r="DC153" s="9" t="n"/>
      <c r="DD153" s="9" t="n"/>
      <c r="DE153" s="9" t="n"/>
      <c r="DF153" s="9" t="n"/>
      <c r="DG153" s="9" t="n"/>
      <c r="DH153" s="9" t="n"/>
      <c r="DI153" s="9" t="n"/>
      <c r="DJ153" s="9" t="n"/>
      <c r="DK153" s="9" t="n"/>
      <c r="DL153" s="9" t="n"/>
      <c r="DM153" s="9" t="n"/>
      <c r="DN153" s="9" t="n"/>
      <c r="DO153" s="9" t="n"/>
      <c r="DP153" s="9" t="n"/>
      <c r="DQ153" s="9" t="n"/>
      <c r="DR153" s="9" t="n"/>
      <c r="DS153" s="9" t="n"/>
      <c r="DT153" s="9" t="n"/>
      <c r="DU153" s="9" t="n"/>
      <c r="DV153" s="9" t="n"/>
      <c r="DW153" s="9" t="n"/>
      <c r="DX153" s="9" t="n"/>
      <c r="DY153" s="9" t="n"/>
      <c r="DZ153" s="9" t="n"/>
      <c r="EA153" s="9" t="n"/>
      <c r="EB153" s="9" t="n"/>
      <c r="EC153" s="9" t="n"/>
      <c r="ED153" s="9" t="n"/>
      <c r="EE153" s="9" t="n"/>
      <c r="EF153" s="9" t="n"/>
      <c r="EG153" s="9" t="n"/>
      <c r="EH153" s="9" t="n"/>
      <c r="EI153" s="9" t="n"/>
      <c r="EJ153" s="9" t="n"/>
      <c r="EK153" s="9" t="n"/>
      <c r="EL153" s="9" t="n"/>
      <c r="EM153" s="9" t="n"/>
      <c r="EN153" s="9" t="n"/>
      <c r="EO153" s="9" t="n"/>
      <c r="EP153" s="9" t="n"/>
      <c r="EQ153" s="9" t="n"/>
      <c r="ER153" s="9" t="n"/>
      <c r="ES153" s="9" t="n"/>
      <c r="ET153" s="9" t="n"/>
      <c r="EU153" s="9" t="n"/>
      <c r="EV153" s="9" t="n"/>
      <c r="EW153" s="9" t="n"/>
      <c r="EX153" s="9" t="n"/>
    </row>
    <row r="154" ht="16.5" customFormat="1" customHeight="1" s="155">
      <c r="A154" s="9" t="n"/>
      <c r="B154" s="16" t="n"/>
      <c r="C154" s="9" t="n"/>
      <c r="D154" s="9" t="n"/>
      <c r="E154" s="9" t="n"/>
      <c r="F154" s="9" t="n"/>
      <c r="G154" s="9" t="n"/>
      <c r="H154" s="9" t="n"/>
      <c r="I154" s="12" t="n"/>
      <c r="J154" s="36" t="inlineStr">
        <is>
          <t>Depreciation Schedule</t>
        </is>
      </c>
      <c r="K154" s="133" t="n"/>
      <c r="L154" s="12" t="n"/>
      <c r="M154" s="204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  <c r="BY154" s="9" t="n"/>
      <c r="BZ154" s="9" t="n"/>
      <c r="CA154" s="9" t="n"/>
      <c r="CB154" s="9" t="n"/>
      <c r="CC154" s="9" t="n"/>
      <c r="CD154" s="9" t="n"/>
      <c r="CE154" s="9" t="n"/>
      <c r="CF154" s="9" t="n"/>
      <c r="CG154" s="9" t="n"/>
      <c r="CH154" s="9" t="n"/>
      <c r="CI154" s="9" t="n"/>
      <c r="CJ154" s="9" t="n"/>
      <c r="CK154" s="9" t="n"/>
      <c r="CL154" s="9" t="n"/>
      <c r="CM154" s="9" t="n"/>
      <c r="CN154" s="9" t="n"/>
      <c r="CO154" s="9" t="n"/>
      <c r="CP154" s="9" t="n"/>
      <c r="CQ154" s="9" t="n"/>
      <c r="CR154" s="9" t="n"/>
      <c r="CS154" s="9" t="n"/>
      <c r="CT154" s="9" t="n"/>
      <c r="CU154" s="9" t="n"/>
      <c r="CV154" s="9" t="n"/>
      <c r="CW154" s="9" t="n"/>
      <c r="CX154" s="9" t="n"/>
      <c r="CY154" s="9" t="n"/>
      <c r="CZ154" s="9" t="n"/>
      <c r="DA154" s="9" t="n"/>
      <c r="DB154" s="9" t="n"/>
      <c r="DC154" s="9" t="n"/>
      <c r="DD154" s="9" t="n"/>
      <c r="DE154" s="9" t="n"/>
      <c r="DF154" s="9" t="n"/>
      <c r="DG154" s="9" t="n"/>
      <c r="DH154" s="9" t="n"/>
      <c r="DI154" s="9" t="n"/>
      <c r="DJ154" s="9" t="n"/>
      <c r="DK154" s="9" t="n"/>
      <c r="DL154" s="9" t="n"/>
      <c r="DM154" s="9" t="n"/>
      <c r="DN154" s="9" t="n"/>
      <c r="DO154" s="9" t="n"/>
      <c r="DP154" s="9" t="n"/>
      <c r="DQ154" s="9" t="n"/>
      <c r="DR154" s="9" t="n"/>
      <c r="DS154" s="9" t="n"/>
      <c r="DT154" s="9" t="n"/>
      <c r="DU154" s="9" t="n"/>
      <c r="DV154" s="9" t="n"/>
      <c r="DW154" s="9" t="n"/>
      <c r="DX154" s="9" t="n"/>
      <c r="DY154" s="9" t="n"/>
      <c r="DZ154" s="9" t="n"/>
      <c r="EA154" s="9" t="n"/>
      <c r="EB154" s="9" t="n"/>
      <c r="EC154" s="9" t="n"/>
      <c r="ED154" s="9" t="n"/>
      <c r="EE154" s="9" t="n"/>
      <c r="EF154" s="9" t="n"/>
      <c r="EG154" s="9" t="n"/>
      <c r="EH154" s="9" t="n"/>
      <c r="EI154" s="9" t="n"/>
      <c r="EJ154" s="9" t="n"/>
      <c r="EK154" s="9" t="n"/>
      <c r="EL154" s="9" t="n"/>
      <c r="EM154" s="9" t="n"/>
      <c r="EN154" s="9" t="n"/>
      <c r="EO154" s="9" t="n"/>
      <c r="EP154" s="9" t="n"/>
      <c r="EQ154" s="9" t="n"/>
      <c r="ER154" s="9" t="n"/>
      <c r="ES154" s="9" t="n"/>
      <c r="ET154" s="9" t="n"/>
      <c r="EU154" s="9" t="n"/>
      <c r="EV154" s="9" t="n"/>
      <c r="EW154" s="9" t="n"/>
      <c r="EX154" s="9" t="n"/>
    </row>
    <row r="155" ht="16.5" customHeight="1">
      <c r="A155" s="9" t="n"/>
      <c r="B155" s="16" t="n"/>
      <c r="C155" s="9" t="n"/>
      <c r="D155" s="9" t="n"/>
      <c r="E155" s="9" t="n"/>
      <c r="F155" s="9" t="n"/>
      <c r="G155" s="9" t="n"/>
      <c r="H155" s="9" t="n"/>
      <c r="I155" s="12" t="n"/>
      <c r="J155" s="9" t="inlineStr">
        <is>
          <t>Acquisition Cost</t>
        </is>
      </c>
      <c r="K155" s="9" t="n"/>
      <c r="L155" s="12" t="n"/>
      <c r="M155" s="25">
        <f>E25</f>
        <v/>
      </c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  <c r="BY155" s="9" t="n"/>
      <c r="BZ155" s="9" t="n"/>
      <c r="CA155" s="9" t="n"/>
      <c r="CB155" s="9" t="n"/>
      <c r="CC155" s="9" t="n"/>
      <c r="CD155" s="9" t="n"/>
      <c r="CE155" s="9" t="n"/>
      <c r="CF155" s="9" t="n"/>
      <c r="CG155" s="9" t="n"/>
      <c r="CH155" s="9" t="n"/>
      <c r="CI155" s="9" t="n"/>
      <c r="CJ155" s="9" t="n"/>
      <c r="CK155" s="9" t="n"/>
      <c r="CL155" s="9" t="n"/>
      <c r="CM155" s="9" t="n"/>
      <c r="CN155" s="9" t="n"/>
      <c r="CO155" s="9" t="n"/>
      <c r="CP155" s="9" t="n"/>
      <c r="CQ155" s="9" t="n"/>
      <c r="CR155" s="9" t="n"/>
      <c r="CS155" s="9" t="n"/>
      <c r="CT155" s="9" t="n"/>
      <c r="CU155" s="9" t="n"/>
      <c r="CV155" s="9" t="n"/>
      <c r="CW155" s="9" t="n"/>
      <c r="CX155" s="9" t="n"/>
      <c r="CY155" s="9" t="n"/>
      <c r="CZ155" s="9" t="n"/>
      <c r="DA155" s="9" t="n"/>
      <c r="DB155" s="9" t="n"/>
      <c r="DC155" s="9" t="n"/>
      <c r="DD155" s="9" t="n"/>
      <c r="DE155" s="9" t="n"/>
      <c r="DF155" s="9" t="n"/>
      <c r="DG155" s="9" t="n"/>
      <c r="DH155" s="9" t="n"/>
      <c r="DI155" s="9" t="n"/>
      <c r="DJ155" s="9" t="n"/>
      <c r="DK155" s="9" t="n"/>
      <c r="DL155" s="9" t="n"/>
      <c r="DM155" s="9" t="n"/>
      <c r="DN155" s="9" t="n"/>
      <c r="DO155" s="9" t="n"/>
      <c r="DP155" s="9" t="n"/>
      <c r="DQ155" s="9" t="n"/>
      <c r="DR155" s="9" t="n"/>
      <c r="DS155" s="9" t="n"/>
      <c r="DT155" s="9" t="n"/>
      <c r="DU155" s="9" t="n"/>
      <c r="DV155" s="9" t="n"/>
      <c r="DW155" s="9" t="n"/>
      <c r="DX155" s="9" t="n"/>
      <c r="DY155" s="9" t="n"/>
      <c r="DZ155" s="9" t="n"/>
      <c r="EA155" s="9" t="n"/>
      <c r="EB155" s="9" t="n"/>
      <c r="EC155" s="9" t="n"/>
      <c r="ED155" s="9" t="n"/>
      <c r="EE155" s="9" t="n"/>
      <c r="EF155" s="9" t="n"/>
      <c r="EG155" s="9" t="n"/>
      <c r="EH155" s="9" t="n"/>
      <c r="EI155" s="9" t="n"/>
      <c r="EJ155" s="9" t="n"/>
      <c r="EK155" s="9" t="n"/>
      <c r="EL155" s="9" t="n"/>
      <c r="EM155" s="9" t="n"/>
      <c r="EN155" s="9" t="n"/>
      <c r="EO155" s="9" t="n"/>
      <c r="EP155" s="9" t="n"/>
      <c r="EQ155" s="9" t="n"/>
      <c r="ER155" s="9" t="n"/>
      <c r="ES155" s="9" t="n"/>
      <c r="ET155" s="9" t="n"/>
      <c r="EU155" s="9" t="n"/>
      <c r="EV155" s="9" t="n"/>
      <c r="EW155" s="9" t="n"/>
      <c r="EX155" s="9" t="n"/>
    </row>
    <row r="156" ht="16.5" customHeight="1">
      <c r="A156" s="9" t="n"/>
      <c r="B156" s="16" t="n"/>
      <c r="C156" s="9" t="n"/>
      <c r="D156" s="9" t="n"/>
      <c r="E156" s="9" t="n"/>
      <c r="F156" s="9" t="n"/>
      <c r="G156" s="9" t="n"/>
      <c r="H156" s="9" t="n"/>
      <c r="I156" s="282" t="n"/>
      <c r="J156" s="9" t="inlineStr">
        <is>
          <t>Depreciable Building Basis</t>
        </is>
      </c>
      <c r="K156" s="169" t="n">
        <v>0.8</v>
      </c>
      <c r="L156" s="195" t="n"/>
      <c r="M156" s="25">
        <f>M155*K156</f>
        <v/>
      </c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  <c r="BY156" s="9" t="n"/>
      <c r="BZ156" s="9" t="n"/>
      <c r="CA156" s="9" t="n"/>
      <c r="CB156" s="9" t="n"/>
      <c r="CC156" s="9" t="n"/>
      <c r="CD156" s="9" t="n"/>
      <c r="CE156" s="9" t="n"/>
      <c r="CF156" s="9" t="n"/>
      <c r="CG156" s="9" t="n"/>
      <c r="CH156" s="9" t="n"/>
      <c r="CI156" s="9" t="n"/>
      <c r="CJ156" s="9" t="n"/>
      <c r="CK156" s="9" t="n"/>
      <c r="CL156" s="9" t="n"/>
      <c r="CM156" s="9" t="n"/>
      <c r="CN156" s="9" t="n"/>
      <c r="CO156" s="9" t="n"/>
      <c r="CP156" s="9" t="n"/>
      <c r="CQ156" s="9" t="n"/>
      <c r="CR156" s="9" t="n"/>
      <c r="CS156" s="9" t="n"/>
      <c r="CT156" s="9" t="n"/>
      <c r="CU156" s="9" t="n"/>
      <c r="CV156" s="9" t="n"/>
      <c r="CW156" s="9" t="n"/>
      <c r="CX156" s="9" t="n"/>
      <c r="CY156" s="9" t="n"/>
      <c r="CZ156" s="9" t="n"/>
      <c r="DA156" s="9" t="n"/>
      <c r="DB156" s="9" t="n"/>
      <c r="DC156" s="9" t="n"/>
      <c r="DD156" s="9" t="n"/>
      <c r="DE156" s="9" t="n"/>
      <c r="DF156" s="9" t="n"/>
      <c r="DG156" s="9" t="n"/>
      <c r="DH156" s="9" t="n"/>
      <c r="DI156" s="9" t="n"/>
      <c r="DJ156" s="9" t="n"/>
      <c r="DK156" s="9" t="n"/>
      <c r="DL156" s="9" t="n"/>
      <c r="DM156" s="9" t="n"/>
      <c r="DN156" s="9" t="n"/>
      <c r="DO156" s="9" t="n"/>
      <c r="DP156" s="9" t="n"/>
      <c r="DQ156" s="9" t="n"/>
      <c r="DR156" s="9" t="n"/>
      <c r="DS156" s="9" t="n"/>
      <c r="DT156" s="9" t="n"/>
      <c r="DU156" s="9" t="n"/>
      <c r="DV156" s="9" t="n"/>
      <c r="DW156" s="9" t="n"/>
      <c r="DX156" s="9" t="n"/>
      <c r="DY156" s="9" t="n"/>
      <c r="DZ156" s="9" t="n"/>
      <c r="EA156" s="9" t="n"/>
      <c r="EB156" s="9" t="n"/>
      <c r="EC156" s="9" t="n"/>
      <c r="ED156" s="9" t="n"/>
      <c r="EE156" s="9" t="n"/>
      <c r="EF156" s="9" t="n"/>
      <c r="EG156" s="9" t="n"/>
      <c r="EH156" s="9" t="n"/>
      <c r="EI156" s="9" t="n"/>
      <c r="EJ156" s="9" t="n"/>
      <c r="EK156" s="9" t="n"/>
      <c r="EL156" s="9" t="n"/>
      <c r="EM156" s="9" t="n"/>
      <c r="EN156" s="9" t="n"/>
      <c r="EO156" s="9" t="n"/>
      <c r="EP156" s="9" t="n"/>
      <c r="EQ156" s="9" t="n"/>
      <c r="ER156" s="9" t="n"/>
      <c r="ES156" s="9" t="n"/>
      <c r="ET156" s="9" t="n"/>
      <c r="EU156" s="9" t="n"/>
      <c r="EV156" s="9" t="n"/>
      <c r="EW156" s="9" t="n"/>
      <c r="EX156" s="9" t="n"/>
    </row>
    <row r="157" ht="16.5" customHeight="1">
      <c r="A157" s="9" t="n"/>
      <c r="B157" s="16" t="n"/>
      <c r="C157" s="9" t="n"/>
      <c r="D157" s="9" t="n"/>
      <c r="E157" s="9" t="n"/>
      <c r="F157" s="9" t="n"/>
      <c r="G157" s="9" t="n"/>
      <c r="H157" s="9" t="n"/>
      <c r="I157" s="12" t="n"/>
      <c r="J157" s="166" t="inlineStr">
        <is>
          <t>Straight Line</t>
        </is>
      </c>
      <c r="K157" s="166" t="n"/>
      <c r="L157" s="14" t="n"/>
      <c r="M157" s="269">
        <f>M156/27.5</f>
        <v/>
      </c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  <c r="BY157" s="9" t="n"/>
      <c r="BZ157" s="9" t="n"/>
      <c r="CA157" s="9" t="n"/>
      <c r="CB157" s="9" t="n"/>
      <c r="CC157" s="9" t="n"/>
      <c r="CD157" s="9" t="n"/>
      <c r="CE157" s="9" t="n"/>
      <c r="CF157" s="9" t="n"/>
      <c r="CG157" s="9" t="n"/>
      <c r="CH157" s="9" t="n"/>
      <c r="CI157" s="9" t="n"/>
      <c r="CJ157" s="9" t="n"/>
      <c r="CK157" s="9" t="n"/>
      <c r="CL157" s="9" t="n"/>
      <c r="CM157" s="9" t="n"/>
      <c r="CN157" s="9" t="n"/>
      <c r="CO157" s="9" t="n"/>
      <c r="CP157" s="9" t="n"/>
      <c r="CQ157" s="9" t="n"/>
      <c r="CR157" s="9" t="n"/>
      <c r="CS157" s="9" t="n"/>
      <c r="CT157" s="9" t="n"/>
      <c r="CU157" s="9" t="n"/>
      <c r="CV157" s="9" t="n"/>
      <c r="CW157" s="9" t="n"/>
      <c r="CX157" s="9" t="n"/>
      <c r="CY157" s="9" t="n"/>
      <c r="CZ157" s="9" t="n"/>
      <c r="DA157" s="9" t="n"/>
      <c r="DB157" s="9" t="n"/>
      <c r="DC157" s="9" t="n"/>
      <c r="DD157" s="9" t="n"/>
      <c r="DE157" s="9" t="n"/>
      <c r="DF157" s="9" t="n"/>
      <c r="DG157" s="9" t="n"/>
      <c r="DH157" s="9" t="n"/>
      <c r="DI157" s="9" t="n"/>
      <c r="DJ157" s="9" t="n"/>
      <c r="DK157" s="9" t="n"/>
      <c r="DL157" s="9" t="n"/>
      <c r="DM157" s="9" t="n"/>
      <c r="DN157" s="9" t="n"/>
      <c r="DO157" s="9" t="n"/>
      <c r="DP157" s="9" t="n"/>
      <c r="DQ157" s="9" t="n"/>
      <c r="DR157" s="9" t="n"/>
      <c r="DS157" s="9" t="n"/>
      <c r="DT157" s="9" t="n"/>
      <c r="DU157" s="9" t="n"/>
      <c r="DV157" s="9" t="n"/>
      <c r="DW157" s="9" t="n"/>
      <c r="DX157" s="9" t="n"/>
      <c r="DY157" s="9" t="n"/>
      <c r="DZ157" s="9" t="n"/>
      <c r="EA157" s="9" t="n"/>
      <c r="EB157" s="9" t="n"/>
      <c r="EC157" s="9" t="n"/>
      <c r="ED157" s="9" t="n"/>
      <c r="EE157" s="9" t="n"/>
      <c r="EF157" s="9" t="n"/>
      <c r="EG157" s="9" t="n"/>
      <c r="EH157" s="9" t="n"/>
      <c r="EI157" s="9" t="n"/>
      <c r="EJ157" s="9" t="n"/>
      <c r="EK157" s="9" t="n"/>
      <c r="EL157" s="9" t="n"/>
      <c r="EM157" s="9" t="n"/>
      <c r="EN157" s="9" t="n"/>
      <c r="EO157" s="9" t="n"/>
      <c r="EP157" s="9" t="n"/>
      <c r="EQ157" s="9" t="n"/>
      <c r="ER157" s="9" t="n"/>
      <c r="ES157" s="9" t="n"/>
      <c r="ET157" s="9" t="n"/>
      <c r="EU157" s="9" t="n"/>
      <c r="EV157" s="9" t="n"/>
      <c r="EW157" s="9" t="n"/>
      <c r="EX157" s="9" t="n"/>
    </row>
    <row r="158" ht="16.5" customHeight="1">
      <c r="A158" s="9" t="n"/>
      <c r="B158" s="266" t="n"/>
      <c r="C158" s="9" t="n"/>
      <c r="D158" s="9" t="n"/>
      <c r="E158" s="9" t="n"/>
      <c r="F158" s="9" t="n"/>
      <c r="G158" s="9" t="n"/>
      <c r="H158" s="9" t="n"/>
      <c r="I158" s="12" t="n"/>
      <c r="J158" s="16" t="inlineStr">
        <is>
          <t>Aequitas Portion</t>
        </is>
      </c>
      <c r="K158" s="16" t="n"/>
      <c r="L158" s="14" t="n"/>
      <c r="M158" s="355">
        <f>M157*G8</f>
        <v/>
      </c>
      <c r="N158" s="356" t="n"/>
      <c r="O158" s="355" t="n"/>
      <c r="P158" s="355" t="n"/>
      <c r="Q158" s="355" t="n"/>
      <c r="R158" s="355" t="n"/>
      <c r="S158" s="355" t="n"/>
      <c r="T158" s="355" t="n"/>
      <c r="U158" s="356" t="n"/>
      <c r="V158" s="25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  <c r="BY158" s="9" t="n"/>
      <c r="BZ158" s="9" t="n"/>
      <c r="CA158" s="9" t="n"/>
      <c r="CB158" s="9" t="n"/>
      <c r="CC158" s="9" t="n"/>
      <c r="CD158" s="9" t="n"/>
      <c r="CE158" s="9" t="n"/>
      <c r="CF158" s="9" t="n"/>
      <c r="CG158" s="9" t="n"/>
      <c r="CH158" s="9" t="n"/>
      <c r="CI158" s="9" t="n"/>
      <c r="CJ158" s="9" t="n"/>
      <c r="CK158" s="9" t="n"/>
      <c r="CL158" s="9" t="n"/>
      <c r="CM158" s="9" t="n"/>
      <c r="CN158" s="9" t="n"/>
      <c r="CO158" s="9" t="n"/>
      <c r="CP158" s="9" t="n"/>
      <c r="CQ158" s="9" t="n"/>
      <c r="CR158" s="9" t="n"/>
      <c r="CS158" s="9" t="n"/>
      <c r="CT158" s="9" t="n"/>
      <c r="CU158" s="9" t="n"/>
      <c r="CV158" s="9" t="n"/>
      <c r="CW158" s="9" t="n"/>
      <c r="CX158" s="9" t="n"/>
      <c r="CY158" s="9" t="n"/>
      <c r="CZ158" s="9" t="n"/>
      <c r="DA158" s="9" t="n"/>
      <c r="DB158" s="9" t="n"/>
      <c r="DC158" s="9" t="n"/>
      <c r="DD158" s="9" t="n"/>
      <c r="DE158" s="9" t="n"/>
      <c r="DF158" s="9" t="n"/>
      <c r="DG158" s="9" t="n"/>
      <c r="DH158" s="9" t="n"/>
      <c r="DI158" s="9" t="n"/>
      <c r="DJ158" s="9" t="n"/>
      <c r="DK158" s="9" t="n"/>
      <c r="DL158" s="9" t="n"/>
      <c r="DM158" s="9" t="n"/>
      <c r="DN158" s="9" t="n"/>
      <c r="DO158" s="9" t="n"/>
      <c r="DP158" s="9" t="n"/>
      <c r="DQ158" s="9" t="n"/>
      <c r="DR158" s="9" t="n"/>
      <c r="DS158" s="9" t="n"/>
      <c r="DT158" s="9" t="n"/>
      <c r="DU158" s="9" t="n"/>
      <c r="DV158" s="9" t="n"/>
      <c r="DW158" s="9" t="n"/>
      <c r="DX158" s="9" t="n"/>
      <c r="DY158" s="9" t="n"/>
      <c r="DZ158" s="9" t="n"/>
      <c r="EA158" s="9" t="n"/>
      <c r="EB158" s="9" t="n"/>
      <c r="EC158" s="9" t="n"/>
      <c r="ED158" s="9" t="n"/>
      <c r="EE158" s="9" t="n"/>
      <c r="EF158" s="9" t="n"/>
      <c r="EG158" s="9" t="n"/>
      <c r="EH158" s="9" t="n"/>
      <c r="EI158" s="9" t="n"/>
      <c r="EJ158" s="9" t="n"/>
      <c r="EK158" s="9" t="n"/>
      <c r="EL158" s="9" t="n"/>
      <c r="EM158" s="9" t="n"/>
      <c r="EN158" s="9" t="n"/>
      <c r="EO158" s="9" t="n"/>
      <c r="EP158" s="9" t="n"/>
      <c r="EQ158" s="9" t="n"/>
      <c r="ER158" s="9" t="n"/>
      <c r="ES158" s="9" t="n"/>
      <c r="ET158" s="9" t="n"/>
      <c r="EU158" s="9" t="n"/>
      <c r="EV158" s="9" t="n"/>
      <c r="EW158" s="9" t="n"/>
      <c r="EX158" s="9" t="n"/>
    </row>
    <row r="159" ht="16.5" customHeight="1">
      <c r="A159" s="9" t="n"/>
      <c r="B159" s="16" t="n"/>
      <c r="C159" s="9" t="n"/>
      <c r="D159" s="9" t="n"/>
      <c r="E159" s="9" t="n"/>
      <c r="F159" s="9" t="n"/>
      <c r="G159" s="9" t="n"/>
      <c r="H159" s="9" t="n"/>
      <c r="I159" s="12" t="n"/>
      <c r="J159" s="16" t="n"/>
      <c r="K159" s="16" t="n"/>
      <c r="L159" s="14" t="n"/>
      <c r="M159" s="201" t="n"/>
      <c r="N159" s="270" t="n"/>
      <c r="O159" s="266" t="n"/>
      <c r="P159" s="266" t="n"/>
      <c r="Q159" s="266" t="n"/>
      <c r="R159" s="266" t="n"/>
      <c r="S159" s="266" t="n"/>
      <c r="T159" s="266" t="n"/>
      <c r="U159" s="270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  <c r="BY159" s="9" t="n"/>
      <c r="BZ159" s="9" t="n"/>
      <c r="CA159" s="9" t="n"/>
      <c r="CB159" s="9" t="n"/>
      <c r="CC159" s="9" t="n"/>
      <c r="CD159" s="9" t="n"/>
      <c r="CE159" s="9" t="n"/>
      <c r="CF159" s="9" t="n"/>
      <c r="CG159" s="9" t="n"/>
      <c r="CH159" s="9" t="n"/>
      <c r="CI159" s="9" t="n"/>
      <c r="CJ159" s="9" t="n"/>
      <c r="CK159" s="9" t="n"/>
      <c r="CL159" s="9" t="n"/>
      <c r="CM159" s="9" t="n"/>
      <c r="CN159" s="9" t="n"/>
      <c r="CO159" s="9" t="n"/>
      <c r="CP159" s="9" t="n"/>
      <c r="CQ159" s="9" t="n"/>
      <c r="CR159" s="9" t="n"/>
      <c r="CS159" s="9" t="n"/>
      <c r="CT159" s="9" t="n"/>
      <c r="CU159" s="9" t="n"/>
      <c r="CV159" s="9" t="n"/>
      <c r="CW159" s="9" t="n"/>
      <c r="CX159" s="9" t="n"/>
      <c r="CY159" s="9" t="n"/>
      <c r="CZ159" s="9" t="n"/>
      <c r="DA159" s="9" t="n"/>
      <c r="DB159" s="9" t="n"/>
      <c r="DC159" s="9" t="n"/>
      <c r="DD159" s="9" t="n"/>
      <c r="DE159" s="9" t="n"/>
      <c r="DF159" s="9" t="n"/>
      <c r="DG159" s="9" t="n"/>
      <c r="DH159" s="9" t="n"/>
      <c r="DI159" s="9" t="n"/>
      <c r="DJ159" s="9" t="n"/>
      <c r="DK159" s="9" t="n"/>
      <c r="DL159" s="9" t="n"/>
      <c r="DM159" s="9" t="n"/>
      <c r="DN159" s="9" t="n"/>
      <c r="DO159" s="9" t="n"/>
      <c r="DP159" s="9" t="n"/>
      <c r="DQ159" s="9" t="n"/>
      <c r="DR159" s="9" t="n"/>
      <c r="DS159" s="9" t="n"/>
      <c r="DT159" s="9" t="n"/>
      <c r="DU159" s="9" t="n"/>
      <c r="DV159" s="9" t="n"/>
      <c r="DW159" s="9" t="n"/>
      <c r="DX159" s="9" t="n"/>
      <c r="DY159" s="9" t="n"/>
      <c r="DZ159" s="9" t="n"/>
      <c r="EA159" s="9" t="n"/>
      <c r="EB159" s="9" t="n"/>
      <c r="EC159" s="9" t="n"/>
      <c r="ED159" s="9" t="n"/>
      <c r="EE159" s="9" t="n"/>
      <c r="EF159" s="9" t="n"/>
      <c r="EG159" s="9" t="n"/>
      <c r="EH159" s="9" t="n"/>
      <c r="EI159" s="9" t="n"/>
      <c r="EJ159" s="9" t="n"/>
      <c r="EK159" s="9" t="n"/>
      <c r="EL159" s="9" t="n"/>
      <c r="EM159" s="9" t="n"/>
      <c r="EN159" s="9" t="n"/>
      <c r="EO159" s="9" t="n"/>
      <c r="EP159" s="9" t="n"/>
      <c r="EQ159" s="9" t="n"/>
      <c r="ER159" s="9" t="n"/>
      <c r="ES159" s="9" t="n"/>
      <c r="ET159" s="9" t="n"/>
      <c r="EU159" s="9" t="n"/>
      <c r="EV159" s="9" t="n"/>
      <c r="EW159" s="9" t="n"/>
      <c r="EX159" s="9" t="n"/>
    </row>
    <row r="160" ht="16.5" customHeight="1">
      <c r="A160" s="9" t="n"/>
      <c r="B160" s="16" t="n"/>
      <c r="C160" s="9" t="n"/>
      <c r="D160" s="9" t="n"/>
      <c r="E160" s="9" t="n"/>
      <c r="F160" s="9" t="n"/>
      <c r="G160" s="9" t="n"/>
      <c r="H160" s="9" t="n"/>
      <c r="I160" s="12" t="n"/>
      <c r="J160" s="9" t="inlineStr">
        <is>
          <t>Accelerated Depreciation %</t>
        </is>
      </c>
      <c r="K160" s="169" t="n">
        <v>0.25</v>
      </c>
      <c r="L160" s="195" t="n"/>
      <c r="M160" s="25">
        <f>M156*K160</f>
        <v/>
      </c>
      <c r="N160" s="282" t="n"/>
      <c r="O160" s="264" t="n"/>
      <c r="P160" s="264" t="n"/>
      <c r="Q160" s="264" t="n"/>
      <c r="R160" s="264" t="n"/>
      <c r="S160" s="264" t="n"/>
      <c r="T160" s="264" t="n"/>
      <c r="U160" s="282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  <c r="BY160" s="9" t="n"/>
      <c r="BZ160" s="9" t="n"/>
      <c r="CA160" s="9" t="n"/>
      <c r="CB160" s="9" t="n"/>
      <c r="CC160" s="9" t="n"/>
      <c r="CD160" s="9" t="n"/>
      <c r="CE160" s="9" t="n"/>
      <c r="CF160" s="9" t="n"/>
      <c r="CG160" s="9" t="n"/>
      <c r="CH160" s="9" t="n"/>
      <c r="CI160" s="9" t="n"/>
      <c r="CJ160" s="9" t="n"/>
      <c r="CK160" s="9" t="n"/>
      <c r="CL160" s="9" t="n"/>
      <c r="CM160" s="9" t="n"/>
      <c r="CN160" s="9" t="n"/>
      <c r="CO160" s="9" t="n"/>
      <c r="CP160" s="9" t="n"/>
      <c r="CQ160" s="9" t="n"/>
      <c r="CR160" s="9" t="n"/>
      <c r="CS160" s="9" t="n"/>
      <c r="CT160" s="9" t="n"/>
      <c r="CU160" s="9" t="n"/>
      <c r="CV160" s="9" t="n"/>
      <c r="CW160" s="9" t="n"/>
      <c r="CX160" s="9" t="n"/>
      <c r="CY160" s="9" t="n"/>
      <c r="CZ160" s="9" t="n"/>
      <c r="DA160" s="9" t="n"/>
      <c r="DB160" s="9" t="n"/>
      <c r="DC160" s="9" t="n"/>
      <c r="DD160" s="9" t="n"/>
      <c r="DE160" s="9" t="n"/>
      <c r="DF160" s="9" t="n"/>
      <c r="DG160" s="9" t="n"/>
      <c r="DH160" s="9" t="n"/>
      <c r="DI160" s="9" t="n"/>
      <c r="DJ160" s="9" t="n"/>
      <c r="DK160" s="9" t="n"/>
      <c r="DL160" s="9" t="n"/>
      <c r="DM160" s="9" t="n"/>
      <c r="DN160" s="9" t="n"/>
      <c r="DO160" s="9" t="n"/>
      <c r="DP160" s="9" t="n"/>
      <c r="DQ160" s="9" t="n"/>
      <c r="DR160" s="9" t="n"/>
      <c r="DS160" s="9" t="n"/>
      <c r="DT160" s="9" t="n"/>
      <c r="DU160" s="9" t="n"/>
      <c r="DV160" s="9" t="n"/>
      <c r="DW160" s="9" t="n"/>
      <c r="DX160" s="9" t="n"/>
      <c r="DY160" s="9" t="n"/>
      <c r="DZ160" s="9" t="n"/>
      <c r="EA160" s="9" t="n"/>
      <c r="EB160" s="9" t="n"/>
      <c r="EC160" s="9" t="n"/>
      <c r="ED160" s="9" t="n"/>
      <c r="EE160" s="9" t="n"/>
      <c r="EF160" s="9" t="n"/>
      <c r="EG160" s="9" t="n"/>
      <c r="EH160" s="9" t="n"/>
      <c r="EI160" s="9" t="n"/>
      <c r="EJ160" s="9" t="n"/>
      <c r="EK160" s="9" t="n"/>
      <c r="EL160" s="9" t="n"/>
      <c r="EM160" s="9" t="n"/>
      <c r="EN160" s="9" t="n"/>
      <c r="EO160" s="9" t="n"/>
      <c r="EP160" s="9" t="n"/>
      <c r="EQ160" s="9" t="n"/>
      <c r="ER160" s="9" t="n"/>
      <c r="ES160" s="9" t="n"/>
      <c r="ET160" s="9" t="n"/>
      <c r="EU160" s="9" t="n"/>
      <c r="EV160" s="9" t="n"/>
      <c r="EW160" s="9" t="n"/>
      <c r="EX160" s="9" t="n"/>
    </row>
    <row r="161" ht="16.5" customHeight="1">
      <c r="A161" s="9" t="n"/>
      <c r="B161" s="16" t="n"/>
      <c r="C161" s="9" t="n"/>
      <c r="D161" s="9" t="n"/>
      <c r="E161" s="9" t="n"/>
      <c r="F161" s="9" t="n"/>
      <c r="G161" s="9" t="n"/>
      <c r="H161" s="9" t="n"/>
      <c r="I161" s="12" t="n"/>
      <c r="J161" s="9" t="inlineStr">
        <is>
          <t>Yr1 Bonus Depreciation</t>
        </is>
      </c>
      <c r="K161" s="169" t="n">
        <v>0.4</v>
      </c>
      <c r="L161" s="195" t="n"/>
      <c r="M161" s="25">
        <f>M160*K161</f>
        <v/>
      </c>
      <c r="N161" s="282" t="n"/>
      <c r="O161" s="264" t="n"/>
      <c r="P161" s="264" t="n"/>
      <c r="Q161" s="264" t="n"/>
      <c r="R161" s="264" t="n"/>
      <c r="S161" s="264" t="n"/>
      <c r="T161" s="264" t="n"/>
      <c r="U161" s="282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  <c r="BY161" s="9" t="n"/>
      <c r="BZ161" s="9" t="n"/>
      <c r="CA161" s="9" t="n"/>
      <c r="CB161" s="9" t="n"/>
      <c r="CC161" s="9" t="n"/>
      <c r="CD161" s="9" t="n"/>
      <c r="CE161" s="9" t="n"/>
      <c r="CF161" s="9" t="n"/>
      <c r="CG161" s="9" t="n"/>
      <c r="CH161" s="9" t="n"/>
      <c r="CI161" s="9" t="n"/>
      <c r="CJ161" s="9" t="n"/>
      <c r="CK161" s="9" t="n"/>
      <c r="CL161" s="9" t="n"/>
      <c r="CM161" s="9" t="n"/>
      <c r="CN161" s="9" t="n"/>
      <c r="CO161" s="9" t="n"/>
      <c r="CP161" s="9" t="n"/>
      <c r="CQ161" s="9" t="n"/>
      <c r="CR161" s="9" t="n"/>
      <c r="CS161" s="9" t="n"/>
      <c r="CT161" s="9" t="n"/>
      <c r="CU161" s="9" t="n"/>
      <c r="CV161" s="9" t="n"/>
      <c r="CW161" s="9" t="n"/>
      <c r="CX161" s="9" t="n"/>
      <c r="CY161" s="9" t="n"/>
      <c r="CZ161" s="9" t="n"/>
      <c r="DA161" s="9" t="n"/>
      <c r="DB161" s="9" t="n"/>
      <c r="DC161" s="9" t="n"/>
      <c r="DD161" s="9" t="n"/>
      <c r="DE161" s="9" t="n"/>
      <c r="DF161" s="9" t="n"/>
      <c r="DG161" s="9" t="n"/>
      <c r="DH161" s="9" t="n"/>
      <c r="DI161" s="9" t="n"/>
      <c r="DJ161" s="9" t="n"/>
      <c r="DK161" s="9" t="n"/>
      <c r="DL161" s="9" t="n"/>
      <c r="DM161" s="9" t="n"/>
      <c r="DN161" s="9" t="n"/>
      <c r="DO161" s="9" t="n"/>
      <c r="DP161" s="9" t="n"/>
      <c r="DQ161" s="9" t="n"/>
      <c r="DR161" s="9" t="n"/>
      <c r="DS161" s="9" t="n"/>
      <c r="DT161" s="9" t="n"/>
      <c r="DU161" s="9" t="n"/>
      <c r="DV161" s="9" t="n"/>
      <c r="DW161" s="9" t="n"/>
      <c r="DX161" s="9" t="n"/>
      <c r="DY161" s="9" t="n"/>
      <c r="DZ161" s="9" t="n"/>
      <c r="EA161" s="9" t="n"/>
      <c r="EB161" s="9" t="n"/>
      <c r="EC161" s="9" t="n"/>
      <c r="ED161" s="9" t="n"/>
      <c r="EE161" s="9" t="n"/>
      <c r="EF161" s="9" t="n"/>
      <c r="EG161" s="9" t="n"/>
      <c r="EH161" s="9" t="n"/>
      <c r="EI161" s="9" t="n"/>
      <c r="EJ161" s="9" t="n"/>
      <c r="EK161" s="9" t="n"/>
      <c r="EL161" s="9" t="n"/>
      <c r="EM161" s="9" t="n"/>
      <c r="EN161" s="9" t="n"/>
      <c r="EO161" s="9" t="n"/>
      <c r="EP161" s="9" t="n"/>
      <c r="EQ161" s="9" t="n"/>
      <c r="ER161" s="9" t="n"/>
      <c r="ES161" s="9" t="n"/>
      <c r="ET161" s="9" t="n"/>
      <c r="EU161" s="9" t="n"/>
      <c r="EV161" s="9" t="n"/>
      <c r="EW161" s="9" t="n"/>
      <c r="EX161" s="9" t="n"/>
    </row>
    <row r="162">
      <c r="B162" s="16" t="n"/>
      <c r="J162" s="9" t="inlineStr">
        <is>
          <t>Remaining Depreciation</t>
        </is>
      </c>
      <c r="K162" s="357" t="n">
        <v>10</v>
      </c>
      <c r="L162" s="357" t="n"/>
      <c r="M162" s="25">
        <f>(M160-M161)/K162</f>
        <v/>
      </c>
      <c r="N162" s="282" t="n"/>
      <c r="O162" s="264" t="n"/>
      <c r="P162" s="264" t="n"/>
      <c r="Q162" s="264" t="n"/>
      <c r="R162" s="264" t="n"/>
      <c r="S162" s="264" t="n"/>
      <c r="T162" s="264" t="n"/>
      <c r="U162" s="282" t="n"/>
    </row>
    <row r="163">
      <c r="B163" s="16" t="n"/>
      <c r="J163" s="9" t="inlineStr">
        <is>
          <t>Remaining Depreciation</t>
        </is>
      </c>
      <c r="K163" s="358" t="n">
        <v>27.5</v>
      </c>
      <c r="L163" s="358" t="n"/>
      <c r="M163" s="25">
        <f>(M156-M160)/K163</f>
        <v/>
      </c>
      <c r="N163" s="282" t="n"/>
      <c r="O163" s="264" t="n"/>
      <c r="P163" s="264" t="n"/>
      <c r="Q163" s="264" t="n"/>
      <c r="R163" s="264" t="n"/>
      <c r="S163" s="264" t="n"/>
      <c r="T163" s="264" t="n"/>
      <c r="U163" s="282" t="n"/>
    </row>
    <row r="164">
      <c r="B164" s="16" t="n"/>
      <c r="J164" s="166" t="inlineStr">
        <is>
          <t>Yr1 Total Depreciation</t>
        </is>
      </c>
      <c r="K164" s="166" t="n"/>
      <c r="L164" s="14" t="n"/>
      <c r="M164" s="269">
        <f>SUM(M161:M163)</f>
        <v/>
      </c>
      <c r="N164" s="270" t="n"/>
      <c r="O164" s="266" t="n"/>
      <c r="P164" s="266" t="n"/>
      <c r="Q164" s="266" t="n"/>
      <c r="R164" s="266" t="n"/>
      <c r="S164" s="266" t="n"/>
      <c r="T164" s="266" t="n"/>
      <c r="U164" s="270" t="n"/>
      <c r="V164" s="345" t="n"/>
    </row>
    <row r="165">
      <c r="B165" s="16" t="n"/>
      <c r="J165" s="33" t="inlineStr">
        <is>
          <t>Aequitas Portion</t>
        </is>
      </c>
      <c r="K165" s="33" t="n"/>
      <c r="L165" s="34" t="n"/>
      <c r="M165" s="274">
        <f>M164*G8</f>
        <v/>
      </c>
      <c r="N165" s="359" t="n"/>
      <c r="O165" s="274" t="n"/>
      <c r="P165" s="274" t="n"/>
      <c r="Q165" s="274" t="n"/>
      <c r="R165" s="274" t="n"/>
      <c r="S165" s="274" t="n"/>
      <c r="T165" s="274" t="n"/>
      <c r="U165" s="359" t="n"/>
      <c r="V165" s="360" t="n"/>
      <c r="W165" s="33" t="n"/>
      <c r="X165" s="33" t="n"/>
      <c r="Y165" s="33" t="n"/>
      <c r="Z165" s="33" t="n"/>
      <c r="AA165" s="33" t="n"/>
      <c r="AB165" s="33" t="n"/>
      <c r="AC165" s="33" t="n"/>
      <c r="AD165" s="33" t="n"/>
      <c r="AE165" s="33" t="n"/>
      <c r="AF165" s="33" t="n"/>
      <c r="AG165" s="33" t="n"/>
      <c r="AH165" s="33" t="n"/>
      <c r="AI165" s="33" t="n"/>
      <c r="AJ165" s="33" t="n"/>
      <c r="AK165" s="33" t="n"/>
      <c r="AL165" s="33" t="n"/>
      <c r="AM165" s="33" t="n"/>
      <c r="AN165" s="33" t="n"/>
      <c r="AO165" s="33" t="n"/>
      <c r="AP165" s="33" t="n"/>
      <c r="AQ165" s="33" t="n"/>
      <c r="AR165" s="33" t="n"/>
      <c r="AS165" s="33" t="n"/>
      <c r="AT165" s="33" t="n"/>
      <c r="AU165" s="33" t="n"/>
      <c r="AV165" s="33" t="n"/>
      <c r="AW165" s="33" t="n"/>
      <c r="AX165" s="33" t="n"/>
      <c r="AY165" s="33" t="n"/>
      <c r="AZ165" s="33" t="n"/>
      <c r="BA165" s="33" t="n"/>
      <c r="BB165" s="33" t="n"/>
      <c r="BC165" s="33" t="n"/>
      <c r="BD165" s="33" t="n"/>
      <c r="BE165" s="33" t="n"/>
      <c r="BF165" s="33" t="n"/>
      <c r="BG165" s="33" t="n"/>
      <c r="BH165" s="33" t="n"/>
      <c r="BI165" s="33" t="n"/>
      <c r="BJ165" s="33" t="n"/>
      <c r="BK165" s="33" t="n"/>
      <c r="BL165" s="33" t="n"/>
      <c r="BM165" s="33" t="n"/>
      <c r="BN165" s="33" t="n"/>
      <c r="BO165" s="33" t="n"/>
      <c r="BP165" s="33" t="n"/>
      <c r="BQ165" s="33" t="n"/>
      <c r="BR165" s="33" t="n"/>
      <c r="BS165" s="33" t="n"/>
      <c r="BT165" s="33" t="n"/>
      <c r="BU165" s="33" t="n"/>
      <c r="BV165" s="33" t="n"/>
      <c r="BW165" s="33" t="n"/>
      <c r="BX165" s="33" t="n"/>
      <c r="BY165" s="33" t="n"/>
      <c r="BZ165" s="33" t="n"/>
      <c r="CA165" s="33" t="n"/>
      <c r="CB165" s="33" t="n"/>
      <c r="CC165" s="33" t="n"/>
      <c r="CD165" s="33" t="n"/>
      <c r="CE165" s="33" t="n"/>
      <c r="CF165" s="33" t="n"/>
      <c r="CG165" s="33" t="n"/>
      <c r="CH165" s="33" t="n"/>
      <c r="CI165" s="33" t="n"/>
      <c r="CJ165" s="33" t="n"/>
      <c r="CK165" s="33" t="n"/>
      <c r="CL165" s="33" t="n"/>
      <c r="CM165" s="33" t="n"/>
      <c r="CN165" s="33" t="n"/>
      <c r="CO165" s="33" t="n"/>
      <c r="CP165" s="33" t="n"/>
      <c r="CQ165" s="33" t="n"/>
      <c r="CR165" s="33" t="n"/>
      <c r="CS165" s="33" t="n"/>
      <c r="CT165" s="33" t="n"/>
      <c r="CU165" s="33" t="n"/>
      <c r="CV165" s="33" t="n"/>
      <c r="CW165" s="33" t="n"/>
      <c r="CX165" s="33" t="n"/>
      <c r="CY165" s="33" t="n"/>
      <c r="CZ165" s="33" t="n"/>
      <c r="DA165" s="33" t="n"/>
      <c r="DB165" s="33" t="n"/>
      <c r="DC165" s="33" t="n"/>
      <c r="DD165" s="33" t="n"/>
      <c r="DE165" s="33" t="n"/>
      <c r="DF165" s="33" t="n"/>
      <c r="DG165" s="33" t="n"/>
      <c r="DH165" s="33" t="n"/>
      <c r="DI165" s="33" t="n"/>
      <c r="DJ165" s="33" t="n"/>
      <c r="DK165" s="33" t="n"/>
      <c r="DL165" s="33" t="n"/>
      <c r="DM165" s="33" t="n"/>
      <c r="DN165" s="33" t="n"/>
      <c r="DO165" s="33" t="n"/>
      <c r="DP165" s="33" t="n"/>
      <c r="DQ165" s="33" t="n"/>
      <c r="DR165" s="33" t="n"/>
      <c r="DS165" s="33" t="n"/>
      <c r="DT165" s="33" t="n"/>
      <c r="DU165" s="33" t="n"/>
      <c r="DV165" s="33" t="n"/>
      <c r="DW165" s="33" t="n"/>
      <c r="DX165" s="33" t="n"/>
      <c r="DY165" s="33" t="n"/>
      <c r="DZ165" s="33" t="n"/>
      <c r="EA165" s="33" t="n"/>
      <c r="EB165" s="33" t="n"/>
      <c r="EC165" s="33" t="n"/>
      <c r="ED165" s="33" t="n"/>
      <c r="EE165" s="33" t="n"/>
      <c r="EF165" s="33" t="n"/>
      <c r="EG165" s="33" t="n"/>
      <c r="EH165" s="33" t="n"/>
      <c r="EI165" s="33" t="n"/>
      <c r="EJ165" s="33" t="n"/>
      <c r="EK165" s="33" t="n"/>
      <c r="EL165" s="33" t="n"/>
      <c r="EM165" s="33" t="n"/>
      <c r="EN165" s="33" t="n"/>
      <c r="EO165" s="33" t="n"/>
      <c r="EP165" s="33" t="n"/>
      <c r="EQ165" s="33" t="n"/>
      <c r="ER165" s="33" t="n"/>
      <c r="ES165" s="33" t="n"/>
      <c r="ET165" s="33" t="n"/>
      <c r="EU165" s="33" t="n"/>
      <c r="EV165" s="33" t="n"/>
      <c r="EW165" s="33" t="n"/>
      <c r="EX165" s="33" t="n"/>
    </row>
    <row r="166">
      <c r="B166" s="16" t="n"/>
      <c r="J166" s="16" t="inlineStr">
        <is>
          <t>Yr2+ Depreciation</t>
        </is>
      </c>
      <c r="K166" s="16" t="n"/>
      <c r="L166" s="14" t="n"/>
      <c r="M166" s="266">
        <f>SUM(M162:M163)</f>
        <v/>
      </c>
      <c r="N166" s="270" t="n"/>
      <c r="O166" s="266" t="n"/>
      <c r="P166" s="266" t="n"/>
      <c r="Q166" s="266" t="n"/>
      <c r="R166" s="266" t="n"/>
      <c r="S166" s="266" t="n"/>
      <c r="T166" s="266" t="n"/>
      <c r="U166" s="270" t="n"/>
      <c r="V166" s="264" t="n"/>
      <c r="W166" s="264" t="n"/>
    </row>
    <row r="167">
      <c r="B167" s="266" t="n"/>
      <c r="J167" s="33" t="inlineStr">
        <is>
          <t>Aequitas Portion</t>
        </is>
      </c>
      <c r="K167" s="33" t="n"/>
      <c r="L167" s="34" t="n"/>
      <c r="M167" s="274">
        <f>M166*G8</f>
        <v/>
      </c>
      <c r="N167" s="359" t="n"/>
      <c r="O167" s="274" t="n"/>
      <c r="P167" s="274" t="n"/>
      <c r="Q167" s="274" t="n"/>
      <c r="R167" s="274" t="n"/>
      <c r="S167" s="274" t="n"/>
      <c r="T167" s="274" t="n"/>
      <c r="U167" s="359" t="n"/>
      <c r="V167" s="274" t="n"/>
      <c r="W167" s="274" t="n"/>
      <c r="X167" s="33" t="n"/>
      <c r="Y167" s="33" t="n"/>
      <c r="Z167" s="33" t="n"/>
      <c r="AA167" s="33" t="n"/>
      <c r="AB167" s="33" t="n"/>
      <c r="AC167" s="33" t="n"/>
      <c r="AD167" s="33" t="n"/>
      <c r="AE167" s="33" t="n"/>
      <c r="AF167" s="33" t="n"/>
      <c r="AG167" s="33" t="n"/>
      <c r="AH167" s="33" t="n"/>
      <c r="AI167" s="33" t="n"/>
      <c r="AJ167" s="33" t="n"/>
      <c r="AK167" s="33" t="n"/>
      <c r="AL167" s="33" t="n"/>
      <c r="AM167" s="33" t="n"/>
      <c r="AN167" s="33" t="n"/>
      <c r="AO167" s="33" t="n"/>
      <c r="AP167" s="33" t="n"/>
      <c r="AQ167" s="33" t="n"/>
      <c r="AR167" s="33" t="n"/>
      <c r="AS167" s="33" t="n"/>
      <c r="AT167" s="33" t="n"/>
      <c r="AU167" s="33" t="n"/>
      <c r="AV167" s="33" t="n"/>
      <c r="AW167" s="33" t="n"/>
      <c r="AX167" s="33" t="n"/>
      <c r="AY167" s="33" t="n"/>
      <c r="AZ167" s="33" t="n"/>
      <c r="BA167" s="33" t="n"/>
      <c r="BB167" s="33" t="n"/>
      <c r="BC167" s="33" t="n"/>
      <c r="BD167" s="33" t="n"/>
      <c r="BE167" s="33" t="n"/>
      <c r="BF167" s="33" t="n"/>
      <c r="BG167" s="33" t="n"/>
      <c r="BH167" s="33" t="n"/>
      <c r="BI167" s="33" t="n"/>
      <c r="BJ167" s="33" t="n"/>
      <c r="BK167" s="33" t="n"/>
      <c r="BL167" s="33" t="n"/>
      <c r="BM167" s="33" t="n"/>
      <c r="BN167" s="33" t="n"/>
      <c r="BO167" s="33" t="n"/>
      <c r="BP167" s="33" t="n"/>
      <c r="BQ167" s="33" t="n"/>
      <c r="BR167" s="33" t="n"/>
      <c r="BS167" s="33" t="n"/>
      <c r="BT167" s="33" t="n"/>
      <c r="BU167" s="33" t="n"/>
      <c r="BV167" s="33" t="n"/>
      <c r="BW167" s="33" t="n"/>
      <c r="BX167" s="33" t="n"/>
      <c r="BY167" s="33" t="n"/>
      <c r="BZ167" s="33" t="n"/>
      <c r="CA167" s="33" t="n"/>
      <c r="CB167" s="33" t="n"/>
      <c r="CC167" s="33" t="n"/>
      <c r="CD167" s="33" t="n"/>
      <c r="CE167" s="33" t="n"/>
      <c r="CF167" s="33" t="n"/>
      <c r="CG167" s="33" t="n"/>
      <c r="CH167" s="33" t="n"/>
      <c r="CI167" s="33" t="n"/>
      <c r="CJ167" s="33" t="n"/>
      <c r="CK167" s="33" t="n"/>
      <c r="CL167" s="33" t="n"/>
      <c r="CM167" s="33" t="n"/>
      <c r="CN167" s="33" t="n"/>
      <c r="CO167" s="33" t="n"/>
      <c r="CP167" s="33" t="n"/>
      <c r="CQ167" s="33" t="n"/>
      <c r="CR167" s="33" t="n"/>
      <c r="CS167" s="33" t="n"/>
      <c r="CT167" s="33" t="n"/>
      <c r="CU167" s="33" t="n"/>
      <c r="CV167" s="33" t="n"/>
      <c r="CW167" s="33" t="n"/>
      <c r="CX167" s="33" t="n"/>
      <c r="CY167" s="33" t="n"/>
      <c r="CZ167" s="33" t="n"/>
      <c r="DA167" s="33" t="n"/>
      <c r="DB167" s="33" t="n"/>
      <c r="DC167" s="33" t="n"/>
      <c r="DD167" s="33" t="n"/>
      <c r="DE167" s="33" t="n"/>
      <c r="DF167" s="33" t="n"/>
      <c r="DG167" s="33" t="n"/>
      <c r="DH167" s="33" t="n"/>
      <c r="DI167" s="33" t="n"/>
      <c r="DJ167" s="33" t="n"/>
      <c r="DK167" s="33" t="n"/>
      <c r="DL167" s="33" t="n"/>
      <c r="DM167" s="33" t="n"/>
      <c r="DN167" s="33" t="n"/>
      <c r="DO167" s="33" t="n"/>
      <c r="DP167" s="33" t="n"/>
      <c r="DQ167" s="33" t="n"/>
      <c r="DR167" s="33" t="n"/>
      <c r="DS167" s="33" t="n"/>
      <c r="DT167" s="33" t="n"/>
      <c r="DU167" s="33" t="n"/>
      <c r="DV167" s="33" t="n"/>
      <c r="DW167" s="33" t="n"/>
      <c r="DX167" s="33" t="n"/>
      <c r="DY167" s="33" t="n"/>
      <c r="DZ167" s="33" t="n"/>
      <c r="EA167" s="33" t="n"/>
      <c r="EB167" s="33" t="n"/>
      <c r="EC167" s="33" t="n"/>
      <c r="ED167" s="33" t="n"/>
      <c r="EE167" s="33" t="n"/>
      <c r="EF167" s="33" t="n"/>
      <c r="EG167" s="33" t="n"/>
      <c r="EH167" s="33" t="n"/>
      <c r="EI167" s="33" t="n"/>
      <c r="EJ167" s="33" t="n"/>
      <c r="EK167" s="33" t="n"/>
      <c r="EL167" s="33" t="n"/>
      <c r="EM167" s="33" t="n"/>
      <c r="EN167" s="33" t="n"/>
      <c r="EO167" s="33" t="n"/>
      <c r="EP167" s="33" t="n"/>
      <c r="EQ167" s="33" t="n"/>
      <c r="ER167" s="33" t="n"/>
      <c r="ES167" s="33" t="n"/>
      <c r="ET167" s="33" t="n"/>
      <c r="EU167" s="33" t="n"/>
      <c r="EV167" s="33" t="n"/>
      <c r="EW167" s="33" t="n"/>
      <c r="EX167" s="33" t="n"/>
    </row>
    <row r="168">
      <c r="A168" s="264" t="n"/>
    </row>
    <row r="169">
      <c r="I169" s="34" t="n"/>
      <c r="J169" s="36" t="inlineStr">
        <is>
          <t>Taxable Income</t>
        </is>
      </c>
      <c r="K169" s="133" t="n"/>
      <c r="M169" s="204" t="n"/>
      <c r="O169" s="133" t="n"/>
      <c r="P169" s="133" t="n"/>
      <c r="Q169" s="133" t="n"/>
      <c r="R169" s="133" t="n"/>
      <c r="S169" s="133" t="n"/>
      <c r="T169" s="133" t="n"/>
      <c r="V169" s="133" t="n"/>
      <c r="W169" s="133" t="n"/>
      <c r="X169" s="133" t="n"/>
      <c r="Y169" s="133" t="n"/>
      <c r="Z169" s="133" t="n"/>
      <c r="AA169" s="133" t="n"/>
      <c r="AB169" s="133" t="n"/>
      <c r="AC169" s="133" t="n"/>
      <c r="AD169" s="133" t="n"/>
      <c r="AE169" s="133" t="n"/>
      <c r="AF169" s="133" t="n"/>
      <c r="AG169" s="133" t="n"/>
      <c r="AH169" s="133" t="n"/>
      <c r="AI169" s="133" t="n"/>
      <c r="AJ169" s="133" t="n"/>
      <c r="AK169" s="133" t="n"/>
      <c r="AL169" s="133" t="n"/>
      <c r="AM169" s="133" t="n"/>
      <c r="AN169" s="133" t="n"/>
      <c r="AO169" s="133" t="n"/>
      <c r="AP169" s="133" t="n"/>
      <c r="AQ169" s="133" t="n"/>
      <c r="AR169" s="133" t="n"/>
      <c r="AS169" s="133" t="n"/>
      <c r="AT169" s="133" t="n"/>
      <c r="AU169" s="133" t="n"/>
      <c r="AV169" s="133" t="n"/>
      <c r="AW169" s="133" t="n"/>
      <c r="AX169" s="133" t="n"/>
      <c r="AY169" s="133" t="n"/>
      <c r="AZ169" s="133" t="n"/>
      <c r="BA169" s="133" t="n"/>
      <c r="BB169" s="133" t="n"/>
      <c r="BC169" s="133" t="n"/>
      <c r="BD169" s="133" t="n"/>
      <c r="BE169" s="133" t="n"/>
      <c r="BF169" s="133" t="n"/>
      <c r="BG169" s="133" t="n"/>
      <c r="BH169" s="133" t="n"/>
      <c r="BI169" s="133" t="n"/>
      <c r="BJ169" s="133" t="n"/>
      <c r="BK169" s="133" t="n"/>
      <c r="BL169" s="133" t="n"/>
      <c r="BM169" s="133" t="n"/>
      <c r="BN169" s="133" t="n"/>
      <c r="BO169" s="133" t="n"/>
      <c r="BP169" s="133" t="n"/>
      <c r="BQ169" s="133" t="n"/>
      <c r="BR169" s="133" t="n"/>
      <c r="BS169" s="133" t="n"/>
      <c r="BT169" s="133" t="n"/>
      <c r="BU169" s="133" t="n"/>
      <c r="BV169" s="133" t="n"/>
      <c r="BW169" s="133" t="n"/>
      <c r="BX169" s="133" t="n"/>
      <c r="BY169" s="133" t="n"/>
      <c r="BZ169" s="133" t="n"/>
      <c r="CA169" s="133" t="n"/>
      <c r="CB169" s="133" t="n"/>
      <c r="CC169" s="133" t="n"/>
      <c r="CD169" s="133" t="n"/>
      <c r="CE169" s="133" t="n"/>
      <c r="CF169" s="133" t="n"/>
      <c r="CG169" s="133" t="n"/>
      <c r="CH169" s="133" t="n"/>
      <c r="CI169" s="133" t="n"/>
      <c r="CJ169" s="133" t="n"/>
      <c r="CK169" s="133" t="n"/>
      <c r="CL169" s="133" t="n"/>
      <c r="CM169" s="133" t="n"/>
      <c r="CN169" s="133" t="n"/>
      <c r="CO169" s="133" t="n"/>
      <c r="CP169" s="133" t="n"/>
      <c r="CQ169" s="133" t="n"/>
      <c r="CR169" s="133" t="n"/>
      <c r="CS169" s="133" t="n"/>
      <c r="CT169" s="133" t="n"/>
      <c r="CU169" s="133" t="n"/>
      <c r="CV169" s="133" t="n"/>
      <c r="CW169" s="133" t="n"/>
      <c r="CX169" s="133" t="n"/>
      <c r="CY169" s="133" t="n"/>
      <c r="CZ169" s="133" t="n"/>
      <c r="DA169" s="133" t="n"/>
      <c r="DB169" s="133" t="n"/>
      <c r="DC169" s="133" t="n"/>
      <c r="DD169" s="133" t="n"/>
      <c r="DE169" s="133" t="n"/>
      <c r="DF169" s="133" t="n"/>
      <c r="DG169" s="133" t="n"/>
      <c r="DH169" s="133" t="n"/>
      <c r="DI169" s="133" t="n"/>
      <c r="DJ169" s="133" t="n"/>
      <c r="DK169" s="133" t="n"/>
      <c r="DL169" s="133" t="n"/>
      <c r="DM169" s="133" t="n"/>
      <c r="DN169" s="133" t="n"/>
      <c r="DO169" s="133" t="n"/>
      <c r="DP169" s="133" t="n"/>
      <c r="DQ169" s="133" t="n"/>
      <c r="DR169" s="133" t="n"/>
      <c r="DS169" s="133" t="n"/>
      <c r="DT169" s="133" t="n"/>
      <c r="DU169" s="133" t="n"/>
      <c r="DV169" s="133" t="n"/>
      <c r="DW169" s="133" t="n"/>
      <c r="DX169" s="133" t="n"/>
      <c r="DY169" s="133" t="n"/>
      <c r="DZ169" s="133" t="n"/>
      <c r="EA169" s="133" t="n"/>
      <c r="EB169" s="133" t="n"/>
      <c r="EC169" s="133" t="n"/>
      <c r="ED169" s="133" t="n"/>
      <c r="EE169" s="133" t="n"/>
      <c r="EF169" s="133" t="n"/>
      <c r="EG169" s="133" t="n"/>
      <c r="EH169" s="133" t="n"/>
      <c r="EI169" s="133" t="n"/>
      <c r="EJ169" s="133" t="n"/>
      <c r="EK169" s="133" t="n"/>
      <c r="EL169" s="133" t="n"/>
      <c r="EM169" s="133" t="n"/>
      <c r="EN169" s="133" t="n"/>
      <c r="EO169" s="133" t="n"/>
      <c r="EP169" s="133" t="n"/>
      <c r="EQ169" s="133" t="n"/>
      <c r="ER169" s="133" t="n"/>
      <c r="ES169" s="133" t="n"/>
      <c r="ET169" s="133" t="n"/>
      <c r="EU169" s="133" t="n"/>
      <c r="EV169" s="133" t="n"/>
      <c r="EW169" s="133" t="n"/>
      <c r="EX169" s="133" t="n"/>
    </row>
    <row r="170">
      <c r="J170" s="9" t="inlineStr">
        <is>
          <t>NOI</t>
        </is>
      </c>
      <c r="M170" s="25">
        <f>SUM(V170:EX170)</f>
        <v/>
      </c>
      <c r="N170" s="56" t="n"/>
      <c r="O170" s="25">
        <f>SUMIF($V$5:$EX$5,O$7,$V170:$EX170)</f>
        <v/>
      </c>
      <c r="P170" s="25">
        <f>SUMIF($V$5:$EX$5,P$7,$V170:$EX170)</f>
        <v/>
      </c>
      <c r="Q170" s="25">
        <f>SUMIF($V$5:$EX$5,Q$7,$V170:$EX170)</f>
        <v/>
      </c>
      <c r="R170" s="25">
        <f>SUMIF($V$5:$EX$5,R$7,$V170:$EX170)</f>
        <v/>
      </c>
      <c r="S170" s="25">
        <f>SUMIF($V$5:$EX$5,S$7,$V170:$EX170)</f>
        <v/>
      </c>
      <c r="T170" s="25">
        <f>SUMIF($V$5:$EX$5,T$7,$V170:$EX170)</f>
        <v/>
      </c>
      <c r="U170" s="56" t="n"/>
      <c r="V170" s="25">
        <f>V67*(V4&lt;=$H$19)</f>
        <v/>
      </c>
      <c r="W170" s="25">
        <f>W67*(W4&lt;=$H$19)</f>
        <v/>
      </c>
      <c r="X170" s="25">
        <f>X67*(X4&lt;=$H$19)</f>
        <v/>
      </c>
      <c r="Y170" s="25">
        <f>Y67*(Y4&lt;=$H$19)</f>
        <v/>
      </c>
      <c r="Z170" s="25">
        <f>Z67*(Z4&lt;=$H$19)</f>
        <v/>
      </c>
      <c r="AA170" s="25">
        <f>AA67*(AA4&lt;=$H$19)</f>
        <v/>
      </c>
      <c r="AB170" s="25">
        <f>AB67*(AB4&lt;=$H$19)</f>
        <v/>
      </c>
      <c r="AC170" s="25">
        <f>AC67*(AC4&lt;=$H$19)</f>
        <v/>
      </c>
      <c r="AD170" s="25">
        <f>AD67*(AD4&lt;=$H$19)</f>
        <v/>
      </c>
      <c r="AE170" s="25">
        <f>AE67*(AE4&lt;=$H$19)</f>
        <v/>
      </c>
      <c r="AF170" s="25">
        <f>AF67*(AF4&lt;=$H$19)</f>
        <v/>
      </c>
      <c r="AG170" s="25">
        <f>AG67*(AG4&lt;=$H$19)</f>
        <v/>
      </c>
      <c r="AH170" s="25">
        <f>AH67*(AH4&lt;=$H$19)</f>
        <v/>
      </c>
      <c r="AI170" s="25">
        <f>AI67*(AI4&lt;=$H$19)</f>
        <v/>
      </c>
      <c r="AJ170" s="25">
        <f>AJ67*(AJ4&lt;=$H$19)</f>
        <v/>
      </c>
      <c r="AK170" s="25">
        <f>AK67*(AK4&lt;=$H$19)</f>
        <v/>
      </c>
      <c r="AL170" s="25">
        <f>AL67*(AL4&lt;=$H$19)</f>
        <v/>
      </c>
      <c r="AM170" s="25">
        <f>AM67*(AM4&lt;=$H$19)</f>
        <v/>
      </c>
      <c r="AN170" s="25">
        <f>AN67*(AN4&lt;=$H$19)</f>
        <v/>
      </c>
      <c r="AO170" s="25">
        <f>AO67*(AO4&lt;=$H$19)</f>
        <v/>
      </c>
      <c r="AP170" s="25">
        <f>AP67*(AP4&lt;=$H$19)</f>
        <v/>
      </c>
      <c r="AQ170" s="25">
        <f>AQ67*(AQ4&lt;=$H$19)</f>
        <v/>
      </c>
      <c r="AR170" s="25">
        <f>AR67*(AR4&lt;=$H$19)</f>
        <v/>
      </c>
      <c r="AS170" s="25">
        <f>AS67*(AS4&lt;=$H$19)</f>
        <v/>
      </c>
      <c r="AT170" s="25">
        <f>AT67*(AT4&lt;=$H$19)</f>
        <v/>
      </c>
      <c r="AU170" s="25">
        <f>AU67*(AU4&lt;=$H$19)</f>
        <v/>
      </c>
      <c r="AV170" s="25">
        <f>AV67*(AV4&lt;=$H$19)</f>
        <v/>
      </c>
      <c r="AW170" s="25">
        <f>AW67*(AW4&lt;=$H$19)</f>
        <v/>
      </c>
      <c r="AX170" s="25">
        <f>AX67*(AX4&lt;=$H$19)</f>
        <v/>
      </c>
      <c r="AY170" s="25">
        <f>AY67*(AY4&lt;=$H$19)</f>
        <v/>
      </c>
      <c r="AZ170" s="25">
        <f>AZ67*(AZ4&lt;=$H$19)</f>
        <v/>
      </c>
      <c r="BA170" s="25">
        <f>BA67*(BA4&lt;=$H$19)</f>
        <v/>
      </c>
      <c r="BB170" s="25">
        <f>BB67*(BB4&lt;=$H$19)</f>
        <v/>
      </c>
      <c r="BC170" s="25">
        <f>BC67*(BC4&lt;=$H$19)</f>
        <v/>
      </c>
      <c r="BD170" s="25">
        <f>BD67*(BD4&lt;=$H$19)</f>
        <v/>
      </c>
      <c r="BE170" s="25">
        <f>BE67*(BE4&lt;=$H$19)</f>
        <v/>
      </c>
      <c r="BF170" s="25">
        <f>BF67*(BF4&lt;=$H$19)</f>
        <v/>
      </c>
      <c r="BG170" s="25">
        <f>BG67*(BG4&lt;=$H$19)</f>
        <v/>
      </c>
      <c r="BH170" s="25">
        <f>BH67*(BH4&lt;=$H$19)</f>
        <v/>
      </c>
      <c r="BI170" s="25">
        <f>BI67*(BI4&lt;=$H$19)</f>
        <v/>
      </c>
      <c r="BJ170" s="25">
        <f>BJ67*(BJ4&lt;=$H$19)</f>
        <v/>
      </c>
      <c r="BK170" s="25">
        <f>BK67*(BK4&lt;=$H$19)</f>
        <v/>
      </c>
      <c r="BL170" s="25">
        <f>BL67*(BL4&lt;=$H$19)</f>
        <v/>
      </c>
      <c r="BM170" s="25">
        <f>BM67*(BM4&lt;=$H$19)</f>
        <v/>
      </c>
      <c r="BN170" s="25">
        <f>BN67*(BN4&lt;=$H$19)</f>
        <v/>
      </c>
      <c r="BO170" s="25">
        <f>BO67*(BO4&lt;=$H$19)</f>
        <v/>
      </c>
      <c r="BP170" s="25">
        <f>BP67*(BP4&lt;=$H$19)</f>
        <v/>
      </c>
      <c r="BQ170" s="25">
        <f>BQ67*(BQ4&lt;=$H$19)</f>
        <v/>
      </c>
      <c r="BR170" s="25">
        <f>BR67*(BR4&lt;=$H$19)</f>
        <v/>
      </c>
      <c r="BS170" s="25">
        <f>BS67*(BS4&lt;=$H$19)</f>
        <v/>
      </c>
      <c r="BT170" s="25">
        <f>BT67*(BT4&lt;=$H$19)</f>
        <v/>
      </c>
      <c r="BU170" s="25">
        <f>BU67*(BU4&lt;=$H$19)</f>
        <v/>
      </c>
      <c r="BV170" s="25">
        <f>BV67*(BV4&lt;=$H$19)</f>
        <v/>
      </c>
      <c r="BW170" s="25">
        <f>BW67*(BW4&lt;=$H$19)</f>
        <v/>
      </c>
      <c r="BX170" s="25">
        <f>BX67*(BX4&lt;=$H$19)</f>
        <v/>
      </c>
      <c r="BY170" s="25">
        <f>BY67*(BY4&lt;=$H$19)</f>
        <v/>
      </c>
      <c r="BZ170" s="25">
        <f>BZ67*(BZ4&lt;=$H$19)</f>
        <v/>
      </c>
      <c r="CA170" s="25">
        <f>CA67*(CA4&lt;=$H$19)</f>
        <v/>
      </c>
      <c r="CB170" s="25">
        <f>CB67*(CB4&lt;=$H$19)</f>
        <v/>
      </c>
      <c r="CC170" s="25">
        <f>CC67*(CC4&lt;=$H$19)</f>
        <v/>
      </c>
      <c r="CD170" s="25">
        <f>CD67*(CD4&lt;=$H$19)</f>
        <v/>
      </c>
      <c r="CE170" s="25">
        <f>CE67*(CE4&lt;=$H$19)</f>
        <v/>
      </c>
      <c r="CF170" s="25">
        <f>CF67*(CF4&lt;=$H$19)</f>
        <v/>
      </c>
      <c r="CG170" s="25">
        <f>CG67*(CG4&lt;=$H$19)</f>
        <v/>
      </c>
      <c r="CH170" s="25">
        <f>CH67*(CH4&lt;=$H$19)</f>
        <v/>
      </c>
      <c r="CI170" s="25">
        <f>CI67*(CI4&lt;=$H$19)</f>
        <v/>
      </c>
      <c r="CJ170" s="25">
        <f>CJ67*(CJ4&lt;=$H$19)</f>
        <v/>
      </c>
      <c r="CK170" s="25">
        <f>CK67*(CK4&lt;=$H$19)</f>
        <v/>
      </c>
      <c r="CL170" s="25">
        <f>CL67*(CL4&lt;=$H$19)</f>
        <v/>
      </c>
      <c r="CM170" s="25">
        <f>CM67*(CM4&lt;=$H$19)</f>
        <v/>
      </c>
      <c r="CN170" s="25">
        <f>CN67*(CN4&lt;=$H$19)</f>
        <v/>
      </c>
      <c r="CO170" s="25">
        <f>CO67*(CO4&lt;=$H$19)</f>
        <v/>
      </c>
      <c r="CP170" s="25">
        <f>CP67*(CP4&lt;=$H$19)</f>
        <v/>
      </c>
      <c r="CQ170" s="25">
        <f>CQ67*(CQ4&lt;=$H$19)</f>
        <v/>
      </c>
      <c r="CR170" s="25">
        <f>CR67*(CR4&lt;=$H$19)</f>
        <v/>
      </c>
      <c r="CS170" s="25">
        <f>CS67*(CS4&lt;=$H$19)</f>
        <v/>
      </c>
      <c r="CT170" s="25">
        <f>CT67*(CT4&lt;=$H$19)</f>
        <v/>
      </c>
      <c r="CU170" s="25">
        <f>CU67*(CU4&lt;=$H$19)</f>
        <v/>
      </c>
      <c r="CV170" s="25">
        <f>CV67*(CV4&lt;=$H$19)</f>
        <v/>
      </c>
      <c r="CW170" s="25">
        <f>CW67*(CW4&lt;=$H$19)</f>
        <v/>
      </c>
      <c r="CX170" s="25">
        <f>CX67*(CX4&lt;=$H$19)</f>
        <v/>
      </c>
      <c r="CY170" s="25">
        <f>CY67*(CY4&lt;=$H$19)</f>
        <v/>
      </c>
      <c r="CZ170" s="25">
        <f>CZ67*(CZ4&lt;=$H$19)</f>
        <v/>
      </c>
      <c r="DA170" s="25">
        <f>DA67*(DA4&lt;=$H$19)</f>
        <v/>
      </c>
      <c r="DB170" s="25">
        <f>DB67*(DB4&lt;=$H$19)</f>
        <v/>
      </c>
      <c r="DC170" s="25">
        <f>DC67*(DC4&lt;=$H$19)</f>
        <v/>
      </c>
      <c r="DD170" s="25">
        <f>DD67*(DD4&lt;=$H$19)</f>
        <v/>
      </c>
      <c r="DE170" s="25">
        <f>DE67*(DE4&lt;=$H$19)</f>
        <v/>
      </c>
      <c r="DF170" s="25">
        <f>DF67*(DF4&lt;=$H$19)</f>
        <v/>
      </c>
      <c r="DG170" s="25">
        <f>DG67*(DG4&lt;=$H$19)</f>
        <v/>
      </c>
      <c r="DH170" s="25">
        <f>DH67*(DH4&lt;=$H$19)</f>
        <v/>
      </c>
      <c r="DI170" s="25">
        <f>DI67*(DI4&lt;=$H$19)</f>
        <v/>
      </c>
      <c r="DJ170" s="25">
        <f>DJ67*(DJ4&lt;=$H$19)</f>
        <v/>
      </c>
      <c r="DK170" s="25">
        <f>DK67*(DK4&lt;=$H$19)</f>
        <v/>
      </c>
      <c r="DL170" s="25">
        <f>DL67*(DL4&lt;=$H$19)</f>
        <v/>
      </c>
      <c r="DM170" s="25">
        <f>DM67*(DM4&lt;=$H$19)</f>
        <v/>
      </c>
      <c r="DN170" s="25">
        <f>DN67*(DN4&lt;=$H$19)</f>
        <v/>
      </c>
      <c r="DO170" s="25">
        <f>DO67*(DO4&lt;=$H$19)</f>
        <v/>
      </c>
      <c r="DP170" s="25">
        <f>DP67*(DP4&lt;=$H$19)</f>
        <v/>
      </c>
      <c r="DQ170" s="25">
        <f>DQ67*(DQ4&lt;=$H$19)</f>
        <v/>
      </c>
      <c r="DR170" s="25">
        <f>DR67*(DR4&lt;=$H$19)</f>
        <v/>
      </c>
      <c r="DS170" s="25">
        <f>DS67*(DS4&lt;=$H$19)</f>
        <v/>
      </c>
      <c r="DT170" s="25">
        <f>DT67*(DT4&lt;=$H$19)</f>
        <v/>
      </c>
      <c r="DU170" s="25">
        <f>DU67*(DU4&lt;=$H$19)</f>
        <v/>
      </c>
      <c r="DV170" s="25">
        <f>DV67*(DV4&lt;=$H$19)</f>
        <v/>
      </c>
      <c r="DW170" s="25">
        <f>DW67*(DW4&lt;=$H$19)</f>
        <v/>
      </c>
      <c r="DX170" s="25">
        <f>DX67*(DX4&lt;=$H$19)</f>
        <v/>
      </c>
      <c r="DY170" s="25">
        <f>DY67*(DY4&lt;=$H$19)</f>
        <v/>
      </c>
      <c r="DZ170" s="25">
        <f>DZ67*(DZ4&lt;=$H$19)</f>
        <v/>
      </c>
      <c r="EA170" s="25">
        <f>EA67*(EA4&lt;=$H$19)</f>
        <v/>
      </c>
      <c r="EB170" s="25">
        <f>EB67*(EB4&lt;=$H$19)</f>
        <v/>
      </c>
      <c r="EC170" s="25">
        <f>EC67*(EC4&lt;=$H$19)</f>
        <v/>
      </c>
      <c r="ED170" s="25">
        <f>ED67*(ED4&lt;=$H$19)</f>
        <v/>
      </c>
      <c r="EE170" s="25">
        <f>EE67*(EE4&lt;=$H$19)</f>
        <v/>
      </c>
      <c r="EF170" s="25">
        <f>EF67*(EF4&lt;=$H$19)</f>
        <v/>
      </c>
      <c r="EG170" s="25">
        <f>EG67*(EG4&lt;=$H$19)</f>
        <v/>
      </c>
      <c r="EH170" s="25">
        <f>EH67*(EH4&lt;=$H$19)</f>
        <v/>
      </c>
      <c r="EI170" s="25">
        <f>EI67*(EI4&lt;=$H$19)</f>
        <v/>
      </c>
      <c r="EJ170" s="25">
        <f>EJ67*(EJ4&lt;=$H$19)</f>
        <v/>
      </c>
      <c r="EK170" s="25">
        <f>EK67*(EK4&lt;=$H$19)</f>
        <v/>
      </c>
      <c r="EL170" s="25">
        <f>EL67*(EL4&lt;=$H$19)</f>
        <v/>
      </c>
      <c r="EM170" s="25">
        <f>EM67*(EM4&lt;=$H$19)</f>
        <v/>
      </c>
      <c r="EN170" s="25">
        <f>EN67*(EN4&lt;=$H$19)</f>
        <v/>
      </c>
      <c r="EO170" s="25">
        <f>EO67*(EO4&lt;=$H$19)</f>
        <v/>
      </c>
      <c r="EP170" s="25">
        <f>EP67*(EP4&lt;=$H$19)</f>
        <v/>
      </c>
      <c r="EQ170" s="25">
        <f>EQ67*(EQ4&lt;=$H$19)</f>
        <v/>
      </c>
      <c r="ER170" s="25">
        <f>ER67*(ER4&lt;=$H$19)</f>
        <v/>
      </c>
      <c r="ES170" s="25">
        <f>ES67*(ES4&lt;=$H$19)</f>
        <v/>
      </c>
      <c r="ET170" s="25">
        <f>ET67*(ET4&lt;=$H$19)</f>
        <v/>
      </c>
      <c r="EU170" s="25">
        <f>EU67*(EU4&lt;=$H$19)</f>
        <v/>
      </c>
      <c r="EV170" s="25">
        <f>EV67*(EV4&lt;=$H$19)</f>
        <v/>
      </c>
      <c r="EW170" s="25">
        <f>EW67*(EW4&lt;=$H$19)</f>
        <v/>
      </c>
      <c r="EX170" s="25">
        <f>EX67*(EX4&lt;=$H$19)</f>
        <v/>
      </c>
    </row>
    <row r="171">
      <c r="I171" s="34" t="n"/>
      <c r="J171" s="9" t="inlineStr">
        <is>
          <t>Interest Expense</t>
        </is>
      </c>
      <c r="M171" s="25">
        <f>SUM(V171:EX171)</f>
        <v/>
      </c>
      <c r="N171" s="56" t="n"/>
      <c r="O171" s="25">
        <f>SUMIF($V$5:$EX$5,O$7,$V171:$EX171)</f>
        <v/>
      </c>
      <c r="P171" s="25">
        <f>SUMIF($V$5:$EX$5,P$7,$V171:$EX171)</f>
        <v/>
      </c>
      <c r="Q171" s="25">
        <f>SUMIF($V$5:$EX$5,Q$7,$V171:$EX171)</f>
        <v/>
      </c>
      <c r="R171" s="25">
        <f>SUMIF($V$5:$EX$5,R$7,$V171:$EX171)</f>
        <v/>
      </c>
      <c r="S171" s="25">
        <f>SUMIF($V$5:$EX$5,S$7,$V171:$EX171)</f>
        <v/>
      </c>
      <c r="T171" s="25">
        <f>SUMIF($V$5:$EX$5,T$7,$V171:$EX171)</f>
        <v/>
      </c>
      <c r="U171" s="56" t="n"/>
      <c r="V171" s="25">
        <f>SUM(V140,V149)</f>
        <v/>
      </c>
      <c r="W171" s="25">
        <f>SUM(W140,W149)</f>
        <v/>
      </c>
      <c r="X171" s="25">
        <f>SUM(X140,X149)</f>
        <v/>
      </c>
      <c r="Y171" s="25">
        <f>SUM(Y140,Y149)</f>
        <v/>
      </c>
      <c r="Z171" s="25">
        <f>SUM(Z140,Z149)</f>
        <v/>
      </c>
      <c r="AA171" s="25">
        <f>SUM(AA140,AA149)</f>
        <v/>
      </c>
      <c r="AB171" s="25">
        <f>SUM(AB140,AB149)</f>
        <v/>
      </c>
      <c r="AC171" s="25">
        <f>SUM(AC140,AC149)</f>
        <v/>
      </c>
      <c r="AD171" s="25">
        <f>SUM(AD140,AD149)</f>
        <v/>
      </c>
      <c r="AE171" s="25">
        <f>SUM(AE140,AE149)</f>
        <v/>
      </c>
      <c r="AF171" s="25">
        <f>SUM(AF140,AF149)</f>
        <v/>
      </c>
      <c r="AG171" s="25">
        <f>SUM(AG140,AG149)</f>
        <v/>
      </c>
      <c r="AH171" s="25">
        <f>SUM(AH140,AH149)</f>
        <v/>
      </c>
      <c r="AI171" s="25">
        <f>SUM(AI140,AI149)</f>
        <v/>
      </c>
      <c r="AJ171" s="25">
        <f>SUM(AJ140,AJ149)</f>
        <v/>
      </c>
      <c r="AK171" s="25">
        <f>SUM(AK140,AK149)</f>
        <v/>
      </c>
      <c r="AL171" s="25">
        <f>SUM(AL140,AL149)</f>
        <v/>
      </c>
      <c r="AM171" s="25">
        <f>SUM(AM140,AM149)</f>
        <v/>
      </c>
      <c r="AN171" s="25">
        <f>SUM(AN140,AN149)</f>
        <v/>
      </c>
      <c r="AO171" s="25">
        <f>SUM(AO140,AO149)</f>
        <v/>
      </c>
      <c r="AP171" s="25">
        <f>SUM(AP140,AP149)</f>
        <v/>
      </c>
      <c r="AQ171" s="25">
        <f>SUM(AQ140,AQ149)</f>
        <v/>
      </c>
      <c r="AR171" s="25">
        <f>SUM(AR140,AR149)</f>
        <v/>
      </c>
      <c r="AS171" s="25">
        <f>SUM(AS140,AS149)</f>
        <v/>
      </c>
      <c r="AT171" s="25">
        <f>SUM(AT140,AT149)</f>
        <v/>
      </c>
      <c r="AU171" s="25">
        <f>SUM(AU140,AU149)</f>
        <v/>
      </c>
      <c r="AV171" s="25">
        <f>SUM(AV140,AV149)</f>
        <v/>
      </c>
      <c r="AW171" s="25">
        <f>SUM(AW140,AW149)</f>
        <v/>
      </c>
      <c r="AX171" s="25">
        <f>SUM(AX140,AX149)</f>
        <v/>
      </c>
      <c r="AY171" s="25">
        <f>SUM(AY140,AY149)</f>
        <v/>
      </c>
      <c r="AZ171" s="25">
        <f>SUM(AZ140,AZ149)</f>
        <v/>
      </c>
      <c r="BA171" s="25">
        <f>SUM(BA140,BA149)</f>
        <v/>
      </c>
      <c r="BB171" s="25">
        <f>SUM(BB140,BB149)</f>
        <v/>
      </c>
      <c r="BC171" s="25">
        <f>SUM(BC140,BC149)</f>
        <v/>
      </c>
      <c r="BD171" s="25">
        <f>SUM(BD140,BD149)</f>
        <v/>
      </c>
      <c r="BE171" s="25">
        <f>SUM(BE140,BE149)</f>
        <v/>
      </c>
      <c r="BF171" s="25">
        <f>SUM(BF140,BF149)</f>
        <v/>
      </c>
      <c r="BG171" s="25">
        <f>SUM(BG140,BG149)</f>
        <v/>
      </c>
      <c r="BH171" s="25">
        <f>SUM(BH140,BH149)</f>
        <v/>
      </c>
      <c r="BI171" s="25">
        <f>SUM(BI140,BI149)</f>
        <v/>
      </c>
      <c r="BJ171" s="25">
        <f>SUM(BJ140,BJ149)</f>
        <v/>
      </c>
      <c r="BK171" s="25">
        <f>SUM(BK140,BK149)</f>
        <v/>
      </c>
      <c r="BL171" s="25">
        <f>SUM(BL140,BL149)</f>
        <v/>
      </c>
      <c r="BM171" s="25">
        <f>SUM(BM140,BM149)</f>
        <v/>
      </c>
      <c r="BN171" s="25">
        <f>SUM(BN140,BN149)</f>
        <v/>
      </c>
      <c r="BO171" s="25">
        <f>SUM(BO140,BO149)</f>
        <v/>
      </c>
      <c r="BP171" s="25">
        <f>SUM(BP140,BP149)</f>
        <v/>
      </c>
      <c r="BQ171" s="25">
        <f>SUM(BQ140,BQ149)</f>
        <v/>
      </c>
      <c r="BR171" s="25">
        <f>SUM(BR140,BR149)</f>
        <v/>
      </c>
      <c r="BS171" s="25">
        <f>SUM(BS140,BS149)</f>
        <v/>
      </c>
      <c r="BT171" s="25">
        <f>SUM(BT140,BT149)</f>
        <v/>
      </c>
      <c r="BU171" s="25">
        <f>SUM(BU140,BU149)</f>
        <v/>
      </c>
      <c r="BV171" s="25">
        <f>SUM(BV140,BV149)</f>
        <v/>
      </c>
      <c r="BW171" s="25">
        <f>SUM(BW140,BW149)</f>
        <v/>
      </c>
      <c r="BX171" s="25">
        <f>SUM(BX140,BX149)</f>
        <v/>
      </c>
      <c r="BY171" s="25">
        <f>SUM(BY140,BY149)</f>
        <v/>
      </c>
      <c r="BZ171" s="25">
        <f>SUM(BZ140,BZ149)</f>
        <v/>
      </c>
      <c r="CA171" s="25">
        <f>SUM(CA140,CA149)</f>
        <v/>
      </c>
      <c r="CB171" s="25">
        <f>SUM(CB140,CB149)</f>
        <v/>
      </c>
      <c r="CC171" s="25">
        <f>SUM(CC140,CC149)</f>
        <v/>
      </c>
      <c r="CD171" s="25">
        <f>SUM(CD140,CD149)</f>
        <v/>
      </c>
      <c r="CE171" s="25">
        <f>SUM(CE140,CE149)</f>
        <v/>
      </c>
      <c r="CF171" s="25">
        <f>SUM(CF140,CF149)</f>
        <v/>
      </c>
      <c r="CG171" s="25">
        <f>SUM(CG140,CG149)</f>
        <v/>
      </c>
      <c r="CH171" s="25">
        <f>SUM(CH140,CH149)</f>
        <v/>
      </c>
      <c r="CI171" s="25">
        <f>SUM(CI140,CI149)</f>
        <v/>
      </c>
      <c r="CJ171" s="25">
        <f>SUM(CJ140,CJ149)</f>
        <v/>
      </c>
      <c r="CK171" s="25">
        <f>SUM(CK140,CK149)</f>
        <v/>
      </c>
      <c r="CL171" s="25">
        <f>SUM(CL140,CL149)</f>
        <v/>
      </c>
      <c r="CM171" s="25">
        <f>SUM(CM140,CM149)</f>
        <v/>
      </c>
      <c r="CN171" s="25">
        <f>SUM(CN140,CN149)</f>
        <v/>
      </c>
      <c r="CO171" s="25">
        <f>SUM(CO140,CO149)</f>
        <v/>
      </c>
      <c r="CP171" s="25">
        <f>SUM(CP140,CP149)</f>
        <v/>
      </c>
      <c r="CQ171" s="25">
        <f>SUM(CQ140,CQ149)</f>
        <v/>
      </c>
      <c r="CR171" s="25">
        <f>SUM(CR140,CR149)</f>
        <v/>
      </c>
      <c r="CS171" s="25">
        <f>SUM(CS140,CS149)</f>
        <v/>
      </c>
      <c r="CT171" s="25">
        <f>SUM(CT140,CT149)</f>
        <v/>
      </c>
      <c r="CU171" s="25">
        <f>SUM(CU140,CU149)</f>
        <v/>
      </c>
      <c r="CV171" s="25">
        <f>SUM(CV140,CV149)</f>
        <v/>
      </c>
      <c r="CW171" s="25">
        <f>SUM(CW140,CW149)</f>
        <v/>
      </c>
      <c r="CX171" s="25">
        <f>SUM(CX140,CX149)</f>
        <v/>
      </c>
      <c r="CY171" s="25">
        <f>SUM(CY140,CY149)</f>
        <v/>
      </c>
      <c r="CZ171" s="25">
        <f>SUM(CZ140,CZ149)</f>
        <v/>
      </c>
      <c r="DA171" s="25">
        <f>SUM(DA140,DA149)</f>
        <v/>
      </c>
      <c r="DB171" s="25">
        <f>SUM(DB140,DB149)</f>
        <v/>
      </c>
      <c r="DC171" s="25">
        <f>SUM(DC140,DC149)</f>
        <v/>
      </c>
      <c r="DD171" s="25">
        <f>SUM(DD140,DD149)</f>
        <v/>
      </c>
      <c r="DE171" s="25">
        <f>SUM(DE140,DE149)</f>
        <v/>
      </c>
      <c r="DF171" s="25">
        <f>SUM(DF140,DF149)</f>
        <v/>
      </c>
      <c r="DG171" s="25">
        <f>SUM(DG140,DG149)</f>
        <v/>
      </c>
      <c r="DH171" s="25">
        <f>SUM(DH140,DH149)</f>
        <v/>
      </c>
      <c r="DI171" s="25">
        <f>SUM(DI140,DI149)</f>
        <v/>
      </c>
      <c r="DJ171" s="25">
        <f>SUM(DJ140,DJ149)</f>
        <v/>
      </c>
      <c r="DK171" s="25">
        <f>SUM(DK140,DK149)</f>
        <v/>
      </c>
      <c r="DL171" s="25">
        <f>SUM(DL140,DL149)</f>
        <v/>
      </c>
      <c r="DM171" s="25">
        <f>SUM(DM140,DM149)</f>
        <v/>
      </c>
      <c r="DN171" s="25">
        <f>SUM(DN140,DN149)</f>
        <v/>
      </c>
      <c r="DO171" s="25">
        <f>SUM(DO140,DO149)</f>
        <v/>
      </c>
      <c r="DP171" s="25">
        <f>SUM(DP140,DP149)</f>
        <v/>
      </c>
      <c r="DQ171" s="25">
        <f>SUM(DQ140,DQ149)</f>
        <v/>
      </c>
      <c r="DR171" s="25">
        <f>SUM(DR140,DR149)</f>
        <v/>
      </c>
      <c r="DS171" s="25">
        <f>SUM(DS140,DS149)</f>
        <v/>
      </c>
      <c r="DT171" s="25">
        <f>SUM(DT140,DT149)</f>
        <v/>
      </c>
      <c r="DU171" s="25">
        <f>SUM(DU140,DU149)</f>
        <v/>
      </c>
      <c r="DV171" s="25">
        <f>SUM(DV140,DV149)</f>
        <v/>
      </c>
      <c r="DW171" s="25">
        <f>SUM(DW140,DW149)</f>
        <v/>
      </c>
      <c r="DX171" s="25">
        <f>SUM(DX140,DX149)</f>
        <v/>
      </c>
      <c r="DY171" s="25">
        <f>SUM(DY140,DY149)</f>
        <v/>
      </c>
      <c r="DZ171" s="25">
        <f>SUM(DZ140,DZ149)</f>
        <v/>
      </c>
      <c r="EA171" s="25">
        <f>SUM(EA140,EA149)</f>
        <v/>
      </c>
      <c r="EB171" s="25">
        <f>SUM(EB140,EB149)</f>
        <v/>
      </c>
      <c r="EC171" s="25">
        <f>SUM(EC140,EC149)</f>
        <v/>
      </c>
      <c r="ED171" s="25">
        <f>SUM(ED140,ED149)</f>
        <v/>
      </c>
      <c r="EE171" s="25">
        <f>SUM(EE140,EE149)</f>
        <v/>
      </c>
      <c r="EF171" s="25">
        <f>SUM(EF140,EF149)</f>
        <v/>
      </c>
      <c r="EG171" s="25">
        <f>SUM(EG140,EG149)</f>
        <v/>
      </c>
      <c r="EH171" s="25">
        <f>SUM(EH140,EH149)</f>
        <v/>
      </c>
      <c r="EI171" s="25">
        <f>SUM(EI140,EI149)</f>
        <v/>
      </c>
      <c r="EJ171" s="25">
        <f>SUM(EJ140,EJ149)</f>
        <v/>
      </c>
      <c r="EK171" s="25">
        <f>SUM(EK140,EK149)</f>
        <v/>
      </c>
      <c r="EL171" s="25">
        <f>SUM(EL140,EL149)</f>
        <v/>
      </c>
      <c r="EM171" s="25">
        <f>SUM(EM140,EM149)</f>
        <v/>
      </c>
      <c r="EN171" s="25">
        <f>SUM(EN140,EN149)</f>
        <v/>
      </c>
      <c r="EO171" s="25">
        <f>SUM(EO140,EO149)</f>
        <v/>
      </c>
      <c r="EP171" s="25">
        <f>SUM(EP140,EP149)</f>
        <v/>
      </c>
      <c r="EQ171" s="25">
        <f>SUM(EQ140,EQ149)</f>
        <v/>
      </c>
      <c r="ER171" s="25">
        <f>SUM(ER140,ER149)</f>
        <v/>
      </c>
      <c r="ES171" s="25">
        <f>SUM(ES140,ES149)</f>
        <v/>
      </c>
      <c r="ET171" s="25">
        <f>SUM(ET140,ET149)</f>
        <v/>
      </c>
      <c r="EU171" s="25">
        <f>SUM(EU140,EU149)</f>
        <v/>
      </c>
      <c r="EV171" s="25">
        <f>SUM(EV140,EV149)</f>
        <v/>
      </c>
      <c r="EW171" s="25">
        <f>SUM(EW140,EW149)</f>
        <v/>
      </c>
      <c r="EX171" s="25">
        <f>SUM(EX140,EX149)</f>
        <v/>
      </c>
    </row>
    <row r="172">
      <c r="J172" s="9" t="inlineStr">
        <is>
          <t>Depreciation</t>
        </is>
      </c>
      <c r="K172" s="178" t="inlineStr">
        <is>
          <t>Straight Line</t>
        </is>
      </c>
      <c r="L172" s="100" t="n"/>
      <c r="M172" s="25">
        <f>SUM(V172:EX172)</f>
        <v/>
      </c>
      <c r="N172" s="56" t="n"/>
      <c r="O172" s="25">
        <f>SUMIF($V$5:$EX$5,O$7,$V172:$EX172)</f>
        <v/>
      </c>
      <c r="P172" s="25">
        <f>SUMIF($V$5:$EX$5,P$7,$V172:$EX172)</f>
        <v/>
      </c>
      <c r="Q172" s="25">
        <f>SUMIF($V$5:$EX$5,Q$7,$V172:$EX172)</f>
        <v/>
      </c>
      <c r="R172" s="25">
        <f>SUMIF($V$5:$EX$5,R$7,$V172:$EX172)</f>
        <v/>
      </c>
      <c r="S172" s="25">
        <f>SUMIF($V$5:$EX$5,S$7,$V172:$EX172)</f>
        <v/>
      </c>
      <c r="T172" s="25">
        <f>SUMIF($V$5:$EX$5,T$7,$V172:$EX172)</f>
        <v/>
      </c>
      <c r="U172" s="56" t="n"/>
      <c r="V172" s="25">
        <f>-IF($K172="Straight Line",$M$157/12,IF(V$3=1,$M$164/12,$M$166/12))*(V4&gt;0)*(V4&lt;=$H$19)</f>
        <v/>
      </c>
      <c r="W172" s="25">
        <f>-IF($K172="Straight Line",$M$157/12,IF(W$3=1,$M$164/12,$M$166/12))*(W4&gt;0)*(W4&lt;=$H$19)</f>
        <v/>
      </c>
      <c r="X172" s="25">
        <f>-IF($K172="Straight Line",$M$157/12,IF(X$3=1,$M$164/12,$M$166/12))*(X4&gt;0)*(X4&lt;=$H$19)</f>
        <v/>
      </c>
      <c r="Y172" s="25">
        <f>-IF($K172="Straight Line",$M$157/12,IF(Y$3=1,$M$164/12,$M$166/12))*(Y4&gt;0)*(Y4&lt;=$H$19)</f>
        <v/>
      </c>
      <c r="Z172" s="25">
        <f>-IF($K172="Straight Line",$M$157/12,IF(Z$3=1,$M$164/12,$M$166/12))*(Z4&gt;0)*(Z4&lt;=$H$19)</f>
        <v/>
      </c>
      <c r="AA172" s="25">
        <f>-IF($K172="Straight Line",$M$157/12,IF(AA$3=1,$M$164/12,$M$166/12))*(AA4&gt;0)*(AA4&lt;=$H$19)</f>
        <v/>
      </c>
      <c r="AB172" s="25">
        <f>-IF($K172="Straight Line",$M$157/12,IF(AB$3=1,$M$164/12,$M$166/12))*(AB4&gt;0)*(AB4&lt;=$H$19)</f>
        <v/>
      </c>
      <c r="AC172" s="25">
        <f>-IF($K172="Straight Line",$M$157/12,IF(AC$3=1,$M$164/12,$M$166/12))*(AC4&gt;0)*(AC4&lt;=$H$19)</f>
        <v/>
      </c>
      <c r="AD172" s="25">
        <f>-IF($K172="Straight Line",$M$157/12,IF(AD$3=1,$M$164/12,$M$166/12))*(AD4&gt;0)*(AD4&lt;=$H$19)</f>
        <v/>
      </c>
      <c r="AE172" s="25">
        <f>-IF($K172="Straight Line",$M$157/12,IF(AE$3=1,$M$164/12,$M$166/12))*(AE4&gt;0)*(AE4&lt;=$H$19)</f>
        <v/>
      </c>
      <c r="AF172" s="25">
        <f>-IF($K172="Straight Line",$M$157/12,IF(AF$3=1,$M$164/12,$M$166/12))*(AF4&gt;0)*(AF4&lt;=$H$19)</f>
        <v/>
      </c>
      <c r="AG172" s="25">
        <f>-IF($K172="Straight Line",$M$157/12,IF(AG$3=1,$M$164/12,$M$166/12))*(AG4&gt;0)*(AG4&lt;=$H$19)</f>
        <v/>
      </c>
      <c r="AH172" s="25">
        <f>-IF($K172="Straight Line",$M$157/12,IF(AH$3=1,$M$164/12,$M$166/12))*(AH4&gt;0)*(AH4&lt;=$H$19)</f>
        <v/>
      </c>
      <c r="AI172" s="25">
        <f>-IF($K172="Straight Line",$M$157/12,IF(AI$3=1,$M$164/12,$M$166/12))*(AI4&gt;0)*(AI4&lt;=$H$19)</f>
        <v/>
      </c>
      <c r="AJ172" s="25">
        <f>-IF($K172="Straight Line",$M$157/12,IF(AJ$3=1,$M$164/12,$M$166/12))*(AJ4&gt;0)*(AJ4&lt;=$H$19)</f>
        <v/>
      </c>
      <c r="AK172" s="25">
        <f>-IF($K172="Straight Line",$M$157/12,IF(AK$3=1,$M$164/12,$M$166/12))*(AK4&gt;0)*(AK4&lt;=$H$19)</f>
        <v/>
      </c>
      <c r="AL172" s="25">
        <f>-IF($K172="Straight Line",$M$157/12,IF(AL$3=1,$M$164/12,$M$166/12))*(AL4&gt;0)*(AL4&lt;=$H$19)</f>
        <v/>
      </c>
      <c r="AM172" s="25">
        <f>-IF($K172="Straight Line",$M$157/12,IF(AM$3=1,$M$164/12,$M$166/12))*(AM4&gt;0)*(AM4&lt;=$H$19)</f>
        <v/>
      </c>
      <c r="AN172" s="25">
        <f>-IF($K172="Straight Line",$M$157/12,IF(AN$3=1,$M$164/12,$M$166/12))*(AN4&gt;0)*(AN4&lt;=$H$19)</f>
        <v/>
      </c>
      <c r="AO172" s="25">
        <f>-IF($K172="Straight Line",$M$157/12,IF(AO$3=1,$M$164/12,$M$166/12))*(AO4&gt;0)*(AO4&lt;=$H$19)</f>
        <v/>
      </c>
      <c r="AP172" s="25">
        <f>-IF($K172="Straight Line",$M$157/12,IF(AP$3=1,$M$164/12,$M$166/12))*(AP4&gt;0)*(AP4&lt;=$H$19)</f>
        <v/>
      </c>
      <c r="AQ172" s="25">
        <f>-IF($K172="Straight Line",$M$157/12,IF(AQ$3=1,$M$164/12,$M$166/12))*(AQ4&gt;0)*(AQ4&lt;=$H$19)</f>
        <v/>
      </c>
      <c r="AR172" s="25">
        <f>-IF($K172="Straight Line",$M$157/12,IF(AR$3=1,$M$164/12,$M$166/12))*(AR4&gt;0)*(AR4&lt;=$H$19)</f>
        <v/>
      </c>
      <c r="AS172" s="25">
        <f>-IF($K172="Straight Line",$M$157/12,IF(AS$3=1,$M$164/12,$M$166/12))*(AS4&gt;0)*(AS4&lt;=$H$19)</f>
        <v/>
      </c>
      <c r="AT172" s="25">
        <f>-IF($K172="Straight Line",$M$157/12,IF(AT$3=1,$M$164/12,$M$166/12))*(AT4&gt;0)*(AT4&lt;=$H$19)</f>
        <v/>
      </c>
      <c r="AU172" s="25">
        <f>-IF($K172="Straight Line",$M$157/12,IF(AU$3=1,$M$164/12,$M$166/12))*(AU4&gt;0)*(AU4&lt;=$H$19)</f>
        <v/>
      </c>
      <c r="AV172" s="25">
        <f>-IF($K172="Straight Line",$M$157/12,IF(AV$3=1,$M$164/12,$M$166/12))*(AV4&gt;0)*(AV4&lt;=$H$19)</f>
        <v/>
      </c>
      <c r="AW172" s="25">
        <f>-IF($K172="Straight Line",$M$157/12,IF(AW$3=1,$M$164/12,$M$166/12))*(AW4&gt;0)*(AW4&lt;=$H$19)</f>
        <v/>
      </c>
      <c r="AX172" s="25">
        <f>-IF($K172="Straight Line",$M$157/12,IF(AX$3=1,$M$164/12,$M$166/12))*(AX4&gt;0)*(AX4&lt;=$H$19)</f>
        <v/>
      </c>
      <c r="AY172" s="25">
        <f>-IF($K172="Straight Line",$M$157/12,IF(AY$3=1,$M$164/12,$M$166/12))*(AY4&gt;0)*(AY4&lt;=$H$19)</f>
        <v/>
      </c>
      <c r="AZ172" s="25">
        <f>-IF($K172="Straight Line",$M$157/12,IF(AZ$3=1,$M$164/12,$M$166/12))*(AZ4&gt;0)*(AZ4&lt;=$H$19)</f>
        <v/>
      </c>
      <c r="BA172" s="25">
        <f>-IF($K172="Straight Line",$M$157/12,IF(BA$3=1,$M$164/12,$M$166/12))*(BA4&gt;0)*(BA4&lt;=$H$19)</f>
        <v/>
      </c>
      <c r="BB172" s="25">
        <f>-IF($K172="Straight Line",$M$157/12,IF(BB$3=1,$M$164/12,$M$166/12))*(BB4&gt;0)*(BB4&lt;=$H$19)</f>
        <v/>
      </c>
      <c r="BC172" s="25">
        <f>-IF($K172="Straight Line",$M$157/12,IF(BC$3=1,$M$164/12,$M$166/12))*(BC4&gt;0)*(BC4&lt;=$H$19)</f>
        <v/>
      </c>
      <c r="BD172" s="25">
        <f>-IF($K172="Straight Line",$M$157/12,IF(BD$3=1,$M$164/12,$M$166/12))*(BD4&gt;0)*(BD4&lt;=$H$19)</f>
        <v/>
      </c>
      <c r="BE172" s="25">
        <f>-IF($K172="Straight Line",$M$157/12,IF(BE$3=1,$M$164/12,$M$166/12))*(BE4&gt;0)*(BE4&lt;=$H$19)</f>
        <v/>
      </c>
      <c r="BF172" s="25">
        <f>-IF($K172="Straight Line",$M$157/12,IF(BF$3=1,$M$164/12,$M$166/12))*(BF4&gt;0)*(BF4&lt;=$H$19)</f>
        <v/>
      </c>
      <c r="BG172" s="25">
        <f>-IF($K172="Straight Line",$M$157/12,IF(BG$3=1,$M$164/12,$M$166/12))*(BG4&gt;0)*(BG4&lt;=$H$19)</f>
        <v/>
      </c>
      <c r="BH172" s="25">
        <f>-IF($K172="Straight Line",$M$157/12,IF(BH$3=1,$M$164/12,$M$166/12))*(BH4&gt;0)*(BH4&lt;=$H$19)</f>
        <v/>
      </c>
      <c r="BI172" s="25">
        <f>-IF($K172="Straight Line",$M$157/12,IF(BI$3=1,$M$164/12,$M$166/12))*(BI4&gt;0)*(BI4&lt;=$H$19)</f>
        <v/>
      </c>
      <c r="BJ172" s="25">
        <f>-IF($K172="Straight Line",$M$157/12,IF(BJ$3=1,$M$164/12,$M$166/12))*(BJ4&gt;0)*(BJ4&lt;=$H$19)</f>
        <v/>
      </c>
      <c r="BK172" s="25">
        <f>-IF($K172="Straight Line",$M$157/12,IF(BK$3=1,$M$164/12,$M$166/12))*(BK4&gt;0)*(BK4&lt;=$H$19)</f>
        <v/>
      </c>
      <c r="BL172" s="25">
        <f>-IF($K172="Straight Line",$M$157/12,IF(BL$3=1,$M$164/12,$M$166/12))*(BL4&gt;0)*(BL4&lt;=$H$19)</f>
        <v/>
      </c>
      <c r="BM172" s="25">
        <f>-IF($K172="Straight Line",$M$157/12,IF(BM$3=1,$M$164/12,$M$166/12))*(BM4&gt;0)*(BM4&lt;=$H$19)</f>
        <v/>
      </c>
      <c r="BN172" s="25">
        <f>-IF($K172="Straight Line",$M$157/12,IF(BN$3=1,$M$164/12,$M$166/12))*(BN4&gt;0)*(BN4&lt;=$H$19)</f>
        <v/>
      </c>
      <c r="BO172" s="25">
        <f>-IF($K172="Straight Line",$M$157/12,IF(BO$3=1,$M$164/12,$M$166/12))*(BO4&gt;0)*(BO4&lt;=$H$19)</f>
        <v/>
      </c>
      <c r="BP172" s="25">
        <f>-IF($K172="Straight Line",$M$157/12,IF(BP$3=1,$M$164/12,$M$166/12))*(BP4&gt;0)*(BP4&lt;=$H$19)</f>
        <v/>
      </c>
      <c r="BQ172" s="25">
        <f>-IF($K172="Straight Line",$M$157/12,IF(BQ$3=1,$M$164/12,$M$166/12))*(BQ4&gt;0)*(BQ4&lt;=$H$19)</f>
        <v/>
      </c>
      <c r="BR172" s="25">
        <f>-IF($K172="Straight Line",$M$157/12,IF(BR$3=1,$M$164/12,$M$166/12))*(BR4&gt;0)*(BR4&lt;=$H$19)</f>
        <v/>
      </c>
      <c r="BS172" s="25">
        <f>-IF($K172="Straight Line",$M$157/12,IF(BS$3=1,$M$164/12,$M$166/12))*(BS4&gt;0)*(BS4&lt;=$H$19)</f>
        <v/>
      </c>
      <c r="BT172" s="25">
        <f>-IF($K172="Straight Line",$M$157/12,IF(BT$3=1,$M$164/12,$M$166/12))*(BT4&gt;0)*(BT4&lt;=$H$19)</f>
        <v/>
      </c>
      <c r="BU172" s="25">
        <f>-IF($K172="Straight Line",$M$157/12,IF(BU$3=1,$M$164/12,$M$166/12))*(BU4&gt;0)*(BU4&lt;=$H$19)</f>
        <v/>
      </c>
      <c r="BV172" s="25">
        <f>-IF($K172="Straight Line",$M$157/12,IF(BV$3=1,$M$164/12,$M$166/12))*(BV4&gt;0)*(BV4&lt;=$H$19)</f>
        <v/>
      </c>
      <c r="BW172" s="25">
        <f>-IF($K172="Straight Line",$M$157/12,IF(BW$3=1,$M$164/12,$M$166/12))*(BW4&gt;0)*(BW4&lt;=$H$19)</f>
        <v/>
      </c>
      <c r="BX172" s="25">
        <f>-IF($K172="Straight Line",$M$157/12,IF(BX$3=1,$M$164/12,$M$166/12))*(BX4&gt;0)*(BX4&lt;=$H$19)</f>
        <v/>
      </c>
      <c r="BY172" s="25">
        <f>-IF($K172="Straight Line",$M$157/12,IF(BY$3=1,$M$164/12,$M$166/12))*(BY4&gt;0)*(BY4&lt;=$H$19)</f>
        <v/>
      </c>
      <c r="BZ172" s="25">
        <f>-IF($K172="Straight Line",$M$157/12,IF(BZ$3=1,$M$164/12,$M$166/12))*(BZ4&gt;0)*(BZ4&lt;=$H$19)</f>
        <v/>
      </c>
      <c r="CA172" s="25">
        <f>-IF($K172="Straight Line",$M$157/12,IF(CA$3=1,$M$164/12,$M$166/12))*(CA4&gt;0)*(CA4&lt;=$H$19)</f>
        <v/>
      </c>
      <c r="CB172" s="25">
        <f>-IF($K172="Straight Line",$M$157/12,IF(CB$3=1,$M$164/12,$M$166/12))*(CB4&gt;0)*(CB4&lt;=$H$19)</f>
        <v/>
      </c>
      <c r="CC172" s="25">
        <f>-IF($K172="Straight Line",$M$157/12,IF(CC$3=1,$M$164/12,$M$166/12))*(CC4&gt;0)*(CC4&lt;=$H$19)</f>
        <v/>
      </c>
      <c r="CD172" s="25">
        <f>-IF($K172="Straight Line",$M$157/12,IF(CD$3=1,$M$164/12,$M$166/12))*(CD4&gt;0)*(CD4&lt;=$H$19)</f>
        <v/>
      </c>
      <c r="CE172" s="25">
        <f>-IF($K172="Straight Line",$M$157/12,IF(CE$3=1,$M$164/12,$M$166/12))*(CE4&gt;0)*(CE4&lt;=$H$19)</f>
        <v/>
      </c>
      <c r="CF172" s="25">
        <f>-IF($K172="Straight Line",$M$157/12,IF(CF$3=1,$M$164/12,$M$166/12))*(CF4&gt;0)*(CF4&lt;=$H$19)</f>
        <v/>
      </c>
      <c r="CG172" s="25">
        <f>-IF($K172="Straight Line",$M$157/12,IF(CG$3=1,$M$164/12,$M$166/12))*(CG4&gt;0)*(CG4&lt;=$H$19)</f>
        <v/>
      </c>
      <c r="CH172" s="25">
        <f>-IF($K172="Straight Line",$M$157/12,IF(CH$3=1,$M$164/12,$M$166/12))*(CH4&gt;0)*(CH4&lt;=$H$19)</f>
        <v/>
      </c>
      <c r="CI172" s="25">
        <f>-IF($K172="Straight Line",$M$157/12,IF(CI$3=1,$M$164/12,$M$166/12))*(CI4&gt;0)*(CI4&lt;=$H$19)</f>
        <v/>
      </c>
      <c r="CJ172" s="25">
        <f>-IF($K172="Straight Line",$M$157/12,IF(CJ$3=1,$M$164/12,$M$166/12))*(CJ4&gt;0)*(CJ4&lt;=$H$19)</f>
        <v/>
      </c>
      <c r="CK172" s="25">
        <f>-IF($K172="Straight Line",$M$157/12,IF(CK$3=1,$M$164/12,$M$166/12))*(CK4&gt;0)*(CK4&lt;=$H$19)</f>
        <v/>
      </c>
      <c r="CL172" s="25">
        <f>-IF($K172="Straight Line",$M$157/12,IF(CL$3=1,$M$164/12,$M$166/12))*(CL4&gt;0)*(CL4&lt;=$H$19)</f>
        <v/>
      </c>
      <c r="CM172" s="25">
        <f>-IF($K172="Straight Line",$M$157/12,IF(CM$3=1,$M$164/12,$M$166/12))*(CM4&gt;0)*(CM4&lt;=$H$19)</f>
        <v/>
      </c>
      <c r="CN172" s="25">
        <f>-IF($K172="Straight Line",$M$157/12,IF(CN$3=1,$M$164/12,$M$166/12))*(CN4&gt;0)*(CN4&lt;=$H$19)</f>
        <v/>
      </c>
      <c r="CO172" s="25">
        <f>-IF($K172="Straight Line",$M$157/12,IF(CO$3=1,$M$164/12,$M$166/12))*(CO4&gt;0)*(CO4&lt;=$H$19)</f>
        <v/>
      </c>
      <c r="CP172" s="25">
        <f>-IF($K172="Straight Line",$M$157/12,IF(CP$3=1,$M$164/12,$M$166/12))*(CP4&gt;0)*(CP4&lt;=$H$19)</f>
        <v/>
      </c>
      <c r="CQ172" s="25">
        <f>-IF($K172="Straight Line",$M$157/12,IF(CQ$3=1,$M$164/12,$M$166/12))*(CQ4&gt;0)*(CQ4&lt;=$H$19)</f>
        <v/>
      </c>
      <c r="CR172" s="25">
        <f>-IF($K172="Straight Line",$M$157/12,IF(CR$3=1,$M$164/12,$M$166/12))*(CR4&gt;0)*(CR4&lt;=$H$19)</f>
        <v/>
      </c>
      <c r="CS172" s="25">
        <f>-IF($K172="Straight Line",$M$157/12,IF(CS$3=1,$M$164/12,$M$166/12))*(CS4&gt;0)*(CS4&lt;=$H$19)</f>
        <v/>
      </c>
      <c r="CT172" s="25">
        <f>-IF($K172="Straight Line",$M$157/12,IF(CT$3=1,$M$164/12,$M$166/12))*(CT4&gt;0)*(CT4&lt;=$H$19)</f>
        <v/>
      </c>
      <c r="CU172" s="25">
        <f>-IF($K172="Straight Line",$M$157/12,IF(CU$3=1,$M$164/12,$M$166/12))*(CU4&gt;0)*(CU4&lt;=$H$19)</f>
        <v/>
      </c>
      <c r="CV172" s="25">
        <f>-IF($K172="Straight Line",$M$157/12,IF(CV$3=1,$M$164/12,$M$166/12))*(CV4&gt;0)*(CV4&lt;=$H$19)</f>
        <v/>
      </c>
      <c r="CW172" s="25">
        <f>-IF($K172="Straight Line",$M$157/12,IF(CW$3=1,$M$164/12,$M$166/12))*(CW4&gt;0)*(CW4&lt;=$H$19)</f>
        <v/>
      </c>
      <c r="CX172" s="25">
        <f>-IF($K172="Straight Line",$M$157/12,IF(CX$3=1,$M$164/12,$M$166/12))*(CX4&gt;0)*(CX4&lt;=$H$19)</f>
        <v/>
      </c>
      <c r="CY172" s="25">
        <f>-IF($K172="Straight Line",$M$157/12,IF(CY$3=1,$M$164/12,$M$166/12))*(CY4&gt;0)*(CY4&lt;=$H$19)</f>
        <v/>
      </c>
      <c r="CZ172" s="25">
        <f>-IF($K172="Straight Line",$M$157/12,IF(CZ$3=1,$M$164/12,$M$166/12))*(CZ4&gt;0)*(CZ4&lt;=$H$19)</f>
        <v/>
      </c>
      <c r="DA172" s="25">
        <f>-IF($K172="Straight Line",$M$157/12,IF(DA$3=1,$M$164/12,$M$166/12))*(DA4&gt;0)*(DA4&lt;=$H$19)</f>
        <v/>
      </c>
      <c r="DB172" s="25">
        <f>-IF($K172="Straight Line",$M$157/12,IF(DB$3=1,$M$164/12,$M$166/12))*(DB4&gt;0)*(DB4&lt;=$H$19)</f>
        <v/>
      </c>
      <c r="DC172" s="25">
        <f>-IF($K172="Straight Line",$M$157/12,IF(DC$3=1,$M$164/12,$M$166/12))*(DC4&gt;0)*(DC4&lt;=$H$19)</f>
        <v/>
      </c>
      <c r="DD172" s="25">
        <f>-IF($K172="Straight Line",$M$157/12,IF(DD$3=1,$M$164/12,$M$166/12))*(DD4&gt;0)*(DD4&lt;=$H$19)</f>
        <v/>
      </c>
      <c r="DE172" s="25">
        <f>-IF($K172="Straight Line",$M$157/12,IF(DE$3=1,$M$164/12,$M$166/12))*(DE4&gt;0)*(DE4&lt;=$H$19)</f>
        <v/>
      </c>
      <c r="DF172" s="25">
        <f>-IF($K172="Straight Line",$M$157/12,IF(DF$3=1,$M$164/12,$M$166/12))*(DF4&gt;0)*(DF4&lt;=$H$19)</f>
        <v/>
      </c>
      <c r="DG172" s="25">
        <f>-IF($K172="Straight Line",$M$157/12,IF(DG$3=1,$M$164/12,$M$166/12))*(DG4&gt;0)*(DG4&lt;=$H$19)</f>
        <v/>
      </c>
      <c r="DH172" s="25">
        <f>-IF($K172="Straight Line",$M$157/12,IF(DH$3=1,$M$164/12,$M$166/12))*(DH4&gt;0)*(DH4&lt;=$H$19)</f>
        <v/>
      </c>
      <c r="DI172" s="25">
        <f>-IF($K172="Straight Line",$M$157/12,IF(DI$3=1,$M$164/12,$M$166/12))*(DI4&gt;0)*(DI4&lt;=$H$19)</f>
        <v/>
      </c>
      <c r="DJ172" s="25">
        <f>-IF($K172="Straight Line",$M$157/12,IF(DJ$3=1,$M$164/12,$M$166/12))*(DJ4&gt;0)*(DJ4&lt;=$H$19)</f>
        <v/>
      </c>
      <c r="DK172" s="25">
        <f>-IF($K172="Straight Line",$M$157/12,IF(DK$3=1,$M$164/12,$M$166/12))*(DK4&gt;0)*(DK4&lt;=$H$19)</f>
        <v/>
      </c>
      <c r="DL172" s="25">
        <f>-IF($K172="Straight Line",$M$157/12,IF(DL$3=1,$M$164/12,$M$166/12))*(DL4&gt;0)*(DL4&lt;=$H$19)</f>
        <v/>
      </c>
      <c r="DM172" s="25">
        <f>-IF($K172="Straight Line",$M$157/12,IF(DM$3=1,$M$164/12,$M$166/12))*(DM4&gt;0)*(DM4&lt;=$H$19)</f>
        <v/>
      </c>
      <c r="DN172" s="25">
        <f>-IF($K172="Straight Line",$M$157/12,IF(DN$3=1,$M$164/12,$M$166/12))*(DN4&gt;0)*(DN4&lt;=$H$19)</f>
        <v/>
      </c>
      <c r="DO172" s="25">
        <f>-IF($K172="Straight Line",$M$157/12,IF(DO$3=1,$M$164/12,$M$166/12))*(DO4&gt;0)*(DO4&lt;=$H$19)</f>
        <v/>
      </c>
      <c r="DP172" s="25">
        <f>-IF($K172="Straight Line",$M$157/12,IF(DP$3=1,$M$164/12,$M$166/12))*(DP4&gt;0)*(DP4&lt;=$H$19)</f>
        <v/>
      </c>
      <c r="DQ172" s="25">
        <f>-IF($K172="Straight Line",$M$157/12,IF(DQ$3=1,$M$164/12,$M$166/12))*(DQ4&gt;0)*(DQ4&lt;=$H$19)</f>
        <v/>
      </c>
      <c r="DR172" s="25">
        <f>-IF($K172="Straight Line",$M$157/12,IF(DR$3=1,$M$164/12,$M$166/12))*(DR4&gt;0)*(DR4&lt;=$H$19)</f>
        <v/>
      </c>
      <c r="DS172" s="25">
        <f>-IF($K172="Straight Line",$M$157/12,IF(DS$3=1,$M$164/12,$M$166/12))*(DS4&gt;0)*(DS4&lt;=$H$19)</f>
        <v/>
      </c>
      <c r="DT172" s="25">
        <f>-IF($K172="Straight Line",$M$157/12,IF(DT$3=1,$M$164/12,$M$166/12))*(DT4&gt;0)*(DT4&lt;=$H$19)</f>
        <v/>
      </c>
      <c r="DU172" s="25">
        <f>-IF($K172="Straight Line",$M$157/12,IF(DU$3=1,$M$164/12,$M$166/12))*(DU4&gt;0)*(DU4&lt;=$H$19)</f>
        <v/>
      </c>
      <c r="DV172" s="25">
        <f>-IF($K172="Straight Line",$M$157/12,IF(DV$3=1,$M$164/12,$M$166/12))*(DV4&gt;0)*(DV4&lt;=$H$19)</f>
        <v/>
      </c>
      <c r="DW172" s="25">
        <f>-IF($K172="Straight Line",$M$157/12,IF(DW$3=1,$M$164/12,$M$166/12))*(DW4&gt;0)*(DW4&lt;=$H$19)</f>
        <v/>
      </c>
      <c r="DX172" s="25">
        <f>-IF($K172="Straight Line",$M$157/12,IF(DX$3=1,$M$164/12,$M$166/12))*(DX4&gt;0)*(DX4&lt;=$H$19)</f>
        <v/>
      </c>
      <c r="DY172" s="25">
        <f>-IF($K172="Straight Line",$M$157/12,IF(DY$3=1,$M$164/12,$M$166/12))*(DY4&gt;0)*(DY4&lt;=$H$19)</f>
        <v/>
      </c>
      <c r="DZ172" s="25">
        <f>-IF($K172="Straight Line",$M$157/12,IF(DZ$3=1,$M$164/12,$M$166/12))*(DZ4&gt;0)*(DZ4&lt;=$H$19)</f>
        <v/>
      </c>
      <c r="EA172" s="25">
        <f>-IF($K172="Straight Line",$M$157/12,IF(EA$3=1,$M$164/12,$M$166/12))*(EA4&gt;0)*(EA4&lt;=$H$19)</f>
        <v/>
      </c>
      <c r="EB172" s="25">
        <f>-IF($K172="Straight Line",$M$157/12,IF(EB$3=1,$M$164/12,$M$166/12))*(EB4&gt;0)*(EB4&lt;=$H$19)</f>
        <v/>
      </c>
      <c r="EC172" s="25">
        <f>-IF($K172="Straight Line",$M$157/12,IF(EC$3=1,$M$164/12,$M$166/12))*(EC4&gt;0)*(EC4&lt;=$H$19)</f>
        <v/>
      </c>
      <c r="ED172" s="25">
        <f>-IF($K172="Straight Line",$M$157/12,IF(ED$3=1,$M$164/12,$M$166/12))*(ED4&gt;0)*(ED4&lt;=$H$19)</f>
        <v/>
      </c>
      <c r="EE172" s="25">
        <f>-IF($K172="Straight Line",$M$157/12,IF(EE$3=1,$M$164/12,$M$166/12))*(EE4&gt;0)*(EE4&lt;=$H$19)</f>
        <v/>
      </c>
      <c r="EF172" s="25">
        <f>-IF($K172="Straight Line",$M$157/12,IF(EF$3=1,$M$164/12,$M$166/12))*(EF4&gt;0)*(EF4&lt;=$H$19)</f>
        <v/>
      </c>
      <c r="EG172" s="25">
        <f>-IF($K172="Straight Line",$M$157/12,IF(EG$3=1,$M$164/12,$M$166/12))*(EG4&gt;0)*(EG4&lt;=$H$19)</f>
        <v/>
      </c>
      <c r="EH172" s="25">
        <f>-IF($K172="Straight Line",$M$157/12,IF(EH$3=1,$M$164/12,$M$166/12))*(EH4&gt;0)*(EH4&lt;=$H$19)</f>
        <v/>
      </c>
      <c r="EI172" s="25">
        <f>-IF($K172="Straight Line",$M$157/12,IF(EI$3=1,$M$164/12,$M$166/12))*(EI4&gt;0)*(EI4&lt;=$H$19)</f>
        <v/>
      </c>
      <c r="EJ172" s="25">
        <f>-IF($K172="Straight Line",$M$157/12,IF(EJ$3=1,$M$164/12,$M$166/12))*(EJ4&gt;0)*(EJ4&lt;=$H$19)</f>
        <v/>
      </c>
      <c r="EK172" s="25">
        <f>-IF($K172="Straight Line",$M$157/12,IF(EK$3=1,$M$164/12,$M$166/12))*(EK4&gt;0)*(EK4&lt;=$H$19)</f>
        <v/>
      </c>
      <c r="EL172" s="25">
        <f>-IF($K172="Straight Line",$M$157/12,IF(EL$3=1,$M$164/12,$M$166/12))*(EL4&gt;0)*(EL4&lt;=$H$19)</f>
        <v/>
      </c>
      <c r="EM172" s="25">
        <f>-IF($K172="Straight Line",$M$157/12,IF(EM$3=1,$M$164/12,$M$166/12))*(EM4&gt;0)*(EM4&lt;=$H$19)</f>
        <v/>
      </c>
      <c r="EN172" s="25">
        <f>-IF($K172="Straight Line",$M$157/12,IF(EN$3=1,$M$164/12,$M$166/12))*(EN4&gt;0)*(EN4&lt;=$H$19)</f>
        <v/>
      </c>
      <c r="EO172" s="25">
        <f>-IF($K172="Straight Line",$M$157/12,IF(EO$3=1,$M$164/12,$M$166/12))*(EO4&gt;0)*(EO4&lt;=$H$19)</f>
        <v/>
      </c>
      <c r="EP172" s="25">
        <f>-IF($K172="Straight Line",$M$157/12,IF(EP$3=1,$M$164/12,$M$166/12))*(EP4&gt;0)*(EP4&lt;=$H$19)</f>
        <v/>
      </c>
      <c r="EQ172" s="25">
        <f>-IF($K172="Straight Line",$M$157/12,IF(EQ$3=1,$M$164/12,$M$166/12))*(EQ4&gt;0)*(EQ4&lt;=$H$19)</f>
        <v/>
      </c>
      <c r="ER172" s="25">
        <f>-IF($K172="Straight Line",$M$157/12,IF(ER$3=1,$M$164/12,$M$166/12))*(ER4&gt;0)*(ER4&lt;=$H$19)</f>
        <v/>
      </c>
      <c r="ES172" s="25">
        <f>-IF($K172="Straight Line",$M$157/12,IF(ES$3=1,$M$164/12,$M$166/12))*(ES4&gt;0)*(ES4&lt;=$H$19)</f>
        <v/>
      </c>
      <c r="ET172" s="25">
        <f>-IF($K172="Straight Line",$M$157/12,IF(ET$3=1,$M$164/12,$M$166/12))*(ET4&gt;0)*(ET4&lt;=$H$19)</f>
        <v/>
      </c>
      <c r="EU172" s="25">
        <f>-IF($K172="Straight Line",$M$157/12,IF(EU$3=1,$M$164/12,$M$166/12))*(EU4&gt;0)*(EU4&lt;=$H$19)</f>
        <v/>
      </c>
      <c r="EV172" s="25">
        <f>-IF($K172="Straight Line",$M$157/12,IF(EV$3=1,$M$164/12,$M$166/12))*(EV4&gt;0)*(EV4&lt;=$H$19)</f>
        <v/>
      </c>
      <c r="EW172" s="25">
        <f>-IF($K172="Straight Line",$M$157/12,IF(EW$3=1,$M$164/12,$M$166/12))*(EW4&gt;0)*(EW4&lt;=$H$19)</f>
        <v/>
      </c>
      <c r="EX172" s="25">
        <f>-IF($K172="Straight Line",$M$157/12,IF(EX$3=1,$M$164/12,$M$166/12))*(EX4&gt;0)*(EX4&lt;=$H$19)</f>
        <v/>
      </c>
    </row>
    <row r="173">
      <c r="J173" s="273" t="inlineStr">
        <is>
          <t>Total</t>
        </is>
      </c>
      <c r="K173" s="273" t="n"/>
      <c r="L173" s="361" t="n"/>
      <c r="M173" s="273">
        <f>SUM(V173:EX173)</f>
        <v/>
      </c>
      <c r="N173" s="361" t="n"/>
      <c r="O173" s="273">
        <f>SUMIF($V$5:$EX$5,O$7,$V173:$EX173)</f>
        <v/>
      </c>
      <c r="P173" s="273">
        <f>SUMIF($V$5:$EX$5,P$7,$V173:$EX173)</f>
        <v/>
      </c>
      <c r="Q173" s="273">
        <f>SUMIF($V$5:$EX$5,Q$7,$V173:$EX173)</f>
        <v/>
      </c>
      <c r="R173" s="273">
        <f>SUMIF($V$5:$EX$5,R$7,$V173:$EX173)</f>
        <v/>
      </c>
      <c r="S173" s="273">
        <f>SUMIF($V$5:$EX$5,S$7,$V173:$EX173)</f>
        <v/>
      </c>
      <c r="T173" s="273">
        <f>SUMIF($V$5:$EX$5,T$7,$V173:$EX173)</f>
        <v/>
      </c>
      <c r="U173" s="361" t="n"/>
      <c r="V173" s="273">
        <f>SUM(V170:V172)</f>
        <v/>
      </c>
      <c r="W173" s="273">
        <f>SUM(W170:W172)</f>
        <v/>
      </c>
      <c r="X173" s="273">
        <f>SUM(X170:X172)</f>
        <v/>
      </c>
      <c r="Y173" s="273">
        <f>SUM(Y170:Y172)</f>
        <v/>
      </c>
      <c r="Z173" s="273">
        <f>SUM(Z170:Z172)</f>
        <v/>
      </c>
      <c r="AA173" s="273">
        <f>SUM(AA170:AA172)</f>
        <v/>
      </c>
      <c r="AB173" s="273">
        <f>SUM(AB170:AB172)</f>
        <v/>
      </c>
      <c r="AC173" s="273">
        <f>SUM(AC170:AC172)</f>
        <v/>
      </c>
      <c r="AD173" s="273">
        <f>SUM(AD170:AD172)</f>
        <v/>
      </c>
      <c r="AE173" s="273">
        <f>SUM(AE170:AE172)</f>
        <v/>
      </c>
      <c r="AF173" s="273">
        <f>SUM(AF170:AF172)</f>
        <v/>
      </c>
      <c r="AG173" s="273">
        <f>SUM(AG170:AG172)</f>
        <v/>
      </c>
      <c r="AH173" s="273">
        <f>SUM(AH170:AH172)</f>
        <v/>
      </c>
      <c r="AI173" s="273">
        <f>SUM(AI170:AI172)</f>
        <v/>
      </c>
      <c r="AJ173" s="273">
        <f>SUM(AJ170:AJ172)</f>
        <v/>
      </c>
      <c r="AK173" s="273">
        <f>SUM(AK170:AK172)</f>
        <v/>
      </c>
      <c r="AL173" s="273">
        <f>SUM(AL170:AL172)</f>
        <v/>
      </c>
      <c r="AM173" s="273">
        <f>SUM(AM170:AM172)</f>
        <v/>
      </c>
      <c r="AN173" s="273">
        <f>SUM(AN170:AN172)</f>
        <v/>
      </c>
      <c r="AO173" s="273">
        <f>SUM(AO170:AO172)</f>
        <v/>
      </c>
      <c r="AP173" s="273">
        <f>SUM(AP170:AP172)</f>
        <v/>
      </c>
      <c r="AQ173" s="273">
        <f>SUM(AQ170:AQ172)</f>
        <v/>
      </c>
      <c r="AR173" s="273">
        <f>SUM(AR170:AR172)</f>
        <v/>
      </c>
      <c r="AS173" s="273">
        <f>SUM(AS170:AS172)</f>
        <v/>
      </c>
      <c r="AT173" s="273">
        <f>SUM(AT170:AT172)</f>
        <v/>
      </c>
      <c r="AU173" s="273">
        <f>SUM(AU170:AU172)</f>
        <v/>
      </c>
      <c r="AV173" s="273">
        <f>SUM(AV170:AV172)</f>
        <v/>
      </c>
      <c r="AW173" s="273">
        <f>SUM(AW170:AW172)</f>
        <v/>
      </c>
      <c r="AX173" s="273">
        <f>SUM(AX170:AX172)</f>
        <v/>
      </c>
      <c r="AY173" s="273">
        <f>SUM(AY170:AY172)</f>
        <v/>
      </c>
      <c r="AZ173" s="273">
        <f>SUM(AZ170:AZ172)</f>
        <v/>
      </c>
      <c r="BA173" s="273">
        <f>SUM(BA170:BA172)</f>
        <v/>
      </c>
      <c r="BB173" s="273">
        <f>SUM(BB170:BB172)</f>
        <v/>
      </c>
      <c r="BC173" s="273">
        <f>SUM(BC170:BC172)</f>
        <v/>
      </c>
      <c r="BD173" s="273">
        <f>SUM(BD170:BD172)</f>
        <v/>
      </c>
      <c r="BE173" s="273">
        <f>SUM(BE170:BE172)</f>
        <v/>
      </c>
      <c r="BF173" s="273">
        <f>SUM(BF170:BF172)</f>
        <v/>
      </c>
      <c r="BG173" s="273">
        <f>SUM(BG170:BG172)</f>
        <v/>
      </c>
      <c r="BH173" s="273">
        <f>SUM(BH170:BH172)</f>
        <v/>
      </c>
      <c r="BI173" s="273">
        <f>SUM(BI170:BI172)</f>
        <v/>
      </c>
      <c r="BJ173" s="273">
        <f>SUM(BJ170:BJ172)</f>
        <v/>
      </c>
      <c r="BK173" s="273">
        <f>SUM(BK170:BK172)</f>
        <v/>
      </c>
      <c r="BL173" s="273">
        <f>SUM(BL170:BL172)</f>
        <v/>
      </c>
      <c r="BM173" s="273">
        <f>SUM(BM170:BM172)</f>
        <v/>
      </c>
      <c r="BN173" s="273">
        <f>SUM(BN170:BN172)</f>
        <v/>
      </c>
      <c r="BO173" s="273">
        <f>SUM(BO170:BO172)</f>
        <v/>
      </c>
      <c r="BP173" s="273">
        <f>SUM(BP170:BP172)</f>
        <v/>
      </c>
      <c r="BQ173" s="273">
        <f>SUM(BQ170:BQ172)</f>
        <v/>
      </c>
      <c r="BR173" s="273">
        <f>SUM(BR170:BR172)</f>
        <v/>
      </c>
      <c r="BS173" s="273">
        <f>SUM(BS170:BS172)</f>
        <v/>
      </c>
      <c r="BT173" s="273">
        <f>SUM(BT170:BT172)</f>
        <v/>
      </c>
      <c r="BU173" s="273">
        <f>SUM(BU170:BU172)</f>
        <v/>
      </c>
      <c r="BV173" s="273">
        <f>SUM(BV170:BV172)</f>
        <v/>
      </c>
      <c r="BW173" s="273">
        <f>SUM(BW170:BW172)</f>
        <v/>
      </c>
      <c r="BX173" s="273">
        <f>SUM(BX170:BX172)</f>
        <v/>
      </c>
      <c r="BY173" s="273">
        <f>SUM(BY170:BY172)</f>
        <v/>
      </c>
      <c r="BZ173" s="273">
        <f>SUM(BZ170:BZ172)</f>
        <v/>
      </c>
      <c r="CA173" s="273">
        <f>SUM(CA170:CA172)</f>
        <v/>
      </c>
      <c r="CB173" s="273">
        <f>SUM(CB170:CB172)</f>
        <v/>
      </c>
      <c r="CC173" s="273">
        <f>SUM(CC170:CC172)</f>
        <v/>
      </c>
      <c r="CD173" s="273">
        <f>SUM(CD170:CD172)</f>
        <v/>
      </c>
      <c r="CE173" s="273">
        <f>SUM(CE170:CE172)</f>
        <v/>
      </c>
      <c r="CF173" s="273">
        <f>SUM(CF170:CF172)</f>
        <v/>
      </c>
      <c r="CG173" s="273">
        <f>SUM(CG170:CG172)</f>
        <v/>
      </c>
      <c r="CH173" s="273">
        <f>SUM(CH170:CH172)</f>
        <v/>
      </c>
      <c r="CI173" s="273">
        <f>SUM(CI170:CI172)</f>
        <v/>
      </c>
      <c r="CJ173" s="273">
        <f>SUM(CJ170:CJ172)</f>
        <v/>
      </c>
      <c r="CK173" s="273">
        <f>SUM(CK170:CK172)</f>
        <v/>
      </c>
      <c r="CL173" s="273">
        <f>SUM(CL170:CL172)</f>
        <v/>
      </c>
      <c r="CM173" s="273">
        <f>SUM(CM170:CM172)</f>
        <v/>
      </c>
      <c r="CN173" s="273">
        <f>SUM(CN170:CN172)</f>
        <v/>
      </c>
      <c r="CO173" s="273">
        <f>SUM(CO170:CO172)</f>
        <v/>
      </c>
      <c r="CP173" s="273">
        <f>SUM(CP170:CP172)</f>
        <v/>
      </c>
      <c r="CQ173" s="273">
        <f>SUM(CQ170:CQ172)</f>
        <v/>
      </c>
      <c r="CR173" s="273">
        <f>SUM(CR170:CR172)</f>
        <v/>
      </c>
      <c r="CS173" s="273">
        <f>SUM(CS170:CS172)</f>
        <v/>
      </c>
      <c r="CT173" s="273">
        <f>SUM(CT170:CT172)</f>
        <v/>
      </c>
      <c r="CU173" s="273">
        <f>SUM(CU170:CU172)</f>
        <v/>
      </c>
      <c r="CV173" s="273">
        <f>SUM(CV170:CV172)</f>
        <v/>
      </c>
      <c r="CW173" s="273">
        <f>SUM(CW170:CW172)</f>
        <v/>
      </c>
      <c r="CX173" s="273">
        <f>SUM(CX170:CX172)</f>
        <v/>
      </c>
      <c r="CY173" s="273">
        <f>SUM(CY170:CY172)</f>
        <v/>
      </c>
      <c r="CZ173" s="273">
        <f>SUM(CZ170:CZ172)</f>
        <v/>
      </c>
      <c r="DA173" s="273">
        <f>SUM(DA170:DA172)</f>
        <v/>
      </c>
      <c r="DB173" s="273">
        <f>SUM(DB170:DB172)</f>
        <v/>
      </c>
      <c r="DC173" s="273">
        <f>SUM(DC170:DC172)</f>
        <v/>
      </c>
      <c r="DD173" s="273">
        <f>SUM(DD170:DD172)</f>
        <v/>
      </c>
      <c r="DE173" s="273">
        <f>SUM(DE170:DE172)</f>
        <v/>
      </c>
      <c r="DF173" s="273">
        <f>SUM(DF170:DF172)</f>
        <v/>
      </c>
      <c r="DG173" s="273">
        <f>SUM(DG170:DG172)</f>
        <v/>
      </c>
      <c r="DH173" s="273">
        <f>SUM(DH170:DH172)</f>
        <v/>
      </c>
      <c r="DI173" s="273">
        <f>SUM(DI170:DI172)</f>
        <v/>
      </c>
      <c r="DJ173" s="273">
        <f>SUM(DJ170:DJ172)</f>
        <v/>
      </c>
      <c r="DK173" s="273">
        <f>SUM(DK170:DK172)</f>
        <v/>
      </c>
      <c r="DL173" s="273">
        <f>SUM(DL170:DL172)</f>
        <v/>
      </c>
      <c r="DM173" s="273">
        <f>SUM(DM170:DM172)</f>
        <v/>
      </c>
      <c r="DN173" s="273">
        <f>SUM(DN170:DN172)</f>
        <v/>
      </c>
      <c r="DO173" s="273">
        <f>SUM(DO170:DO172)</f>
        <v/>
      </c>
      <c r="DP173" s="273">
        <f>SUM(DP170:DP172)</f>
        <v/>
      </c>
      <c r="DQ173" s="273">
        <f>SUM(DQ170:DQ172)</f>
        <v/>
      </c>
      <c r="DR173" s="273">
        <f>SUM(DR170:DR172)</f>
        <v/>
      </c>
      <c r="DS173" s="273">
        <f>SUM(DS170:DS172)</f>
        <v/>
      </c>
      <c r="DT173" s="273">
        <f>SUM(DT170:DT172)</f>
        <v/>
      </c>
      <c r="DU173" s="273">
        <f>SUM(DU170:DU172)</f>
        <v/>
      </c>
      <c r="DV173" s="273">
        <f>SUM(DV170:DV172)</f>
        <v/>
      </c>
      <c r="DW173" s="273">
        <f>SUM(DW170:DW172)</f>
        <v/>
      </c>
      <c r="DX173" s="273">
        <f>SUM(DX170:DX172)</f>
        <v/>
      </c>
      <c r="DY173" s="273">
        <f>SUM(DY170:DY172)</f>
        <v/>
      </c>
      <c r="DZ173" s="273">
        <f>SUM(DZ170:DZ172)</f>
        <v/>
      </c>
      <c r="EA173" s="273">
        <f>SUM(EA170:EA172)</f>
        <v/>
      </c>
      <c r="EB173" s="273">
        <f>SUM(EB170:EB172)</f>
        <v/>
      </c>
      <c r="EC173" s="273">
        <f>SUM(EC170:EC172)</f>
        <v/>
      </c>
      <c r="ED173" s="273">
        <f>SUM(ED170:ED172)</f>
        <v/>
      </c>
      <c r="EE173" s="273">
        <f>SUM(EE170:EE172)</f>
        <v/>
      </c>
      <c r="EF173" s="273">
        <f>SUM(EF170:EF172)</f>
        <v/>
      </c>
      <c r="EG173" s="273">
        <f>SUM(EG170:EG172)</f>
        <v/>
      </c>
      <c r="EH173" s="273">
        <f>SUM(EH170:EH172)</f>
        <v/>
      </c>
      <c r="EI173" s="273">
        <f>SUM(EI170:EI172)</f>
        <v/>
      </c>
      <c r="EJ173" s="273">
        <f>SUM(EJ170:EJ172)</f>
        <v/>
      </c>
      <c r="EK173" s="273">
        <f>SUM(EK170:EK172)</f>
        <v/>
      </c>
      <c r="EL173" s="273">
        <f>SUM(EL170:EL172)</f>
        <v/>
      </c>
      <c r="EM173" s="273">
        <f>SUM(EM170:EM172)</f>
        <v/>
      </c>
      <c r="EN173" s="273">
        <f>SUM(EN170:EN172)</f>
        <v/>
      </c>
      <c r="EO173" s="273">
        <f>SUM(EO170:EO172)</f>
        <v/>
      </c>
      <c r="EP173" s="273">
        <f>SUM(EP170:EP172)</f>
        <v/>
      </c>
      <c r="EQ173" s="273">
        <f>SUM(EQ170:EQ172)</f>
        <v/>
      </c>
      <c r="ER173" s="273">
        <f>SUM(ER170:ER172)</f>
        <v/>
      </c>
      <c r="ES173" s="273">
        <f>SUM(ES170:ES172)</f>
        <v/>
      </c>
      <c r="ET173" s="273">
        <f>SUM(ET170:ET172)</f>
        <v/>
      </c>
      <c r="EU173" s="273">
        <f>SUM(EU170:EU172)</f>
        <v/>
      </c>
      <c r="EV173" s="273">
        <f>SUM(EV170:EV172)</f>
        <v/>
      </c>
      <c r="EW173" s="273">
        <f>SUM(EW170:EW172)</f>
        <v/>
      </c>
      <c r="EX173" s="273">
        <f>SUM(EX170:EX172)</f>
        <v/>
      </c>
    </row>
    <row r="174">
      <c r="J174" s="355" t="inlineStr">
        <is>
          <t>Aequitas Portion</t>
        </is>
      </c>
      <c r="K174" s="264" t="n"/>
      <c r="L174" s="282" t="n"/>
      <c r="M174" s="264">
        <f>SUM(V174:EX174)</f>
        <v/>
      </c>
      <c r="N174" s="282" t="n"/>
      <c r="O174" s="264" t="n"/>
      <c r="P174" s="264" t="n"/>
      <c r="Q174" s="264" t="n"/>
      <c r="R174" s="264" t="n"/>
      <c r="S174" s="264" t="n"/>
      <c r="T174" s="264" t="n"/>
      <c r="U174" s="282" t="n"/>
      <c r="V174" s="264">
        <f>V173*$G$8</f>
        <v/>
      </c>
      <c r="W174" s="264">
        <f>W173*$G$8</f>
        <v/>
      </c>
      <c r="X174" s="264">
        <f>X173*$G$8</f>
        <v/>
      </c>
      <c r="Y174" s="264">
        <f>Y173*$G$8</f>
        <v/>
      </c>
      <c r="Z174" s="264">
        <f>Z173*$G$8</f>
        <v/>
      </c>
      <c r="AA174" s="264">
        <f>AA173*$G$8</f>
        <v/>
      </c>
      <c r="AB174" s="264">
        <f>AB173*$G$8</f>
        <v/>
      </c>
      <c r="AC174" s="264">
        <f>AC173*$G$8</f>
        <v/>
      </c>
      <c r="AD174" s="264">
        <f>AD173*$G$8</f>
        <v/>
      </c>
      <c r="AE174" s="264">
        <f>AE173*$G$8</f>
        <v/>
      </c>
      <c r="AF174" s="264">
        <f>AF173*$G$8</f>
        <v/>
      </c>
      <c r="AG174" s="264">
        <f>AG173*$G$8</f>
        <v/>
      </c>
      <c r="AH174" s="264">
        <f>AH173*$G$8</f>
        <v/>
      </c>
      <c r="AI174" s="264">
        <f>AI173*$G$8</f>
        <v/>
      </c>
      <c r="AJ174" s="264">
        <f>AJ173*$G$8</f>
        <v/>
      </c>
      <c r="AK174" s="264">
        <f>AK173*$G$8</f>
        <v/>
      </c>
      <c r="AL174" s="264">
        <f>AL173*$G$8</f>
        <v/>
      </c>
      <c r="AM174" s="264">
        <f>AM173*$G$8</f>
        <v/>
      </c>
      <c r="AN174" s="264">
        <f>AN173*$G$8</f>
        <v/>
      </c>
      <c r="AO174" s="264">
        <f>AO173*$G$8</f>
        <v/>
      </c>
      <c r="AP174" s="264">
        <f>AP173*$G$8</f>
        <v/>
      </c>
      <c r="AQ174" s="264">
        <f>AQ173*$G$8</f>
        <v/>
      </c>
      <c r="AR174" s="264">
        <f>AR173*$G$8</f>
        <v/>
      </c>
      <c r="AS174" s="264">
        <f>AS173*$G$8</f>
        <v/>
      </c>
      <c r="AT174" s="264">
        <f>AT173*$G$8</f>
        <v/>
      </c>
      <c r="AU174" s="264">
        <f>AU173*$G$8</f>
        <v/>
      </c>
      <c r="AV174" s="264">
        <f>AV173*$G$8</f>
        <v/>
      </c>
      <c r="AW174" s="264">
        <f>AW173*$G$8</f>
        <v/>
      </c>
      <c r="AX174" s="264">
        <f>AX173*$G$8</f>
        <v/>
      </c>
      <c r="AY174" s="264">
        <f>AY173*$G$8</f>
        <v/>
      </c>
      <c r="AZ174" s="264">
        <f>AZ173*$G$8</f>
        <v/>
      </c>
      <c r="BA174" s="264">
        <f>BA173*$G$8</f>
        <v/>
      </c>
      <c r="BB174" s="264">
        <f>BB173*$G$8</f>
        <v/>
      </c>
      <c r="BC174" s="264">
        <f>BC173*$G$8</f>
        <v/>
      </c>
      <c r="BD174" s="264">
        <f>BD173*$G$8</f>
        <v/>
      </c>
      <c r="BE174" s="264">
        <f>BE173*$G$8</f>
        <v/>
      </c>
      <c r="BF174" s="264">
        <f>BF173*$G$8</f>
        <v/>
      </c>
      <c r="BG174" s="264">
        <f>BG173*$G$8</f>
        <v/>
      </c>
      <c r="BH174" s="264">
        <f>BH173*$G$8</f>
        <v/>
      </c>
      <c r="BI174" s="264">
        <f>BI173*$G$8</f>
        <v/>
      </c>
      <c r="BJ174" s="264">
        <f>BJ173*$G$8</f>
        <v/>
      </c>
      <c r="BK174" s="264">
        <f>BK173*$G$8</f>
        <v/>
      </c>
      <c r="BL174" s="264">
        <f>BL173*$G$8</f>
        <v/>
      </c>
      <c r="BM174" s="264">
        <f>BM173*$G$8</f>
        <v/>
      </c>
      <c r="BN174" s="264">
        <f>BN173*$G$8</f>
        <v/>
      </c>
      <c r="BO174" s="264">
        <f>BO173*$G$8</f>
        <v/>
      </c>
      <c r="BP174" s="264">
        <f>BP173*$G$8</f>
        <v/>
      </c>
      <c r="BQ174" s="264">
        <f>BQ173*$G$8</f>
        <v/>
      </c>
      <c r="BR174" s="264">
        <f>BR173*$G$8</f>
        <v/>
      </c>
      <c r="BS174" s="264">
        <f>BS173*$G$8</f>
        <v/>
      </c>
      <c r="BT174" s="264">
        <f>BT173*$G$8</f>
        <v/>
      </c>
      <c r="BU174" s="264">
        <f>BU173*$G$8</f>
        <v/>
      </c>
      <c r="BV174" s="264">
        <f>BV173*$G$8</f>
        <v/>
      </c>
      <c r="BW174" s="264">
        <f>BW173*$G$8</f>
        <v/>
      </c>
      <c r="BX174" s="264">
        <f>BX173*$G$8</f>
        <v/>
      </c>
      <c r="BY174" s="264">
        <f>BY173*$G$8</f>
        <v/>
      </c>
      <c r="BZ174" s="264">
        <f>BZ173*$G$8</f>
        <v/>
      </c>
      <c r="CA174" s="264">
        <f>CA173*$G$8</f>
        <v/>
      </c>
      <c r="CB174" s="264">
        <f>CB173*$G$8</f>
        <v/>
      </c>
      <c r="CC174" s="264">
        <f>CC173*$G$8</f>
        <v/>
      </c>
      <c r="CD174" s="264">
        <f>CD173*$G$8</f>
        <v/>
      </c>
      <c r="CE174" s="264">
        <f>CE173*$G$8</f>
        <v/>
      </c>
      <c r="CF174" s="264">
        <f>CF173*$G$8</f>
        <v/>
      </c>
      <c r="CG174" s="264">
        <f>CG173*$G$8</f>
        <v/>
      </c>
      <c r="CH174" s="264">
        <f>CH173*$G$8</f>
        <v/>
      </c>
      <c r="CI174" s="264">
        <f>CI173*$G$8</f>
        <v/>
      </c>
      <c r="CJ174" s="264">
        <f>CJ173*$G$8</f>
        <v/>
      </c>
      <c r="CK174" s="264">
        <f>CK173*$G$8</f>
        <v/>
      </c>
      <c r="CL174" s="264">
        <f>CL173*$G$8</f>
        <v/>
      </c>
      <c r="CM174" s="264">
        <f>CM173*$G$8</f>
        <v/>
      </c>
      <c r="CN174" s="264">
        <f>CN173*$G$8</f>
        <v/>
      </c>
      <c r="CO174" s="264">
        <f>CO173*$G$8</f>
        <v/>
      </c>
      <c r="CP174" s="264">
        <f>CP173*$G$8</f>
        <v/>
      </c>
      <c r="CQ174" s="264">
        <f>CQ173*$G$8</f>
        <v/>
      </c>
      <c r="CR174" s="264">
        <f>CR173*$G$8</f>
        <v/>
      </c>
      <c r="CS174" s="264">
        <f>CS173*$G$8</f>
        <v/>
      </c>
      <c r="CT174" s="264">
        <f>CT173*$G$8</f>
        <v/>
      </c>
      <c r="CU174" s="264">
        <f>CU173*$G$8</f>
        <v/>
      </c>
      <c r="CV174" s="264">
        <f>CV173*$G$8</f>
        <v/>
      </c>
      <c r="CW174" s="264">
        <f>CW173*$G$8</f>
        <v/>
      </c>
      <c r="CX174" s="264">
        <f>CX173*$G$8</f>
        <v/>
      </c>
      <c r="CY174" s="264">
        <f>CY173*$G$8</f>
        <v/>
      </c>
      <c r="CZ174" s="264">
        <f>CZ173*$G$8</f>
        <v/>
      </c>
      <c r="DA174" s="264">
        <f>DA173*$G$8</f>
        <v/>
      </c>
      <c r="DB174" s="264">
        <f>DB173*$G$8</f>
        <v/>
      </c>
      <c r="DC174" s="264">
        <f>DC173*$G$8</f>
        <v/>
      </c>
      <c r="DD174" s="264">
        <f>DD173*$G$8</f>
        <v/>
      </c>
      <c r="DE174" s="264">
        <f>DE173*$G$8</f>
        <v/>
      </c>
      <c r="DF174" s="264">
        <f>DF173*$G$8</f>
        <v/>
      </c>
      <c r="DG174" s="264">
        <f>DG173*$G$8</f>
        <v/>
      </c>
      <c r="DH174" s="264">
        <f>DH173*$G$8</f>
        <v/>
      </c>
      <c r="DI174" s="264">
        <f>DI173*$G$8</f>
        <v/>
      </c>
      <c r="DJ174" s="264">
        <f>DJ173*$G$8</f>
        <v/>
      </c>
      <c r="DK174" s="264">
        <f>DK173*$G$8</f>
        <v/>
      </c>
      <c r="DL174" s="264">
        <f>DL173*$G$8</f>
        <v/>
      </c>
      <c r="DM174" s="264">
        <f>DM173*$G$8</f>
        <v/>
      </c>
      <c r="DN174" s="264">
        <f>DN173*$G$8</f>
        <v/>
      </c>
      <c r="DO174" s="264">
        <f>DO173*$G$8</f>
        <v/>
      </c>
      <c r="DP174" s="264">
        <f>DP173*$G$8</f>
        <v/>
      </c>
      <c r="DQ174" s="264">
        <f>DQ173*$G$8</f>
        <v/>
      </c>
      <c r="DR174" s="264">
        <f>DR173*$G$8</f>
        <v/>
      </c>
      <c r="DS174" s="264">
        <f>DS173*$G$8</f>
        <v/>
      </c>
      <c r="DT174" s="264">
        <f>DT173*$G$8</f>
        <v/>
      </c>
      <c r="DU174" s="264">
        <f>DU173*$G$8</f>
        <v/>
      </c>
      <c r="DV174" s="264">
        <f>DV173*$G$8</f>
        <v/>
      </c>
      <c r="DW174" s="264">
        <f>DW173*$G$8</f>
        <v/>
      </c>
      <c r="DX174" s="264">
        <f>DX173*$G$8</f>
        <v/>
      </c>
      <c r="DY174" s="264">
        <f>DY173*$G$8</f>
        <v/>
      </c>
      <c r="DZ174" s="264">
        <f>DZ173*$G$8</f>
        <v/>
      </c>
      <c r="EA174" s="264">
        <f>EA173*$G$8</f>
        <v/>
      </c>
      <c r="EB174" s="264">
        <f>EB173*$G$8</f>
        <v/>
      </c>
      <c r="EC174" s="264">
        <f>EC173*$G$8</f>
        <v/>
      </c>
      <c r="ED174" s="264">
        <f>ED173*$G$8</f>
        <v/>
      </c>
      <c r="EE174" s="264">
        <f>EE173*$G$8</f>
        <v/>
      </c>
      <c r="EF174" s="264">
        <f>EF173*$G$8</f>
        <v/>
      </c>
      <c r="EG174" s="264">
        <f>EG173*$G$8</f>
        <v/>
      </c>
      <c r="EH174" s="264">
        <f>EH173*$G$8</f>
        <v/>
      </c>
      <c r="EI174" s="264">
        <f>EI173*$G$8</f>
        <v/>
      </c>
      <c r="EJ174" s="264">
        <f>EJ173*$G$8</f>
        <v/>
      </c>
      <c r="EK174" s="264">
        <f>EK173*$G$8</f>
        <v/>
      </c>
      <c r="EL174" s="264">
        <f>EL173*$G$8</f>
        <v/>
      </c>
      <c r="EM174" s="264">
        <f>EM173*$G$8</f>
        <v/>
      </c>
      <c r="EN174" s="264">
        <f>EN173*$G$8</f>
        <v/>
      </c>
      <c r="EO174" s="264">
        <f>EO173*$G$8</f>
        <v/>
      </c>
      <c r="EP174" s="264">
        <f>EP173*$G$8</f>
        <v/>
      </c>
      <c r="EQ174" s="264">
        <f>EQ173*$G$8</f>
        <v/>
      </c>
      <c r="ER174" s="264">
        <f>ER173*$G$8</f>
        <v/>
      </c>
      <c r="ES174" s="264">
        <f>ES173*$G$8</f>
        <v/>
      </c>
      <c r="ET174" s="264">
        <f>ET173*$G$8</f>
        <v/>
      </c>
      <c r="EU174" s="264">
        <f>EU173*$G$8</f>
        <v/>
      </c>
      <c r="EV174" s="264">
        <f>EV173*$G$8</f>
        <v/>
      </c>
      <c r="EW174" s="264">
        <f>EW173*$G$8</f>
        <v/>
      </c>
      <c r="EX174" s="264">
        <f>EX173*$G$8</f>
        <v/>
      </c>
    </row>
    <row r="177" customFormat="1" s="264">
      <c r="B177" s="9" t="n"/>
      <c r="C177" s="9" t="n"/>
      <c r="D177" s="9" t="n"/>
      <c r="E177" s="9" t="n"/>
      <c r="F177" s="9" t="n"/>
      <c r="G177" s="9" t="n"/>
      <c r="H177" s="9" t="n"/>
      <c r="I177" s="361" t="n"/>
      <c r="J177" s="9" t="n"/>
      <c r="K177" s="9" t="n"/>
      <c r="L177" s="12" t="n"/>
      <c r="M177" s="25" t="n"/>
      <c r="N177" s="12" t="n"/>
      <c r="O177" s="9" t="n"/>
      <c r="P177" s="9" t="n"/>
      <c r="Q177" s="9" t="n"/>
      <c r="R177" s="9" t="n"/>
      <c r="S177" s="9" t="n"/>
      <c r="T177" s="9" t="n"/>
      <c r="U177" s="12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  <c r="BY177" s="9" t="n"/>
      <c r="BZ177" s="9" t="n"/>
      <c r="CA177" s="9" t="n"/>
      <c r="CB177" s="9" t="n"/>
      <c r="CC177" s="9" t="n"/>
      <c r="CD177" s="9" t="n"/>
      <c r="CE177" s="9" t="n"/>
      <c r="CF177" s="9" t="n"/>
      <c r="CG177" s="9" t="n"/>
      <c r="CH177" s="9" t="n"/>
      <c r="CI177" s="9" t="n"/>
      <c r="CJ177" s="9" t="n"/>
      <c r="CK177" s="9" t="n"/>
      <c r="CL177" s="9" t="n"/>
      <c r="CM177" s="9" t="n"/>
      <c r="CN177" s="9" t="n"/>
      <c r="CO177" s="9" t="n"/>
      <c r="CP177" s="9" t="n"/>
      <c r="CQ177" s="9" t="n"/>
      <c r="CR177" s="9" t="n"/>
      <c r="CS177" s="9" t="n"/>
      <c r="CT177" s="9" t="n"/>
      <c r="CU177" s="9" t="n"/>
      <c r="CV177" s="9" t="n"/>
      <c r="CW177" s="9" t="n"/>
      <c r="CX177" s="9" t="n"/>
      <c r="CY177" s="9" t="n"/>
      <c r="CZ177" s="9" t="n"/>
      <c r="DA177" s="9" t="n"/>
      <c r="DB177" s="9" t="n"/>
      <c r="DC177" s="9" t="n"/>
      <c r="DD177" s="9" t="n"/>
      <c r="DE177" s="9" t="n"/>
      <c r="DF177" s="9" t="n"/>
      <c r="DG177" s="9" t="n"/>
      <c r="DH177" s="9" t="n"/>
      <c r="DI177" s="9" t="n"/>
      <c r="DJ177" s="9" t="n"/>
      <c r="DK177" s="9" t="n"/>
      <c r="DL177" s="9" t="n"/>
      <c r="DM177" s="9" t="n"/>
      <c r="DN177" s="9" t="n"/>
      <c r="DO177" s="9" t="n"/>
      <c r="DP177" s="9" t="n"/>
      <c r="DQ177" s="9" t="n"/>
      <c r="DR177" s="9" t="n"/>
      <c r="DS177" s="9" t="n"/>
      <c r="DT177" s="9" t="n"/>
      <c r="DU177" s="9" t="n"/>
      <c r="DV177" s="9" t="n"/>
      <c r="DW177" s="9" t="n"/>
      <c r="DX177" s="9" t="n"/>
      <c r="DY177" s="9" t="n"/>
      <c r="DZ177" s="9" t="n"/>
      <c r="EA177" s="9" t="n"/>
      <c r="EB177" s="9" t="n"/>
      <c r="EC177" s="9" t="n"/>
      <c r="ED177" s="9" t="n"/>
      <c r="EE177" s="9" t="n"/>
      <c r="EF177" s="9" t="n"/>
      <c r="EG177" s="9" t="n"/>
      <c r="EH177" s="9" t="n"/>
      <c r="EI177" s="9" t="n"/>
      <c r="EJ177" s="9" t="n"/>
      <c r="EK177" s="9" t="n"/>
      <c r="EL177" s="9" t="n"/>
      <c r="EM177" s="9" t="n"/>
      <c r="EN177" s="9" t="n"/>
      <c r="EO177" s="9" t="n"/>
      <c r="EP177" s="9" t="n"/>
      <c r="EQ177" s="9" t="n"/>
      <c r="ER177" s="9" t="n"/>
      <c r="ES177" s="9" t="n"/>
      <c r="ET177" s="9" t="n"/>
      <c r="EU177" s="9" t="n"/>
      <c r="EV177" s="9" t="n"/>
      <c r="EW177" s="9" t="n"/>
      <c r="EX177" s="9" t="n"/>
    </row>
    <row r="178">
      <c r="I178" s="282" t="n"/>
    </row>
    <row r="180">
      <c r="B180" s="33" t="n"/>
    </row>
    <row r="182">
      <c r="B182" s="33" t="n"/>
    </row>
    <row r="186" customFormat="1" s="264">
      <c r="A186" s="9" t="n"/>
      <c r="B186" s="181" t="inlineStr">
        <is>
          <t>Straight Line</t>
        </is>
      </c>
      <c r="C186" s="9" t="n"/>
      <c r="D186" s="9" t="n"/>
      <c r="E186" s="9" t="n"/>
      <c r="F186" s="9" t="n"/>
      <c r="G186" s="9" t="n"/>
      <c r="H186" s="9" t="n"/>
      <c r="I186" s="12" t="n"/>
      <c r="J186" s="9" t="n"/>
      <c r="K186" s="9" t="n"/>
      <c r="L186" s="12" t="n"/>
      <c r="M186" s="25" t="n"/>
      <c r="N186" s="12" t="n"/>
      <c r="O186" s="9" t="n"/>
      <c r="P186" s="9" t="n"/>
      <c r="Q186" s="9" t="n"/>
      <c r="R186" s="9" t="n"/>
      <c r="S186" s="9" t="n"/>
      <c r="T186" s="9" t="n"/>
      <c r="U186" s="12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  <c r="BY186" s="9" t="n"/>
      <c r="BZ186" s="9" t="n"/>
      <c r="CA186" s="9" t="n"/>
      <c r="CB186" s="9" t="n"/>
      <c r="CC186" s="9" t="n"/>
      <c r="CD186" s="9" t="n"/>
      <c r="CE186" s="9" t="n"/>
      <c r="CF186" s="9" t="n"/>
      <c r="CG186" s="9" t="n"/>
      <c r="CH186" s="9" t="n"/>
      <c r="CI186" s="9" t="n"/>
      <c r="CJ186" s="9" t="n"/>
      <c r="CK186" s="9" t="n"/>
      <c r="CL186" s="9" t="n"/>
      <c r="CM186" s="9" t="n"/>
      <c r="CN186" s="9" t="n"/>
      <c r="CO186" s="9" t="n"/>
      <c r="CP186" s="9" t="n"/>
      <c r="CQ186" s="9" t="n"/>
      <c r="CR186" s="9" t="n"/>
      <c r="CS186" s="9" t="n"/>
      <c r="CT186" s="9" t="n"/>
      <c r="CU186" s="9" t="n"/>
      <c r="CV186" s="9" t="n"/>
      <c r="CW186" s="9" t="n"/>
      <c r="CX186" s="9" t="n"/>
      <c r="CY186" s="9" t="n"/>
      <c r="CZ186" s="9" t="n"/>
      <c r="DA186" s="9" t="n"/>
      <c r="DB186" s="9" t="n"/>
      <c r="DC186" s="9" t="n"/>
      <c r="DD186" s="9" t="n"/>
      <c r="DE186" s="9" t="n"/>
      <c r="DF186" s="9" t="n"/>
      <c r="DG186" s="9" t="n"/>
      <c r="DH186" s="9" t="n"/>
      <c r="DI186" s="9" t="n"/>
      <c r="DJ186" s="9" t="n"/>
      <c r="DK186" s="9" t="n"/>
      <c r="DL186" s="9" t="n"/>
      <c r="DM186" s="9" t="n"/>
      <c r="DN186" s="9" t="n"/>
      <c r="DO186" s="9" t="n"/>
      <c r="DP186" s="9" t="n"/>
      <c r="DQ186" s="9" t="n"/>
      <c r="DR186" s="9" t="n"/>
      <c r="DS186" s="9" t="n"/>
      <c r="DT186" s="9" t="n"/>
      <c r="DU186" s="9" t="n"/>
      <c r="DV186" s="9" t="n"/>
      <c r="DW186" s="9" t="n"/>
      <c r="DX186" s="9" t="n"/>
      <c r="DY186" s="9" t="n"/>
      <c r="DZ186" s="9" t="n"/>
      <c r="EA186" s="9" t="n"/>
      <c r="EB186" s="9" t="n"/>
      <c r="EC186" s="9" t="n"/>
      <c r="ED186" s="9" t="n"/>
      <c r="EE186" s="9" t="n"/>
      <c r="EF186" s="9" t="n"/>
      <c r="EG186" s="9" t="n"/>
      <c r="EH186" s="9" t="n"/>
      <c r="EI186" s="9" t="n"/>
      <c r="EJ186" s="9" t="n"/>
      <c r="EK186" s="9" t="n"/>
      <c r="EL186" s="9" t="n"/>
      <c r="EM186" s="9" t="n"/>
      <c r="EN186" s="9" t="n"/>
      <c r="EO186" s="9" t="n"/>
      <c r="EP186" s="9" t="n"/>
      <c r="EQ186" s="9" t="n"/>
      <c r="ER186" s="9" t="n"/>
      <c r="ES186" s="9" t="n"/>
      <c r="ET186" s="9" t="n"/>
      <c r="EU186" s="9" t="n"/>
      <c r="EV186" s="9" t="n"/>
      <c r="EW186" s="9" t="n"/>
      <c r="EX186" s="9" t="n"/>
    </row>
    <row r="187">
      <c r="B187" s="181" t="inlineStr">
        <is>
          <t>Accelerated Dep</t>
        </is>
      </c>
    </row>
    <row r="188">
      <c r="B188" s="362" t="n"/>
      <c r="J188" s="264" t="n"/>
      <c r="K188" s="264" t="n"/>
      <c r="L188" s="282" t="n"/>
      <c r="N188" s="282" t="n"/>
      <c r="O188" s="264" t="n"/>
      <c r="P188" s="264" t="n"/>
      <c r="Q188" s="264" t="n"/>
      <c r="R188" s="264" t="n"/>
      <c r="S188" s="264" t="n"/>
      <c r="T188" s="264" t="n"/>
      <c r="U188" s="282" t="n"/>
      <c r="V188" s="264" t="n"/>
      <c r="W188" s="264" t="n"/>
      <c r="X188" s="264" t="n"/>
      <c r="Y188" s="264" t="n"/>
      <c r="Z188" s="264" t="n"/>
      <c r="AA188" s="264" t="n"/>
      <c r="AB188" s="264" t="n"/>
      <c r="AC188" s="264" t="n"/>
      <c r="AD188" s="264" t="n"/>
      <c r="AE188" s="264" t="n"/>
      <c r="AF188" s="264" t="n"/>
      <c r="AG188" s="264" t="n"/>
      <c r="AH188" s="264" t="n"/>
      <c r="AI188" s="264" t="n"/>
      <c r="AJ188" s="264" t="n"/>
      <c r="AK188" s="264" t="n"/>
      <c r="AL188" s="264" t="n"/>
      <c r="AM188" s="264" t="n"/>
      <c r="AN188" s="264" t="n"/>
      <c r="AO188" s="264" t="n"/>
      <c r="AP188" s="264" t="n"/>
      <c r="AQ188" s="264" t="n"/>
      <c r="AR188" s="264" t="n"/>
      <c r="AS188" s="264" t="n"/>
      <c r="AT188" s="264" t="n"/>
      <c r="AU188" s="264" t="n"/>
      <c r="AV188" s="264" t="n"/>
      <c r="AW188" s="264" t="n"/>
      <c r="AX188" s="264" t="n"/>
      <c r="AY188" s="264" t="n"/>
      <c r="AZ188" s="264" t="n"/>
      <c r="BA188" s="264" t="n"/>
      <c r="BB188" s="264" t="n"/>
      <c r="BC188" s="264" t="n"/>
      <c r="BD188" s="264" t="n"/>
      <c r="BE188" s="264" t="n"/>
      <c r="BF188" s="264" t="n"/>
      <c r="BG188" s="264" t="n"/>
      <c r="BH188" s="264" t="n"/>
      <c r="BI188" s="264" t="n"/>
      <c r="BJ188" s="264" t="n"/>
      <c r="BK188" s="264" t="n"/>
      <c r="BL188" s="264" t="n"/>
      <c r="BM188" s="264" t="n"/>
      <c r="BN188" s="264" t="n"/>
      <c r="BO188" s="264" t="n"/>
      <c r="BP188" s="264" t="n"/>
      <c r="BQ188" s="264" t="n"/>
      <c r="BR188" s="264" t="n"/>
      <c r="BS188" s="264" t="n"/>
      <c r="BT188" s="264" t="n"/>
      <c r="BU188" s="264" t="n"/>
      <c r="BV188" s="264" t="n"/>
      <c r="BW188" s="264" t="n"/>
      <c r="BX188" s="264" t="n"/>
      <c r="BY188" s="264" t="n"/>
      <c r="BZ188" s="264" t="n"/>
      <c r="CA188" s="264" t="n"/>
      <c r="CB188" s="264" t="n"/>
      <c r="CC188" s="264" t="n"/>
      <c r="CD188" s="264" t="n"/>
      <c r="CE188" s="264" t="n"/>
      <c r="CF188" s="264" t="n"/>
      <c r="CG188" s="264" t="n"/>
      <c r="CH188" s="264" t="n"/>
      <c r="CI188" s="264" t="n"/>
      <c r="CJ188" s="264" t="n"/>
      <c r="CK188" s="264" t="n"/>
      <c r="CL188" s="264" t="n"/>
      <c r="CM188" s="264" t="n"/>
      <c r="CN188" s="264" t="n"/>
      <c r="CO188" s="264" t="n"/>
      <c r="CP188" s="264" t="n"/>
      <c r="CQ188" s="264" t="n"/>
      <c r="CR188" s="264" t="n"/>
      <c r="CS188" s="264" t="n"/>
      <c r="CT188" s="264" t="n"/>
      <c r="CU188" s="264" t="n"/>
      <c r="CV188" s="264" t="n"/>
      <c r="CW188" s="264" t="n"/>
      <c r="CX188" s="264" t="n"/>
      <c r="CY188" s="264" t="n"/>
      <c r="CZ188" s="264" t="n"/>
      <c r="DA188" s="264" t="n"/>
      <c r="DB188" s="264" t="n"/>
      <c r="DC188" s="264" t="n"/>
      <c r="DD188" s="264" t="n"/>
      <c r="DE188" s="264" t="n"/>
      <c r="DF188" s="264" t="n"/>
      <c r="DG188" s="264" t="n"/>
      <c r="DH188" s="264" t="n"/>
      <c r="DI188" s="264" t="n"/>
      <c r="DJ188" s="264" t="n"/>
      <c r="DK188" s="264" t="n"/>
      <c r="DL188" s="264" t="n"/>
      <c r="DM188" s="264" t="n"/>
      <c r="DN188" s="264" t="n"/>
      <c r="DO188" s="264" t="n"/>
      <c r="DP188" s="264" t="n"/>
      <c r="DQ188" s="264" t="n"/>
      <c r="DR188" s="264" t="n"/>
      <c r="DS188" s="264" t="n"/>
      <c r="DT188" s="264" t="n"/>
      <c r="DU188" s="264" t="n"/>
      <c r="DV188" s="264" t="n"/>
      <c r="DW188" s="264" t="n"/>
      <c r="DX188" s="264" t="n"/>
      <c r="DY188" s="264" t="n"/>
      <c r="DZ188" s="264" t="n"/>
      <c r="EA188" s="264" t="n"/>
      <c r="EB188" s="264" t="n"/>
      <c r="EC188" s="264" t="n"/>
      <c r="ED188" s="264" t="n"/>
      <c r="EE188" s="264" t="n"/>
      <c r="EF188" s="264" t="n"/>
      <c r="EG188" s="264" t="n"/>
      <c r="EH188" s="264" t="n"/>
      <c r="EI188" s="264" t="n"/>
      <c r="EJ188" s="264" t="n"/>
      <c r="EK188" s="264" t="n"/>
      <c r="EL188" s="264" t="n"/>
      <c r="EM188" s="264" t="n"/>
      <c r="EN188" s="264" t="n"/>
      <c r="EO188" s="264" t="n"/>
      <c r="EP188" s="264" t="n"/>
      <c r="EQ188" s="264" t="n"/>
      <c r="ER188" s="264" t="n"/>
      <c r="ES188" s="264" t="n"/>
      <c r="ET188" s="264" t="n"/>
      <c r="EU188" s="264" t="n"/>
      <c r="EV188" s="264" t="n"/>
      <c r="EW188" s="264" t="n"/>
      <c r="EX188" s="264" t="n"/>
    </row>
    <row r="189">
      <c r="B189" s="264" t="n"/>
    </row>
    <row r="190">
      <c r="A190" s="33" t="n"/>
      <c r="I190" s="34" t="n"/>
    </row>
    <row r="192">
      <c r="A192" s="33" t="n"/>
      <c r="I192" s="34" t="n"/>
    </row>
    <row r="197">
      <c r="J197" s="264" t="n"/>
      <c r="K197" s="264" t="n"/>
      <c r="L197" s="282" t="n"/>
      <c r="N197" s="282" t="n"/>
      <c r="O197" s="264" t="n"/>
      <c r="P197" s="264" t="n"/>
      <c r="Q197" s="264" t="n"/>
      <c r="R197" s="264" t="n"/>
      <c r="S197" s="264" t="n"/>
      <c r="T197" s="264" t="n"/>
      <c r="U197" s="282" t="n"/>
      <c r="V197" s="264" t="n"/>
      <c r="W197" s="264" t="n"/>
      <c r="X197" s="264" t="n"/>
      <c r="Y197" s="264" t="n"/>
      <c r="Z197" s="264" t="n"/>
      <c r="AA197" s="264" t="n"/>
      <c r="AB197" s="264" t="n"/>
      <c r="AC197" s="264" t="n"/>
      <c r="AD197" s="264" t="n"/>
      <c r="AE197" s="264" t="n"/>
      <c r="AF197" s="264" t="n"/>
      <c r="AG197" s="264" t="n"/>
      <c r="AH197" s="264" t="n"/>
      <c r="AI197" s="264" t="n"/>
      <c r="AJ197" s="264" t="n"/>
      <c r="AK197" s="264" t="n"/>
      <c r="AL197" s="264" t="n"/>
      <c r="AM197" s="264" t="n"/>
      <c r="AN197" s="264" t="n"/>
      <c r="AO197" s="264" t="n"/>
      <c r="AP197" s="264" t="n"/>
      <c r="AQ197" s="264" t="n"/>
      <c r="AR197" s="264" t="n"/>
      <c r="AS197" s="264" t="n"/>
      <c r="AT197" s="264" t="n"/>
      <c r="AU197" s="264" t="n"/>
      <c r="AV197" s="264" t="n"/>
      <c r="AW197" s="264" t="n"/>
      <c r="AX197" s="264" t="n"/>
      <c r="AY197" s="264" t="n"/>
      <c r="AZ197" s="264" t="n"/>
      <c r="BA197" s="264" t="n"/>
      <c r="BB197" s="264" t="n"/>
      <c r="BC197" s="264" t="n"/>
      <c r="BD197" s="264" t="n"/>
      <c r="BE197" s="264" t="n"/>
      <c r="BF197" s="264" t="n"/>
      <c r="BG197" s="264" t="n"/>
      <c r="BH197" s="264" t="n"/>
      <c r="BI197" s="264" t="n"/>
      <c r="BJ197" s="264" t="n"/>
      <c r="BK197" s="264" t="n"/>
      <c r="BL197" s="264" t="n"/>
      <c r="BM197" s="264" t="n"/>
      <c r="BN197" s="264" t="n"/>
      <c r="BO197" s="264" t="n"/>
      <c r="BP197" s="264" t="n"/>
      <c r="BQ197" s="264" t="n"/>
      <c r="BR197" s="264" t="n"/>
      <c r="BS197" s="264" t="n"/>
      <c r="BT197" s="264" t="n"/>
      <c r="BU197" s="264" t="n"/>
      <c r="BV197" s="264" t="n"/>
      <c r="BW197" s="264" t="n"/>
      <c r="BX197" s="264" t="n"/>
      <c r="BY197" s="264" t="n"/>
      <c r="BZ197" s="264" t="n"/>
      <c r="CA197" s="264" t="n"/>
      <c r="CB197" s="264" t="n"/>
      <c r="CC197" s="264" t="n"/>
      <c r="CD197" s="264" t="n"/>
      <c r="CE197" s="264" t="n"/>
      <c r="CF197" s="264" t="n"/>
      <c r="CG197" s="264" t="n"/>
      <c r="CH197" s="264" t="n"/>
      <c r="CI197" s="264" t="n"/>
      <c r="CJ197" s="264" t="n"/>
      <c r="CK197" s="264" t="n"/>
      <c r="CL197" s="264" t="n"/>
      <c r="CM197" s="264" t="n"/>
      <c r="CN197" s="264" t="n"/>
      <c r="CO197" s="264" t="n"/>
      <c r="CP197" s="264" t="n"/>
      <c r="CQ197" s="264" t="n"/>
      <c r="CR197" s="264" t="n"/>
      <c r="CS197" s="264" t="n"/>
      <c r="CT197" s="264" t="n"/>
      <c r="CU197" s="264" t="n"/>
      <c r="CV197" s="264" t="n"/>
      <c r="CW197" s="264" t="n"/>
      <c r="CX197" s="264" t="n"/>
      <c r="CY197" s="264" t="n"/>
      <c r="CZ197" s="264" t="n"/>
      <c r="DA197" s="264" t="n"/>
      <c r="DB197" s="264" t="n"/>
      <c r="DC197" s="264" t="n"/>
      <c r="DD197" s="264" t="n"/>
      <c r="DE197" s="264" t="n"/>
      <c r="DF197" s="264" t="n"/>
      <c r="DG197" s="264" t="n"/>
      <c r="DH197" s="264" t="n"/>
      <c r="DI197" s="264" t="n"/>
      <c r="DJ197" s="264" t="n"/>
      <c r="DK197" s="264" t="n"/>
      <c r="DL197" s="264" t="n"/>
      <c r="DM197" s="264" t="n"/>
      <c r="DN197" s="264" t="n"/>
      <c r="DO197" s="264" t="n"/>
      <c r="DP197" s="264" t="n"/>
      <c r="DQ197" s="264" t="n"/>
      <c r="DR197" s="264" t="n"/>
      <c r="DS197" s="264" t="n"/>
      <c r="DT197" s="264" t="n"/>
      <c r="DU197" s="264" t="n"/>
      <c r="DV197" s="264" t="n"/>
      <c r="DW197" s="264" t="n"/>
      <c r="DX197" s="264" t="n"/>
      <c r="DY197" s="264" t="n"/>
      <c r="DZ197" s="264" t="n"/>
      <c r="EA197" s="264" t="n"/>
      <c r="EB197" s="264" t="n"/>
      <c r="EC197" s="264" t="n"/>
      <c r="ED197" s="264" t="n"/>
      <c r="EE197" s="264" t="n"/>
      <c r="EF197" s="264" t="n"/>
      <c r="EG197" s="264" t="n"/>
      <c r="EH197" s="264" t="n"/>
      <c r="EI197" s="264" t="n"/>
      <c r="EJ197" s="264" t="n"/>
      <c r="EK197" s="264" t="n"/>
      <c r="EL197" s="264" t="n"/>
      <c r="EM197" s="264" t="n"/>
      <c r="EN197" s="264" t="n"/>
      <c r="EO197" s="264" t="n"/>
      <c r="EP197" s="264" t="n"/>
      <c r="EQ197" s="264" t="n"/>
      <c r="ER197" s="264" t="n"/>
      <c r="ES197" s="264" t="n"/>
      <c r="ET197" s="264" t="n"/>
      <c r="EU197" s="264" t="n"/>
      <c r="EV197" s="264" t="n"/>
      <c r="EW197" s="264" t="n"/>
      <c r="EX197" s="264" t="n"/>
    </row>
    <row r="198">
      <c r="A198" s="362" t="n"/>
      <c r="I198" s="361" t="n"/>
    </row>
    <row r="199" customFormat="1" s="33">
      <c r="A199" s="264" t="n"/>
      <c r="B199" s="9" t="n"/>
      <c r="C199" s="9" t="n"/>
      <c r="D199" s="9" t="n"/>
      <c r="E199" s="9" t="n"/>
      <c r="F199" s="9" t="n"/>
      <c r="G199" s="9" t="n"/>
      <c r="H199" s="9" t="n"/>
      <c r="I199" s="282" t="n"/>
      <c r="J199" s="9" t="n"/>
      <c r="K199" s="9" t="n"/>
      <c r="L199" s="12" t="n"/>
      <c r="M199" s="25" t="n"/>
      <c r="N199" s="12" t="n"/>
      <c r="O199" s="9" t="n"/>
      <c r="P199" s="9" t="n"/>
      <c r="Q199" s="9" t="n"/>
      <c r="R199" s="9" t="n"/>
      <c r="S199" s="9" t="n"/>
      <c r="T199" s="9" t="n"/>
      <c r="U199" s="12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  <c r="BY199" s="9" t="n"/>
      <c r="BZ199" s="9" t="n"/>
      <c r="CA199" s="9" t="n"/>
      <c r="CB199" s="9" t="n"/>
      <c r="CC199" s="9" t="n"/>
      <c r="CD199" s="9" t="n"/>
      <c r="CE199" s="9" t="n"/>
      <c r="CF199" s="9" t="n"/>
      <c r="CG199" s="9" t="n"/>
      <c r="CH199" s="9" t="n"/>
      <c r="CI199" s="9" t="n"/>
      <c r="CJ199" s="9" t="n"/>
      <c r="CK199" s="9" t="n"/>
      <c r="CL199" s="9" t="n"/>
      <c r="CM199" s="9" t="n"/>
      <c r="CN199" s="9" t="n"/>
      <c r="CO199" s="9" t="n"/>
      <c r="CP199" s="9" t="n"/>
      <c r="CQ199" s="9" t="n"/>
      <c r="CR199" s="9" t="n"/>
      <c r="CS199" s="9" t="n"/>
      <c r="CT199" s="9" t="n"/>
      <c r="CU199" s="9" t="n"/>
      <c r="CV199" s="9" t="n"/>
      <c r="CW199" s="9" t="n"/>
      <c r="CX199" s="9" t="n"/>
      <c r="CY199" s="9" t="n"/>
      <c r="CZ199" s="9" t="n"/>
      <c r="DA199" s="9" t="n"/>
      <c r="DB199" s="9" t="n"/>
      <c r="DC199" s="9" t="n"/>
      <c r="DD199" s="9" t="n"/>
      <c r="DE199" s="9" t="n"/>
      <c r="DF199" s="9" t="n"/>
      <c r="DG199" s="9" t="n"/>
      <c r="DH199" s="9" t="n"/>
      <c r="DI199" s="9" t="n"/>
      <c r="DJ199" s="9" t="n"/>
      <c r="DK199" s="9" t="n"/>
      <c r="DL199" s="9" t="n"/>
      <c r="DM199" s="9" t="n"/>
      <c r="DN199" s="9" t="n"/>
      <c r="DO199" s="9" t="n"/>
      <c r="DP199" s="9" t="n"/>
      <c r="DQ199" s="9" t="n"/>
      <c r="DR199" s="9" t="n"/>
      <c r="DS199" s="9" t="n"/>
      <c r="DT199" s="9" t="n"/>
      <c r="DU199" s="9" t="n"/>
      <c r="DV199" s="9" t="n"/>
      <c r="DW199" s="9" t="n"/>
      <c r="DX199" s="9" t="n"/>
      <c r="DY199" s="9" t="n"/>
      <c r="DZ199" s="9" t="n"/>
      <c r="EA199" s="9" t="n"/>
      <c r="EB199" s="9" t="n"/>
      <c r="EC199" s="9" t="n"/>
      <c r="ED199" s="9" t="n"/>
      <c r="EE199" s="9" t="n"/>
      <c r="EF199" s="9" t="n"/>
      <c r="EG199" s="9" t="n"/>
      <c r="EH199" s="9" t="n"/>
      <c r="EI199" s="9" t="n"/>
      <c r="EJ199" s="9" t="n"/>
      <c r="EK199" s="9" t="n"/>
      <c r="EL199" s="9" t="n"/>
      <c r="EM199" s="9" t="n"/>
      <c r="EN199" s="9" t="n"/>
      <c r="EO199" s="9" t="n"/>
      <c r="EP199" s="9" t="n"/>
      <c r="EQ199" s="9" t="n"/>
      <c r="ER199" s="9" t="n"/>
      <c r="ES199" s="9" t="n"/>
      <c r="ET199" s="9" t="n"/>
      <c r="EU199" s="9" t="n"/>
      <c r="EV199" s="9" t="n"/>
      <c r="EW199" s="9" t="n"/>
      <c r="EX199" s="9" t="n"/>
    </row>
    <row r="201" customFormat="1" s="33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12" t="n"/>
      <c r="J201" s="9" t="n"/>
      <c r="K201" s="9" t="n"/>
      <c r="L201" s="12" t="n"/>
      <c r="M201" s="25" t="n"/>
      <c r="N201" s="12" t="n"/>
      <c r="O201" s="9" t="n"/>
      <c r="P201" s="9" t="n"/>
      <c r="Q201" s="9" t="n"/>
      <c r="R201" s="9" t="n"/>
      <c r="S201" s="9" t="n"/>
      <c r="T201" s="9" t="n"/>
      <c r="U201" s="12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9" t="n"/>
      <c r="AG201" s="9" t="n"/>
      <c r="AH201" s="9" t="n"/>
      <c r="AI201" s="9" t="n"/>
      <c r="AJ201" s="9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9" t="n"/>
      <c r="AU201" s="9" t="n"/>
      <c r="AV201" s="9" t="n"/>
      <c r="AW201" s="9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9" t="n"/>
      <c r="BP201" s="9" t="n"/>
      <c r="BQ201" s="9" t="n"/>
      <c r="BR201" s="9" t="n"/>
      <c r="BS201" s="9" t="n"/>
      <c r="BT201" s="9" t="n"/>
      <c r="BU201" s="9" t="n"/>
      <c r="BV201" s="9" t="n"/>
      <c r="BW201" s="9" t="n"/>
      <c r="BX201" s="9" t="n"/>
      <c r="BY201" s="9" t="n"/>
      <c r="BZ201" s="9" t="n"/>
      <c r="CA201" s="9" t="n"/>
      <c r="CB201" s="9" t="n"/>
      <c r="CC201" s="9" t="n"/>
      <c r="CD201" s="9" t="n"/>
      <c r="CE201" s="9" t="n"/>
      <c r="CF201" s="9" t="n"/>
      <c r="CG201" s="9" t="n"/>
      <c r="CH201" s="9" t="n"/>
      <c r="CI201" s="9" t="n"/>
      <c r="CJ201" s="9" t="n"/>
      <c r="CK201" s="9" t="n"/>
      <c r="CL201" s="9" t="n"/>
      <c r="CM201" s="9" t="n"/>
      <c r="CN201" s="9" t="n"/>
      <c r="CO201" s="9" t="n"/>
      <c r="CP201" s="9" t="n"/>
      <c r="CQ201" s="9" t="n"/>
      <c r="CR201" s="9" t="n"/>
      <c r="CS201" s="9" t="n"/>
      <c r="CT201" s="9" t="n"/>
      <c r="CU201" s="9" t="n"/>
      <c r="CV201" s="9" t="n"/>
      <c r="CW201" s="9" t="n"/>
      <c r="CX201" s="9" t="n"/>
      <c r="CY201" s="9" t="n"/>
      <c r="CZ201" s="9" t="n"/>
      <c r="DA201" s="9" t="n"/>
      <c r="DB201" s="9" t="n"/>
      <c r="DC201" s="9" t="n"/>
      <c r="DD201" s="9" t="n"/>
      <c r="DE201" s="9" t="n"/>
      <c r="DF201" s="9" t="n"/>
      <c r="DG201" s="9" t="n"/>
      <c r="DH201" s="9" t="n"/>
      <c r="DI201" s="9" t="n"/>
      <c r="DJ201" s="9" t="n"/>
      <c r="DK201" s="9" t="n"/>
      <c r="DL201" s="9" t="n"/>
      <c r="DM201" s="9" t="n"/>
      <c r="DN201" s="9" t="n"/>
      <c r="DO201" s="9" t="n"/>
      <c r="DP201" s="9" t="n"/>
      <c r="DQ201" s="9" t="n"/>
      <c r="DR201" s="9" t="n"/>
      <c r="DS201" s="9" t="n"/>
      <c r="DT201" s="9" t="n"/>
      <c r="DU201" s="9" t="n"/>
      <c r="DV201" s="9" t="n"/>
      <c r="DW201" s="9" t="n"/>
      <c r="DX201" s="9" t="n"/>
      <c r="DY201" s="9" t="n"/>
      <c r="DZ201" s="9" t="n"/>
      <c r="EA201" s="9" t="n"/>
      <c r="EB201" s="9" t="n"/>
      <c r="EC201" s="9" t="n"/>
      <c r="ED201" s="9" t="n"/>
      <c r="EE201" s="9" t="n"/>
      <c r="EF201" s="9" t="n"/>
      <c r="EG201" s="9" t="n"/>
      <c r="EH201" s="9" t="n"/>
      <c r="EI201" s="9" t="n"/>
      <c r="EJ201" s="9" t="n"/>
      <c r="EK201" s="9" t="n"/>
      <c r="EL201" s="9" t="n"/>
      <c r="EM201" s="9" t="n"/>
      <c r="EN201" s="9" t="n"/>
      <c r="EO201" s="9" t="n"/>
      <c r="EP201" s="9" t="n"/>
      <c r="EQ201" s="9" t="n"/>
      <c r="ER201" s="9" t="n"/>
      <c r="ES201" s="9" t="n"/>
      <c r="ET201" s="9" t="n"/>
      <c r="EU201" s="9" t="n"/>
      <c r="EV201" s="9" t="n"/>
      <c r="EW201" s="9" t="n"/>
      <c r="EX201" s="9" t="n"/>
    </row>
    <row r="207" customFormat="1" s="362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12" t="n"/>
      <c r="J207" s="9" t="n"/>
      <c r="K207" s="9" t="n"/>
      <c r="L207" s="12" t="n"/>
      <c r="M207" s="25" t="n"/>
      <c r="N207" s="12" t="n"/>
      <c r="O207" s="9" t="n"/>
      <c r="P207" s="9" t="n"/>
      <c r="Q207" s="9" t="n"/>
      <c r="R207" s="9" t="n"/>
      <c r="S207" s="9" t="n"/>
      <c r="T207" s="9" t="n"/>
      <c r="U207" s="12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9" t="n"/>
      <c r="AJ207" s="9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9" t="n"/>
      <c r="AU207" s="9" t="n"/>
      <c r="AV207" s="9" t="n"/>
      <c r="AW207" s="9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9" t="n"/>
      <c r="BP207" s="9" t="n"/>
      <c r="BQ207" s="9" t="n"/>
      <c r="BR207" s="9" t="n"/>
      <c r="BS207" s="9" t="n"/>
      <c r="BT207" s="9" t="n"/>
      <c r="BU207" s="9" t="n"/>
      <c r="BV207" s="9" t="n"/>
      <c r="BW207" s="9" t="n"/>
      <c r="BX207" s="9" t="n"/>
      <c r="BY207" s="9" t="n"/>
      <c r="BZ207" s="9" t="n"/>
      <c r="CA207" s="9" t="n"/>
      <c r="CB207" s="9" t="n"/>
      <c r="CC207" s="9" t="n"/>
      <c r="CD207" s="9" t="n"/>
      <c r="CE207" s="9" t="n"/>
      <c r="CF207" s="9" t="n"/>
      <c r="CG207" s="9" t="n"/>
      <c r="CH207" s="9" t="n"/>
      <c r="CI207" s="9" t="n"/>
      <c r="CJ207" s="9" t="n"/>
      <c r="CK207" s="9" t="n"/>
      <c r="CL207" s="9" t="n"/>
      <c r="CM207" s="9" t="n"/>
      <c r="CN207" s="9" t="n"/>
      <c r="CO207" s="9" t="n"/>
      <c r="CP207" s="9" t="n"/>
      <c r="CQ207" s="9" t="n"/>
      <c r="CR207" s="9" t="n"/>
      <c r="CS207" s="9" t="n"/>
      <c r="CT207" s="9" t="n"/>
      <c r="CU207" s="9" t="n"/>
      <c r="CV207" s="9" t="n"/>
      <c r="CW207" s="9" t="n"/>
      <c r="CX207" s="9" t="n"/>
      <c r="CY207" s="9" t="n"/>
      <c r="CZ207" s="9" t="n"/>
      <c r="DA207" s="9" t="n"/>
      <c r="DB207" s="9" t="n"/>
      <c r="DC207" s="9" t="n"/>
      <c r="DD207" s="9" t="n"/>
      <c r="DE207" s="9" t="n"/>
      <c r="DF207" s="9" t="n"/>
      <c r="DG207" s="9" t="n"/>
      <c r="DH207" s="9" t="n"/>
      <c r="DI207" s="9" t="n"/>
      <c r="DJ207" s="9" t="n"/>
      <c r="DK207" s="9" t="n"/>
      <c r="DL207" s="9" t="n"/>
      <c r="DM207" s="9" t="n"/>
      <c r="DN207" s="9" t="n"/>
      <c r="DO207" s="9" t="n"/>
      <c r="DP207" s="9" t="n"/>
      <c r="DQ207" s="9" t="n"/>
      <c r="DR207" s="9" t="n"/>
      <c r="DS207" s="9" t="n"/>
      <c r="DT207" s="9" t="n"/>
      <c r="DU207" s="9" t="n"/>
      <c r="DV207" s="9" t="n"/>
      <c r="DW207" s="9" t="n"/>
      <c r="DX207" s="9" t="n"/>
      <c r="DY207" s="9" t="n"/>
      <c r="DZ207" s="9" t="n"/>
      <c r="EA207" s="9" t="n"/>
      <c r="EB207" s="9" t="n"/>
      <c r="EC207" s="9" t="n"/>
      <c r="ED207" s="9" t="n"/>
      <c r="EE207" s="9" t="n"/>
      <c r="EF207" s="9" t="n"/>
      <c r="EG207" s="9" t="n"/>
      <c r="EH207" s="9" t="n"/>
      <c r="EI207" s="9" t="n"/>
      <c r="EJ207" s="9" t="n"/>
      <c r="EK207" s="9" t="n"/>
      <c r="EL207" s="9" t="n"/>
      <c r="EM207" s="9" t="n"/>
      <c r="EN207" s="9" t="n"/>
      <c r="EO207" s="9" t="n"/>
      <c r="EP207" s="9" t="n"/>
      <c r="EQ207" s="9" t="n"/>
      <c r="ER207" s="9" t="n"/>
      <c r="ES207" s="9" t="n"/>
      <c r="ET207" s="9" t="n"/>
      <c r="EU207" s="9" t="n"/>
      <c r="EV207" s="9" t="n"/>
      <c r="EW207" s="9" t="n"/>
      <c r="EX207" s="9" t="n"/>
    </row>
    <row r="208" customFormat="1" s="264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12" t="n"/>
      <c r="J208" s="9" t="n"/>
      <c r="K208" s="9" t="n"/>
      <c r="L208" s="12" t="n"/>
      <c r="M208" s="25" t="n"/>
      <c r="N208" s="12" t="n"/>
      <c r="O208" s="9" t="n"/>
      <c r="P208" s="9" t="n"/>
      <c r="Q208" s="9" t="n"/>
      <c r="R208" s="9" t="n"/>
      <c r="S208" s="9" t="n"/>
      <c r="T208" s="9" t="n"/>
      <c r="U208" s="12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9" t="n"/>
      <c r="BP208" s="9" t="n"/>
      <c r="BQ208" s="9" t="n"/>
      <c r="BR208" s="9" t="n"/>
      <c r="BS208" s="9" t="n"/>
      <c r="BT208" s="9" t="n"/>
      <c r="BU208" s="9" t="n"/>
      <c r="BV208" s="9" t="n"/>
      <c r="BW208" s="9" t="n"/>
      <c r="BX208" s="9" t="n"/>
      <c r="BY208" s="9" t="n"/>
      <c r="BZ208" s="9" t="n"/>
      <c r="CA208" s="9" t="n"/>
      <c r="CB208" s="9" t="n"/>
      <c r="CC208" s="9" t="n"/>
      <c r="CD208" s="9" t="n"/>
      <c r="CE208" s="9" t="n"/>
      <c r="CF208" s="9" t="n"/>
      <c r="CG208" s="9" t="n"/>
      <c r="CH208" s="9" t="n"/>
      <c r="CI208" s="9" t="n"/>
      <c r="CJ208" s="9" t="n"/>
      <c r="CK208" s="9" t="n"/>
      <c r="CL208" s="9" t="n"/>
      <c r="CM208" s="9" t="n"/>
      <c r="CN208" s="9" t="n"/>
      <c r="CO208" s="9" t="n"/>
      <c r="CP208" s="9" t="n"/>
      <c r="CQ208" s="9" t="n"/>
      <c r="CR208" s="9" t="n"/>
      <c r="CS208" s="9" t="n"/>
      <c r="CT208" s="9" t="n"/>
      <c r="CU208" s="9" t="n"/>
      <c r="CV208" s="9" t="n"/>
      <c r="CW208" s="9" t="n"/>
      <c r="CX208" s="9" t="n"/>
      <c r="CY208" s="9" t="n"/>
      <c r="CZ208" s="9" t="n"/>
      <c r="DA208" s="9" t="n"/>
      <c r="DB208" s="9" t="n"/>
      <c r="DC208" s="9" t="n"/>
      <c r="DD208" s="9" t="n"/>
      <c r="DE208" s="9" t="n"/>
      <c r="DF208" s="9" t="n"/>
      <c r="DG208" s="9" t="n"/>
      <c r="DH208" s="9" t="n"/>
      <c r="DI208" s="9" t="n"/>
      <c r="DJ208" s="9" t="n"/>
      <c r="DK208" s="9" t="n"/>
      <c r="DL208" s="9" t="n"/>
      <c r="DM208" s="9" t="n"/>
      <c r="DN208" s="9" t="n"/>
      <c r="DO208" s="9" t="n"/>
      <c r="DP208" s="9" t="n"/>
      <c r="DQ208" s="9" t="n"/>
      <c r="DR208" s="9" t="n"/>
      <c r="DS208" s="9" t="n"/>
      <c r="DT208" s="9" t="n"/>
      <c r="DU208" s="9" t="n"/>
      <c r="DV208" s="9" t="n"/>
      <c r="DW208" s="9" t="n"/>
      <c r="DX208" s="9" t="n"/>
      <c r="DY208" s="9" t="n"/>
      <c r="DZ208" s="9" t="n"/>
      <c r="EA208" s="9" t="n"/>
      <c r="EB208" s="9" t="n"/>
      <c r="EC208" s="9" t="n"/>
      <c r="ED208" s="9" t="n"/>
      <c r="EE208" s="9" t="n"/>
      <c r="EF208" s="9" t="n"/>
      <c r="EG208" s="9" t="n"/>
      <c r="EH208" s="9" t="n"/>
      <c r="EI208" s="9" t="n"/>
      <c r="EJ208" s="9" t="n"/>
      <c r="EK208" s="9" t="n"/>
      <c r="EL208" s="9" t="n"/>
      <c r="EM208" s="9" t="n"/>
      <c r="EN208" s="9" t="n"/>
      <c r="EO208" s="9" t="n"/>
      <c r="EP208" s="9" t="n"/>
      <c r="EQ208" s="9" t="n"/>
      <c r="ER208" s="9" t="n"/>
      <c r="ES208" s="9" t="n"/>
      <c r="ET208" s="9" t="n"/>
      <c r="EU208" s="9" t="n"/>
      <c r="EV208" s="9" t="n"/>
      <c r="EW208" s="9" t="n"/>
      <c r="EX208" s="9" t="n"/>
    </row>
    <row r="210">
      <c r="J210" s="33" t="n"/>
      <c r="K210" s="33" t="n"/>
      <c r="L210" s="34" t="n"/>
      <c r="M210" s="199" t="n"/>
      <c r="N210" s="34" t="n"/>
      <c r="O210" s="33" t="n"/>
      <c r="P210" s="33" t="n"/>
      <c r="Q210" s="33" t="n"/>
      <c r="R210" s="33" t="n"/>
      <c r="S210" s="33" t="n"/>
      <c r="T210" s="33" t="n"/>
      <c r="U210" s="34" t="n"/>
      <c r="V210" s="33" t="n"/>
      <c r="W210" s="33" t="n"/>
      <c r="X210" s="33" t="n"/>
      <c r="Y210" s="33" t="n"/>
      <c r="Z210" s="33" t="n"/>
      <c r="AA210" s="33" t="n"/>
      <c r="AB210" s="33" t="n"/>
      <c r="AC210" s="33" t="n"/>
      <c r="AD210" s="33" t="n"/>
      <c r="AE210" s="33" t="n"/>
      <c r="AF210" s="33" t="n"/>
      <c r="AG210" s="33" t="n"/>
      <c r="AH210" s="33" t="n"/>
      <c r="AI210" s="33" t="n"/>
      <c r="AJ210" s="33" t="n"/>
      <c r="AK210" s="33" t="n"/>
      <c r="AL210" s="33" t="n"/>
      <c r="AM210" s="33" t="n"/>
      <c r="AN210" s="33" t="n"/>
      <c r="AO210" s="33" t="n"/>
      <c r="AP210" s="33" t="n"/>
      <c r="AQ210" s="33" t="n"/>
      <c r="AR210" s="33" t="n"/>
      <c r="AS210" s="33" t="n"/>
      <c r="AT210" s="33" t="n"/>
      <c r="AU210" s="33" t="n"/>
      <c r="AV210" s="33" t="n"/>
      <c r="AW210" s="33" t="n"/>
      <c r="AX210" s="33" t="n"/>
      <c r="AY210" s="33" t="n"/>
      <c r="AZ210" s="33" t="n"/>
      <c r="BA210" s="33" t="n"/>
      <c r="BB210" s="33" t="n"/>
      <c r="BC210" s="33" t="n"/>
      <c r="BD210" s="33" t="n"/>
      <c r="BE210" s="33" t="n"/>
      <c r="BF210" s="33" t="n"/>
      <c r="BG210" s="33" t="n"/>
      <c r="BH210" s="33" t="n"/>
      <c r="BI210" s="33" t="n"/>
      <c r="BJ210" s="33" t="n"/>
      <c r="BK210" s="33" t="n"/>
      <c r="BL210" s="33" t="n"/>
      <c r="BM210" s="33" t="n"/>
      <c r="BN210" s="33" t="n"/>
      <c r="BO210" s="33" t="n"/>
      <c r="BP210" s="33" t="n"/>
      <c r="BQ210" s="33" t="n"/>
      <c r="BR210" s="33" t="n"/>
      <c r="BS210" s="33" t="n"/>
      <c r="BT210" s="33" t="n"/>
      <c r="BU210" s="33" t="n"/>
      <c r="BV210" s="33" t="n"/>
      <c r="BW210" s="33" t="n"/>
      <c r="BX210" s="33" t="n"/>
      <c r="BY210" s="33" t="n"/>
      <c r="BZ210" s="33" t="n"/>
      <c r="CA210" s="33" t="n"/>
      <c r="CB210" s="33" t="n"/>
      <c r="CC210" s="33" t="n"/>
      <c r="CD210" s="33" t="n"/>
      <c r="CE210" s="33" t="n"/>
      <c r="CF210" s="33" t="n"/>
      <c r="CG210" s="33" t="n"/>
      <c r="CH210" s="33" t="n"/>
      <c r="CI210" s="33" t="n"/>
      <c r="CJ210" s="33" t="n"/>
      <c r="CK210" s="33" t="n"/>
      <c r="CL210" s="33" t="n"/>
      <c r="CM210" s="33" t="n"/>
      <c r="CN210" s="33" t="n"/>
      <c r="CO210" s="33" t="n"/>
      <c r="CP210" s="33" t="n"/>
      <c r="CQ210" s="33" t="n"/>
      <c r="CR210" s="33" t="n"/>
      <c r="CS210" s="33" t="n"/>
      <c r="CT210" s="33" t="n"/>
      <c r="CU210" s="33" t="n"/>
      <c r="CV210" s="33" t="n"/>
      <c r="CW210" s="33" t="n"/>
      <c r="CX210" s="33" t="n"/>
      <c r="CY210" s="33" t="n"/>
      <c r="CZ210" s="33" t="n"/>
      <c r="DA210" s="33" t="n"/>
      <c r="DB210" s="33" t="n"/>
      <c r="DC210" s="33" t="n"/>
      <c r="DD210" s="33" t="n"/>
      <c r="DE210" s="33" t="n"/>
      <c r="DF210" s="33" t="n"/>
      <c r="DG210" s="33" t="n"/>
      <c r="DH210" s="33" t="n"/>
      <c r="DI210" s="33" t="n"/>
      <c r="DJ210" s="33" t="n"/>
      <c r="DK210" s="33" t="n"/>
      <c r="DL210" s="33" t="n"/>
      <c r="DM210" s="33" t="n"/>
      <c r="DN210" s="33" t="n"/>
      <c r="DO210" s="33" t="n"/>
      <c r="DP210" s="33" t="n"/>
      <c r="DQ210" s="33" t="n"/>
      <c r="DR210" s="33" t="n"/>
      <c r="DS210" s="33" t="n"/>
      <c r="DT210" s="33" t="n"/>
      <c r="DU210" s="33" t="n"/>
      <c r="DV210" s="33" t="n"/>
      <c r="DW210" s="33" t="n"/>
      <c r="DX210" s="33" t="n"/>
      <c r="DY210" s="33" t="n"/>
      <c r="DZ210" s="33" t="n"/>
      <c r="EA210" s="33" t="n"/>
      <c r="EB210" s="33" t="n"/>
      <c r="EC210" s="33" t="n"/>
      <c r="ED210" s="33" t="n"/>
      <c r="EE210" s="33" t="n"/>
      <c r="EF210" s="33" t="n"/>
      <c r="EG210" s="33" t="n"/>
      <c r="EH210" s="33" t="n"/>
      <c r="EI210" s="33" t="n"/>
      <c r="EJ210" s="33" t="n"/>
      <c r="EK210" s="33" t="n"/>
      <c r="EL210" s="33" t="n"/>
      <c r="EM210" s="33" t="n"/>
      <c r="EN210" s="33" t="n"/>
      <c r="EO210" s="33" t="n"/>
      <c r="EP210" s="33" t="n"/>
      <c r="EQ210" s="33" t="n"/>
      <c r="ER210" s="33" t="n"/>
      <c r="ES210" s="33" t="n"/>
      <c r="ET210" s="33" t="n"/>
      <c r="EU210" s="33" t="n"/>
      <c r="EV210" s="33" t="n"/>
      <c r="EW210" s="33" t="n"/>
      <c r="EX210" s="33" t="n"/>
    </row>
    <row r="212">
      <c r="C212" s="362" t="n"/>
      <c r="D212" s="362" t="n"/>
      <c r="E212" s="362" t="n"/>
      <c r="F212" s="362" t="n"/>
      <c r="G212" s="362" t="n"/>
      <c r="H212" s="362" t="n"/>
      <c r="J212" s="33" t="n"/>
      <c r="K212" s="33" t="n"/>
      <c r="L212" s="34" t="n"/>
      <c r="M212" s="199" t="n"/>
      <c r="N212" s="34" t="n"/>
      <c r="O212" s="33" t="n"/>
      <c r="P212" s="33" t="n"/>
      <c r="Q212" s="33" t="n"/>
      <c r="R212" s="33" t="n"/>
      <c r="S212" s="33" t="n"/>
      <c r="T212" s="33" t="n"/>
      <c r="U212" s="34" t="n"/>
      <c r="V212" s="33" t="n"/>
      <c r="W212" s="33" t="n"/>
      <c r="X212" s="33" t="n"/>
      <c r="Y212" s="33" t="n"/>
      <c r="Z212" s="33" t="n"/>
      <c r="AA212" s="33" t="n"/>
      <c r="AB212" s="33" t="n"/>
      <c r="AC212" s="33" t="n"/>
      <c r="AD212" s="33" t="n"/>
      <c r="AE212" s="33" t="n"/>
      <c r="AF212" s="33" t="n"/>
      <c r="AG212" s="33" t="n"/>
      <c r="AH212" s="33" t="n"/>
      <c r="AI212" s="33" t="n"/>
      <c r="AJ212" s="33" t="n"/>
      <c r="AK212" s="33" t="n"/>
      <c r="AL212" s="33" t="n"/>
      <c r="AM212" s="33" t="n"/>
      <c r="AN212" s="33" t="n"/>
      <c r="AO212" s="33" t="n"/>
      <c r="AP212" s="33" t="n"/>
      <c r="AQ212" s="33" t="n"/>
      <c r="AR212" s="33" t="n"/>
      <c r="AS212" s="33" t="n"/>
      <c r="AT212" s="33" t="n"/>
      <c r="AU212" s="33" t="n"/>
      <c r="AV212" s="33" t="n"/>
      <c r="AW212" s="33" t="n"/>
      <c r="AX212" s="33" t="n"/>
      <c r="AY212" s="33" t="n"/>
      <c r="AZ212" s="33" t="n"/>
      <c r="BA212" s="33" t="n"/>
      <c r="BB212" s="33" t="n"/>
      <c r="BC212" s="33" t="n"/>
      <c r="BD212" s="33" t="n"/>
      <c r="BE212" s="33" t="n"/>
      <c r="BF212" s="33" t="n"/>
      <c r="BG212" s="33" t="n"/>
      <c r="BH212" s="33" t="n"/>
      <c r="BI212" s="33" t="n"/>
      <c r="BJ212" s="33" t="n"/>
      <c r="BK212" s="33" t="n"/>
      <c r="BL212" s="33" t="n"/>
      <c r="BM212" s="33" t="n"/>
      <c r="BN212" s="33" t="n"/>
      <c r="BO212" s="33" t="n"/>
      <c r="BP212" s="33" t="n"/>
      <c r="BQ212" s="33" t="n"/>
      <c r="BR212" s="33" t="n"/>
      <c r="BS212" s="33" t="n"/>
      <c r="BT212" s="33" t="n"/>
      <c r="BU212" s="33" t="n"/>
      <c r="BV212" s="33" t="n"/>
      <c r="BW212" s="33" t="n"/>
      <c r="BX212" s="33" t="n"/>
      <c r="BY212" s="33" t="n"/>
      <c r="BZ212" s="33" t="n"/>
      <c r="CA212" s="33" t="n"/>
      <c r="CB212" s="33" t="n"/>
      <c r="CC212" s="33" t="n"/>
      <c r="CD212" s="33" t="n"/>
      <c r="CE212" s="33" t="n"/>
      <c r="CF212" s="33" t="n"/>
      <c r="CG212" s="33" t="n"/>
      <c r="CH212" s="33" t="n"/>
      <c r="CI212" s="33" t="n"/>
      <c r="CJ212" s="33" t="n"/>
      <c r="CK212" s="33" t="n"/>
      <c r="CL212" s="33" t="n"/>
      <c r="CM212" s="33" t="n"/>
      <c r="CN212" s="33" t="n"/>
      <c r="CO212" s="33" t="n"/>
      <c r="CP212" s="33" t="n"/>
      <c r="CQ212" s="33" t="n"/>
      <c r="CR212" s="33" t="n"/>
      <c r="CS212" s="33" t="n"/>
      <c r="CT212" s="33" t="n"/>
      <c r="CU212" s="33" t="n"/>
      <c r="CV212" s="33" t="n"/>
      <c r="CW212" s="33" t="n"/>
      <c r="CX212" s="33" t="n"/>
      <c r="CY212" s="33" t="n"/>
      <c r="CZ212" s="33" t="n"/>
      <c r="DA212" s="33" t="n"/>
      <c r="DB212" s="33" t="n"/>
      <c r="DC212" s="33" t="n"/>
      <c r="DD212" s="33" t="n"/>
      <c r="DE212" s="33" t="n"/>
      <c r="DF212" s="33" t="n"/>
      <c r="DG212" s="33" t="n"/>
      <c r="DH212" s="33" t="n"/>
      <c r="DI212" s="33" t="n"/>
      <c r="DJ212" s="33" t="n"/>
      <c r="DK212" s="33" t="n"/>
      <c r="DL212" s="33" t="n"/>
      <c r="DM212" s="33" t="n"/>
      <c r="DN212" s="33" t="n"/>
      <c r="DO212" s="33" t="n"/>
      <c r="DP212" s="33" t="n"/>
      <c r="DQ212" s="33" t="n"/>
      <c r="DR212" s="33" t="n"/>
      <c r="DS212" s="33" t="n"/>
      <c r="DT212" s="33" t="n"/>
      <c r="DU212" s="33" t="n"/>
      <c r="DV212" s="33" t="n"/>
      <c r="DW212" s="33" t="n"/>
      <c r="DX212" s="33" t="n"/>
      <c r="DY212" s="33" t="n"/>
      <c r="DZ212" s="33" t="n"/>
      <c r="EA212" s="33" t="n"/>
      <c r="EB212" s="33" t="n"/>
      <c r="EC212" s="33" t="n"/>
      <c r="ED212" s="33" t="n"/>
      <c r="EE212" s="33" t="n"/>
      <c r="EF212" s="33" t="n"/>
      <c r="EG212" s="33" t="n"/>
      <c r="EH212" s="33" t="n"/>
      <c r="EI212" s="33" t="n"/>
      <c r="EJ212" s="33" t="n"/>
      <c r="EK212" s="33" t="n"/>
      <c r="EL212" s="33" t="n"/>
      <c r="EM212" s="33" t="n"/>
      <c r="EN212" s="33" t="n"/>
      <c r="EO212" s="33" t="n"/>
      <c r="EP212" s="33" t="n"/>
      <c r="EQ212" s="33" t="n"/>
      <c r="ER212" s="33" t="n"/>
      <c r="ES212" s="33" t="n"/>
      <c r="ET212" s="33" t="n"/>
      <c r="EU212" s="33" t="n"/>
      <c r="EV212" s="33" t="n"/>
      <c r="EW212" s="33" t="n"/>
      <c r="EX212" s="33" t="n"/>
    </row>
    <row r="213">
      <c r="C213" s="264" t="n"/>
      <c r="D213" s="264" t="n"/>
      <c r="E213" s="264" t="n"/>
      <c r="F213" s="264" t="n"/>
      <c r="G213" s="264" t="n"/>
      <c r="H213" s="264" t="n"/>
    </row>
    <row r="214">
      <c r="E214" s="345" t="n"/>
    </row>
    <row r="218">
      <c r="J218" s="362" t="n"/>
      <c r="K218" s="362" t="n"/>
      <c r="L218" s="361" t="n"/>
      <c r="M218" s="3" t="n"/>
      <c r="N218" s="361" t="n"/>
      <c r="O218" s="362" t="n"/>
      <c r="P218" s="362" t="n"/>
      <c r="Q218" s="362" t="n"/>
      <c r="R218" s="362" t="n"/>
      <c r="S218" s="362" t="n"/>
      <c r="T218" s="362" t="n"/>
      <c r="U218" s="361" t="n"/>
      <c r="V218" s="362" t="n"/>
      <c r="W218" s="362" t="n"/>
      <c r="X218" s="362" t="n"/>
      <c r="Y218" s="362" t="n"/>
      <c r="Z218" s="362" t="n"/>
      <c r="AA218" s="362" t="n"/>
      <c r="AB218" s="362" t="n"/>
      <c r="AC218" s="362" t="n"/>
      <c r="AD218" s="362" t="n"/>
      <c r="AE218" s="362" t="n"/>
      <c r="AF218" s="362" t="n"/>
      <c r="AG218" s="362" t="n"/>
      <c r="AH218" s="362" t="n"/>
      <c r="AI218" s="362" t="n"/>
      <c r="AJ218" s="362" t="n"/>
      <c r="AK218" s="362" t="n"/>
      <c r="AL218" s="362" t="n"/>
      <c r="AM218" s="362" t="n"/>
      <c r="AN218" s="362" t="n"/>
      <c r="AO218" s="362" t="n"/>
      <c r="AP218" s="362" t="n"/>
      <c r="AQ218" s="362" t="n"/>
      <c r="AR218" s="362" t="n"/>
      <c r="AS218" s="362" t="n"/>
      <c r="AT218" s="362" t="n"/>
      <c r="AU218" s="362" t="n"/>
      <c r="AV218" s="362" t="n"/>
      <c r="AW218" s="362" t="n"/>
      <c r="AX218" s="362" t="n"/>
      <c r="AY218" s="362" t="n"/>
      <c r="AZ218" s="362" t="n"/>
      <c r="BA218" s="362" t="n"/>
      <c r="BB218" s="362" t="n"/>
      <c r="BC218" s="362" t="n"/>
      <c r="BD218" s="362" t="n"/>
      <c r="BE218" s="362" t="n"/>
      <c r="BF218" s="362" t="n"/>
      <c r="BG218" s="362" t="n"/>
      <c r="BH218" s="362" t="n"/>
      <c r="BI218" s="362" t="n"/>
      <c r="BJ218" s="362" t="n"/>
      <c r="BK218" s="362" t="n"/>
      <c r="BL218" s="362" t="n"/>
      <c r="BM218" s="362" t="n"/>
      <c r="BN218" s="362" t="n"/>
      <c r="BO218" s="362" t="n"/>
      <c r="BP218" s="362" t="n"/>
      <c r="BQ218" s="362" t="n"/>
      <c r="BR218" s="362" t="n"/>
      <c r="BS218" s="362" t="n"/>
      <c r="BT218" s="362" t="n"/>
      <c r="BU218" s="362" t="n"/>
      <c r="BV218" s="362" t="n"/>
      <c r="BW218" s="362" t="n"/>
      <c r="BX218" s="362" t="n"/>
      <c r="BY218" s="362" t="n"/>
      <c r="BZ218" s="362" t="n"/>
      <c r="CA218" s="362" t="n"/>
      <c r="CB218" s="362" t="n"/>
      <c r="CC218" s="362" t="n"/>
      <c r="CD218" s="362" t="n"/>
      <c r="CE218" s="362" t="n"/>
      <c r="CF218" s="362" t="n"/>
      <c r="CG218" s="362" t="n"/>
      <c r="CH218" s="362" t="n"/>
      <c r="CI218" s="362" t="n"/>
      <c r="CJ218" s="362" t="n"/>
      <c r="CK218" s="362" t="n"/>
      <c r="CL218" s="362" t="n"/>
      <c r="CM218" s="362" t="n"/>
      <c r="CN218" s="362" t="n"/>
      <c r="CO218" s="362" t="n"/>
      <c r="CP218" s="362" t="n"/>
      <c r="CQ218" s="362" t="n"/>
      <c r="CR218" s="362" t="n"/>
      <c r="CS218" s="362" t="n"/>
      <c r="CT218" s="362" t="n"/>
      <c r="CU218" s="362" t="n"/>
      <c r="CV218" s="362" t="n"/>
      <c r="CW218" s="362" t="n"/>
      <c r="CX218" s="362" t="n"/>
      <c r="CY218" s="362" t="n"/>
      <c r="CZ218" s="362" t="n"/>
      <c r="DA218" s="362" t="n"/>
      <c r="DB218" s="362" t="n"/>
      <c r="DC218" s="362" t="n"/>
      <c r="DD218" s="362" t="n"/>
      <c r="DE218" s="362" t="n"/>
      <c r="DF218" s="362" t="n"/>
      <c r="DG218" s="362" t="n"/>
      <c r="DH218" s="362" t="n"/>
      <c r="DI218" s="362" t="n"/>
      <c r="DJ218" s="362" t="n"/>
      <c r="DK218" s="362" t="n"/>
      <c r="DL218" s="362" t="n"/>
      <c r="DM218" s="362" t="n"/>
      <c r="DN218" s="362" t="n"/>
      <c r="DO218" s="362" t="n"/>
      <c r="DP218" s="362" t="n"/>
      <c r="DQ218" s="362" t="n"/>
      <c r="DR218" s="362" t="n"/>
      <c r="DS218" s="362" t="n"/>
      <c r="DT218" s="362" t="n"/>
      <c r="DU218" s="362" t="n"/>
      <c r="DV218" s="362" t="n"/>
      <c r="DW218" s="362" t="n"/>
      <c r="DX218" s="362" t="n"/>
      <c r="DY218" s="362" t="n"/>
      <c r="DZ218" s="362" t="n"/>
      <c r="EA218" s="362" t="n"/>
      <c r="EB218" s="362" t="n"/>
      <c r="EC218" s="362" t="n"/>
      <c r="ED218" s="362" t="n"/>
      <c r="EE218" s="362" t="n"/>
      <c r="EF218" s="362" t="n"/>
      <c r="EG218" s="362" t="n"/>
      <c r="EH218" s="362" t="n"/>
      <c r="EI218" s="362" t="n"/>
      <c r="EJ218" s="362" t="n"/>
      <c r="EK218" s="362" t="n"/>
      <c r="EL218" s="362" t="n"/>
      <c r="EM218" s="362" t="n"/>
      <c r="EN218" s="362" t="n"/>
      <c r="EO218" s="362" t="n"/>
      <c r="EP218" s="362" t="n"/>
      <c r="EQ218" s="362" t="n"/>
      <c r="ER218" s="362" t="n"/>
      <c r="ES218" s="362" t="n"/>
      <c r="ET218" s="362" t="n"/>
      <c r="EU218" s="362" t="n"/>
      <c r="EV218" s="362" t="n"/>
      <c r="EW218" s="362" t="n"/>
      <c r="EX218" s="362" t="n"/>
    </row>
    <row r="219">
      <c r="J219" s="264" t="n"/>
      <c r="K219" s="264" t="n"/>
      <c r="L219" s="282" t="n"/>
      <c r="N219" s="282" t="n"/>
      <c r="O219" s="264" t="n"/>
      <c r="P219" s="264" t="n"/>
      <c r="Q219" s="264" t="n"/>
      <c r="R219" s="264" t="n"/>
      <c r="S219" s="264" t="n"/>
      <c r="T219" s="264" t="n"/>
      <c r="U219" s="282" t="n"/>
      <c r="V219" s="264" t="n"/>
      <c r="W219" s="264" t="n"/>
      <c r="X219" s="264" t="n"/>
      <c r="Y219" s="264" t="n"/>
      <c r="Z219" s="264" t="n"/>
      <c r="AA219" s="264" t="n"/>
      <c r="AB219" s="264" t="n"/>
      <c r="AC219" s="264" t="n"/>
      <c r="AD219" s="264" t="n"/>
      <c r="AE219" s="264" t="n"/>
      <c r="AF219" s="264" t="n"/>
      <c r="AG219" s="264" t="n"/>
      <c r="AH219" s="264" t="n"/>
      <c r="AI219" s="264" t="n"/>
      <c r="AJ219" s="264" t="n"/>
      <c r="AK219" s="264" t="n"/>
      <c r="AL219" s="264" t="n"/>
      <c r="AM219" s="264" t="n"/>
      <c r="AN219" s="264" t="n"/>
      <c r="AO219" s="264" t="n"/>
      <c r="AP219" s="264" t="n"/>
      <c r="AQ219" s="264" t="n"/>
      <c r="AR219" s="264" t="n"/>
      <c r="AS219" s="264" t="n"/>
      <c r="AT219" s="264" t="n"/>
      <c r="AU219" s="264" t="n"/>
      <c r="AV219" s="264" t="n"/>
      <c r="AW219" s="264" t="n"/>
      <c r="AX219" s="264" t="n"/>
      <c r="AY219" s="264" t="n"/>
      <c r="AZ219" s="264" t="n"/>
      <c r="BA219" s="264" t="n"/>
      <c r="BB219" s="264" t="n"/>
      <c r="BC219" s="264" t="n"/>
      <c r="BD219" s="264" t="n"/>
      <c r="BE219" s="264" t="n"/>
      <c r="BF219" s="264" t="n"/>
      <c r="BG219" s="264" t="n"/>
      <c r="BH219" s="264" t="n"/>
      <c r="BI219" s="264" t="n"/>
      <c r="BJ219" s="264" t="n"/>
      <c r="BK219" s="264" t="n"/>
      <c r="BL219" s="264" t="n"/>
      <c r="BM219" s="264" t="n"/>
      <c r="BN219" s="264" t="n"/>
      <c r="BO219" s="264" t="n"/>
      <c r="BP219" s="264" t="n"/>
      <c r="BQ219" s="264" t="n"/>
      <c r="BR219" s="264" t="n"/>
      <c r="BS219" s="264" t="n"/>
      <c r="BT219" s="264" t="n"/>
      <c r="BU219" s="264" t="n"/>
      <c r="BV219" s="264" t="n"/>
      <c r="BW219" s="264" t="n"/>
      <c r="BX219" s="264" t="n"/>
      <c r="BY219" s="264" t="n"/>
      <c r="BZ219" s="264" t="n"/>
      <c r="CA219" s="264" t="n"/>
      <c r="CB219" s="264" t="n"/>
      <c r="CC219" s="264" t="n"/>
      <c r="CD219" s="264" t="n"/>
      <c r="CE219" s="264" t="n"/>
      <c r="CF219" s="264" t="n"/>
      <c r="CG219" s="264" t="n"/>
      <c r="CH219" s="264" t="n"/>
      <c r="CI219" s="264" t="n"/>
      <c r="CJ219" s="264" t="n"/>
      <c r="CK219" s="264" t="n"/>
      <c r="CL219" s="264" t="n"/>
      <c r="CM219" s="264" t="n"/>
      <c r="CN219" s="264" t="n"/>
      <c r="CO219" s="264" t="n"/>
      <c r="CP219" s="264" t="n"/>
      <c r="CQ219" s="264" t="n"/>
      <c r="CR219" s="264" t="n"/>
      <c r="CS219" s="264" t="n"/>
      <c r="CT219" s="264" t="n"/>
      <c r="CU219" s="264" t="n"/>
      <c r="CV219" s="264" t="n"/>
      <c r="CW219" s="264" t="n"/>
      <c r="CX219" s="264" t="n"/>
      <c r="CY219" s="264" t="n"/>
      <c r="CZ219" s="264" t="n"/>
      <c r="DA219" s="264" t="n"/>
      <c r="DB219" s="264" t="n"/>
      <c r="DC219" s="264" t="n"/>
      <c r="DD219" s="264" t="n"/>
      <c r="DE219" s="264" t="n"/>
      <c r="DF219" s="264" t="n"/>
      <c r="DG219" s="264" t="n"/>
      <c r="DH219" s="264" t="n"/>
      <c r="DI219" s="264" t="n"/>
      <c r="DJ219" s="264" t="n"/>
      <c r="DK219" s="264" t="n"/>
      <c r="DL219" s="264" t="n"/>
      <c r="DM219" s="264" t="n"/>
      <c r="DN219" s="264" t="n"/>
      <c r="DO219" s="264" t="n"/>
      <c r="DP219" s="264" t="n"/>
      <c r="DQ219" s="264" t="n"/>
      <c r="DR219" s="264" t="n"/>
      <c r="DS219" s="264" t="n"/>
      <c r="DT219" s="264" t="n"/>
      <c r="DU219" s="264" t="n"/>
      <c r="DV219" s="264" t="n"/>
      <c r="DW219" s="264" t="n"/>
      <c r="DX219" s="264" t="n"/>
      <c r="DY219" s="264" t="n"/>
      <c r="DZ219" s="264" t="n"/>
      <c r="EA219" s="264" t="n"/>
      <c r="EB219" s="264" t="n"/>
      <c r="EC219" s="264" t="n"/>
      <c r="ED219" s="264" t="n"/>
      <c r="EE219" s="264" t="n"/>
      <c r="EF219" s="264" t="n"/>
      <c r="EG219" s="264" t="n"/>
      <c r="EH219" s="264" t="n"/>
      <c r="EI219" s="264" t="n"/>
      <c r="EJ219" s="264" t="n"/>
      <c r="EK219" s="264" t="n"/>
      <c r="EL219" s="264" t="n"/>
      <c r="EM219" s="264" t="n"/>
      <c r="EN219" s="264" t="n"/>
      <c r="EO219" s="264" t="n"/>
      <c r="EP219" s="264" t="n"/>
      <c r="EQ219" s="264" t="n"/>
      <c r="ER219" s="264" t="n"/>
      <c r="ES219" s="264" t="n"/>
      <c r="ET219" s="264" t="n"/>
      <c r="EU219" s="264" t="n"/>
      <c r="EV219" s="264" t="n"/>
      <c r="EW219" s="264" t="n"/>
      <c r="EX219" s="264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동욱 정</dc:creator>
  <dcterms:created xmlns:dcterms="http://purl.org/dc/terms/" xmlns:xsi="http://www.w3.org/2001/XMLSchema-instance" xsi:type="dcterms:W3CDTF">2026-03-14T21:17:44Z</dcterms:created>
  <dcterms:modified xmlns:dcterms="http://purl.org/dc/terms/" xmlns:xsi="http://www.w3.org/2001/XMLSchema-instance" xsi:type="dcterms:W3CDTF">2026-04-02T01:56:28Z</dcterms:modified>
  <cp:lastModifiedBy>동욱 정</cp:lastModifiedBy>
</cp:coreProperties>
</file>

<file path=docProps/custom.xml><?xml version="1.0" encoding="utf-8"?>
<Properties xmlns="http://schemas.openxmlformats.org/officeDocument/2006/custom-properties">
  <property name="13" linkTarget="Prop_13" fmtid="{D5CDD505-2E9C-101B-9397-08002B2CF9AE}" pid="2">
    <vt:lpwstr xmlns:vt="http://schemas.openxmlformats.org/officeDocument/2006/docPropsVTypes"/>
  </property>
  <property name="Acq_Cost" linkTarget="Prop_Acq_Cost" fmtid="{D5CDD505-2E9C-101B-9397-08002B2CF9AE}" pid="3">
    <vt:lpwstr xmlns:vt="http://schemas.openxmlformats.org/officeDocument/2006/docPropsVTypes"/>
  </property>
</Properties>
</file>