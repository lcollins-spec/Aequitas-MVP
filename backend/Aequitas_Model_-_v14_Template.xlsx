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Helmy_LCollins/Desktop/"/>
    </mc:Choice>
  </mc:AlternateContent>
  <xr:revisionPtr revIDLastSave="0" documentId="8_{4281D6FA-F4B4-C74E-AA75-8EC0CD907C47}" xr6:coauthVersionLast="47" xr6:coauthVersionMax="47" xr10:uidLastSave="{00000000-0000-0000-0000-000000000000}"/>
  <bookViews>
    <workbookView xWindow="0" yWindow="600" windowWidth="28360" windowHeight="18520" xr2:uid="{BD369541-4CCF-4D83-B984-B318FF834E13}"/>
  </bookViews>
  <sheets>
    <sheet name="Pro Forma" sheetId="1" r:id="rId1"/>
    <sheet name="Sales Comps" sheetId="11" r:id="rId2"/>
  </sheets>
  <externalReferences>
    <externalReference r:id="rId3"/>
  </externalReferences>
  <definedNames>
    <definedName name="_" hidden="1">#REF!</definedName>
    <definedName name="__" hidden="1">#REF!</definedName>
    <definedName name="___" hidden="1">#REF!</definedName>
    <definedName name="____" hidden="1">#REF!</definedName>
    <definedName name="__________________________________________________________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___________________________________old2" hidden="1">{#N/A,#N/A,FALSE,"Chart 2 by Prop Type"}</definedName>
    <definedName name="______________________________________old2" hidden="1">{#N/A,#N/A,FALSE,"Chart 2 by Prop Type"}</definedName>
    <definedName name="_____________________________________old2" hidden="1">{#N/A,#N/A,FALSE,"Chart 2 by Prop Type"}</definedName>
    <definedName name="____________________________________old2" hidden="1">{#N/A,#N/A,FALSE,"Chart 2 by Prop Type"}</definedName>
    <definedName name="___________________________________old2" hidden="1">{#N/A,#N/A,FALSE,"Chart 2 by Prop Type"}</definedName>
    <definedName name="__________________________________old2" hidden="1">{#N/A,#N/A,FALSE,"Chart 2 by Prop Type"}</definedName>
    <definedName name="_________________________________old2" hidden="1">{#N/A,#N/A,FALSE,"Chart 2 by Prop Type"}</definedName>
    <definedName name="________________________________old2" hidden="1">{#N/A,#N/A,FALSE,"Chart 2 by Prop Type"}</definedName>
    <definedName name="_______________________________old2" hidden="1">{#N/A,#N/A,FALSE,"Chart 2 by Prop Type"}</definedName>
    <definedName name="______________________________old2" hidden="1">{#N/A,#N/A,FALSE,"Chart 2 by Prop Type"}</definedName>
    <definedName name="_____________________________old2" hidden="1">{#N/A,#N/A,FALSE,"Chart 2 by Prop Type"}</definedName>
    <definedName name="____________________________old2" hidden="1">{#N/A,#N/A,FALSE,"Chart 2 by Prop Type"}</definedName>
    <definedName name="___________________________old2" hidden="1">{#N/A,#N/A,FALSE,"Chart 2 by Prop Type"}</definedName>
    <definedName name="__________________________old2" hidden="1">{#N/A,#N/A,FALSE,"Chart 2 by Prop Type"}</definedName>
    <definedName name="_________________________old2" hidden="1">{#N/A,#N/A,FALSE,"Chart 2 by Prop Type"}</definedName>
    <definedName name="_________________________wrn3" hidden="1">{#N/A,#N/A,FALSE,"Aging Summary";#N/A,#N/A,FALSE,"Ratio Analysis";#N/A,#N/A,FALSE,"Test 120 Day Accts";#N/A,#N/A,FALSE,"Tickmarks"}</definedName>
    <definedName name="________________________old2" hidden="1">{#N/A,#N/A,FALSE,"Chart 2 by Prop Type"}</definedName>
    <definedName name="_______________________old2" hidden="1">{#N/A,#N/A,FALSE,"Chart 2 by Prop Type"}</definedName>
    <definedName name="_______________________wrn3" hidden="1">{#N/A,#N/A,FALSE,"Aging Summary";#N/A,#N/A,FALSE,"Ratio Analysis";#N/A,#N/A,FALSE,"Test 120 Day Accts";#N/A,#N/A,FALSE,"Tickmarks"}</definedName>
    <definedName name="______________________old2" hidden="1">{#N/A,#N/A,FALSE,"Chart 2 by Prop Type"}</definedName>
    <definedName name="_____________________old2" hidden="1">{#N/A,#N/A,FALSE,"Chart 2 by Prop Type"}</definedName>
    <definedName name="_____________________wrn3" hidden="1">{#N/A,#N/A,FALSE,"Aging Summary";#N/A,#N/A,FALSE,"Ratio Analysis";#N/A,#N/A,FALSE,"Test 120 Day Accts";#N/A,#N/A,FALSE,"Tickmarks"}</definedName>
    <definedName name="____________________old2" hidden="1">{#N/A,#N/A,FALSE,"Chart 2 by Prop Type"}</definedName>
    <definedName name="____________________wrn3" hidden="1">{#N/A,#N/A,FALSE,"Aging Summary";#N/A,#N/A,FALSE,"Ratio Analysis";#N/A,#N/A,FALSE,"Test 120 Day Accts";#N/A,#N/A,FALSE,"Tickmarks"}</definedName>
    <definedName name="___________________Feb03" hidden="1">{#N/A,#N/A,FALSE,"Class A";#N/A,#N/A,FALSE,"Class B";#N/A,#N/A,FALSE,"Class C"}</definedName>
    <definedName name="___________________old2" hidden="1">{#N/A,#N/A,FALSE,"Chart 2 by Prop Type"}</definedName>
    <definedName name="___________________wrn3" hidden="1">{#N/A,#N/A,FALSE,"Aging Summary";#N/A,#N/A,FALSE,"Ratio Analysis";#N/A,#N/A,FALSE,"Test 120 Day Accts";#N/A,#N/A,FALSE,"Tickmarks"}</definedName>
    <definedName name="__________________old2" hidden="1">{#N/A,#N/A,FALSE,"Chart 2 by Prop Type"}</definedName>
    <definedName name="_________________Feb03" hidden="1">{#N/A,#N/A,FALSE,"Class A";#N/A,#N/A,FALSE,"Class B";#N/A,#N/A,FALSE,"Class C"}</definedName>
    <definedName name="_________________old2" hidden="1">{#N/A,#N/A,FALSE,"Chart 2 by Prop Type"}</definedName>
    <definedName name="_________________wrn3" hidden="1">{#N/A,#N/A,FALSE,"Aging Summary";#N/A,#N/A,FALSE,"Ratio Analysis";#N/A,#N/A,FALSE,"Test 120 Day Accts";#N/A,#N/A,FALSE,"Tickmarks"}</definedName>
    <definedName name="________________Feb03" hidden="1">{#N/A,#N/A,FALSE,"Class A";#N/A,#N/A,FALSE,"Class B";#N/A,#N/A,FALSE,"Class C"}</definedName>
    <definedName name="________________old2" hidden="1">{#N/A,#N/A,FALSE,"Chart 2 by Prop Type"}</definedName>
    <definedName name="________________TX3" hidden="1">{#N/A,#N/A,FALSE,"Aging Summary";#N/A,#N/A,FALSE,"Ratio Analysis";#N/A,#N/A,FALSE,"Test 120 Day Accts";#N/A,#N/A,FALSE,"Tickmarks"}</definedName>
    <definedName name="________________wrn3" hidden="1">{#N/A,#N/A,FALSE,"Aging Summary";#N/A,#N/A,FALSE,"Ratio Analysis";#N/A,#N/A,FALSE,"Test 120 Day Accts";#N/A,#N/A,FALSE,"Tickmarks"}</definedName>
    <definedName name="_______________Feb03" hidden="1">{#N/A,#N/A,FALSE,"Class A";#N/A,#N/A,FALSE,"Class B";#N/A,#N/A,FALSE,"Class C"}</definedName>
    <definedName name="_______________old2" hidden="1">{#N/A,#N/A,FALSE,"Chart 2 by Prop Type"}</definedName>
    <definedName name="_______________TX2" hidden="1">{#N/A,#N/A,FALSE,"Aging Summary";#N/A,#N/A,FALSE,"Ratio Analysis";#N/A,#N/A,FALSE,"Test 120 Day Accts";#N/A,#N/A,FALSE,"Tickmarks"}</definedName>
    <definedName name="_______________wrn3" hidden="1">{#N/A,#N/A,FALSE,"Aging Summary";#N/A,#N/A,FALSE,"Ratio Analysis";#N/A,#N/A,FALSE,"Test 120 Day Accts";#N/A,#N/A,FALSE,"Tickmarks"}</definedName>
    <definedName name="______________old2" hidden="1">{#N/A,#N/A,FALSE,"Chart 2 by Prop Type"}</definedName>
    <definedName name="______________wrn3" hidden="1">{#N/A,#N/A,FALSE,"Aging Summary";#N/A,#N/A,FALSE,"Ratio Analysis";#N/A,#N/A,FALSE,"Test 120 Day Accts";#N/A,#N/A,FALSE,"Tickmarks"}</definedName>
    <definedName name="_____________Feb03" hidden="1">{#N/A,#N/A,FALSE,"Class A";#N/A,#N/A,FALSE,"Class B";#N/A,#N/A,FALSE,"Class C"}</definedName>
    <definedName name="_____________old2" hidden="1">{#N/A,#N/A,FALSE,"Chart 2 by Prop Type"}</definedName>
    <definedName name="_____________wrn3" hidden="1">{#N/A,#N/A,FALSE,"Aging Summary";#N/A,#N/A,FALSE,"Ratio Analysis";#N/A,#N/A,FALSE,"Test 120 Day Accts";#N/A,#N/A,FALSE,"Tickmarks"}</definedName>
    <definedName name="____________Feb03" hidden="1">{#N/A,#N/A,FALSE,"Class A";#N/A,#N/A,FALSE,"Class B";#N/A,#N/A,FALSE,"Class C"}</definedName>
    <definedName name="__________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________OK2" hidden="1">{#N/A,#N/A,FALSE,"Cover";#N/A,#N/A,FALSE,"LUMI";#N/A,#N/A,FALSE,"COMD";#N/A,#N/A,FALSE,"Valuation";#N/A,#N/A,FALSE,"Assumptions";#N/A,#N/A,FALSE,"Pooling";#N/A,#N/A,FALSE,"BalanceSheet"}</definedName>
    <definedName name="____________old2" hidden="1">{#N/A,#N/A,FALSE,"Chart 2 by Prop Type"}</definedName>
    <definedName name="____________wrn3" hidden="1">{#N/A,#N/A,FALSE,"Aging Summary";#N/A,#N/A,FALSE,"Ratio Analysis";#N/A,#N/A,FALSE,"Test 120 Day Accts";#N/A,#N/A,FALSE,"Tickmarks"}</definedName>
    <definedName name="___________k" hidden="1">{#N/A,#N/A,TRUE,"A-site";#N/A,#N/A,TRUE,"B-Buildings";#N/A,#N/A,TRUE,"c-out-of-fence";#N/A,#N/A,TRUE,"d-proj.infr.";#N/A,#N/A,TRUE,"e- land"}</definedName>
    <definedName name="_________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_______OK2" hidden="1">{#N/A,#N/A,FALSE,"Cover";#N/A,#N/A,FALSE,"LUMI";#N/A,#N/A,FALSE,"COMD";#N/A,#N/A,FALSE,"Valuation";#N/A,#N/A,FALSE,"Assumptions";#N/A,#N/A,FALSE,"Pooling";#N/A,#N/A,FALSE,"BalanceSheet"}</definedName>
    <definedName name="___________old2" hidden="1">{#N/A,#N/A,FALSE,"Chart 2 by Prop Type"}</definedName>
    <definedName name="___________w" hidden="1">{#N/A,#N/A,TRUE,"A-site";#N/A,#N/A,TRUE,"B-Buildings";#N/A,#N/A,TRUE,"c-out-of-fence";#N/A,#N/A,TRUE,"d-proj.infr.";#N/A,#N/A,TRUE,"e- land"}</definedName>
    <definedName name="___________wrn3" hidden="1">{#N/A,#N/A,FALSE,"Aging Summary";#N/A,#N/A,FALSE,"Ratio Analysis";#N/A,#N/A,FALSE,"Test 120 Day Accts";#N/A,#N/A,FALSE,"Tickmarks"}</definedName>
    <definedName name="__________Feb03" hidden="1">{#N/A,#N/A,FALSE,"Class A";#N/A,#N/A,FALSE,"Class B";#N/A,#N/A,FALSE,"Class C"}</definedName>
    <definedName name="________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______OK2" hidden="1">{#N/A,#N/A,FALSE,"Cover";#N/A,#N/A,FALSE,"LUMI";#N/A,#N/A,FALSE,"COMD";#N/A,#N/A,FALSE,"Valuation";#N/A,#N/A,FALSE,"Assumptions";#N/A,#N/A,FALSE,"Pooling";#N/A,#N/A,FALSE,"BalanceSheet"}</definedName>
    <definedName name="__________old2" hidden="1">{#N/A,#N/A,FALSE,"Chart 2 by Prop Type"}</definedName>
    <definedName name="__________wrn3" hidden="1">{#N/A,#N/A,FALSE,"Aging Summary";#N/A,#N/A,FALSE,"Ratio Analysis";#N/A,#N/A,FALSE,"Test 120 Day Accts";#N/A,#N/A,FALSE,"Tickmarks"}</definedName>
    <definedName name="_________Feb03" hidden="1">{#N/A,#N/A,FALSE,"Class A";#N/A,#N/A,FALSE,"Class B";#N/A,#N/A,FALSE,"Class C"}</definedName>
    <definedName name="_________key1" hidden="1">#REF!</definedName>
    <definedName name="_________key2" hidden="1">#REF!</definedName>
    <definedName name="_______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_____OK2" hidden="1">{#N/A,#N/A,FALSE,"Cover";#N/A,#N/A,FALSE,"LUMI";#N/A,#N/A,FALSE,"COMD";#N/A,#N/A,FALSE,"Valuation";#N/A,#N/A,FALSE,"Assumptions";#N/A,#N/A,FALSE,"Pooling";#N/A,#N/A,FALSE,"BalanceSheet"}</definedName>
    <definedName name="_________old2" hidden="1">{#N/A,#N/A,FALSE,"Chart 2 by Prop Type"}</definedName>
    <definedName name="_________wrn3" hidden="1">{#N/A,#N/A,FALSE,"Aging Summary";#N/A,#N/A,FALSE,"Ratio Analysis";#N/A,#N/A,FALSE,"Test 120 Day Accts";#N/A,#N/A,FALSE,"Tickmarks"}</definedName>
    <definedName name="________Feb03" hidden="1">{#N/A,#N/A,FALSE,"Class A";#N/A,#N/A,FALSE,"Class B";#N/A,#N/A,FALSE,"Class C"}</definedName>
    <definedName name="________key1" hidden="1">#REF!</definedName>
    <definedName name="________key2" hidden="1">#REF!</definedName>
    <definedName name="______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____OK2" hidden="1">{#N/A,#N/A,FALSE,"Cover";#N/A,#N/A,FALSE,"LUMI";#N/A,#N/A,FALSE,"COMD";#N/A,#N/A,FALSE,"Valuation";#N/A,#N/A,FALSE,"Assumptions";#N/A,#N/A,FALSE,"Pooling";#N/A,#N/A,FALSE,"BalanceSheet"}</definedName>
    <definedName name="________old2" hidden="1">{#N/A,#N/A,FALSE,"Chart 2 by Prop Type"}</definedName>
    <definedName name="________wrn3" hidden="1">{#N/A,#N/A,FALSE,"Aging Summary";#N/A,#N/A,FALSE,"Ratio Analysis";#N/A,#N/A,FALSE,"Test 120 Day Accts";#N/A,#N/A,FALSE,"Tickmarks"}</definedName>
    <definedName name="________z1" hidden="1">{"Commish",#N/A,FALSE,"LAWTC"}</definedName>
    <definedName name="_______a1" hidden="1">{"Assump",#N/A,TRUE,"Proforma";"first",#N/A,TRUE,"Proforma";"second",#N/A,TRUE,"Proforma";"lease1",#N/A,TRUE,"Proforma";"lease2",#N/A,TRUE,"Proforma"}</definedName>
    <definedName name="_______Feb03" hidden="1">{#N/A,#N/A,FALSE,"Class A";#N/A,#N/A,FALSE,"Class B";#N/A,#N/A,FALSE,"Class C"}</definedName>
    <definedName name="_______key1" hidden="1">#REF!</definedName>
    <definedName name="_______key2" hidden="1">#REF!</definedName>
    <definedName name="_____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___OK2" hidden="1">{#N/A,#N/A,FALSE,"Cover";#N/A,#N/A,FALSE,"LUMI";#N/A,#N/A,FALSE,"COMD";#N/A,#N/A,FALSE,"Valuation";#N/A,#N/A,FALSE,"Assumptions";#N/A,#N/A,FALSE,"Pooling";#N/A,#N/A,FALSE,"BalanceSheet"}</definedName>
    <definedName name="_______old2" hidden="1">{#N/A,#N/A,FALSE,"Chart 2 by Prop Type"}</definedName>
    <definedName name="_______wrn1" localSheetId="0" hidden="1">{"schedule1",#N/A,FALSE,"Sheet1";"schedule2",#N/A,FALSE,"Sheet1";"schedule3",#N/A,FALSE,"Sheet1";"schedule4",#N/A,FALSE,"Sheet1";"schedule5",#N/A,FALSE,"Sheet1";"schedule6",#N/A,FALSE,"Sheet1"}</definedName>
    <definedName name="_______wrn1" hidden="1">{"schedule1",#N/A,FALSE,"Sheet1";"schedule2",#N/A,FALSE,"Sheet1";"schedule3",#N/A,FALSE,"Sheet1";"schedule4",#N/A,FALSE,"Sheet1";"schedule5",#N/A,FALSE,"Sheet1";"schedule6",#N/A,FALSE,"Sheet1"}</definedName>
    <definedName name="_______wrn1_1" hidden="1">{"schedule1",#N/A,FALSE,"Sheet1";"schedule2",#N/A,FALSE,"Sheet1";"schedule3",#N/A,FALSE,"Sheet1";"schedule4",#N/A,FALSE,"Sheet1";"schedule5",#N/A,FALSE,"Sheet1";"schedule6",#N/A,FALSE,"Sheet1"}</definedName>
    <definedName name="_______wrn1_2" hidden="1">{"schedule1",#N/A,FALSE,"Sheet1";"schedule2",#N/A,FALSE,"Sheet1";"schedule3",#N/A,FALSE,"Sheet1";"schedule4",#N/A,FALSE,"Sheet1";"schedule5",#N/A,FALSE,"Sheet1";"schedule6",#N/A,FALSE,"Sheet1"}</definedName>
    <definedName name="_______wrn1_3" hidden="1">{"schedule1",#N/A,FALSE,"Sheet1";"schedule2",#N/A,FALSE,"Sheet1";"schedule3",#N/A,FALSE,"Sheet1";"schedule4",#N/A,FALSE,"Sheet1";"schedule5",#N/A,FALSE,"Sheet1";"schedule6",#N/A,FALSE,"Sheet1"}</definedName>
    <definedName name="_______wrn1_4" hidden="1">{"schedule1",#N/A,FALSE,"Sheet1";"schedule2",#N/A,FALSE,"Sheet1";"schedule3",#N/A,FALSE,"Sheet1";"schedule4",#N/A,FALSE,"Sheet1";"schedule5",#N/A,FALSE,"Sheet1";"schedule6",#N/A,FALSE,"Sheet1"}</definedName>
    <definedName name="_______wrn3" hidden="1">{#N/A,#N/A,FALSE,"Aging Summary";#N/A,#N/A,FALSE,"Ratio Analysis";#N/A,#N/A,FALSE,"Test 120 Day Accts";#N/A,#N/A,FALSE,"Tickmarks"}</definedName>
    <definedName name="______a1" hidden="1">{"Assump",#N/A,TRUE,"Proforma";"first",#N/A,TRUE,"Proforma";"second",#N/A,TRUE,"Proforma";"lease1",#N/A,TRUE,"Proforma";"lease2",#N/A,TRUE,"Proforma"}</definedName>
    <definedName name="______al1" hidden="1">{"sheet a",#N/A,FALSE,"A";"sheet b 1",#N/A,FALSE,"B";"sheet b 2",#N/A,FALSE,"B"}</definedName>
    <definedName name="______Feb03" hidden="1">{#N/A,#N/A,FALSE,"Class A";#N/A,#N/A,FALSE,"Class B";#N/A,#N/A,FALSE,"Class C"}</definedName>
    <definedName name="____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__new1">#REF!</definedName>
    <definedName name="______OK2" hidden="1">{#N/A,#N/A,FALSE,"Cover";#N/A,#N/A,FALSE,"LUMI";#N/A,#N/A,FALSE,"COMD";#N/A,#N/A,FALSE,"Valuation";#N/A,#N/A,FALSE,"Assumptions";#N/A,#N/A,FALSE,"Pooling";#N/A,#N/A,FALSE,"BalanceSheet"}</definedName>
    <definedName name="______old2" hidden="1">{#N/A,#N/A,FALSE,"Chart 2 by Prop Type"}</definedName>
    <definedName name="______wmp1" hidden="1">{#N/A,#N/A,FALSE,"ENVIRONMENTAL"}</definedName>
    <definedName name="______wpm1" hidden="1">{#N/A,#N/A,FALSE,"LOAN ANALYSIS"}</definedName>
    <definedName name="______wrn1" localSheetId="0" hidden="1">{"schedule1",#N/A,FALSE,"Sheet1";"schedule2",#N/A,FALSE,"Sheet1";"schedule3",#N/A,FALSE,"Sheet1";"schedule4",#N/A,FALSE,"Sheet1";"schedule5",#N/A,FALSE,"Sheet1";"schedule6",#N/A,FALSE,"Sheet1"}</definedName>
    <definedName name="______wrn1" hidden="1">{"schedule1",#N/A,FALSE,"Sheet1";"schedule2",#N/A,FALSE,"Sheet1";"schedule3",#N/A,FALSE,"Sheet1";"schedule4",#N/A,FALSE,"Sheet1";"schedule5",#N/A,FALSE,"Sheet1";"schedule6",#N/A,FALSE,"Sheet1"}</definedName>
    <definedName name="______wrn1_1" hidden="1">{"schedule1",#N/A,FALSE,"Sheet1";"schedule2",#N/A,FALSE,"Sheet1";"schedule3",#N/A,FALSE,"Sheet1";"schedule4",#N/A,FALSE,"Sheet1";"schedule5",#N/A,FALSE,"Sheet1";"schedule6",#N/A,FALSE,"Sheet1"}</definedName>
    <definedName name="______wrn1_2" hidden="1">{"schedule1",#N/A,FALSE,"Sheet1";"schedule2",#N/A,FALSE,"Sheet1";"schedule3",#N/A,FALSE,"Sheet1";"schedule4",#N/A,FALSE,"Sheet1";"schedule5",#N/A,FALSE,"Sheet1";"schedule6",#N/A,FALSE,"Sheet1"}</definedName>
    <definedName name="______wrn1_3" hidden="1">{"schedule1",#N/A,FALSE,"Sheet1";"schedule2",#N/A,FALSE,"Sheet1";"schedule3",#N/A,FALSE,"Sheet1";"schedule4",#N/A,FALSE,"Sheet1";"schedule5",#N/A,FALSE,"Sheet1";"schedule6",#N/A,FALSE,"Sheet1"}</definedName>
    <definedName name="______wrn1_4" hidden="1">{"schedule1",#N/A,FALSE,"Sheet1";"schedule2",#N/A,FALSE,"Sheet1";"schedule3",#N/A,FALSE,"Sheet1";"schedule4",#N/A,FALSE,"Sheet1";"schedule5",#N/A,FALSE,"Sheet1";"schedule6",#N/A,FALSE,"Sheet1"}</definedName>
    <definedName name="______wrn3" hidden="1">{#N/A,#N/A,FALSE,"Aging Summary";#N/A,#N/A,FALSE,"Ratio Analysis";#N/A,#N/A,FALSE,"Test 120 Day Accts";#N/A,#N/A,FALSE,"Tickmarks"}</definedName>
    <definedName name="______z1" hidden="1">{"Commish",#N/A,FALSE,"LAWTC"}</definedName>
    <definedName name="_____a1" hidden="1">{"Assump",#N/A,TRUE,"Proforma";"first",#N/A,TRUE,"Proforma";"second",#N/A,TRUE,"Proforma";"lease1",#N/A,TRUE,"Proforma";"lease2",#N/A,TRUE,"Proforma"}</definedName>
    <definedName name="_____al1" hidden="1">{"sheet a",#N/A,FALSE,"A";"sheet b 1",#N/A,FALSE,"B";"sheet b 2",#N/A,FALSE,"B"}</definedName>
    <definedName name="_____as2" hidden="1">{"FCB_ALL",#N/A,FALSE,"FCB"}</definedName>
    <definedName name="_____key1" hidden="1">#REF!</definedName>
    <definedName name="_____key2" hidden="1">#REF!</definedName>
    <definedName name="___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_new1">#REF!</definedName>
    <definedName name="_____OK2" hidden="1">{#N/A,#N/A,FALSE,"Cover";#N/A,#N/A,FALSE,"LUMI";#N/A,#N/A,FALSE,"COMD";#N/A,#N/A,FALSE,"Valuation";#N/A,#N/A,FALSE,"Assumptions";#N/A,#N/A,FALSE,"Pooling";#N/A,#N/A,FALSE,"BalanceSheet"}</definedName>
    <definedName name="_____old2" hidden="1">{#N/A,#N/A,FALSE,"Chart 2 by Prop Type"}</definedName>
    <definedName name="_____sad2" hidden="1">{"MonthlyRentRoll",#N/A,FALSE,"RentRoll"}</definedName>
    <definedName name="_____wmp1" hidden="1">{#N/A,#N/A,FALSE,"ENVIRONMENTAL"}</definedName>
    <definedName name="_____wpm1" hidden="1">{#N/A,#N/A,FALSE,"LOAN ANALYSIS"}</definedName>
    <definedName name="_____wrn1" hidden="1">{"schedule1",#N/A,FALSE,"Sheet1";"schedule2",#N/A,FALSE,"Sheet1";"schedule3",#N/A,FALSE,"Sheet1";"schedule4",#N/A,FALSE,"Sheet1";"schedule5",#N/A,FALSE,"Sheet1";"schedule6",#N/A,FALSE,"Sheet1"}</definedName>
    <definedName name="_____wrn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____wrn3" hidden="1">{#N/A,#N/A,FALSE,"Aging Summary";#N/A,#N/A,FALSE,"Ratio Analysis";#N/A,#N/A,FALSE,"Test 120 Day Accts";#N/A,#N/A,FALSE,"Tickmarks"}</definedName>
    <definedName name="_____wrn4" hidden="1">{"data",#N/A,FALSE,"INPUT"}</definedName>
    <definedName name="____a1" hidden="1">{"Assump",#N/A,TRUE,"Proforma";"first",#N/A,TRUE,"Proforma";"second",#N/A,TRUE,"Proforma";"lease1",#N/A,TRUE,"Proforma";"lease2",#N/A,TRUE,"Proforma"}</definedName>
    <definedName name="____al1" hidden="1">{"sheet a",#N/A,FALSE,"A";"sheet b 1",#N/A,FALSE,"B";"sheet b 2",#N/A,FALSE,"B"}</definedName>
    <definedName name="____as2" hidden="1">{"FCB_ALL",#N/A,FALSE,"FCB"}</definedName>
    <definedName name="____Feb03" hidden="1">{#N/A,#N/A,FALSE,"Class A";#N/A,#N/A,FALSE,"Class B";#N/A,#N/A,FALSE,"Class C"}</definedName>
    <definedName name="____key1" hidden="1">#REF!</definedName>
    <definedName name="____key2" hidden="1">#REF!</definedName>
    <definedName name="__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new2" hidden="1">{"'B-2 QSER Jun 98 4-27-98 cor'!$A$1:$F$57"}</definedName>
    <definedName name="____new5" hidden="1">{"'B-2 QSER Jun 98 4-27-98 cor'!$A$1:$F$57"}</definedName>
    <definedName name="____OK2" hidden="1">{#N/A,#N/A,FALSE,"Cover";#N/A,#N/A,FALSE,"LUMI";#N/A,#N/A,FALSE,"COMD";#N/A,#N/A,FALSE,"Valuation";#N/A,#N/A,FALSE,"Assumptions";#N/A,#N/A,FALSE,"Pooling";#N/A,#N/A,FALSE,"BalanceSheet"}</definedName>
    <definedName name="____old2" hidden="1">{#N/A,#N/A,FALSE,"Chart 2 by Prop Type"}</definedName>
    <definedName name="____sad2" hidden="1">{"MonthlyRentRoll",#N/A,FALSE,"RentRoll"}</definedName>
    <definedName name="____wmp1" hidden="1">{#N/A,#N/A,FALSE,"ENVIRONMENTAL"}</definedName>
    <definedName name="____wpm1" hidden="1">{#N/A,#N/A,FALSE,"LOAN ANALYSIS"}</definedName>
    <definedName name="____wrn1" localSheetId="0" hidden="1">{"schedule1",#N/A,FALSE,"Sheet1";"schedule2",#N/A,FALSE,"Sheet1";"schedule3",#N/A,FALSE,"Sheet1";"schedule4",#N/A,FALSE,"Sheet1";"schedule5",#N/A,FALSE,"Sheet1";"schedule6",#N/A,FALSE,"Sheet1"}</definedName>
    <definedName name="____wrn1" hidden="1">{"schedule1",#N/A,FALSE,"Sheet1";"schedule2",#N/A,FALSE,"Sheet1";"schedule3",#N/A,FALSE,"Sheet1";"schedule4",#N/A,FALSE,"Sheet1";"schedule5",#N/A,FALSE,"Sheet1";"schedule6",#N/A,FALSE,"Sheet1"}</definedName>
    <definedName name="____wrn1_1" hidden="1">{"schedule1",#N/A,FALSE,"Sheet1";"schedule2",#N/A,FALSE,"Sheet1";"schedule3",#N/A,FALSE,"Sheet1";"schedule4",#N/A,FALSE,"Sheet1";"schedule5",#N/A,FALSE,"Sheet1";"schedule6",#N/A,FALSE,"Sheet1"}</definedName>
    <definedName name="____wrn1_2" hidden="1">{"schedule1",#N/A,FALSE,"Sheet1";"schedule2",#N/A,FALSE,"Sheet1";"schedule3",#N/A,FALSE,"Sheet1";"schedule4",#N/A,FALSE,"Sheet1";"schedule5",#N/A,FALSE,"Sheet1";"schedule6",#N/A,FALSE,"Sheet1"}</definedName>
    <definedName name="____wrn1_3" hidden="1">{"schedule1",#N/A,FALSE,"Sheet1";"schedule2",#N/A,FALSE,"Sheet1";"schedule3",#N/A,FALSE,"Sheet1";"schedule4",#N/A,FALSE,"Sheet1";"schedule5",#N/A,FALSE,"Sheet1";"schedule6",#N/A,FALSE,"Sheet1"}</definedName>
    <definedName name="____wrn1_4" hidden="1">{"schedule1",#N/A,FALSE,"Sheet1";"schedule2",#N/A,FALSE,"Sheet1";"schedule3",#N/A,FALSE,"Sheet1";"schedule4",#N/A,FALSE,"Sheet1";"schedule5",#N/A,FALSE,"Sheet1";"schedule6",#N/A,FALSE,"Sheet1"}</definedName>
    <definedName name="____wrn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___wrn3" hidden="1">{#N/A,#N/A,FALSE,"Aging Summary";#N/A,#N/A,FALSE,"Ratio Analysis";#N/A,#N/A,FALSE,"Test 120 Day Accts";#N/A,#N/A,FALSE,"Tickmarks"}</definedName>
    <definedName name="____wrn4" hidden="1">{"data",#N/A,FALSE,"INPUT"}</definedName>
    <definedName name="____z1" hidden="1">{"Commish",#N/A,FALSE,"LAWTC"}</definedName>
    <definedName name="___a1" hidden="1">{"Assump",#N/A,TRUE,"Proforma";"first",#N/A,TRUE,"Proforma";"second",#N/A,TRUE,"Proforma";"lease1",#N/A,TRUE,"Proforma";"lease2",#N/A,TRUE,"Proforma"}</definedName>
    <definedName name="___ABC2" hidden="1">{"CHART",#N/A,FALSE,"Arch Communications"}</definedName>
    <definedName name="___ad2" hidden="1">{"CHART",#N/A,FALSE,"Arch Communications"}</definedName>
    <definedName name="___ADS1" hidden="1">{"FCB_ALL",#N/A,FALSE,"FCB"}</definedName>
    <definedName name="___al1" hidden="1">{"sheet a",#N/A,FALSE,"A";"sheet b 1",#N/A,FALSE,"B";"sheet b 2",#N/A,FALSE,"B"}</definedName>
    <definedName name="___as1" hidden="1">{"FCB_ALL",#N/A,FALSE,"FCB"}</definedName>
    <definedName name="___as2" hidden="1">{"FCB_ALL",#N/A,FALSE,"FCB"}</definedName>
    <definedName name="___as3" hidden="1">{"FCB_ALL",#N/A,FALSE,"FCB"}</definedName>
    <definedName name="___AS4" hidden="1">{"FCB_ALL",#N/A,FALSE,"FCB"}</definedName>
    <definedName name="___as6" hidden="1">{"FCB_ALL",#N/A,FALSE,"FCB"}</definedName>
    <definedName name="___AS7" hidden="1">{"FCB_ALL",#N/A,FALSE,"FCB"}</definedName>
    <definedName name="___d1" hidden="1">{#N/A,#N/A,FALSE,"Sales"}</definedName>
    <definedName name="___d116" hidden="1">{#N/A,#N/A,FALSE,"Sales"}</definedName>
    <definedName name="___d16" hidden="1">{"Annual",#N/A,FALSE,"Sales &amp; Market";"Quarterly",#N/A,FALSE,"Sales &amp; Market"}</definedName>
    <definedName name="___d2" hidden="1">{#N/A,#N/A,FALSE,"Sales"}</definedName>
    <definedName name="___d216" hidden="1">{#N/A,#N/A,FALSE,"Sales"}</definedName>
    <definedName name="___dcf1" hidden="1">{#N/A,#N/A,FALSE,"Tar-Ass";#N/A,#N/A,FALSE,"Tar-IS";#N/A,#N/A,FALSE,"Tar-BS";#N/A,#N/A,FALSE,"Tar-Adg BS";#N/A,#N/A,FALSE,"Tar-CF"}</definedName>
    <definedName name="___df1" hidden="1">{#N/A,#N/A,FALSE,"Calc";#N/A,#N/A,FALSE,"Sensitivity";#N/A,#N/A,FALSE,"LT Earn.Dil.";#N/A,#N/A,FALSE,"Dil. AVP"}</definedName>
    <definedName name="___df2" hidden="1">{#N/A,#N/A,FALSE,"Calc";#N/A,#N/A,FALSE,"Sensitivity";#N/A,#N/A,FALSE,"LT Earn.Dil.";#N/A,#N/A,FALSE,"Dil. AVP"}</definedName>
    <definedName name="___dfd1" hidden="1">{"FCB_ALL",#N/A,FALSE,"FCB";"GREY_ALL",#N/A,FALSE,"GREY"}</definedName>
    <definedName name="___Feb03" hidden="1">{#N/A,#N/A,FALSE,"Class A";#N/A,#N/A,FALSE,"Class B";#N/A,#N/A,FALSE,"Class C"}</definedName>
    <definedName name="___fff1" hidden="1">{"Annual",#N/A,FALSE,"Sales &amp; Market";"Quarterly",#N/A,FALSE,"Sales &amp; Market"}</definedName>
    <definedName name="___gc1" hidden="1">{"Annual",#N/A,FALSE,"Sales &amp; Market";"Quarterly",#N/A,FALSE,"Sales &amp; Market"}</definedName>
    <definedName name="___hd1" hidden="1">{#N/A,#N/A,FALSE,"Calc";#N/A,#N/A,FALSE,"Sensitivity";#N/A,#N/A,FALSE,"LT Earn.Dil.";#N/A,#N/A,FALSE,"Dil. AVP"}</definedName>
    <definedName name="___hd2" hidden="1">{#N/A,#N/A,FALSE,"Calc";#N/A,#N/A,FALSE,"Sensitivity";#N/A,#N/A,FALSE,"LT Earn.Dil.";#N/A,#N/A,FALSE,"Dil. AVP"}</definedName>
    <definedName name="___key1" hidden="1">#REF!</definedName>
    <definedName name="___key2" hidden="1">#REF!</definedName>
    <definedName name="_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MRG2" hidden="1">{"INCOME",#N/A,FALSE,"ProNet";"VALUE",#N/A,FALSE,"ProNet"}</definedName>
    <definedName name="___MRG22" hidden="1">{"INCOME",#N/A,FALSE,"ProNet";"VALUE",#N/A,FALSE,"ProNet"}</definedName>
    <definedName name="___mrg4" hidden="1">{"INCOME",#N/A,FALSE,"ProNet";"VALUE",#N/A,FALSE,"ProNet"}</definedName>
    <definedName name="___mrg8" hidden="1">{"INCOME",#N/A,FALSE,"ProNet";"VALUE",#N/A,FALSE,"ProNet"}</definedName>
    <definedName name="___new1">#REF!</definedName>
    <definedName name="___ok1" hidden="1">{"Annual",#N/A,FALSE,"Sales &amp; Market";"Quarterly",#N/A,FALSE,"Sales &amp; Market"}</definedName>
    <definedName name="___OK2" hidden="1">{#N/A,#N/A,FALSE,"Cover";#N/A,#N/A,FALSE,"LUMI";#N/A,#N/A,FALSE,"COMD";#N/A,#N/A,FALSE,"Valuation";#N/A,#N/A,FALSE,"Assumptions";#N/A,#N/A,FALSE,"Pooling";#N/A,#N/A,FALSE,"BalanceSheet"}</definedName>
    <definedName name="___old2" hidden="1">{#N/A,#N/A,FALSE,"Chart 2 by Prop Type"}</definedName>
    <definedName name="___pj2" hidden="1">{"INCOME",#N/A,FALSE,"ProNet";"VALUE",#N/A,FALSE,"ProNet"}</definedName>
    <definedName name="___tax1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_thinkcellWUMAAAAAAAAAAAAA.qKOZ2HjcUS0vtZdGnn.Uw" hidden="1">#REF!</definedName>
    <definedName name="___we2" hidden="1">{"INCOME",#N/A,FALSE,"ProNet";"VALUE",#N/A,FALSE,"ProNet"}</definedName>
    <definedName name="___wmp1" hidden="1">{#N/A,#N/A,FALSE,"ENVIRONMENTAL"}</definedName>
    <definedName name="___wpm1" hidden="1">{#N/A,#N/A,FALSE,"LOAN ANALYSIS"}</definedName>
    <definedName name="___wrn1" localSheetId="0" hidden="1">{"schedule1",#N/A,FALSE,"Sheet1";"schedule2",#N/A,FALSE,"Sheet1";"schedule3",#N/A,FALSE,"Sheet1";"schedule4",#N/A,FALSE,"Sheet1";"schedule5",#N/A,FALSE,"Sheet1";"schedule6",#N/A,FALSE,"Sheet1"}</definedName>
    <definedName name="___wrn1" hidden="1">{"schedule1",#N/A,FALSE,"Sheet1";"schedule2",#N/A,FALSE,"Sheet1";"schedule3",#N/A,FALSE,"Sheet1";"schedule4",#N/A,FALSE,"Sheet1";"schedule5",#N/A,FALSE,"Sheet1";"schedule6",#N/A,FALSE,"Sheet1"}</definedName>
    <definedName name="___wrn1_1" hidden="1">{"schedule1",#N/A,FALSE,"Sheet1";"schedule2",#N/A,FALSE,"Sheet1";"schedule3",#N/A,FALSE,"Sheet1";"schedule4",#N/A,FALSE,"Sheet1";"schedule5",#N/A,FALSE,"Sheet1";"schedule6",#N/A,FALSE,"Sheet1"}</definedName>
    <definedName name="___wrn1_2" hidden="1">{"schedule1",#N/A,FALSE,"Sheet1";"schedule2",#N/A,FALSE,"Sheet1";"schedule3",#N/A,FALSE,"Sheet1";"schedule4",#N/A,FALSE,"Sheet1";"schedule5",#N/A,FALSE,"Sheet1";"schedule6",#N/A,FALSE,"Sheet1"}</definedName>
    <definedName name="___wrn1_3" hidden="1">{"schedule1",#N/A,FALSE,"Sheet1";"schedule2",#N/A,FALSE,"Sheet1";"schedule3",#N/A,FALSE,"Sheet1";"schedule4",#N/A,FALSE,"Sheet1";"schedule5",#N/A,FALSE,"Sheet1";"schedule6",#N/A,FALSE,"Sheet1"}</definedName>
    <definedName name="___wrn1_4" hidden="1">{"schedule1",#N/A,FALSE,"Sheet1";"schedule2",#N/A,FALSE,"Sheet1";"schedule3",#N/A,FALSE,"Sheet1";"schedule4",#N/A,FALSE,"Sheet1";"schedule5",#N/A,FALSE,"Sheet1";"schedule6",#N/A,FALSE,"Sheet1"}</definedName>
    <definedName name="___wrn3" hidden="1">{#N/A,#N/A,FALSE,"Aging Summary";#N/A,#N/A,FALSE,"Ratio Analysis";#N/A,#N/A,FALSE,"Test 120 Day Accts";#N/A,#N/A,FALSE,"Tickmarks"}</definedName>
    <definedName name="___wrn4" hidden="1">{"data",#N/A,FALSE,"INPUT"}</definedName>
    <definedName name="___wrn9" hidden="1">{"FCB_ALL",#N/A,FALSE,"FCB"}</definedName>
    <definedName name="__1__123Graph_ACHART_1" hidden="1">#REF!</definedName>
    <definedName name="__1__123Graph_ACHART_28" hidden="1">#REF!</definedName>
    <definedName name="__1__123Graph_BCHART_4" hidden="1">#REF!</definedName>
    <definedName name="__10__123Graph_BCHART_5" hidden="1">#REF!</definedName>
    <definedName name="__10__123Graph_FCHART_1" hidden="1">#REF!</definedName>
    <definedName name="__11__123Graph_BCHART_6" hidden="1">#REF!</definedName>
    <definedName name="__11__123Graph_XCHART_2" hidden="1">#REF!</definedName>
    <definedName name="__12__123Graph_BCHART_7" hidden="1">#REF!</definedName>
    <definedName name="__123Graph_A" hidden="1">#REF!</definedName>
    <definedName name="__123Graph_AANNUAL" hidden="1">#REF!</definedName>
    <definedName name="__123Graph_AAVERAGE" hidden="1">#REF!</definedName>
    <definedName name="__123Graph_ABC" hidden="1">#REF!</definedName>
    <definedName name="__123Graph_ABCBAR" hidden="1">#REF!</definedName>
    <definedName name="__123Graph_ABICBETA" hidden="1">#REF!</definedName>
    <definedName name="__123Graph_ABOOK" hidden="1">#REF!</definedName>
    <definedName name="__123Graph_ABOOKBETA" hidden="1">#REF!</definedName>
    <definedName name="__123Graph_ACAPEX" hidden="1">#REF!</definedName>
    <definedName name="__123Graph_ACASHCOST1" hidden="1">#REF!</definedName>
    <definedName name="__123Graph_ACASHCOSTS" hidden="1">#REF!</definedName>
    <definedName name="__123Graph_ACONC" hidden="1">#REF!</definedName>
    <definedName name="__123Graph_ACurrent" hidden="1">#REF!</definedName>
    <definedName name="__123Graph_ADA" hidden="1">#REF!</definedName>
    <definedName name="__123Graph_ADEPREC2" hidden="1">#REF!</definedName>
    <definedName name="__123Graph_AEBITDABETA" hidden="1">#REF!</definedName>
    <definedName name="__123Graph_AEMPBETA" hidden="1">#REF!</definedName>
    <definedName name="__123Graph_AEMPLOYEE" hidden="1">#REF!</definedName>
    <definedName name="__123Graph_AGRAPH1" hidden="1">#REF!</definedName>
    <definedName name="__123Graph_AGRAPH4" hidden="1">#REF!</definedName>
    <definedName name="__123Graph_AGRAPH5" hidden="1">#REF!</definedName>
    <definedName name="__123Graph_AGRAPH85" hidden="1">#REF!</definedName>
    <definedName name="__123Graph_AGRAPH87" hidden="1">#REF!</definedName>
    <definedName name="__123Graph_AINVPRICE" hidden="1">#REF!</definedName>
    <definedName name="__123Graph_ALEASED" hidden="1">#REF!</definedName>
    <definedName name="__123Graph_AMKTVBETA" hidden="1">#REF!</definedName>
    <definedName name="__123Graph_AMONTHCONSUM" hidden="1">#REF!</definedName>
    <definedName name="__123Graph_AMOVEMINPRO" hidden="1">#REF!</definedName>
    <definedName name="__123Graph_AMOVEREFCONS" hidden="1">#REF!</definedName>
    <definedName name="__123Graph_AMOVEREFPRO" hidden="1">#REF!</definedName>
    <definedName name="__123Graph_AMVIC" hidden="1">#REF!</definedName>
    <definedName name="__123Graph_AMVICBETA" hidden="1">#REF!</definedName>
    <definedName name="__123Graph_ANIBETA" hidden="1">#REF!</definedName>
    <definedName name="__123Graph_AOAR" hidden="1">#REF!</definedName>
    <definedName name="__123Graph_APEDFLOT" hidden="1">#REF!</definedName>
    <definedName name="__123Graph_APROCEEDS" hidden="1">#REF!</definedName>
    <definedName name="__123Graph_APRODPROF" hidden="1">#REF!</definedName>
    <definedName name="__123Graph_ARECENT" hidden="1">#REF!</definedName>
    <definedName name="__123Graph_ASALEBETA" hidden="1">#REF!</definedName>
    <definedName name="__123Graph_ASALES" hidden="1">#REF!</definedName>
    <definedName name="__123Graph_ASQFT" hidden="1">#REF!</definedName>
    <definedName name="__123Graph_ATOTINVPRIWKS" hidden="1">#REF!</definedName>
    <definedName name="__123Graph_ATOTINVREPRIWKS" hidden="1">#REF!</definedName>
    <definedName name="__123Graph_ATREND" hidden="1">#REF!</definedName>
    <definedName name="__123Graph_AUNIT" hidden="1">#REF!</definedName>
    <definedName name="__123Graph_B" hidden="1">#REF!</definedName>
    <definedName name="__123Graph_BBCBAR" hidden="1">#REF!</definedName>
    <definedName name="__123Graph_BBICBETA" hidden="1">#REF!</definedName>
    <definedName name="__123Graph_BBOOK" hidden="1">#REF!</definedName>
    <definedName name="__123Graph_BBOOKBETA" hidden="1">#REF!</definedName>
    <definedName name="__123Graph_BCAPEX" hidden="1">#REF!</definedName>
    <definedName name="__123Graph_BCASHCOST1" hidden="1">#REF!</definedName>
    <definedName name="__123Graph_BCASHCOSTS" hidden="1">#REF!</definedName>
    <definedName name="__123Graph_BCurrent" hidden="1">#REF!</definedName>
    <definedName name="__123Graph_BEBITDABETA" hidden="1">#REF!</definedName>
    <definedName name="__123Graph_BEMPBETA" hidden="1">#REF!</definedName>
    <definedName name="__123Graph_BEMPLOYEE" hidden="1">#REF!</definedName>
    <definedName name="__123Graph_BGRAPH1" hidden="1">#REF!</definedName>
    <definedName name="__123Graph_BGRAPH85" hidden="1">#REF!</definedName>
    <definedName name="__123Graph_BGRAPH87" hidden="1">#REF!</definedName>
    <definedName name="__123Graph_BINVPRICE" hidden="1">#REF!</definedName>
    <definedName name="__123Graph_BMKTVBETA" hidden="1">#REF!</definedName>
    <definedName name="__123Graph_BMONTHCONSUM" hidden="1">#REF!</definedName>
    <definedName name="__123Graph_BMONTHMINPRO" hidden="1">#REF!</definedName>
    <definedName name="__123Graph_BMONTHREFPRO" hidden="1">#REF!</definedName>
    <definedName name="__123Graph_BMOVEMINPRO" hidden="1">#REF!</definedName>
    <definedName name="__123Graph_BMOVEREFCONS" hidden="1">#REF!</definedName>
    <definedName name="__123Graph_BMOVEREFPRO" hidden="1">#REF!</definedName>
    <definedName name="__123Graph_BMVIC" hidden="1">#REF!</definedName>
    <definedName name="__123Graph_BMVICBETA" hidden="1">#REF!</definedName>
    <definedName name="__123Graph_BNIBETA" hidden="1">#REF!</definedName>
    <definedName name="__123Graph_BPEDFLOT" hidden="1">#REF!</definedName>
    <definedName name="__123Graph_BPROCEEDS" hidden="1">#REF!</definedName>
    <definedName name="__123Graph_BPRODPROF" hidden="1">#REF!</definedName>
    <definedName name="__123Graph_BRECENT" hidden="1">#REF!</definedName>
    <definedName name="__123Graph_BSALEBETA" hidden="1">#REF!</definedName>
    <definedName name="__123Graph_BSALES" hidden="1">#REF!</definedName>
    <definedName name="__123Graph_BTREND" hidden="1">#REF!</definedName>
    <definedName name="__123Graph_C" hidden="1">#REF!</definedName>
    <definedName name="__123Graph_CBCBAR" hidden="1">#REF!</definedName>
    <definedName name="__123Graph_CCAPEX" hidden="1">#REF!</definedName>
    <definedName name="__123Graph_CCASHCOST1" hidden="1">#REF!</definedName>
    <definedName name="__123Graph_CCASHCOSTS" hidden="1">#REF!</definedName>
    <definedName name="__123Graph_CCurrent" hidden="1">#REF!</definedName>
    <definedName name="__123Graph_CGRAPH1" hidden="1">#REF!</definedName>
    <definedName name="__123Graph_CMONTHCONSUM" hidden="1">#REF!</definedName>
    <definedName name="__123Graph_CMONTHMINPRO" hidden="1">#REF!</definedName>
    <definedName name="__123Graph_CMONTHREFPRO" hidden="1">#REF!</definedName>
    <definedName name="__123Graph_CPROCEEDS" hidden="1">#REF!</definedName>
    <definedName name="__123Graph_CPRODPROF" hidden="1">#REF!</definedName>
    <definedName name="__123Graph_CRECENT" hidden="1">#REF!</definedName>
    <definedName name="__123Graph_CTREND" hidden="1">#REF!</definedName>
    <definedName name="__123Graph_D" hidden="1">#REF!</definedName>
    <definedName name="__123Graph_DBCBAR" hidden="1">#REF!</definedName>
    <definedName name="__123Graph_DCurrent" hidden="1">#REF!</definedName>
    <definedName name="__123Graph_DINVPRICE" hidden="1">#REF!</definedName>
    <definedName name="__123Graph_DMONTHCONSUM" hidden="1">#REF!</definedName>
    <definedName name="__123Graph_DMONTHMINPRO" hidden="1">#REF!</definedName>
    <definedName name="__123Graph_DMONTHREFPRO" hidden="1">#REF!</definedName>
    <definedName name="__123Graph_DRECENT" hidden="1">#REF!</definedName>
    <definedName name="__123Graph_E" hidden="1">#REF!</definedName>
    <definedName name="__123Graph_EMONTHCONSUM" hidden="1">#REF!</definedName>
    <definedName name="__123Graph_EMONTHMINPRO" hidden="1">#REF!</definedName>
    <definedName name="__123Graph_EMONTHREFPRO" hidden="1">#REF!</definedName>
    <definedName name="__123Graph_ERECENT" hidden="1">#REF!</definedName>
    <definedName name="__123Graph_F" hidden="1">#REF!</definedName>
    <definedName name="__123Graph_FMONTHCONSUM" hidden="1">#REF!</definedName>
    <definedName name="__123Graph_FMONTHMINPRO" hidden="1">#REF!</definedName>
    <definedName name="__123Graph_FMONTHREFPRO" hidden="1">#REF!</definedName>
    <definedName name="__123Graph_FPROFILE" hidden="1">#REF!</definedName>
    <definedName name="__123Graph_LBL_A" hidden="1">#REF!</definedName>
    <definedName name="__123Graph_LBL_AAVERAGE" hidden="1">#REF!</definedName>
    <definedName name="__123Graph_LBL_AGRAPH4" hidden="1">#REF!</definedName>
    <definedName name="__123Graph_LBL_AGRAPH5" hidden="1">#REF!</definedName>
    <definedName name="__123Graph_LBL_ALEASED" hidden="1">#REF!</definedName>
    <definedName name="__123Graph_LBL_AMETPLX" hidden="1">#REF!</definedName>
    <definedName name="__123Graph_LBL_ANDALLAS" hidden="1">#REF!</definedName>
    <definedName name="__123Graph_LBL_ASQFT" hidden="1">#REF!</definedName>
    <definedName name="__123Graph_LBL_AUNIT" hidden="1">#REF!</definedName>
    <definedName name="__123Graph_LBL_B" hidden="1">#REF!</definedName>
    <definedName name="__123Graph_LBL_BGRAPH4" hidden="1">#REF!</definedName>
    <definedName name="__123Graph_LBL_BGRAPH5" hidden="1">#REF!</definedName>
    <definedName name="__123Graph_LBL_BMETPLX" hidden="1">#REF!</definedName>
    <definedName name="__123Graph_LBL_BNDALLAS" hidden="1">#REF!</definedName>
    <definedName name="__123Graph_LBL_C" hidden="1">#REF!</definedName>
    <definedName name="__123Graph_LBL_CMETPLX" hidden="1">#REF!</definedName>
    <definedName name="__123Graph_LBL_CNDALLAS" hidden="1">#REF!</definedName>
    <definedName name="__123Graph_LBL_D" hidden="1">#REF!</definedName>
    <definedName name="__123Graph_LBL_E" hidden="1">#REF!</definedName>
    <definedName name="__123Graph_LBL_F" hidden="1">#REF!</definedName>
    <definedName name="__123Graph_X" hidden="1">#REF!</definedName>
    <definedName name="__123Graph_XANNUAL" hidden="1">#REF!</definedName>
    <definedName name="__123Graph_XBC" hidden="1">#REF!</definedName>
    <definedName name="__123Graph_XBCBAR" hidden="1">#REF!</definedName>
    <definedName name="__123Graph_XCAPEX" hidden="1">#REF!</definedName>
    <definedName name="__123Graph_XCASHCOST1" hidden="1">#REF!</definedName>
    <definedName name="__123Graph_XCASHCOSTS" hidden="1">#REF!</definedName>
    <definedName name="__123Graph_XCONC" hidden="1">#REF!</definedName>
    <definedName name="__123Graph_XEMPLOYEE" hidden="1">#REF!</definedName>
    <definedName name="__123Graph_XGRAPH1" hidden="1">#REF!</definedName>
    <definedName name="__123Graph_XGRAPH4" hidden="1">#REF!</definedName>
    <definedName name="__123Graph_XGRAPH5" hidden="1">#REF!</definedName>
    <definedName name="__123Graph_XINVPRICE" hidden="1">#REF!</definedName>
    <definedName name="__123Graph_XMONTHCONSUM" hidden="1">#REF!</definedName>
    <definedName name="__123Graph_XMONTHMINPRO" hidden="1">#REF!</definedName>
    <definedName name="__123Graph_XMONTHREFPRO" hidden="1">#REF!</definedName>
    <definedName name="__123Graph_XMOVEMINPRO" hidden="1">#REF!</definedName>
    <definedName name="__123Graph_XMOVEREFCONS" hidden="1">#REF!</definedName>
    <definedName name="__123Graph_XMOVEREFPRO" hidden="1">#REF!</definedName>
    <definedName name="__123Graph_XOAR" hidden="1">#REF!</definedName>
    <definedName name="__123Graph_XPROCEEDS" hidden="1">#REF!</definedName>
    <definedName name="__123Graph_XPRODPROF" hidden="1">#REF!</definedName>
    <definedName name="__123Graph_XTOTINVPRIWKS" hidden="1">#REF!</definedName>
    <definedName name="__123Graph_XTOTINVREPRIWKS" hidden="1">#REF!</definedName>
    <definedName name="__123Graph_XTREND" hidden="1">#REF!</definedName>
    <definedName name="__123Graph_ZZ" hidden="1">#REF!</definedName>
    <definedName name="__13__123Graph_CCHART_4" hidden="1">#REF!</definedName>
    <definedName name="__14__123Graph_XCHART_5" hidden="1">#REF!</definedName>
    <definedName name="__15__123Graph_XCHART_6" hidden="1">#REF!</definedName>
    <definedName name="__16__123Graph_XCHART_7" hidden="1">#REF!</definedName>
    <definedName name="__2__123Graph_ACHART_2" hidden="1">#REF!</definedName>
    <definedName name="__2__123Graph_BCHART_28" hidden="1">#REF!</definedName>
    <definedName name="__2__123Graph_LBL_ACHART_5" hidden="1">#REF!</definedName>
    <definedName name="__3__123Graph_BCHART_1" hidden="1">#REF!</definedName>
    <definedName name="__3__123Graph_CCHART_28" hidden="1">#REF!</definedName>
    <definedName name="__3__123Graph_LBL_BCHART_4" hidden="1">#REF!</definedName>
    <definedName name="__4__123Graph_DCHART_28" hidden="1">#REF!</definedName>
    <definedName name="__4__123Graph_XCHART_1" hidden="1">#REF!</definedName>
    <definedName name="__5__123Graph_ACHART_4" hidden="1">#REF!</definedName>
    <definedName name="__5__123Graph_CCHART_1" hidden="1">#REF!</definedName>
    <definedName name="__5__123Graph_ECHART_28" hidden="1">#REF!</definedName>
    <definedName name="__5__123Graph_XCHART_2" hidden="1">#REF!</definedName>
    <definedName name="__6__123Graph_ACHART_5" hidden="1">#REF!</definedName>
    <definedName name="__6__123Graph_CCHART_2" hidden="1">#REF!</definedName>
    <definedName name="__6__123Graph_FCHART_28" hidden="1">#REF!</definedName>
    <definedName name="__7__123Graph_ACHART_6" hidden="1">#REF!</definedName>
    <definedName name="__7__123Graph_DCHART_1" hidden="1">#REF!</definedName>
    <definedName name="__8__123Graph_ACHART_7" hidden="1">#REF!</definedName>
    <definedName name="__8__123Graph_DCHART_2" hidden="1">#REF!</definedName>
    <definedName name="__9__123Graph_BCHART_4" hidden="1">#REF!</definedName>
    <definedName name="__9__123Graph_ECHART_1" hidden="1">#REF!</definedName>
    <definedName name="__a1" hidden="1">{"Assump",#N/A,TRUE,"Proforma";"first",#N/A,TRUE,"Proforma";"second",#N/A,TRUE,"Proforma";"lease1",#N/A,TRUE,"Proforma";"lease2",#N/A,TRUE,"Proforma"}</definedName>
    <definedName name="__ABC2" hidden="1">{"CHART",#N/A,FALSE,"Arch Communications"}</definedName>
    <definedName name="__ad2" hidden="1">{"CHART",#N/A,FALSE,"Arch Communications"}</definedName>
    <definedName name="__ADS1" hidden="1">{"FCB_ALL",#N/A,FALSE,"FCB"}</definedName>
    <definedName name="__al1" hidden="1">{"sheet a",#N/A,FALSE,"A";"sheet b 1",#N/A,FALSE,"B";"sheet b 2",#N/A,FALSE,"B"}</definedName>
    <definedName name="__as1" hidden="1">{"FCB_ALL",#N/A,FALSE,"FCB"}</definedName>
    <definedName name="__AS2" hidden="1">{"FCB_ALL",#N/A,FALSE,"FCB"}</definedName>
    <definedName name="__as3" hidden="1">{"FCB_ALL",#N/A,FALSE,"FCB"}</definedName>
    <definedName name="__AS4" hidden="1">{"FCB_ALL",#N/A,FALSE,"FCB"}</definedName>
    <definedName name="__as6" hidden="1">{"FCB_ALL",#N/A,FALSE,"FCB"}</definedName>
    <definedName name="__AS7" hidden="1">{"FCB_ALL",#N/A,FALSE,"FCB"}</definedName>
    <definedName name="__d1" hidden="1">{#N/A,#N/A,FALSE,"Sales"}</definedName>
    <definedName name="__d116" hidden="1">{#N/A,#N/A,FALSE,"Sales"}</definedName>
    <definedName name="__d16" hidden="1">{"Annual",#N/A,FALSE,"Sales &amp; Market";"Quarterly",#N/A,FALSE,"Sales &amp; Market"}</definedName>
    <definedName name="__d2" hidden="1">{#N/A,#N/A,FALSE,"Sales"}</definedName>
    <definedName name="__d216" hidden="1">{#N/A,#N/A,FALSE,"Sales"}</definedName>
    <definedName name="__dan1" hidden="1">#REF!</definedName>
    <definedName name="__dcf1" hidden="1">{#N/A,#N/A,FALSE,"Tar-Ass";#N/A,#N/A,FALSE,"Tar-IS";#N/A,#N/A,FALSE,"Tar-BS";#N/A,#N/A,FALSE,"Tar-Adg BS";#N/A,#N/A,FALSE,"Tar-CF"}</definedName>
    <definedName name="__df1" hidden="1">{#N/A,#N/A,FALSE,"Calc";#N/A,#N/A,FALSE,"Sensitivity";#N/A,#N/A,FALSE,"LT Earn.Dil.";#N/A,#N/A,FALSE,"Dil. AVP"}</definedName>
    <definedName name="__df2" hidden="1">{#N/A,#N/A,FALSE,"Calc";#N/A,#N/A,FALSE,"Sensitivity";#N/A,#N/A,FALSE,"LT Earn.Dil.";#N/A,#N/A,FALSE,"Dil. AVP"}</definedName>
    <definedName name="__dfd1" hidden="1">{"FCB_ALL",#N/A,FALSE,"FCB";"GREY_ALL",#N/A,FALSE,"GREY"}</definedName>
    <definedName name="__FDS_HYPERLINK_TOGGLE_STATE__" hidden="1">"ON"</definedName>
    <definedName name="__FDS_UNIQUE_RANGE_ID_GENERATOR_COUNTER" hidden="1">1</definedName>
    <definedName name="__FDS_USED_FOR_REUSING_RANGE_IDS_RECYCLE" hidden="1">{33,33,33,33,33}</definedName>
    <definedName name="__Feb03" hidden="1">{#N/A,#N/A,FALSE,"Class A";#N/A,#N/A,FALSE,"Class B";#N/A,#N/A,FALSE,"Class C"}</definedName>
    <definedName name="__fff1" hidden="1">{"Annual",#N/A,FALSE,"Sales &amp; Market";"Quarterly",#N/A,FALSE,"Sales &amp; Market"}</definedName>
    <definedName name="__gc1" hidden="1">{"Annual",#N/A,FALSE,"Sales &amp; Market";"Quarterly",#N/A,FALSE,"Sales &amp; Market"}</definedName>
    <definedName name="__hd1" hidden="1">{#N/A,#N/A,FALSE,"Calc";#N/A,#N/A,FALSE,"Sensitivity";#N/A,#N/A,FALSE,"LT Earn.Dil.";#N/A,#N/A,FALSE,"Dil. AVP"}</definedName>
    <definedName name="__hd2" hidden="1">{#N/A,#N/A,FALSE,"Calc";#N/A,#N/A,FALSE,"Sensitivity";#N/A,#N/A,FALSE,"LT Earn.Dil.";#N/A,#N/A,FALSE,"Dil. AVP"}</definedName>
    <definedName name="__Ht_Data_Spc_Version_Spc_1" hidden="1">"01._Spc_Current_Spc_Data_Spc_Version"</definedName>
    <definedName name="__Ht_Data_Spc_Version_Spc_2" hidden="1">"02._Spc_Previous_Spc_Year_Spc_Data_Spc_Version"</definedName>
    <definedName name="__Ht_Data_Spc_Version_Spc_3" hidden="1">"03._Spc_Most_Spc_recent_Spc_Budget_Spc_Version"</definedName>
    <definedName name="__Ht_Data_Spc_Version_Spc_4" hidden="1">"04._Spc_Target_Spc_Data_Spc_version_Spc_for_Spc_Quarter_Hyp_to_Hyp_go"</definedName>
    <definedName name="__Ht_Data_Spc_Version_Spc_5" hidden="1">"02b._Spc_Previous_Spc_Year_Spc_Current_Spc_volume_Spc_Version"</definedName>
    <definedName name="__Ht_Data_Spc_Version_Spc_6" hidden="1">"03b._Spc_Most_Spc_recent_Spc_budget_Spc_Current_Spc_volume_Spc_version"</definedName>
    <definedName name="__Ht_Data_Spc_Version_Spc_7" hidden="1">"01b._Spc_Current_Spc_volume_Spc_Data_Spc_Version"</definedName>
    <definedName name="__Ht_Data_Spc_Version_Spc_8" hidden="1">"04b._Spc_Target_Spc_Volume_Spc_version_Spc_for_Spc_Quarter_Hyp_to_Hyp_go"</definedName>
    <definedName name="__Ht_Period_Spc_1" hidden="1">"05._Spc_Current_Spc_Month"</definedName>
    <definedName name="__Ht_Period_Spc_2" hidden="1">"07._Spc_All_Spc_months_Spc_in_Spc_YTD"</definedName>
    <definedName name="__Ht_Period_Spc_3" hidden="1">"06._Spc_All_Spc_months_Spc_in_Spc_current_Spc_Quarter"</definedName>
    <definedName name="__Ht_Region_Spc_1" hidden="1">"18._Spc_Select_Spc_your_Spc_region"</definedName>
    <definedName name="__Ht_USD_Spc_Month_Spc_1?" hidden="1">"12._Spc_Financials_Spc_Month"</definedName>
    <definedName name="__Ht_USD_Spc_Quarter_Spc_1?" hidden="1">"13._Spc_Financials_Spc_Quarter"</definedName>
    <definedName name="__Ht_USD_Spc_YTD_Spc_1?" hidden="1">"14._Spc_Financials_Spc_YTD"</definedName>
    <definedName name="__Ht_Variance_Spc_Description_Spc_1" hidden="1">"08._Spc_Variance_Spc_Description_Spc_vs._Spc_Actual"</definedName>
    <definedName name="__Ht_Variance_Spc_Description_Spc_2" hidden="1">"9._Spc_Variance_Spc_Description_Spc_vs._Spc_Budget"</definedName>
    <definedName name="__Ht_Variance_Spc_Description_Spc_3" hidden="1">"10._Spc_OCI_Spc_tracking_Spc_Variance_Spc_Description_Spc_1"</definedName>
    <definedName name="__Ht_Variance_Spc_Description_Spc_4" hidden="1">"11._Spc_OCI_Spc_tracking_Spc_Variance_Spc_Description_Spc_2"</definedName>
    <definedName name="__Ht_Volume_Spc_Month_Spc_1?" hidden="1">"15._Spc_Volume_Spc_Month"</definedName>
    <definedName name="__Ht_Volume_Spc_Quarter_Spc_1?" hidden="1">"16._Spc_Volume_Spc_Quarter"</definedName>
    <definedName name="__Ht_Volume_Spc_YTD_Spc_1?" hidden="1">"17._Spc_Volume_Spc_YTD"</definedName>
    <definedName name="__IntlFixup" hidden="1">TRUE</definedName>
    <definedName name="__k" hidden="1">{#N/A,#N/A,TRUE,"A-site";#N/A,#N/A,TRUE,"B-Buildings";#N/A,#N/A,TRUE,"c-out-of-fence";#N/A,#N/A,TRUE,"d-proj.infr.";#N/A,#N/A,TRUE,"e- land"}</definedName>
    <definedName name="__key1" hidden="1">#REF!</definedName>
    <definedName name="__key2" hidden="1">#REF!</definedName>
    <definedName name="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MRG2" hidden="1">{"INCOME",#N/A,FALSE,"ProNet";"VALUE",#N/A,FALSE,"ProNet"}</definedName>
    <definedName name="__MRG22" hidden="1">{"INCOME",#N/A,FALSE,"ProNet";"VALUE",#N/A,FALSE,"ProNet"}</definedName>
    <definedName name="__mrg4" hidden="1">{"INCOME",#N/A,FALSE,"ProNet";"VALUE",#N/A,FALSE,"ProNet"}</definedName>
    <definedName name="__mrg8" hidden="1">{"INCOME",#N/A,FALSE,"ProNet";"VALUE",#N/A,FALSE,"ProNet"}</definedName>
    <definedName name="__new1">#REF!</definedName>
    <definedName name="__new2" hidden="1">{"'B-2 QSER Jun 98 4-27-98 cor'!$A$1:$F$57"}</definedName>
    <definedName name="__new5" hidden="1">{"'B-2 QSER Jun 98 4-27-98 cor'!$A$1:$F$57"}</definedName>
    <definedName name="__ok1" hidden="1">{"Annual",#N/A,FALSE,"Sales &amp; Market";"Quarterly",#N/A,FALSE,"Sales &amp; Market"}</definedName>
    <definedName name="__OK2" hidden="1">{#N/A,#N/A,FALSE,"Cover";#N/A,#N/A,FALSE,"LUMI";#N/A,#N/A,FALSE,"COMD";#N/A,#N/A,FALSE,"Valuation";#N/A,#N/A,FALSE,"Assumptions";#N/A,#N/A,FALSE,"Pooling";#N/A,#N/A,FALSE,"BalanceSheet"}</definedName>
    <definedName name="__old2" hidden="1">{#N/A,#N/A,FALSE,"Chart 2 by Prop Type"}</definedName>
    <definedName name="__pj2" hidden="1">{"INCOME",#N/A,FALSE,"ProNet";"VALUE",#N/A,FALSE,"ProNet"}</definedName>
    <definedName name="__sad2" hidden="1">{"MonthlyRentRoll",#N/A,FALSE,"RentRoll"}</definedName>
    <definedName name="__tax1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w" hidden="1">{#N/A,#N/A,TRUE,"A-site";#N/A,#N/A,TRUE,"B-Buildings";#N/A,#N/A,TRUE,"c-out-of-fence";#N/A,#N/A,TRUE,"d-proj.infr.";#N/A,#N/A,TRUE,"e- land"}</definedName>
    <definedName name="__we2" hidden="1">{"INCOME",#N/A,FALSE,"ProNet";"VALUE",#N/A,FALSE,"ProNet"}</definedName>
    <definedName name="__wmp1" hidden="1">{#N/A,#N/A,FALSE,"ENVIRONMENTAL"}</definedName>
    <definedName name="__wpm1" hidden="1">{#N/A,#N/A,FALSE,"LOAN ANALYSIS"}</definedName>
    <definedName name="__wrn1" hidden="1">{"schedule1",#N/A,FALSE,"Sheet1";"schedule2",#N/A,FALSE,"Sheet1";"schedule3",#N/A,FALSE,"Sheet1";"schedule4",#N/A,FALSE,"Sheet1";"schedule5",#N/A,FALSE,"Sheet1";"schedule6",#N/A,FALSE,"Sheet1"}</definedName>
    <definedName name="__wrn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_wrn3" hidden="1">{#N/A,#N/A,FALSE,"Aging Summary";#N/A,#N/A,FALSE,"Ratio Analysis";#N/A,#N/A,FALSE,"Test 120 Day Accts";#N/A,#N/A,FALSE,"Tickmarks"}</definedName>
    <definedName name="__wrn4" hidden="1">{"data",#N/A,FALSE,"INPUT"}</definedName>
    <definedName name="__wrn9" hidden="1">{"FCB_ALL",#N/A,FALSE,"FCB"}</definedName>
    <definedName name="__xlfn.RTD" hidden="1">#NAME?</definedName>
    <definedName name="__y1" hidden="1">#REF!</definedName>
    <definedName name="__y2" hidden="1">#REF!</definedName>
    <definedName name="__y3" hidden="1">#REF!</definedName>
    <definedName name="__y4" hidden="1">#REF!</definedName>
    <definedName name="__y5" hidden="1">#REF!</definedName>
    <definedName name="__yr1" hidden="1">#REF!</definedName>
    <definedName name="__yr2" hidden="1">#REF!</definedName>
    <definedName name="__yr3" hidden="1">#REF!</definedName>
    <definedName name="__yr4" hidden="1">#REF!</definedName>
    <definedName name="__z1" hidden="1">{"Commish",#N/A,FALSE,"LAWTC"}</definedName>
    <definedName name="_0215" hidden="1">#REF!</definedName>
    <definedName name="_1__123Graph_ACHART_1" hidden="1">#REF!</definedName>
    <definedName name="_1__123Graph_ACHART_12" hidden="1">#REF!</definedName>
    <definedName name="_1__123Graph_ACHART_2" hidden="1">#REF!</definedName>
    <definedName name="_1__123Graph_ACHART_28" hidden="1">#REF!</definedName>
    <definedName name="_1__123Graph_ACHART_3A" hidden="1">#REF!</definedName>
    <definedName name="_1__123Graph_ACHART_4" hidden="1">#REF!</definedName>
    <definedName name="_1__123Graph_ACHART_4A" hidden="1">#REF!</definedName>
    <definedName name="_1__123Graph_AMARKET_SEGMENT" hidden="1">#REF!</definedName>
    <definedName name="_1__123Graph_BCHART_4" hidden="1">#REF!</definedName>
    <definedName name="_1__123Graph_CCHART_2" hidden="1">#REF!</definedName>
    <definedName name="_1__FDSAUDITLINK__" hidden="1">{"fdsup://directions/FAT Viewer?action=UPDATE&amp;creator=factset&amp;DYN_ARGS=TRUE&amp;DOC_NAME=FAT:FQL_AUDITING_CLIENT_TEMPLATE.FAT&amp;display_string=Audit&amp;VAR:KEY=JIVIHKDEZQ&amp;VAR:QUERY=UkdGX0VOVFJQUl9WQUwoQU5OLDQxMDQ0LCwsLFVTRCwsTk9BVURJVCk=&amp;WINDOW=FIRST_POPUP&amp;HEIGHT=45","0&amp;WIDTH=450&amp;START_MAXIMIZED=FALSE&amp;VAR:CALENDAR=US&amp;VAR:SYMBOL=707624&amp;VAR:INDEX=0"}</definedName>
    <definedName name="_1_0_0__123Grap" hidden="1">#REF!</definedName>
    <definedName name="_1_0_0_S" hidden="1">#REF!</definedName>
    <definedName name="_1_0_S" hidden="1">#REF!</definedName>
    <definedName name="_10__123Graph_A_FABP_L.WK1_FAB" hidden="1">#REF!</definedName>
    <definedName name="_10__123Graph_ADEPREC" hidden="1">#REF!</definedName>
    <definedName name="_10__123Graph_BCHART_16" hidden="1">#REF!</definedName>
    <definedName name="_10__123Graph_BCHART_2" hidden="1">#REF!</definedName>
    <definedName name="_10__123Graph_BCHART_5" hidden="1">#REF!</definedName>
    <definedName name="_10__123Graph_CCHART_1" hidden="1">#REF!</definedName>
    <definedName name="_10__123Graph_CCHART_3" hidden="1">#REF!</definedName>
    <definedName name="_10__123Graph_FCHART_1" hidden="1">#REF!</definedName>
    <definedName name="_10__123Graph_XCHART_1" hidden="1">#REF!</definedName>
    <definedName name="_10__123Graph_XCHART_1A" hidden="1">#REF!</definedName>
    <definedName name="_10__FDSAUDITLINK__" hidden="1">{"fdsup://directions/FAT Viewer?action=UPDATE&amp;creator=factset&amp;DYN_ARGS=TRUE&amp;DOC_NAME=FAT:FQL_AUDITING_CLIENT_TEMPLATE.FAT&amp;display_string=Audit&amp;VAR:KEY=QVOTMVOFAN&amp;VAR:QUERY=RkZfRU5UUlBSX1ZBTF9EQUlMWSg0MDI0MiwsLCwnVVNEJywnRElMJyk=&amp;WINDOW=FIRST_POPUP&amp;HEIGHT=45","0&amp;WIDTH=450&amp;START_MAXIMIZED=FALSE&amp;VAR:CALENDAR=US&amp;VAR:SYMBOL=B1H508&amp;VAR:INDEX=0"}</definedName>
    <definedName name="_100__FDSAUDITLINK__" hidden="1">{"fdsup://directions/FAT Viewer?action=UPDATE&amp;creator=factset&amp;DYN_ARGS=TRUE&amp;DOC_NAME=FAT:FQL_AUDITING_CLIENT_TEMPLATE.FAT&amp;display_string=Audit&amp;VAR:KEY=MFMZMXUPCP&amp;VAR:QUERY=RkZfRUJJVERBX0lCKCdDQUwnLDIwMDksLCwsJ1VTRCcp&amp;WINDOW=FIRST_POPUP&amp;HEIGHT=450&amp;WIDTH=450&amp;","START_MAXIMIZED=FALSE&amp;VAR:CALENDAR=US&amp;VAR:SYMBOL=332770&amp;VAR:INDEX=0"}</definedName>
    <definedName name="_101__FDSAUDITLINK__" hidden="1">{"fdsup://directions/FAT Viewer?action=UPDATE&amp;creator=factset&amp;DYN_ARGS=TRUE&amp;DOC_NAME=FAT:FQL_AUDITING_CLIENT_TEMPLATE.FAT&amp;display_string=Audit&amp;VAR:KEY=CXEHCRWFAB&amp;VAR:QUERY=RkZfRU5UUlBSX1ZBTF9EQUlMWSg0MDI0MiwsLCwnVVNEJywnRElMJyk=&amp;WINDOW=FIRST_POPUP&amp;HEIGHT=45","0&amp;WIDTH=450&amp;START_MAXIMIZED=FALSE&amp;VAR:CALENDAR=US&amp;VAR:SYMBOL=332770&amp;VAR:INDEX=0"}</definedName>
    <definedName name="_102__123Graph_XCHART_19" hidden="1">#REF!</definedName>
    <definedName name="_102__FDSAUDITLINK__" hidden="1">{"fdsup://directions/FAT Viewer?action=UPDATE&amp;creator=factset&amp;DYN_ARGS=TRUE&amp;DOC_NAME=FAT:FQL_AUDITING_CLIENT_TEMPLATE.FAT&amp;display_string=Audit&amp;VAR:KEY=SVGBOBYLCP&amp;VAR:QUERY=RkZfRUJJVERBX0lCKCdDQUwnLDIwMDksLCwsJ1VTRCcp&amp;WINDOW=FIRST_POPUP&amp;HEIGHT=450&amp;WIDTH=450&amp;","START_MAXIMIZED=FALSE&amp;VAR:CALENDAR=US&amp;VAR:SYMBOL=70454910&amp;VAR:INDEX=0"}</definedName>
    <definedName name="_102_0_Table2_" hidden="1">#REF!</definedName>
    <definedName name="_105__123Graph_XCHART_22" hidden="1">#REF!</definedName>
    <definedName name="_107__123Graph_LBL_ACHART_3" hidden="1">#REF!</definedName>
    <definedName name="_108__123Graph_BCHART_22" hidden="1">#REF!</definedName>
    <definedName name="_108__123Graph_XSEG_PIE" hidden="1">#REF!</definedName>
    <definedName name="_11__123Graph_ACHART_1" hidden="1">#REF!</definedName>
    <definedName name="_11__123Graph_ACHART_3" hidden="1">#REF!</definedName>
    <definedName name="_11__123Graph_B_FABP_L.WK1_FAB" hidden="1">#REF!</definedName>
    <definedName name="_11__123Graph_BCHART_17" hidden="1">#REF!</definedName>
    <definedName name="_11__123Graph_BCHART_3" hidden="1">#REF!</definedName>
    <definedName name="_11__123Graph_BCHART_6" hidden="1">#REF!</definedName>
    <definedName name="_11__123Graph_CCHART_2" hidden="1">#REF!</definedName>
    <definedName name="_11__123Graph_DCHART_1" hidden="1">#REF!</definedName>
    <definedName name="_11__123Graph_XCHART_2" hidden="1">#REF!</definedName>
    <definedName name="_11__123Graph_XGROWTH_9" hidden="1">#REF!</definedName>
    <definedName name="_11__FDSAUDITLINK__" hidden="1">{"fdsup://directions/FAT Viewer?action=UPDATE&amp;creator=factset&amp;DYN_ARGS=TRUE&amp;DOC_NAME=FAT:FQL_AUDITING_CLIENT_TEMPLATE.FAT&amp;display_string=Audit&amp;VAR:KEY=OXKBUPEVWZ&amp;VAR:QUERY=RkZfRUJJVERBX0lCKCdDQUwnLDIwMDksLCwsJ1VTRCcp&amp;WINDOW=FIRST_POPUP&amp;HEIGHT=450&amp;WIDTH=450&amp;","START_MAXIMIZED=FALSE&amp;VAR:CALENDAR=US&amp;VAR:SYMBOL=B0ZSH5&amp;VAR:INDEX=0"}</definedName>
    <definedName name="_110__123Graph_BCHART_3" hidden="1">#REF!</definedName>
    <definedName name="_115__123Graph_LBL_ACHART_4" hidden="1">#REF!</definedName>
    <definedName name="_117__123Graph_CCHART_15" hidden="1">#REF!</definedName>
    <definedName name="_12__123Graph_ACHART_17" hidden="1">#REF!</definedName>
    <definedName name="_12__123Graph_ACHART_2" hidden="1">#REF!</definedName>
    <definedName name="_12__123Graph_ACHART_2A" hidden="1">#REF!</definedName>
    <definedName name="_12__123Graph_ACHART_4" hidden="1">#REF!</definedName>
    <definedName name="_12__123Graph_BCHART_1" hidden="1">#REF!</definedName>
    <definedName name="_12__123Graph_BCHART_22" hidden="1">#REF!</definedName>
    <definedName name="_12__123Graph_BCHART_2A" hidden="1">#REF!</definedName>
    <definedName name="_12__123Graph_BCHART_4" hidden="1">#REF!</definedName>
    <definedName name="_12__123Graph_BCHART_7" hidden="1">#REF!</definedName>
    <definedName name="_12__123Graph_ECHART_1" hidden="1">#REF!</definedName>
    <definedName name="_12__123Graph_XCHART_2A" hidden="1">#REF!</definedName>
    <definedName name="_12__FDSAUDITLINK__" hidden="1">{"fdsup://directions/FAT Viewer?action=UPDATE&amp;creator=factset&amp;DYN_ARGS=TRUE&amp;DOC_NAME=FAT:FQL_AUDITING_CLIENT_TEMPLATE.FAT&amp;display_string=Audit&amp;VAR:KEY=EHMBMXQHMZ&amp;VAR:QUERY=RkZfRUJJVERBX0lCKCdDQUwnLDIwMDksLCwsJ1VTRCcp&amp;WINDOW=FIRST_POPUP&amp;HEIGHT=450&amp;WIDTH=450&amp;","START_MAXIMIZED=FALSE&amp;VAR:CALENDAR=US&amp;VAR:SYMBOL=B1H508&amp;VAR:INDEX=0"}</definedName>
    <definedName name="_121__123Graph_BCHART_4" hidden="1">#REF!</definedName>
    <definedName name="_123" hidden="1">#REF!</definedName>
    <definedName name="_123__123Graph_LBL_BCHART_1" hidden="1">#REF!</definedName>
    <definedName name="_12312" hidden="1">#REF!</definedName>
    <definedName name="_123Graph" hidden="1">#REF!</definedName>
    <definedName name="_123Graph_A2" hidden="1">#N/A</definedName>
    <definedName name="_123Graph_ACHART" hidden="1">#REF!</definedName>
    <definedName name="_126__123Graph_CCHART_16" hidden="1">#REF!</definedName>
    <definedName name="_13__123Graph_ACHART_3" hidden="1">#REF!</definedName>
    <definedName name="_13__123Graph_BCHART_1" hidden="1">#REF!</definedName>
    <definedName name="_13__123Graph_BCHART_2" hidden="1">#REF!</definedName>
    <definedName name="_13__123Graph_BCHART_5" hidden="1">#REF!</definedName>
    <definedName name="_13__123Graph_CCHART_15" hidden="1">#REF!</definedName>
    <definedName name="_13__123Graph_CCHART_3" hidden="1">#REF!</definedName>
    <definedName name="_13__123Graph_CCHART_4" hidden="1">#REF!</definedName>
    <definedName name="_13__123Graph_FCHART_1" hidden="1">#REF!</definedName>
    <definedName name="_13__FDSAUDITLINK__" hidden="1">{"fdsup://directions/FAT Viewer?action=UPDATE&amp;creator=factset&amp;DYN_ARGS=TRUE&amp;DOC_NAME=FAT:FQL_AUDITING_CLIENT_TEMPLATE.FAT&amp;display_string=Audit&amp;VAR:KEY=ONSFQDEZIB&amp;VAR:QUERY=RkZfRUJJVERBX0lCKCdDQUwnLDIwMDksLCwsJ1VTRCcp&amp;WINDOW=FIRST_POPUP&amp;HEIGHT=450&amp;WIDTH=450&amp;","START_MAXIMIZED=FALSE&amp;VAR:CALENDAR=US&amp;VAR:SYMBOL=B1VRCG&amp;VAR:INDEX=0"}</definedName>
    <definedName name="_131__123Graph_LBL_BCHART_2" hidden="1">#REF!</definedName>
    <definedName name="_132__123Graph_BCHART_5" hidden="1">#REF!</definedName>
    <definedName name="_135__123Graph_CCHART_17" hidden="1">#REF!</definedName>
    <definedName name="_139__123Graph_LBL_BCHART_3" hidden="1">#REF!</definedName>
    <definedName name="_14__123Graph_ACHART_4" hidden="1">#REF!</definedName>
    <definedName name="_14__123Graph_BCHART_2" hidden="1">#REF!</definedName>
    <definedName name="_14__123Graph_BCHART_3" hidden="1">#REF!</definedName>
    <definedName name="_14__123Graph_BCHART_6" hidden="1">#REF!</definedName>
    <definedName name="_14__123Graph_CCHART_16" hidden="1">#REF!</definedName>
    <definedName name="_14__123Graph_DCHART_1" hidden="1">#REF!</definedName>
    <definedName name="_14__123Graph_LBL_ACHART_2" hidden="1">#REF!</definedName>
    <definedName name="_14__123Graph_XCHART_5" hidden="1">#REF!</definedName>
    <definedName name="_14__FDSAUDITLINK__" hidden="1">{"fdsup://directions/FAT Viewer?action=UPDATE&amp;creator=factset&amp;DYN_ARGS=TRUE&amp;DOC_NAME=FAT:FQL_AUDITING_CLIENT_TEMPLATE.FAT&amp;display_string=Audit&amp;VAR:KEY=KVODGPMXKV&amp;VAR:QUERY=RkZfRU5UUlBSX1ZBTF9EQUlMWSg0MDI0MiwsLCwnVVNEJywnRElMJyk=&amp;WINDOW=FIRST_POPUP&amp;HEIGHT=45","0&amp;WIDTH=450&amp;START_MAXIMIZED=FALSE&amp;VAR:CALENDAR=US&amp;VAR:SYMBOL=B1VRCG&amp;VAR:INDEX=0"}</definedName>
    <definedName name="_143__123Graph_BCHART_6" hidden="1">#REF!</definedName>
    <definedName name="_144__123Graph_CCHART_22" hidden="1">#REF!</definedName>
    <definedName name="_147__123Graph_XCHART_1" hidden="1">#REF!</definedName>
    <definedName name="_15__123Graph_ACHART_18" hidden="1">#REF!</definedName>
    <definedName name="_15__123Graph_ACHART_5" hidden="1">#REF!</definedName>
    <definedName name="_15__123Graph_BCHART_4" hidden="1">#REF!</definedName>
    <definedName name="_15__123Graph_BCHART_7" hidden="1">#REF!</definedName>
    <definedName name="_15__123Graph_CCHART_17" hidden="1">#REF!</definedName>
    <definedName name="_15__123Graph_ECHART_1" hidden="1">#REF!</definedName>
    <definedName name="_15__123Graph_LBL_ACHART_3" hidden="1">#REF!</definedName>
    <definedName name="_15__123Graph_XCHART_1A" hidden="1">#REF!</definedName>
    <definedName name="_15__123Graph_XCHART_6" hidden="1">#REF!</definedName>
    <definedName name="_15__FDSAUDITLINK__" hidden="1">{"fdsup://directions/FAT Viewer?action=UPDATE&amp;creator=factset&amp;DYN_ARGS=TRUE&amp;DOC_NAME=FAT:FQL_AUDITING_CLIENT_TEMPLATE.FAT&amp;display_string=Audit&amp;VAR:KEY=QJARQRUDEH&amp;VAR:QUERY=RkZfRUJJVERBX0lCKCdDQUwnLDIwMDksLCwsJ1VTRCcp&amp;WINDOW=FIRST_POPUP&amp;HEIGHT=450&amp;WIDTH=450&amp;","START_MAXIMIZED=FALSE&amp;VAR:CALENDAR=US&amp;VAR:SYMBOL=600030&amp;VAR:INDEX=0"}</definedName>
    <definedName name="_153__123Graph_CSEG_PIE" hidden="1">#REF!</definedName>
    <definedName name="_154__123Graph_BCHART_7" hidden="1">#REF!</definedName>
    <definedName name="_155__123Graph_XCHART_2" hidden="1">#REF!</definedName>
    <definedName name="_159_0_Table1_" hidden="1">#REF!</definedName>
    <definedName name="_16__123Graph_ACHART_3" hidden="1">#REF!</definedName>
    <definedName name="_16__123Graph_ACHART_6" hidden="1">#REF!</definedName>
    <definedName name="_16__123Graph_BCHART_5" hidden="1">#REF!</definedName>
    <definedName name="_16__123Graph_CCHART_22" hidden="1">#REF!</definedName>
    <definedName name="_16__123Graph_DCHART_1" hidden="1">#REF!</definedName>
    <definedName name="_16__123Graph_FCHART_1" hidden="1">#REF!</definedName>
    <definedName name="_16__123Graph_LBL_ACHART_4" hidden="1">#REF!</definedName>
    <definedName name="_16__123Graph_XCHART_7" hidden="1">#REF!</definedName>
    <definedName name="_16__FDSAUDITLINK__" hidden="1">{"fdsup://directions/FAT Viewer?action=UPDATE&amp;creator=factset&amp;DYN_ARGS=TRUE&amp;DOC_NAME=FAT:FQL_AUDITING_CLIENT_TEMPLATE.FAT&amp;display_string=Audit&amp;VAR:KEY=SHKZGPYRAD&amp;VAR:QUERY=RkZfRU5UUlBSX1ZBTF9EQUlMWSg0MDI0MiwsLCwnVVNEJywnRElMJyk=&amp;WINDOW=FIRST_POPUP&amp;HEIGHT=45","0&amp;WIDTH=450&amp;START_MAXIMIZED=FALSE&amp;VAR:CALENDAR=US&amp;VAR:SYMBOL=600030&amp;VAR:INDEX=0"}</definedName>
    <definedName name="_162__123Graph_DCHART_15" hidden="1">#REF!</definedName>
    <definedName name="_163__123Graph_XCHART_3" hidden="1">#REF!</definedName>
    <definedName name="_163_0_Table2_" hidden="1">#REF!</definedName>
    <definedName name="_169_0_Table1_" hidden="1">#REF!</definedName>
    <definedName name="_17__123Graph_ACHART_4" hidden="1">#REF!</definedName>
    <definedName name="_17__123Graph_ACHART_7" hidden="1">#REF!</definedName>
    <definedName name="_17__123Graph_BCHART_6" hidden="1">#REF!</definedName>
    <definedName name="_17__123Graph_CSEG_PIE" hidden="1">#REF!</definedName>
    <definedName name="_17__123Graph_LBL_ACHART_1" hidden="1">#REF!</definedName>
    <definedName name="_17__123Graph_LBL_ACHART_2" hidden="1">#REF!</definedName>
    <definedName name="_17__123Graph_LBL_BCHART_2" hidden="1">#REF!</definedName>
    <definedName name="_17__FDSAUDITLINK__" hidden="1">{"fdsup://directions/FAT Viewer?action=UPDATE&amp;creator=factset&amp;DYN_ARGS=TRUE&amp;DOC_NAME=FAT:FQL_AUDITING_CLIENT_TEMPLATE.FAT&amp;display_string=Audit&amp;VAR:KEY=WDEJKFYBMT&amp;VAR:QUERY=RkZfRUJJVERBX0lCKCdDQUwnLDIwMDksLCwsJ1VTRCcp&amp;WINDOW=FIRST_POPUP&amp;HEIGHT=450&amp;WIDTH=450&amp;","START_MAXIMIZED=FALSE&amp;VAR:CALENDAR=US&amp;VAR:SYMBOL=610989&amp;VAR:INDEX=0"}</definedName>
    <definedName name="_171__123Graph_DCHART_16" hidden="1">#REF!</definedName>
    <definedName name="_171__123Graph_XCHART_4" hidden="1">#REF!</definedName>
    <definedName name="_175_0_Table2_" hidden="1">#REF!</definedName>
    <definedName name="_178_0_Table1_" hidden="1">#REF!</definedName>
    <definedName name="_18__123Graph_ACHART_15" hidden="1">#REF!</definedName>
    <definedName name="_18__123Graph_ACHART_19" hidden="1">#REF!</definedName>
    <definedName name="_18__123Graph_BCHART_1" hidden="1">#REF!</definedName>
    <definedName name="_18__123Graph_BCHART_1A" hidden="1">#REF!</definedName>
    <definedName name="_18__123Graph_BCHART_7" hidden="1">#REF!</definedName>
    <definedName name="_18__123Graph_DCHART_15" hidden="1">#REF!</definedName>
    <definedName name="_18__123Graph_LBL_ACHART_3" hidden="1">#REF!</definedName>
    <definedName name="_18__123Graph_LBL_BCHART_3" hidden="1">#REF!</definedName>
    <definedName name="_18__123Graph_XCHART_2A" hidden="1">#REF!</definedName>
    <definedName name="_18__FDSAUDITLINK__" hidden="1">{"fdsup://directions/FAT Viewer?action=UPDATE&amp;creator=factset&amp;DYN_ARGS=TRUE&amp;DOC_NAME=FAT:FQL_AUDITING_CLIENT_TEMPLATE.FAT&amp;display_string=Audit&amp;VAR:KEY=SJEHMVUTUJ&amp;VAR:QUERY=RkZfRU5UUlBSX1ZBTF9EQUlMWSg0MDI0MiwsLCwnVVNEJywnRElMJyk=&amp;WINDOW=FIRST_POPUP&amp;HEIGHT=45","0&amp;WIDTH=450&amp;START_MAXIMIZED=FALSE&amp;VAR:CALENDAR=US&amp;VAR:SYMBOL=610989&amp;VAR:INDEX=0"}</definedName>
    <definedName name="_180__123Graph_DCHART_17" hidden="1">#REF!</definedName>
    <definedName name="_185_0_Table2_" hidden="1">#REF!</definedName>
    <definedName name="_189__123Graph_DCHART_22" hidden="1">#REF!</definedName>
    <definedName name="_19__123Graph_BCHART_2" hidden="1">#REF!</definedName>
    <definedName name="_19__123Graph_C_FABP_L.WK1_FAB" hidden="1">#REF!</definedName>
    <definedName name="_19__123Graph_DCHART_16" hidden="1">#REF!</definedName>
    <definedName name="_19__123Graph_LBL_ACHART_3" hidden="1">#REF!</definedName>
    <definedName name="_19__123Graph_LBL_CCHART_2" hidden="1">#REF!</definedName>
    <definedName name="_19__123Graph_LBL_DCHART_1" hidden="1">#REF!</definedName>
    <definedName name="_19__FDSAUDITLINK__" hidden="1">{"fdsup://directions/FAT Viewer?action=UPDATE&amp;creator=factset&amp;DYN_ARGS=TRUE&amp;DOC_NAME=FAT:FQL_AUDITING_CLIENT_TEMPLATE.FAT&amp;display_string=Audit&amp;VAR:KEY=UJSFKRAFAX&amp;VAR:QUERY=RkZfRUJJVERBX0lCKCdDQUwnLDIwMDksLCwsJ1VTRCcp&amp;WINDOW=FIRST_POPUP&amp;HEIGHT=450&amp;WIDTH=450&amp;","START_MAXIMIZED=FALSE&amp;VAR:CALENDAR=US&amp;VAR:SYMBOL=672529&amp;VAR:INDEX=0"}</definedName>
    <definedName name="_198__123Graph_ECHART_15" hidden="1">#REF!</definedName>
    <definedName name="_1ƒ0ACwvu.Sommai" hidden="1">#REF!,#REF!,#REF!,#REF!,#REF!,#REF!</definedName>
    <definedName name="_1x1" hidden="1">#REF!</definedName>
    <definedName name="_2__123Graph_A_FABP_L.WK1_FAB" hidden="1">#REF!</definedName>
    <definedName name="_2__123Graph_ACHART_1" hidden="1">#REF!</definedName>
    <definedName name="_2__123Graph_ACHART_15" hidden="1">#REF!</definedName>
    <definedName name="_2__123Graph_ACHART_1A" hidden="1">#REF!</definedName>
    <definedName name="_2__123Graph_ACHART_2" hidden="1">#REF!</definedName>
    <definedName name="_2__123Graph_ACHART_4" hidden="1">#REF!</definedName>
    <definedName name="_2__123Graph_ACHART_4A" hidden="1">#REF!</definedName>
    <definedName name="_2__123Graph_BCHART_1" hidden="1">#REF!</definedName>
    <definedName name="_2__123Graph_BCHART_2" hidden="1">#REF!</definedName>
    <definedName name="_2__123Graph_BCHART_28" hidden="1">#REF!</definedName>
    <definedName name="_2__123Graph_BCHART_4" hidden="1">#REF!</definedName>
    <definedName name="_2__123Graph_LBL_ACHART_5" hidden="1">#REF!</definedName>
    <definedName name="_2__123Graph_XCHART_2" hidden="1">#REF!</definedName>
    <definedName name="_2__123Graph_XCHART_3A" hidden="1">#REF!</definedName>
    <definedName name="_2__123Graph_XCHART_4A" hidden="1">#REF!</definedName>
    <definedName name="_2__123Graph_XMARKET_SEGMENT" hidden="1">#REF!</definedName>
    <definedName name="_2__FDSAUDITLINK__" hidden="1">{"fdsup://directions/FAT Viewer?action=UPDATE&amp;creator=factset&amp;DYN_ARGS=TRUE&amp;DOC_NAME=FAT:FQL_AUDITING_CLIENT_TEMPLATE.FAT&amp;display_string=Audit&amp;VAR:KEY=SVWDARGLYV&amp;VAR:QUERY=UkdGX0VOVFJQUl9WQUwoQU5OLDQxMDQ0LCwsLCwsTk9BVURJVCk=&amp;WINDOW=FIRST_POPUP&amp;HEIGHT=450&amp;WI","DTH=450&amp;START_MAXIMIZED=FALSE&amp;VAR:CALENDAR=US&amp;VAR:SYMBOL=707624&amp;VAR:INDEX=0"}</definedName>
    <definedName name="_2_0__123Grap" hidden="1">#REF!</definedName>
    <definedName name="_2_0_S" hidden="1">#REF!</definedName>
    <definedName name="_20__123Graph_ACHART_5" hidden="1">#REF!</definedName>
    <definedName name="_20__123Graph_DCHART_1" hidden="1">#REF!</definedName>
    <definedName name="_20__123Graph_DCHART_17" hidden="1">#REF!</definedName>
    <definedName name="_20__123Graph_LBL_ACHART_4" hidden="1">#REF!</definedName>
    <definedName name="_20__123Graph_LBL_CCHART_3" hidden="1">#REF!</definedName>
    <definedName name="_20__FDSAUDITLINK__" hidden="1">{"fdsup://directions/FAT Viewer?action=UPDATE&amp;creator=factset&amp;DYN_ARGS=TRUE&amp;DOC_NAME=FAT:FQL_AUDITING_CLIENT_TEMPLATE.FAT&amp;display_string=Audit&amp;VAR:KEY=UZSZCXIVQZ&amp;VAR:QUERY=RkZfRU5UUlBSX1ZBTF9EQUlMWSg0MDI0MiwsLCwnVVNEJywnRElMJyk=&amp;WINDOW=FIRST_POPUP&amp;HEIGHT=45","0&amp;WIDTH=450&amp;START_MAXIMIZED=FALSE&amp;VAR:CALENDAR=US&amp;VAR:SYMBOL=672529&amp;VAR:INDEX=0"}</definedName>
    <definedName name="_2004">#REF!</definedName>
    <definedName name="_2005">#REF!</definedName>
    <definedName name="_2006">#REF!</definedName>
    <definedName name="_2007">#REF!</definedName>
    <definedName name="_2008">#REF!</definedName>
    <definedName name="_2009">#REF!</definedName>
    <definedName name="_2010">#REF!</definedName>
    <definedName name="_2011">#REF!</definedName>
    <definedName name="_2012">#REF!</definedName>
    <definedName name="_2013">#REF!</definedName>
    <definedName name="_2013_">#REF!</definedName>
    <definedName name="_2014">#REF!</definedName>
    <definedName name="_2015">#REF!</definedName>
    <definedName name="_2016">#REF!</definedName>
    <definedName name="_2017">#REF!</definedName>
    <definedName name="_2018">#REF!</definedName>
    <definedName name="_2020">#REF!</definedName>
    <definedName name="_207__123Graph_ECHART_16" hidden="1">#REF!</definedName>
    <definedName name="_20IQ_POLICĎĎ__ĘĘ__TS" hidden="1">"c1036"</definedName>
    <definedName name="_21__123Graph_ACHART_21" hidden="1">#REF!</definedName>
    <definedName name="_21__123Graph_ACHART_4" hidden="1">#REF!</definedName>
    <definedName name="_21__123Graph_DCHART_22" hidden="1">#REF!</definedName>
    <definedName name="_21__123Graph_LBL_ACHART_1" hidden="1">#REF!</definedName>
    <definedName name="_21__123Graph_LBL_BCHART_2" hidden="1">#REF!</definedName>
    <definedName name="_21__FDSAUDITLINK__" hidden="1">{"fdsup://directions/FAT Viewer?action=UPDATE&amp;creator=factset&amp;DYN_ARGS=TRUE&amp;DOC_NAME=FAT:FQL_AUDITING_CLIENT_TEMPLATE.FAT&amp;display_string=Audit&amp;VAR:KEY=MXYZWTSLEL&amp;VAR:QUERY=RkZfRUJJVERBX0lCKCdDQUwnLDIwMDksLCwsJ1VTRCcp&amp;WINDOW=FIRST_POPUP&amp;HEIGHT=450&amp;WIDTH=450&amp;","START_MAXIMIZED=FALSE&amp;VAR:CALENDAR=US&amp;VAR:SYMBOL=642539&amp;VAR:INDEX=0"}</definedName>
    <definedName name="_21_0_S" hidden="1">#REF!</definedName>
    <definedName name="_216__123Graph_ECHART_17" hidden="1">#REF!</definedName>
    <definedName name="_22__123Graph_ACHART_2" hidden="1">#REF!</definedName>
    <definedName name="_22__123Graph_ACHART_5" hidden="1">#REF!</definedName>
    <definedName name="_22__123Graph_BCHART_2" hidden="1">#REF!</definedName>
    <definedName name="_22__123Graph_ECHART_15" hidden="1">#REF!</definedName>
    <definedName name="_22__123Graph_LBL_ACHART_3" hidden="1">#REF!</definedName>
    <definedName name="_22__FDSAUDITLINK__" hidden="1">{"fdsup://directions/FAT Viewer?action=UPDATE&amp;creator=factset&amp;DYN_ARGS=TRUE&amp;DOC_NAME=FAT:FQL_AUDITING_CLIENT_TEMPLATE.FAT&amp;display_string=Audit&amp;VAR:KEY=MXSHIJCBUD&amp;VAR:QUERY=RkZfRU5UUlBSX1ZBTF9EQUlMWSg0MDI0MiwsLCwnVVNEJywnRElMJyk=&amp;WINDOW=FIRST_POPUP&amp;HEIGHT=45","0&amp;WIDTH=450&amp;START_MAXIMIZED=FALSE&amp;VAR:CALENDAR=US&amp;VAR:SYMBOL=642539&amp;VAR:INDEX=0"}</definedName>
    <definedName name="_22_0_S" hidden="1">#REF!</definedName>
    <definedName name="_225__123Graph_ECHART_22" hidden="1">#REF!</definedName>
    <definedName name="_23__123Graph_ACHART_6" hidden="1">#REF!</definedName>
    <definedName name="_23__123Graph_BCHART_3" hidden="1">#REF!</definedName>
    <definedName name="_23__123Graph_ECHART_16" hidden="1">#REF!</definedName>
    <definedName name="_23__123Graph_LBL_BCHART_3" hidden="1">#REF!</definedName>
    <definedName name="_23__123Graph_LBL_DCHART_1" hidden="1">#REF!</definedName>
    <definedName name="_23__FDSAUDITLINK__" hidden="1">{"fdsup://directions/FAT Viewer?action=UPDATE&amp;creator=factset&amp;DYN_ARGS=TRUE&amp;DOC_NAME=FAT:FQL_AUDITING_CLIENT_TEMPLATE.FAT&amp;display_string=Audit&amp;VAR:KEY=CXYHEJMREF&amp;VAR:QUERY=RkZfRUJJVERBX0lCKCdDQUwnLDIwMDksLCwsJ1VTRCcp&amp;WINDOW=FIRST_POPUP&amp;HEIGHT=450&amp;WIDTH=450&amp;","START_MAXIMIZED=FALSE&amp;VAR:CALENDAR=US&amp;VAR:SYMBOL=B1JNK8&amp;VAR:INDEX=0"}</definedName>
    <definedName name="_234__123Graph_FCHART_15" hidden="1">#REF!</definedName>
    <definedName name="_24__123Graph_ACHART_7" hidden="1">#REF!</definedName>
    <definedName name="_24__123Graph_ASEG_PIE" hidden="1">#REF!</definedName>
    <definedName name="_24__123Graph_BCHART_2A" hidden="1">#REF!</definedName>
    <definedName name="_24__123Graph_CCHART_1" hidden="1">#REF!</definedName>
    <definedName name="_24__123Graph_ECHART_17" hidden="1">#REF!</definedName>
    <definedName name="_24__123Graph_LBL_CCHART_2" hidden="1">#REF!</definedName>
    <definedName name="_24__123Graph_X_FABP_L.WK1_FAB" hidden="1">#REF!</definedName>
    <definedName name="_24__FDSAUDITLINK__" hidden="1">{"fdsup://directions/FAT Viewer?action=UPDATE&amp;creator=factset&amp;DYN_ARGS=TRUE&amp;DOC_NAME=FAT:FQL_AUDITING_CLIENT_TEMPLATE.FAT&amp;display_string=Audit&amp;VAR:KEY=EHIVMZAFGB&amp;VAR:QUERY=RkZfRU5UUlBSX1ZBTF9EQUlMWSg0MDI0MiwsLCwnVVNEJywnRElMJyk=&amp;WINDOW=FIRST_POPUP&amp;HEIGHT=45","0&amp;WIDTH=450&amp;START_MAXIMIZED=FALSE&amp;VAR:CALENDAR=US&amp;VAR:SYMBOL=B1JNK8&amp;VAR:INDEX=0"}</definedName>
    <definedName name="_24_0_Table1_" hidden="1">#REF!</definedName>
    <definedName name="_243__123Graph_FCHART_16" hidden="1">#REF!</definedName>
    <definedName name="_25__123Graph_BCHART_4" hidden="1">#REF!</definedName>
    <definedName name="_25__123Graph_CCHART_2" hidden="1">#REF!</definedName>
    <definedName name="_25__123Graph_ECHART_22" hidden="1">#REF!</definedName>
    <definedName name="_25__FDSAUDITLINK__" hidden="1">{"fdsup://directions/FAT Viewer?action=UPDATE&amp;creator=factset&amp;DYN_ARGS=TRUE&amp;DOC_NAME=FAT:FQL_AUDITING_CLIENT_TEMPLATE.FAT&amp;display_string=Audit&amp;VAR:KEY=OVIVMZOVCP&amp;VAR:QUERY=RkZfRUJJVERBX0lCKCdDQUwnLDIwMDksLCwsJ1VTRCcp&amp;WINDOW=FIRST_POPUP&amp;HEIGHT=450&amp;WIDTH=450&amp;","START_MAXIMIZED=FALSE&amp;VAR:CALENDAR=US&amp;VAR:SYMBOL=B09N7M&amp;VAR:INDEX=0"}</definedName>
    <definedName name="_25_0_Table2_" hidden="1">#REF!</definedName>
    <definedName name="_252__123Graph_FCHART_17" hidden="1">#REF!</definedName>
    <definedName name="_26__123Graph_BCHART_3" hidden="1">#REF!</definedName>
    <definedName name="_26__123Graph_BCHART_5" hidden="1">#REF!</definedName>
    <definedName name="_26__123Graph_FCHART_15" hidden="1">#REF!</definedName>
    <definedName name="_26__123Graph_LBL_CCHART_3" hidden="1">#REF!</definedName>
    <definedName name="_26__FDSAUDITLINK__" hidden="1">{"fdsup://directions/FAT Viewer?action=UPDATE&amp;creator=factset&amp;DYN_ARGS=TRUE&amp;DOC_NAME=FAT:FQL_AUDITING_CLIENT_TEMPLATE.FAT&amp;display_string=Audit&amp;VAR:KEY=MLSVYZWRCH&amp;VAR:QUERY=RkZfRU5UUlBSX1ZBTF9EQUlMWSg0MDI0MiwsLCwnVVNEJywnRElMJyk=&amp;WINDOW=FIRST_POPUP&amp;HEIGHT=45","0&amp;WIDTH=450&amp;START_MAXIMIZED=FALSE&amp;VAR:CALENDAR=US&amp;VAR:SYMBOL=B09N7M&amp;VAR:INDEX=0"}</definedName>
    <definedName name="_261__123Graph_FCHART_22" hidden="1">#REF!</definedName>
    <definedName name="_27__123Graph_ACHART_16" hidden="1">#REF!</definedName>
    <definedName name="_27__123Graph_ADEPREC" hidden="1">#REF!</definedName>
    <definedName name="_27__123Graph_BCHART_15" hidden="1">#REF!</definedName>
    <definedName name="_27__123Graph_BCHART_4" hidden="1">#REF!</definedName>
    <definedName name="_27__123Graph_BCHART_6" hidden="1">#REF!</definedName>
    <definedName name="_27__123Graph_CCHART_1" hidden="1">#REF!</definedName>
    <definedName name="_27__123Graph_FCHART_16" hidden="1">#REF!</definedName>
    <definedName name="_27__FDSAUDITLINK__" hidden="1">{"fdsup://Directions/FactSet Auditing Viewer?action=AUDIT_VALUE&amp;DB=129&amp;ID1=604348&amp;VALUEID=03426&amp;SDATE=2008&amp;PERIODTYPE=ANN_STD&amp;window=popup_no_bar&amp;width=385&amp;height=120&amp;START_MAXIMIZED=FALSE&amp;creator=factset&amp;display_string=Audit"}</definedName>
    <definedName name="_27_0_Table1_" hidden="1">#REF!</definedName>
    <definedName name="_270__123Graph_XCHART_15" hidden="1">#REF!</definedName>
    <definedName name="_279__123Graph_XCHART_16" hidden="1">#REF!</definedName>
    <definedName name="_28__123Graph_BCHART_5" hidden="1">#REF!</definedName>
    <definedName name="_28__123Graph_BCHART_7" hidden="1">#REF!</definedName>
    <definedName name="_28__123Graph_CCHART_2" hidden="1">#REF!</definedName>
    <definedName name="_28__123Graph_FCHART_17" hidden="1">#REF!</definedName>
    <definedName name="_28__FDSAUDITLINK__" hidden="1">{"fdsup://directions/FAT Viewer?action=UPDATE&amp;creator=factset&amp;DYN_ARGS=TRUE&amp;DOC_NAME=FAT:FQL_AUDITING_CLIENT_TEMPLATE.FAT&amp;display_string=Audit&amp;VAR:KEY=ALIZMZKVMP&amp;VAR:QUERY=RkZfRU5UUlBSX1ZBTF9EQUlMWSg0MDI0MiwsLCwnVVNEJywnRElMJyk=&amp;WINDOW=FIRST_POPUP&amp;HEIGHT=45","0&amp;WIDTH=450&amp;START_MAXIMIZED=FALSE&amp;VAR:CALENDAR=US&amp;VAR:SYMBOL=70454910&amp;VAR:INDEX=0"}</definedName>
    <definedName name="_28_0_S" hidden="1">#REF!</definedName>
    <definedName name="_28_0_Table2_" hidden="1">#REF!</definedName>
    <definedName name="_288__123Graph_XCHART_17" hidden="1">#REF!</definedName>
    <definedName name="_29__123Graph_BCHART_6" hidden="1">#REF!</definedName>
    <definedName name="_29__123Graph_CCHART_4" hidden="1">#REF!</definedName>
    <definedName name="_29__123Graph_FCHART_22" hidden="1">#REF!</definedName>
    <definedName name="_29__FDSAUDITLINK__" hidden="1">{"fdsup://directions/FAT Viewer?action=UPDATE&amp;creator=factset&amp;DYN_ARGS=TRUE&amp;DOC_NAME=FAT:FQL_AUDITING_CLIENT_TEMPLATE.FAT&amp;display_string=Audit&amp;VAR:KEY=KVIZONYBQL&amp;VAR:QUERY=RkZfRUJJVERBX0lCKCdDQUwnLDIwMDksLCwsJ1VTRCcp&amp;WINDOW=FIRST_POPUP&amp;HEIGHT=450&amp;WIDTH=450&amp;","START_MAXIMIZED=FALSE&amp;VAR:CALENDAR=US&amp;VAR:SYMBOL=01381710&amp;VAR:INDEX=0"}</definedName>
    <definedName name="_297__123Graph_XCHART_18" hidden="1">#REF!</definedName>
    <definedName name="_2ƒ0ACwvu.Sommai" hidden="1">#REF!,#REF!,#REF!,#REF!,#REF!,#REF!</definedName>
    <definedName name="_2ƒ0Swvu.Sommai" hidden="1">#REF!,#REF!,#REF!,#REF!,#REF!,#REF!</definedName>
    <definedName name="_3__123Graph_ACHART_1" hidden="1">#REF!</definedName>
    <definedName name="_3__123Graph_ACHART_12" hidden="1">#REF!</definedName>
    <definedName name="_3__123Graph_ACHART_16" hidden="1">#REF!</definedName>
    <definedName name="_3__123Graph_ACHART_1A" hidden="1">#REF!</definedName>
    <definedName name="_3__123Graph_ACHART_2" hidden="1">#REF!</definedName>
    <definedName name="_3__123Graph_ACHART_3" hidden="1">#REF!</definedName>
    <definedName name="_3__123Graph_BCHART_1" hidden="1">#REF!</definedName>
    <definedName name="_3__123Graph_BCHART_4" hidden="1">#REF!</definedName>
    <definedName name="_3__123Graph_CCHART_1" hidden="1">#REF!</definedName>
    <definedName name="_3__123Graph_CCHART_2" hidden="1">#REF!</definedName>
    <definedName name="_3__123Graph_CCHART_28" hidden="1">#REF!</definedName>
    <definedName name="_3__123Graph_CCHART_4" hidden="1">#REF!</definedName>
    <definedName name="_3__123Graph_LBL_BCHART_4" hidden="1">#REF!</definedName>
    <definedName name="_3__FDSAUDITLINK__" hidden="1">{"fdsup://directions/FAT Viewer?action=UPDATE&amp;creator=factset&amp;DYN_ARGS=TRUE&amp;DOC_NAME=FAT:FQL_AUDITING_CLIENT_TEMPLATE.FAT&amp;display_string=Audit&amp;VAR:KEY=YFOVQTWLIJ&amp;VAR:QUERY=RkZfRU5UUlBSX1ZBTF9EQUlMWSg0MDI0MiwsLCwnVVNEJywnRElMJyk=&amp;WINDOW=FIRST_POPUP&amp;HEIGHT=45","0&amp;WIDTH=450&amp;START_MAXIMIZED=FALSE&amp;VAR:CALENDAR=US&amp;VAR:SYMBOL=678305&amp;VAR:INDEX=0"}</definedName>
    <definedName name="_3_0__123Grap" hidden="1">#REF!</definedName>
    <definedName name="_3_0_0_F" hidden="1">#REF!</definedName>
    <definedName name="_3_0_0_S" hidden="1">#REF!</definedName>
    <definedName name="_30__123Graph_BCHART_16" hidden="1">#REF!</definedName>
    <definedName name="_30__123Graph_BCHART_6" hidden="1">#REF!</definedName>
    <definedName name="_30__123Graph_BCHART_7" hidden="1">#REF!</definedName>
    <definedName name="_30__123Graph_XCHART_15" hidden="1">#REF!</definedName>
    <definedName name="_30__123Graph_XCHART_1A" hidden="1">#REF!</definedName>
    <definedName name="_30__123Graph_XCHART_5" hidden="1">#REF!</definedName>
    <definedName name="_30__FDSAUDITLINK__" hidden="1">{"fdsup://directions/FAT Viewer?action=UPDATE&amp;creator=factset&amp;DYN_ARGS=TRUE&amp;DOC_NAME=FAT:FQL_AUDITING_CLIENT_TEMPLATE.FAT&amp;display_string=Audit&amp;VAR:KEY=WDIPMPONKN&amp;VAR:QUERY=RkZfRU5UUlBSX1ZBTF9EQUlMWSg0MDI0MiwsLCwnVVNEJywnRElMJyk=&amp;WINDOW=FIRST_POPUP&amp;HEIGHT=45","0&amp;WIDTH=450&amp;START_MAXIMIZED=FALSE&amp;VAR:CALENDAR=US&amp;VAR:SYMBOL=01381710&amp;VAR:INDEX=0"}</definedName>
    <definedName name="_3000">#REF!</definedName>
    <definedName name="_3010">#REF!</definedName>
    <definedName name="_3019">#REF!</definedName>
    <definedName name="_306__123Graph_XCHART_19" hidden="1">#REF!</definedName>
    <definedName name="_31__123Graph_XCHART_16" hidden="1">#REF!</definedName>
    <definedName name="_31__123Graph_XCHART_6" hidden="1">#REF!</definedName>
    <definedName name="_31__FDSAUDITLINK__" hidden="1">{"fdsup://directions/FAT Viewer?action=UPDATE&amp;creator=factset&amp;DYN_ARGS=TRUE&amp;DOC_NAME=FAT:FQL_AUDITING_CLIENT_TEMPLATE.FAT&amp;display_string=Audit&amp;VAR:KEY=SFSDQLCZQV&amp;VAR:QUERY=RkZfRUJJVERBX0lCKCdDQUwnLDIwMDksLCwsJ1VTRCcp&amp;WINDOW=FIRST_POPUP&amp;HEIGHT=450&amp;WIDTH=450&amp;","START_MAXIMIZED=FALSE&amp;VAR:CALENDAR=US&amp;VAR:SYMBOL=B1G426&amp;VAR:INDEX=0"}</definedName>
    <definedName name="_315__123Graph_XCHART_22" hidden="1">#REF!</definedName>
    <definedName name="_32__123Graph_XCHART_17" hidden="1">#REF!</definedName>
    <definedName name="_32__123Graph_XCHART_7" hidden="1">#REF!</definedName>
    <definedName name="_32__FDSAUDITLINK__" hidden="1">{"fdsup://directions/FAT Viewer?action=UPDATE&amp;creator=factset&amp;DYN_ARGS=TRUE&amp;DOC_NAME=FAT:FQL_AUDITING_CLIENT_TEMPLATE.FAT&amp;display_string=Audit&amp;VAR:KEY=MZYVMTAFUT&amp;VAR:QUERY=RkZfRU5UUlBSX1ZBTF9EQUlMWSg0MDI0MiwsLCwnVVNEJywnRElMJyk=&amp;WINDOW=FIRST_POPUP&amp;HEIGHT=45","0&amp;WIDTH=450&amp;START_MAXIMIZED=FALSE&amp;VAR:CALENDAR=US&amp;VAR:SYMBOL=B1G426&amp;VAR:INDEX=0"}</definedName>
    <definedName name="_324__123Graph_XSEG_PIE" hidden="1">#REF!</definedName>
    <definedName name="_33__123Graph_ACHART_3" hidden="1">#REF!</definedName>
    <definedName name="_33__123Graph_BCHART_17" hidden="1">#REF!</definedName>
    <definedName name="_33__123Graph_XCHART_18" hidden="1">#REF!</definedName>
    <definedName name="_33__FDSAUDITLINK__" hidden="1">{"fdsup://directions/FAT Viewer?action=UPDATE&amp;creator=factset&amp;DYN_ARGS=TRUE&amp;DOC_NAME=FAT:FQL_AUDITING_CLIENT_TEMPLATE.FAT&amp;display_string=Audit&amp;VAR:KEY=CLMPGRAFIV&amp;VAR:QUERY=RkZfRUJJVERBX0lCKCdDQUwnLDIwMDksLCwsJ1VTRCcp&amp;WINDOW=FIRST_POPUP&amp;HEIGHT=450&amp;WIDTH=450&amp;","START_MAXIMIZED=FALSE&amp;VAR:CALENDAR=US&amp;VAR:SYMBOL=B29BCK&amp;VAR:INDEX=0"}</definedName>
    <definedName name="_3310">#REF!</definedName>
    <definedName name="_34__123Graph_CCHART_3" hidden="1">#REF!</definedName>
    <definedName name="_34__123Graph_XCHART_19" hidden="1">#REF!</definedName>
    <definedName name="_34__FDSAUDITLINK__" hidden="1">{"fdsup://directions/FAT Viewer?action=UPDATE&amp;creator=factset&amp;DYN_ARGS=TRUE&amp;DOC_NAME=FAT:FQL_AUDITING_CLIENT_TEMPLATE.FAT&amp;display_string=Audit&amp;VAR:KEY=ONCXUBIDAL&amp;VAR:QUERY=RkZfRU5UUlBSX1ZBTF9EQUlMWSg0MDI0MiwsLCwnVVNEJywnRElMJyk=&amp;WINDOW=FIRST_POPUP&amp;HEIGHT=45","0&amp;WIDTH=450&amp;START_MAXIMIZED=FALSE&amp;VAR:CALENDAR=US&amp;VAR:SYMBOL=B29BCK&amp;VAR:INDEX=0"}</definedName>
    <definedName name="_35__123Graph_ACHART_1" hidden="1">#REF!</definedName>
    <definedName name="_35__123Graph_CCHART_3" hidden="1">#REF!</definedName>
    <definedName name="_35__123Graph_DCHART_1" hidden="1">#REF!</definedName>
    <definedName name="_35__123Graph_XCHART_22" hidden="1">#REF!</definedName>
    <definedName name="_35__FDSAUDITLINK__" hidden="1">{"fdsup://directions/FAT Viewer?action=UPDATE&amp;creator=factset&amp;DYN_ARGS=TRUE&amp;DOC_NAME=FAT:FQL_AUDITING_CLIENT_TEMPLATE.FAT&amp;display_string=Audit&amp;VAR:KEY=CPINQXQDOF&amp;VAR:QUERY=RkZfRUJJVERBX0lCKCdDQUwnLDIwMDksLCwsJ1VTRCcp&amp;WINDOW=FIRST_POPUP&amp;HEIGHT=450&amp;WIDTH=450&amp;","START_MAXIMIZED=FALSE&amp;VAR:CALENDAR=US&amp;VAR:SYMBOL=B019KX&amp;VAR:INDEX=0"}</definedName>
    <definedName name="_36__123Graph_ACHART_17" hidden="1">#REF!</definedName>
    <definedName name="_36__123Graph_BCHART_22" hidden="1">#REF!</definedName>
    <definedName name="_36__123Graph_DCHART_1" hidden="1">#REF!</definedName>
    <definedName name="_36__123Graph_ECHART_1" hidden="1">#REF!</definedName>
    <definedName name="_36__123Graph_XCHART_2A" hidden="1">#REF!</definedName>
    <definedName name="_36__123Graph_XSEG_PIE" hidden="1">#REF!</definedName>
    <definedName name="_36__FDSAUDITLINK__" hidden="1">{"fdsup://directions/FAT Viewer?action=UPDATE&amp;creator=factset&amp;DYN_ARGS=TRUE&amp;DOC_NAME=FAT:FQL_AUDITING_CLIENT_TEMPLATE.FAT&amp;display_string=Audit&amp;VAR:KEY=GBWNGBUNCZ&amp;VAR:QUERY=RkZfRUJJVERBX0lCKCdDQUwnLDIwMDksLCwsJ1VTRCcp&amp;WINDOW=FIRST_POPUP&amp;HEIGHT=450&amp;WIDTH=450&amp;","START_MAXIMIZED=FALSE&amp;VAR:CALENDAR=US&amp;VAR:SYMBOL=84265V10&amp;VAR:INDEX=0"}</definedName>
    <definedName name="_37__123Graph_B_FABP_L.WK1_FAB" hidden="1">#REF!</definedName>
    <definedName name="_37__123Graph_ECHART_1" hidden="1">#REF!</definedName>
    <definedName name="_37__123Graph_FCHART_1" hidden="1">#REF!</definedName>
    <definedName name="_37__FDSAUDITLINK__" hidden="1">{"fdsup://directions/FAT Viewer?action=UPDATE&amp;creator=factset&amp;DYN_ARGS=TRUE&amp;DOC_NAME=FAT:FQL_AUDITING_CLIENT_TEMPLATE.FAT&amp;display_string=Audit&amp;VAR:KEY=QTEFEBGPSL&amp;VAR:QUERY=RkZfRUJJVERBX0lCKCdDQUwnLDIwMDksLCwsJ1VTRCcp&amp;WINDOW=FIRST_POPUP&amp;HEIGHT=450&amp;WIDTH=450&amp;","START_MAXIMIZED=FALSE&amp;VAR:CALENDAR=US&amp;VAR:SYMBOL=35671D85&amp;VAR:INDEX=0"}</definedName>
    <definedName name="_38__123Graph_BCHART_1" hidden="1">#REF!</definedName>
    <definedName name="_38__123Graph_FCHART_1" hidden="1">#REF!</definedName>
    <definedName name="_38__123Graph_LBL_ACHART_2" hidden="1">#REF!</definedName>
    <definedName name="_38__FDSAUDITLINK__" hidden="1">{"fdsup://directions/FAT Viewer?action=UPDATE&amp;creator=factset&amp;DYN_ARGS=TRUE&amp;DOC_NAME=FAT:FQL_AUDITING_CLIENT_TEMPLATE.FAT&amp;display_string=Audit&amp;VAR:KEY=SDCXMZYZYB&amp;VAR:QUERY=RkZfRUJJVERBX0lCKCdDQUwnLDIwMDksLCwsJ1VTRCcp&amp;WINDOW=FIRST_POPUP&amp;HEIGHT=450&amp;WIDTH=450&amp;","START_MAXIMIZED=FALSE&amp;VAR:CALENDAR=US&amp;VAR:SYMBOL=604348&amp;VAR:INDEX=0"}</definedName>
    <definedName name="_39__123Graph_BCHART_2" hidden="1">#REF!</definedName>
    <definedName name="_39__123Graph_CCHART_15" hidden="1">#REF!</definedName>
    <definedName name="_39__123Graph_LBL_ACHART_2" hidden="1">#REF!</definedName>
    <definedName name="_39__FDSAUDITLINK__" hidden="1">{"fdsup://Directions/FactSet Auditing Viewer?action=AUDIT_VALUE&amp;DB=129&amp;ID1=604348&amp;VALUEID=02001&amp;SDATE=2008&amp;PERIODTYPE=ANN_STD&amp;window=popup_no_bar&amp;width=385&amp;height=120&amp;START_MAXIMIZED=FALSE&amp;creator=factset&amp;display_string=Audit"}</definedName>
    <definedName name="_3ƒ0Swvu.Sommai" hidden="1">#REF!,#REF!,#REF!,#REF!,#REF!,#REF!</definedName>
    <definedName name="_3p0Rwvu.Sommai" hidden="1">#REF!,#REF!,#REF!,#REF!,#REF!</definedName>
    <definedName name="_4__123Graph_ACHART_17" hidden="1">#REF!</definedName>
    <definedName name="_4__123Graph_ACHART_2" hidden="1">#REF!</definedName>
    <definedName name="_4__123Graph_ACHART_2A" hidden="1">#REF!</definedName>
    <definedName name="_4__123Graph_ACHART_3" hidden="1">#REF!</definedName>
    <definedName name="_4__123Graph_ACHART_3I" hidden="1">#REF!</definedName>
    <definedName name="_4__123Graph_ACHART_4" hidden="1">#REF!</definedName>
    <definedName name="_4__123Graph_CCHART_4" hidden="1">#REF!</definedName>
    <definedName name="_4__123Graph_DCHART_1" hidden="1">#REF!</definedName>
    <definedName name="_4__123Graph_DCHART_28" hidden="1">#REF!</definedName>
    <definedName name="_4__123Graph_XCHART_1" hidden="1">#REF!</definedName>
    <definedName name="_4__123Graph_XCHART_2" hidden="1">#REF!</definedName>
    <definedName name="_4__123Graph_XCHART_4A" hidden="1">#REF!</definedName>
    <definedName name="_4__FDSAUDITLINK__" hidden="1">{"fdsup://directions/FAT Viewer?action=UPDATE&amp;creator=factset&amp;DYN_ARGS=TRUE&amp;DOC_NAME=FAT:FQL_AUDITING_CLIENT_TEMPLATE.FAT&amp;display_string=Audit&amp;VAR:KEY=YDSHWDYLUB&amp;VAR:QUERY=RkZfRUJJVERBX0lCKCdDQUwnLDIwMDksLCwsJ1VTRCcp&amp;WINDOW=FIRST_POPUP&amp;HEIGHT=450&amp;WIDTH=450&amp;","START_MAXIMIZED=FALSE&amp;VAR:CALENDAR=US&amp;VAR:SYMBOL=650432&amp;VAR:INDEX=0"}</definedName>
    <definedName name="_4_0_0__123Grap" hidden="1">#REF!</definedName>
    <definedName name="_4_0_0_F" hidden="1">#REF!</definedName>
    <definedName name="_40__123Graph_BCHART_3" hidden="1">#REF!</definedName>
    <definedName name="_40__FDSAUDITLINK__" hidden="1">{"fdsup://directions/FAT Viewer?action=UPDATE&amp;creator=factset&amp;DYN_ARGS=TRUE&amp;DOC_NAME=FAT:FQL_AUDITING_CLIENT_TEMPLATE.FAT&amp;display_string=Audit&amp;VAR:KEY=IBUXKJGJCN&amp;VAR:QUERY=RkZfRU5UUlBSX1ZBTF9EQUlMWSg0MDI0MiwsLCwnVVNEJywnRElMJyk=&amp;WINDOW=FIRST_POPUP&amp;HEIGHT=45","0&amp;WIDTH=450&amp;START_MAXIMIZED=FALSE&amp;VAR:CALENDAR=US&amp;VAR:SYMBOL=604348&amp;VAR:INDEX=0"}</definedName>
    <definedName name="_41__123Graph_BCHART_4" hidden="1">#REF!</definedName>
    <definedName name="_41__FDSAUDITLINK__" hidden="1">{"fdsup://directions/FAT Viewer?action=UPDATE&amp;creator=factset&amp;DYN_ARGS=TRUE&amp;DOC_NAME=FAT:FQL_AUDITING_CLIENT_TEMPLATE.FAT&amp;display_string=Audit&amp;VAR:KEY=ORCHORYFWP&amp;VAR:QUERY=RkZfRUJJVERBX0lCKCdDQUwnLDIwMDksLCwsJ1VTRCcp&amp;WINDOW=FIRST_POPUP&amp;HEIGHT=450&amp;WIDTH=450&amp;","START_MAXIMIZED=FALSE&amp;VAR:CALENDAR=US&amp;VAR:SYMBOL=613944&amp;VAR:INDEX=0"}</definedName>
    <definedName name="_42__123Graph_BCHART_5" hidden="1">#REF!</definedName>
    <definedName name="_42__123Graph_CCHART_16" hidden="1">#REF!</definedName>
    <definedName name="_42__FDSAUDITLINK__" hidden="1">{"fdsup://directions/FAT Viewer?action=UPDATE&amp;creator=factset&amp;DYN_ARGS=TRUE&amp;DOC_NAME=FAT:FQL_AUDITING_CLIENT_TEMPLATE.FAT&amp;display_string=Audit&amp;VAR:KEY=MPCJKXEHKN&amp;VAR:QUERY=RkZfRU5UUlBSX1ZBTF9EQUlMWSg0MDI0MiwsLCwnVVNEJywnRElMJyk=&amp;WINDOW=FIRST_POPUP&amp;HEIGHT=45","0&amp;WIDTH=450&amp;START_MAXIMIZED=FALSE&amp;VAR:CALENDAR=US&amp;VAR:SYMBOL=613944&amp;VAR:INDEX=0"}</definedName>
    <definedName name="_43__123Graph_ACHART_2" hidden="1">#REF!</definedName>
    <definedName name="_43__123Graph_BCHART_6" hidden="1">#REF!</definedName>
    <definedName name="_43__FDSAUDITLINK__" hidden="1">{"fdsup://directions/FAT Viewer?action=UPDATE&amp;creator=factset&amp;DYN_ARGS=TRUE&amp;DOC_NAME=FAT:FQL_AUDITING_CLIENT_TEMPLATE.FAT&amp;display_string=Audit&amp;VAR:KEY=MZMPOVYPOT&amp;VAR:QUERY=RkZfRUJJVERBX0lCKCdDQUwnLDIwMDksLCwsJ1VTRCcp&amp;WINDOW=FIRST_POPUP&amp;HEIGHT=450&amp;WIDTH=450&amp;","START_MAXIMIZED=FALSE&amp;VAR:CALENDAR=US&amp;VAR:SYMBOL=B0GWF4&amp;VAR:INDEX=0"}</definedName>
    <definedName name="_4320">#REF!</definedName>
    <definedName name="_4355">#REF!</definedName>
    <definedName name="_44__123Graph_ACHART_4" hidden="1">#REF!</definedName>
    <definedName name="_44__123Graph_BCHART_7" hidden="1">#REF!</definedName>
    <definedName name="_44__FDSAUDITLINK__" hidden="1">{"fdsup://directions/FAT Viewer?action=UPDATE&amp;creator=factset&amp;DYN_ARGS=TRUE&amp;DOC_NAME=FAT:FQL_AUDITING_CLIENT_TEMPLATE.FAT&amp;display_string=Audit&amp;VAR:KEY=OTIPUXQVWX&amp;VAR:QUERY=RkZfRU5UUlBSX1ZBTF9EQUlMWSg0MDI0MiwsLCwnVVNEJywnRElMJyk=&amp;WINDOW=FIRST_POPUP&amp;HEIGHT=45","0&amp;WIDTH=450&amp;START_MAXIMIZED=FALSE&amp;VAR:CALENDAR=US&amp;VAR:SYMBOL=B0GWF4&amp;VAR:INDEX=0"}</definedName>
    <definedName name="_4405">#REF!</definedName>
    <definedName name="_4410">#REF!</definedName>
    <definedName name="_4445">#REF!</definedName>
    <definedName name="_4450">#REF!</definedName>
    <definedName name="_4452">#REF!</definedName>
    <definedName name="_4453">#REF!</definedName>
    <definedName name="_4480">#REF!</definedName>
    <definedName name="_4485">#REF!</definedName>
    <definedName name="_4496">#REF!</definedName>
    <definedName name="_45__123Graph_ACHART_18" hidden="1">#REF!</definedName>
    <definedName name="_45__123Graph_CCHART_17" hidden="1">#REF!</definedName>
    <definedName name="_45__FDSAUDITLINK__" hidden="1">{"fdsup://directions/FAT Viewer?action=UPDATE&amp;creator=factset&amp;DYN_ARGS=TRUE&amp;DOC_NAME=FAT:FQL_AUDITING_CLIENT_TEMPLATE.FAT&amp;display_string=Audit&amp;VAR:KEY=OFSDYBCHEJ&amp;VAR:QUERY=RkZfRUJJVERBX0lCKCdDQUwnLDIwMDksLCwsJ1VTRCcp&amp;WINDOW=FIRST_POPUP&amp;HEIGHT=450&amp;WIDTH=450&amp;","START_MAXIMIZED=FALSE&amp;VAR:CALENDAR=US&amp;VAR:SYMBOL=B11HK3&amp;VAR:INDEX=0"}</definedName>
    <definedName name="_4505">#REF!</definedName>
    <definedName name="_4555">#REF!</definedName>
    <definedName name="_4560">#REF!</definedName>
    <definedName name="_46__123Graph_LBL_ACHART_3" hidden="1">#REF!</definedName>
    <definedName name="_46__FDSAUDITLINK__" hidden="1">{"fdsup://directions/FAT Viewer?action=UPDATE&amp;creator=factset&amp;DYN_ARGS=TRUE&amp;DOC_NAME=FAT:FQL_AUDITING_CLIENT_TEMPLATE.FAT&amp;display_string=Audit&amp;VAR:KEY=MDELEFOVAR&amp;VAR:QUERY=RkZfRU5UUlBSX1ZBTF9EQUlMWSg0MDI0MiwsLCwnVVNEJywnRElMJyk=&amp;WINDOW=FIRST_POPUP&amp;HEIGHT=45","0&amp;WIDTH=450&amp;START_MAXIMIZED=FALSE&amp;VAR:CALENDAR=US&amp;VAR:SYMBOL=B11HK3&amp;VAR:INDEX=0"}</definedName>
    <definedName name="_47__123Graph_LBL_ACHART_3" hidden="1">#REF!</definedName>
    <definedName name="_47__123Graph_LBL_ACHART_4" hidden="1">#REF!</definedName>
    <definedName name="_47__FDSAUDITLINK__" hidden="1">{"fdsup://directions/FAT Viewer?action=UPDATE&amp;creator=factset&amp;DYN_ARGS=TRUE&amp;DOC_NAME=FAT:FQL_AUDITING_CLIENT_TEMPLATE.FAT&amp;display_string=Audit&amp;VAR:KEY=UXMFINCVAN&amp;VAR:QUERY=RkZfRUJJVERBX0lCKCdDQUwnLDIwMDksLCwsJ1VTRCcp&amp;WINDOW=FIRST_POPUP&amp;HEIGHT=450&amp;WIDTH=450&amp;","START_MAXIMIZED=FALSE&amp;VAR:CALENDAR=US&amp;VAR:SYMBOL=20854P10&amp;VAR:INDEX=0"}</definedName>
    <definedName name="_4710">#REF!</definedName>
    <definedName name="_4715">#REF!</definedName>
    <definedName name="_48__123Graph_CCHART_22" hidden="1">#REF!</definedName>
    <definedName name="_48__123Graph_LBL_ACHART_4" hidden="1">#REF!</definedName>
    <definedName name="_48__123Graph_LBL_BCHART_2" hidden="1">#REF!</definedName>
    <definedName name="_48__FDSAUDITLINK__" hidden="1">{"fdsup://directions/FAT Viewer?action=UPDATE&amp;creator=factset&amp;DYN_ARGS=TRUE&amp;DOC_NAME=FAT:FQL_AUDITING_CLIENT_TEMPLATE.FAT&amp;display_string=Audit&amp;VAR:KEY=YZUDINQFMN&amp;VAR:QUERY=RkZfRU5UUlBSX1ZBTF9EQUlMWSg0MDI0MiwsLCwnVVNEJywnRElMJyk=&amp;WINDOW=FIRST_POPUP&amp;HEIGHT=45","0&amp;WIDTH=450&amp;START_MAXIMIZED=FALSE&amp;VAR:CALENDAR=US&amp;VAR:SYMBOL=20854P10&amp;VAR:INDEX=0"}</definedName>
    <definedName name="_4830">#REF!</definedName>
    <definedName name="_4848">#REF!</definedName>
    <definedName name="_49__123Graph_LBL_BCHART_2" hidden="1">#REF!</definedName>
    <definedName name="_49__FDSAUDITLINK__" hidden="1">{"fdsup://directions/FAT Viewer?action=UPDATE&amp;creator=factset&amp;DYN_ARGS=TRUE&amp;DOC_NAME=FAT:FQL_AUDITING_CLIENT_TEMPLATE.FAT&amp;display_string=Audit&amp;VAR:KEY=MFMZMXUPCP&amp;VAR:QUERY=RkZfRUJJVERBX0lCKCdDQUwnLDIwMDksLCwsJ1VTRCcp&amp;WINDOW=FIRST_POPUP&amp;HEIGHT=450&amp;WIDTH=450&amp;","START_MAXIMIZED=FALSE&amp;VAR:CALENDAR=US&amp;VAR:SYMBOL=332770&amp;VAR:INDEX=0"}</definedName>
    <definedName name="_4p0Rwvu.Sommai" hidden="1">#REF!,#REF!,#REF!,#REF!,#REF!</definedName>
    <definedName name="_5__123Graph_ACHART_18" hidden="1">#REF!</definedName>
    <definedName name="_5__123Graph_ACHART_3" hidden="1">#REF!</definedName>
    <definedName name="_5__123Graph_ACHART_4" hidden="1">#REF!</definedName>
    <definedName name="_5__123Graph_BCHART_1" hidden="1">#REF!</definedName>
    <definedName name="_5__123Graph_CCHART_1" hidden="1">#REF!</definedName>
    <definedName name="_5__123Graph_ECHART_28" hidden="1">#REF!</definedName>
    <definedName name="_5__123Graph_XCHART_1" hidden="1">#REF!</definedName>
    <definedName name="_5__123Graph_XCHART_2" hidden="1">#REF!</definedName>
    <definedName name="_5__FDSAUDITLINK__" hidden="1">{"fdsup://directions/FAT Viewer?action=UPDATE&amp;creator=factset&amp;DYN_ARGS=TRUE&amp;DOC_NAME=FAT:FQL_AUDITING_CLIENT_TEMPLATE.FAT&amp;display_string=Audit&amp;VAR:KEY=WVMRQVONSP&amp;VAR:QUERY=RkZfRU5UUlBSX1ZBTF9EQUlMWSg0MDI0MiwsLCwnVVNEJywnRElMJyk=&amp;WINDOW=FIRST_POPUP&amp;HEIGHT=45","0&amp;WIDTH=450&amp;START_MAXIMIZED=FALSE&amp;VAR:CALENDAR=US&amp;VAR:SYMBOL=650432&amp;VAR:INDEX=0"}</definedName>
    <definedName name="_50__FDSAUDITLINK__" hidden="1">{"fdsup://directions/FAT Viewer?action=UPDATE&amp;creator=factset&amp;DYN_ARGS=TRUE&amp;DOC_NAME=FAT:FQL_AUDITING_CLIENT_TEMPLATE.FAT&amp;display_string=Audit&amp;VAR:KEY=CXEHCRWFAB&amp;VAR:QUERY=RkZfRU5UUlBSX1ZBTF9EQUlMWSg0MDI0MiwsLCwnVVNEJywnRElMJyk=&amp;WINDOW=FIRST_POPUP&amp;HEIGHT=45","0&amp;WIDTH=450&amp;START_MAXIMIZED=FALSE&amp;VAR:CALENDAR=US&amp;VAR:SYMBOL=332770&amp;VAR:INDEX=0"}</definedName>
    <definedName name="_51__123Graph_ACHART_3" hidden="1">#REF!</definedName>
    <definedName name="_51__123Graph_CSEG_PIE" hidden="1">#REF!</definedName>
    <definedName name="_51__FDSAUDITLINK__" hidden="1">{"fdsup://directions/FAT Viewer?action=UPDATE&amp;creator=factset&amp;DYN_ARGS=TRUE&amp;DOC_NAME=FAT:FQL_AUDITING_CLIENT_TEMPLATE.FAT&amp;display_string=Audit&amp;VAR:KEY=SVGBOBYLCP&amp;VAR:QUERY=RkZfRUJJVERBX0lCKCdDQUwnLDIwMDksLCwsJ1VTRCcp&amp;WINDOW=FIRST_POPUP&amp;HEIGHT=450&amp;WIDTH=450&amp;","START_MAXIMIZED=FALSE&amp;VAR:CALENDAR=US&amp;VAR:SYMBOL=70454910&amp;VAR:INDEX=0"}</definedName>
    <definedName name="_52__FDSAUDITLINK__" hidden="1">{"fdsup://directions/FAT Viewer?action=UPDATE&amp;creator=factset&amp;DYN_ARGS=TRUE&amp;DOC_NAME=FAT:FQL_AUDITING_CLIENT_TEMPLATE.FAT&amp;display_string=Audit&amp;VAR:KEY=ETCDEBGVWV&amp;VAR:QUERY=RkZfRU5UUlBSX1ZBTF9EQUlMWSg0MDI0MiwsLCwnVVNEJywnRElMJyk=&amp;WINDOW=FIRST_POPUP&amp;HEIGHT=45","0&amp;WIDTH=450&amp;START_MAXIMIZED=FALSE&amp;VAR:CALENDAR=US&amp;VAR:SYMBOL=B0ZSH5&amp;VAR:INDEX=0"}</definedName>
    <definedName name="_53__FDSAUDITLINK__" hidden="1">{"fdsup://directions/FAT Viewer?action=UPDATE&amp;creator=factset&amp;DYN_ARGS=TRUE&amp;DOC_NAME=FAT:FQL_AUDITING_CLIENT_TEMPLATE.FAT&amp;display_string=Audit&amp;VAR:KEY=CTADCFEBYL&amp;VAR:QUERY=RkZfRUJJVERBX0lCKCdDQUwnLDIwMDksLCwsJ1VTRCcp&amp;WINDOW=FIRST_POPUP&amp;HEIGHT=450&amp;WIDTH=450&amp;","START_MAXIMIZED=FALSE&amp;VAR:CALENDAR=US&amp;VAR:SYMBOL=678305&amp;VAR:INDEX=0"}</definedName>
    <definedName name="_54__123Graph_ACHART_19" hidden="1">#REF!</definedName>
    <definedName name="_54__123Graph_C_FABP_L.WK1_FAB" hidden="1">#REF!</definedName>
    <definedName name="_54__123Graph_DCHART_15" hidden="1">#REF!</definedName>
    <definedName name="_54__FDSAUDITLINK__" hidden="1">{"fdsup://directions/FAT Viewer?action=UPDATE&amp;creator=factset&amp;DYN_ARGS=TRUE&amp;DOC_NAME=FAT:FQL_AUDITING_CLIENT_TEMPLATE.FAT&amp;display_string=Audit&amp;VAR:KEY=YFOVQTWLIJ&amp;VAR:QUERY=RkZfRU5UUlBSX1ZBTF9EQUlMWSg0MDI0MiwsLCwnVVNEJywnRElMJyk=&amp;WINDOW=FIRST_POPUP&amp;HEIGHT=45","0&amp;WIDTH=450&amp;START_MAXIMIZED=FALSE&amp;VAR:CALENDAR=US&amp;VAR:SYMBOL=678305&amp;VAR:INDEX=0"}</definedName>
    <definedName name="_55__123Graph_ACHART_5" hidden="1">#REF!</definedName>
    <definedName name="_55__123Graph_LBL_BCHART_3" hidden="1">#REF!</definedName>
    <definedName name="_55__FDSAUDITLINK__" hidden="1">{"fdsup://directions/FAT Viewer?action=UPDATE&amp;creator=factset&amp;DYN_ARGS=TRUE&amp;DOC_NAME=FAT:FQL_AUDITING_CLIENT_TEMPLATE.FAT&amp;display_string=Audit&amp;VAR:KEY=YDSHWDYLUB&amp;VAR:QUERY=RkZfRUJJVERBX0lCKCdDQUwnLDIwMDksLCwsJ1VTRCcp&amp;WINDOW=FIRST_POPUP&amp;HEIGHT=450&amp;WIDTH=450&amp;","START_MAXIMIZED=FALSE&amp;VAR:CALENDAR=US&amp;VAR:SYMBOL=650432&amp;VAR:INDEX=0"}</definedName>
    <definedName name="_56__123Graph_LBL_CCHART_2" hidden="1">#REF!</definedName>
    <definedName name="_56__FDSAUDITLINK__" hidden="1">{"fdsup://directions/FAT Viewer?action=UPDATE&amp;creator=factset&amp;DYN_ARGS=TRUE&amp;DOC_NAME=FAT:FQL_AUDITING_CLIENT_TEMPLATE.FAT&amp;display_string=Audit&amp;VAR:KEY=WVMRQVONSP&amp;VAR:QUERY=RkZfRU5UUlBSX1ZBTF9EQUlMWSg0MDI0MiwsLCwnVVNEJywnRElMJyk=&amp;WINDOW=FIRST_POPUP&amp;HEIGHT=45","0&amp;WIDTH=450&amp;START_MAXIMIZED=FALSE&amp;VAR:CALENDAR=US&amp;VAR:SYMBOL=650432&amp;VAR:INDEX=0"}</definedName>
    <definedName name="_56_0_Table1_" hidden="1">#REF!</definedName>
    <definedName name="_57__123Graph_DCHART_16" hidden="1">#REF!</definedName>
    <definedName name="_57__FDSAUDITLINK__" hidden="1">{"fdsup://directions/FAT Viewer?action=UPDATE&amp;creator=factset&amp;DYN_ARGS=TRUE&amp;DOC_NAME=FAT:FQL_AUDITING_CLIENT_TEMPLATE.FAT&amp;display_string=Audit&amp;VAR:KEY=IDMNGFAXQB&amp;VAR:QUERY=RkZfRUJJVERBX0lCKCdDQUwnLDIwMDksLCwsJ1VTRCcp&amp;WINDOW=FIRST_POPUP&amp;HEIGHT=450&amp;WIDTH=450&amp;","START_MAXIMIZED=FALSE&amp;VAR:CALENDAR=US&amp;VAR:SYMBOL=610579&amp;VAR:INDEX=0"}</definedName>
    <definedName name="_58__123Graph_LBL_BCHART_3" hidden="1">#REF!</definedName>
    <definedName name="_58__FDSAUDITLINK__" hidden="1">{"fdsup://directions/FAT Viewer?action=UPDATE&amp;creator=factset&amp;DYN_ARGS=TRUE&amp;DOC_NAME=FAT:FQL_AUDITING_CLIENT_TEMPLATE.FAT&amp;display_string=Audit&amp;VAR:KEY=CXATOXCJOV&amp;VAR:QUERY=RkZfRU5UUlBSX1ZBTF9EQUlMWSg0MDI0MiwsLCwnVVNEJywnRElMJyk=&amp;WINDOW=FIRST_POPUP&amp;HEIGHT=45","0&amp;WIDTH=450&amp;START_MAXIMIZED=FALSE&amp;VAR:CALENDAR=US&amp;VAR:SYMBOL=610579&amp;VAR:INDEX=0"}</definedName>
    <definedName name="_58_0_Table2_" hidden="1">#REF!</definedName>
    <definedName name="_59__123Graph_ACHART_4" hidden="1">#REF!</definedName>
    <definedName name="_59__123Graph_LBL_CCHART_2" hidden="1">#REF!</definedName>
    <definedName name="_59__FDSAUDITLINK__" hidden="1">{"fdsup://directions/FAT Viewer?action=UPDATE&amp;creator=factset&amp;DYN_ARGS=TRUE&amp;DOC_NAME=FAT:FQL_AUDITING_CLIENT_TEMPLATE.FAT&amp;display_string=Audit&amp;VAR:KEY=EZUHWRCBOF&amp;VAR:QUERY=RkZfRUJJVERBX0lCKCdDQUwnLDIwMDksLCwsJ1VTRCcp&amp;WINDOW=FIRST_POPUP&amp;HEIGHT=450&amp;WIDTH=450&amp;","START_MAXIMIZED=FALSE&amp;VAR:CALENDAR=US&amp;VAR:SYMBOL=620337&amp;VAR:INDEX=0"}</definedName>
    <definedName name="_6__123Graph_ACHART_15" hidden="1">#REF!</definedName>
    <definedName name="_6__123Graph_ACHART_19" hidden="1">#REF!</definedName>
    <definedName name="_6__123Graph_ACHART_1A" hidden="1">#REF!</definedName>
    <definedName name="_6__123Graph_ACHART_2" hidden="1">#REF!</definedName>
    <definedName name="_6__123Graph_ACHART_2A" hidden="1">#REF!</definedName>
    <definedName name="_6__123Graph_ACHART_4" hidden="1">#REF!</definedName>
    <definedName name="_6__123Graph_ACHART_5" hidden="1">#REF!</definedName>
    <definedName name="_6__123Graph_AGROWTH_9" hidden="1">#REF!</definedName>
    <definedName name="_6__123Graph_BCHART_1" hidden="1">#REF!</definedName>
    <definedName name="_6__123Graph_BCHART_1A" hidden="1">#REF!</definedName>
    <definedName name="_6__123Graph_BCHART_2" hidden="1">#REF!</definedName>
    <definedName name="_6__123Graph_CCHART_2" hidden="1">#REF!</definedName>
    <definedName name="_6__123Graph_FCHART_28" hidden="1">#REF!</definedName>
    <definedName name="_6__123Graph_LBL_ACHART_1" hidden="1">#REF!</definedName>
    <definedName name="_6__FDSAUDITLINK__" hidden="1">{"fdsup://directions/FAT Viewer?action=UPDATE&amp;creator=factset&amp;DYN_ARGS=TRUE&amp;DOC_NAME=FAT:FQL_AUDITING_CLIENT_TEMPLATE.FAT&amp;display_string=Audit&amp;VAR:KEY=IDMNGFAXQB&amp;VAR:QUERY=RkZfRUJJVERBX0lCKCdDQUwnLDIwMDksLCwsJ1VTRCcp&amp;WINDOW=FIRST_POPUP&amp;HEIGHT=450&amp;WIDTH=450&amp;","START_MAXIMIZED=FALSE&amp;VAR:CALENDAR=US&amp;VAR:SYMBOL=610579&amp;VAR:INDEX=0"}</definedName>
    <definedName name="_6_0_0_S" hidden="1">#REF!</definedName>
    <definedName name="_60__123Graph_DCHART_17" hidden="1">#REF!</definedName>
    <definedName name="_60__FDSAUDITLINK__" hidden="1">{"fdsup://directions/FAT Viewer?action=UPDATE&amp;creator=factset&amp;DYN_ARGS=TRUE&amp;DOC_NAME=FAT:FQL_AUDITING_CLIENT_TEMPLATE.FAT&amp;display_string=Audit&amp;VAR:KEY=EDQJQJKLIF&amp;VAR:QUERY=RkZfRU5UUlBSX1ZBTF9EQUlMWSg0MDI0MiwsLCwnVVNEJywnRElMJyk=&amp;WINDOW=FIRST_POPUP&amp;HEIGHT=45","0&amp;WIDTH=450&amp;START_MAXIMIZED=FALSE&amp;VAR:CALENDAR=US&amp;VAR:SYMBOL=620337&amp;VAR:INDEX=0"}</definedName>
    <definedName name="_61__FDSAUDITLINK__" hidden="1">{"fdsup://directions/FAT Viewer?action=UPDATE&amp;creator=factset&amp;DYN_ARGS=TRUE&amp;DOC_NAME=FAT:FQL_AUDITING_CLIENT_TEMPLATE.FAT&amp;display_string=Audit&amp;VAR:KEY=QVOTMVOFAN&amp;VAR:QUERY=RkZfRU5UUlBSX1ZBTF9EQUlMWSg0MDI0MiwsLCwnVVNEJywnRElMJyk=&amp;WINDOW=FIRST_POPUP&amp;HEIGHT=45","0&amp;WIDTH=450&amp;START_MAXIMIZED=FALSE&amp;VAR:CALENDAR=US&amp;VAR:SYMBOL=B1H508&amp;VAR:INDEX=0"}</definedName>
    <definedName name="_62__FDSAUDITLINK__" hidden="1">{"fdsup://directions/FAT Viewer?action=UPDATE&amp;creator=factset&amp;DYN_ARGS=TRUE&amp;DOC_NAME=FAT:FQL_AUDITING_CLIENT_TEMPLATE.FAT&amp;display_string=Audit&amp;VAR:KEY=OXKBUPEVWZ&amp;VAR:QUERY=RkZfRUJJVERBX0lCKCdDQUwnLDIwMDksLCwsJ1VTRCcp&amp;WINDOW=FIRST_POPUP&amp;HEIGHT=450&amp;WIDTH=450&amp;","START_MAXIMIZED=FALSE&amp;VAR:CALENDAR=US&amp;VAR:SYMBOL=B0ZSH5&amp;VAR:INDEX=0"}</definedName>
    <definedName name="_63__123Graph_ACHART_21" hidden="1">#REF!</definedName>
    <definedName name="_63__123Graph_DCHART_22" hidden="1">#REF!</definedName>
    <definedName name="_63__123Graph_LBL_CCHART_3" hidden="1">#REF!</definedName>
    <definedName name="_63__FDSAUDITLINK__" hidden="1">{"fdsup://directions/FAT Viewer?action=UPDATE&amp;creator=factset&amp;DYN_ARGS=TRUE&amp;DOC_NAME=FAT:FQL_AUDITING_CLIENT_TEMPLATE.FAT&amp;display_string=Audit&amp;VAR:KEY=EHMBMXQHMZ&amp;VAR:QUERY=RkZfRUJJVERBX0lCKCdDQUwnLDIwMDksLCwsJ1VTRCcp&amp;WINDOW=FIRST_POPUP&amp;HEIGHT=450&amp;WIDTH=450&amp;","START_MAXIMIZED=FALSE&amp;VAR:CALENDAR=US&amp;VAR:SYMBOL=B1H508&amp;VAR:INDEX=0"}</definedName>
    <definedName name="_64__123Graph_DCHART_1" hidden="1">#REF!</definedName>
    <definedName name="_64__FDSAUDITLINK__" hidden="1">{"fdsup://directions/FAT Viewer?action=UPDATE&amp;creator=factset&amp;DYN_ARGS=TRUE&amp;DOC_NAME=FAT:FQL_AUDITING_CLIENT_TEMPLATE.FAT&amp;display_string=Audit&amp;VAR:KEY=ONSFQDEZIB&amp;VAR:QUERY=RkZfRUJJVERBX0lCKCdDQUwnLDIwMDksLCwsJ1VTRCcp&amp;WINDOW=FIRST_POPUP&amp;HEIGHT=450&amp;WIDTH=450&amp;","START_MAXIMIZED=FALSE&amp;VAR:CALENDAR=US&amp;VAR:SYMBOL=B1VRCG&amp;VAR:INDEX=0"}</definedName>
    <definedName name="_65__FDSAUDITLINK__" hidden="1">{"fdsup://directions/FAT Viewer?action=UPDATE&amp;creator=factset&amp;DYN_ARGS=TRUE&amp;DOC_NAME=FAT:FQL_AUDITING_CLIENT_TEMPLATE.FAT&amp;display_string=Audit&amp;VAR:KEY=KVODGPMXKV&amp;VAR:QUERY=RkZfRU5UUlBSX1ZBTF9EQUlMWSg0MDI0MiwsLCwnVVNEJywnRElMJyk=&amp;WINDOW=FIRST_POPUP&amp;HEIGHT=45","0&amp;WIDTH=450&amp;START_MAXIMIZED=FALSE&amp;VAR:CALENDAR=US&amp;VAR:SYMBOL=B1VRCG&amp;VAR:INDEX=0"}</definedName>
    <definedName name="_66__123Graph_ACHART_6" hidden="1">#REF!</definedName>
    <definedName name="_66__123Graph_ECHART_15" hidden="1">#REF!</definedName>
    <definedName name="_66__FDSAUDITLINK__" hidden="1">{"fdsup://directions/FAT Viewer?action=UPDATE&amp;creator=factset&amp;DYN_ARGS=TRUE&amp;DOC_NAME=FAT:FQL_AUDITING_CLIENT_TEMPLATE.FAT&amp;display_string=Audit&amp;VAR:KEY=QJARQRUDEH&amp;VAR:QUERY=RkZfRUJJVERBX0lCKCdDQUwnLDIwMDksLCwsJ1VTRCcp&amp;WINDOW=FIRST_POPUP&amp;HEIGHT=450&amp;WIDTH=450&amp;","START_MAXIMIZED=FALSE&amp;VAR:CALENDAR=US&amp;VAR:SYMBOL=600030&amp;VAR:INDEX=0"}</definedName>
    <definedName name="_67__123Graph_BCHART_1" hidden="1">#REF!</definedName>
    <definedName name="_67__FDSAUDITLINK__" hidden="1">{"fdsup://directions/FAT Viewer?action=UPDATE&amp;creator=factset&amp;DYN_ARGS=TRUE&amp;DOC_NAME=FAT:FQL_AUDITING_CLIENT_TEMPLATE.FAT&amp;display_string=Audit&amp;VAR:KEY=SHKZGPYRAD&amp;VAR:QUERY=RkZfRU5UUlBSX1ZBTF9EQUlMWSg0MDI0MiwsLCwnVVNEJywnRElMJyk=&amp;WINDOW=FIRST_POPUP&amp;HEIGHT=45","0&amp;WIDTH=450&amp;START_MAXIMIZED=FALSE&amp;VAR:CALENDAR=US&amp;VAR:SYMBOL=600030&amp;VAR:INDEX=0"}</definedName>
    <definedName name="_68__123Graph_LBL_CCHART_3" hidden="1">#REF!</definedName>
    <definedName name="_68__FDSAUDITLINK__" hidden="1">{"fdsup://directions/FAT Viewer?action=UPDATE&amp;creator=factset&amp;DYN_ARGS=TRUE&amp;DOC_NAME=FAT:FQL_AUDITING_CLIENT_TEMPLATE.FAT&amp;display_string=Audit&amp;VAR:KEY=WDEJKFYBMT&amp;VAR:QUERY=RkZfRUJJVERBX0lCKCdDQUwnLDIwMDksLCwsJ1VTRCcp&amp;WINDOW=FIRST_POPUP&amp;HEIGHT=450&amp;WIDTH=450&amp;","START_MAXIMIZED=FALSE&amp;VAR:CALENDAR=US&amp;VAR:SYMBOL=610989&amp;VAR:INDEX=0"}</definedName>
    <definedName name="_69__123Graph_ECHART_16" hidden="1">#REF!</definedName>
    <definedName name="_69__FDSAUDITLINK__" hidden="1">{"fdsup://directions/FAT Viewer?action=UPDATE&amp;creator=factset&amp;DYN_ARGS=TRUE&amp;DOC_NAME=FAT:FQL_AUDITING_CLIENT_TEMPLATE.FAT&amp;display_string=Audit&amp;VAR:KEY=SJEHMVUTUJ&amp;VAR:QUERY=RkZfRU5UUlBSX1ZBTF9EQUlMWSg0MDI0MiwsLCwnVVNEJywnRElMJyk=&amp;WINDOW=FIRST_POPUP&amp;HEIGHT=45","0&amp;WIDTH=450&amp;START_MAXIMIZED=FALSE&amp;VAR:CALENDAR=US&amp;VAR:SYMBOL=610989&amp;VAR:INDEX=0"}</definedName>
    <definedName name="_7__123Graph_ACHART_21" hidden="1">#REF!</definedName>
    <definedName name="_7__123Graph_ACHART_5" hidden="1">#REF!</definedName>
    <definedName name="_7__123Graph_ACHART_6" hidden="1">#REF!</definedName>
    <definedName name="_7__123Graph_BCHART_2" hidden="1">#REF!</definedName>
    <definedName name="_7__123Graph_BCHART_3" hidden="1">#REF!</definedName>
    <definedName name="_7__123Graph_DCHART_1" hidden="1">#REF!</definedName>
    <definedName name="_7__123Graph_XCHART_1" hidden="1">#REF!</definedName>
    <definedName name="_7__FDSAUDITLINK__" hidden="1">{"fdsup://directions/FAT Viewer?action=UPDATE&amp;creator=factset&amp;DYN_ARGS=TRUE&amp;DOC_NAME=FAT:FQL_AUDITING_CLIENT_TEMPLATE.FAT&amp;display_string=Audit&amp;VAR:KEY=CXATOXCJOV&amp;VAR:QUERY=RkZfRU5UUlBSX1ZBTF9EQUlMWSg0MDI0MiwsLCwnVVNEJywnRElMJyk=&amp;WINDOW=FIRST_POPUP&amp;HEIGHT=45","0&amp;WIDTH=450&amp;START_MAXIMIZED=FALSE&amp;VAR:CALENDAR=US&amp;VAR:SYMBOL=610579&amp;VAR:INDEX=0"}</definedName>
    <definedName name="_70__FDSAUDITLINK__" hidden="1">{"fdsup://directions/FAT Viewer?action=UPDATE&amp;creator=factset&amp;DYN_ARGS=TRUE&amp;DOC_NAME=FAT:FQL_AUDITING_CLIENT_TEMPLATE.FAT&amp;display_string=Audit&amp;VAR:KEY=UJSFKRAFAX&amp;VAR:QUERY=RkZfRUJJVERBX0lCKCdDQUwnLDIwMDksLCwsJ1VTRCcp&amp;WINDOW=FIRST_POPUP&amp;HEIGHT=450&amp;WIDTH=450&amp;","START_MAXIMIZED=FALSE&amp;VAR:CALENDAR=US&amp;VAR:SYMBOL=672529&amp;VAR:INDEX=0"}</definedName>
    <definedName name="_70_0_S" hidden="1">#REF!</definedName>
    <definedName name="_71__FDSAUDITLINK__" hidden="1">{"fdsup://directions/FAT Viewer?action=UPDATE&amp;creator=factset&amp;DYN_ARGS=TRUE&amp;DOC_NAME=FAT:FQL_AUDITING_CLIENT_TEMPLATE.FAT&amp;display_string=Audit&amp;VAR:KEY=UZSZCXIVQZ&amp;VAR:QUERY=RkZfRU5UUlBSX1ZBTF9EQUlMWSg0MDI0MiwsLCwnVVNEJywnRElMJyk=&amp;WINDOW=FIRST_POPUP&amp;HEIGHT=45","0&amp;WIDTH=450&amp;START_MAXIMIZED=FALSE&amp;VAR:CALENDAR=US&amp;VAR:SYMBOL=672529&amp;VAR:INDEX=0"}</definedName>
    <definedName name="_72__123Graph_ASEG_PIE" hidden="1">#REF!</definedName>
    <definedName name="_72__123Graph_ECHART_17" hidden="1">#REF!</definedName>
    <definedName name="_72__FDSAUDITLINK__" hidden="1">{"fdsup://directions/FAT Viewer?action=UPDATE&amp;creator=factset&amp;DYN_ARGS=TRUE&amp;DOC_NAME=FAT:FQL_AUDITING_CLIENT_TEMPLATE.FAT&amp;display_string=Audit&amp;VAR:KEY=MXYZWTSLEL&amp;VAR:QUERY=RkZfRUJJVERBX0lCKCdDQUwnLDIwMDksLCwsJ1VTRCcp&amp;WINDOW=FIRST_POPUP&amp;HEIGHT=450&amp;WIDTH=450&amp;","START_MAXIMIZED=FALSE&amp;VAR:CALENDAR=US&amp;VAR:SYMBOL=642539&amp;VAR:INDEX=0"}</definedName>
    <definedName name="_73__FDSAUDITLINK__" hidden="1">{"fdsup://directions/FAT Viewer?action=UPDATE&amp;creator=factset&amp;DYN_ARGS=TRUE&amp;DOC_NAME=FAT:FQL_AUDITING_CLIENT_TEMPLATE.FAT&amp;display_string=Audit&amp;VAR:KEY=MXSHIJCBUD&amp;VAR:QUERY=RkZfRU5UUlBSX1ZBTF9EQUlMWSg0MDI0MiwsLCwnVVNEJywnRElMJyk=&amp;WINDOW=FIRST_POPUP&amp;HEIGHT=45","0&amp;WIDTH=450&amp;START_MAXIMIZED=FALSE&amp;VAR:CALENDAR=US&amp;VAR:SYMBOL=642539&amp;VAR:INDEX=0"}</definedName>
    <definedName name="_74__123Graph_LBL_ACHART_1" hidden="1">#REF!</definedName>
    <definedName name="_74__FDSAUDITLINK__" hidden="1">{"fdsup://directions/FAT Viewer?action=UPDATE&amp;creator=factset&amp;DYN_ARGS=TRUE&amp;DOC_NAME=FAT:FQL_AUDITING_CLIENT_TEMPLATE.FAT&amp;display_string=Audit&amp;VAR:KEY=CXYHEJMREF&amp;VAR:QUERY=RkZfRUJJVERBX0lCKCdDQUwnLDIwMDksLCwsJ1VTRCcp&amp;WINDOW=FIRST_POPUP&amp;HEIGHT=450&amp;WIDTH=450&amp;","START_MAXIMIZED=FALSE&amp;VAR:CALENDAR=US&amp;VAR:SYMBOL=B1JNK8&amp;VAR:INDEX=0"}</definedName>
    <definedName name="_75__123Graph_BCHART_2" hidden="1">#REF!</definedName>
    <definedName name="_75__123Graph_ECHART_22" hidden="1">#REF!</definedName>
    <definedName name="_75__123Graph_LBL_ACHART_3" hidden="1">#REF!</definedName>
    <definedName name="_75__FDSAUDITLINK__" hidden="1">{"fdsup://directions/FAT Viewer?action=UPDATE&amp;creator=factset&amp;DYN_ARGS=TRUE&amp;DOC_NAME=FAT:FQL_AUDITING_CLIENT_TEMPLATE.FAT&amp;display_string=Audit&amp;VAR:KEY=EHIVMZAFGB&amp;VAR:QUERY=RkZfRU5UUlBSX1ZBTF9EQUlMWSg0MDI0MiwsLCwnVVNEJywnRElMJyk=&amp;WINDOW=FIRST_POPUP&amp;HEIGHT=45","0&amp;WIDTH=450&amp;START_MAXIMIZED=FALSE&amp;VAR:CALENDAR=US&amp;VAR:SYMBOL=B1JNK8&amp;VAR:INDEX=0"}</definedName>
    <definedName name="_76__FDSAUDITLINK__" hidden="1">{"fdsup://directions/FAT Viewer?action=UPDATE&amp;creator=factset&amp;DYN_ARGS=TRUE&amp;DOC_NAME=FAT:FQL_AUDITING_CLIENT_TEMPLATE.FAT&amp;display_string=Audit&amp;VAR:KEY=OVIVMZOVCP&amp;VAR:QUERY=RkZfRUJJVERBX0lCKCdDQUwnLDIwMDksLCwsJ1VTRCcp&amp;WINDOW=FIRST_POPUP&amp;HEIGHT=450&amp;WIDTH=450&amp;","START_MAXIMIZED=FALSE&amp;VAR:CALENDAR=US&amp;VAR:SYMBOL=B09N7M&amp;VAR:INDEX=0"}</definedName>
    <definedName name="_77__123Graph_ACHART_7" hidden="1">#REF!</definedName>
    <definedName name="_77__FDSAUDITLINK__" hidden="1">{"fdsup://directions/FAT Viewer?action=UPDATE&amp;creator=factset&amp;DYN_ARGS=TRUE&amp;DOC_NAME=FAT:FQL_AUDITING_CLIENT_TEMPLATE.FAT&amp;display_string=Audit&amp;VAR:KEY=MLSVYZWRCH&amp;VAR:QUERY=RkZfRU5UUlBSX1ZBTF9EQUlMWSg0MDI0MiwsLCwnVVNEJywnRElMJyk=&amp;WINDOW=FIRST_POPUP&amp;HEIGHT=45","0&amp;WIDTH=450&amp;START_MAXIMIZED=FALSE&amp;VAR:CALENDAR=US&amp;VAR:SYMBOL=B09N7M&amp;VAR:INDEX=0"}</definedName>
    <definedName name="_77_0_S" hidden="1">#REF!</definedName>
    <definedName name="_78__123Graph_FCHART_15" hidden="1">#REF!</definedName>
    <definedName name="_78__FDSAUDITLINK__" hidden="1">{"fdsup://Directions/FactSet Auditing Viewer?action=AUDIT_VALUE&amp;DB=129&amp;ID1=604348&amp;VALUEID=03426&amp;SDATE=2008&amp;PERIODTYPE=ANN_STD&amp;window=popup_no_bar&amp;width=385&amp;height=120&amp;START_MAXIMIZED=FALSE&amp;creator=factset&amp;display_string=Audit"}</definedName>
    <definedName name="_79__FDSAUDITLINK__" hidden="1">{"fdsup://directions/FAT Viewer?action=UPDATE&amp;creator=factset&amp;DYN_ARGS=TRUE&amp;DOC_NAME=FAT:FQL_AUDITING_CLIENT_TEMPLATE.FAT&amp;display_string=Audit&amp;VAR:KEY=ALIZMZKVMP&amp;VAR:QUERY=RkZfRU5UUlBSX1ZBTF9EQUlMWSg0MDI0MiwsLCwnVVNEJywnRElMJyk=&amp;WINDOW=FIRST_POPUP&amp;HEIGHT=45","0&amp;WIDTH=450&amp;START_MAXIMIZED=FALSE&amp;VAR:CALENDAR=US&amp;VAR:SYMBOL=70454910&amp;VAR:INDEX=0"}</definedName>
    <definedName name="_8__123Graph_ACHART_1" hidden="1">#REF!</definedName>
    <definedName name="_8__123Graph_ACHART_6" hidden="1">#REF!</definedName>
    <definedName name="_8__123Graph_ACHART_7" hidden="1">#REF!</definedName>
    <definedName name="_8__123Graph_ASEG_PIE" hidden="1">#REF!</definedName>
    <definedName name="_8__123Graph_BCHART_2A" hidden="1">#REF!</definedName>
    <definedName name="_8__123Graph_CCHART_1" hidden="1">#REF!</definedName>
    <definedName name="_8__123Graph_DCHART_2" hidden="1">#REF!</definedName>
    <definedName name="_8__123Graph_LBL_ACHART_3I" hidden="1">#REF!</definedName>
    <definedName name="_8__FDSAUDITLINK__" hidden="1">{"fdsup://directions/FAT Viewer?action=UPDATE&amp;creator=factset&amp;DYN_ARGS=TRUE&amp;DOC_NAME=FAT:FQL_AUDITING_CLIENT_TEMPLATE.FAT&amp;display_string=Audit&amp;VAR:KEY=EZUHWRCBOF&amp;VAR:QUERY=RkZfRUJJVERBX0lCKCdDQUwnLDIwMDksLCwsJ1VTRCcp&amp;WINDOW=FIRST_POPUP&amp;HEIGHT=450&amp;WIDTH=450&amp;","START_MAXIMIZED=FALSE&amp;VAR:CALENDAR=US&amp;VAR:SYMBOL=620337&amp;VAR:INDEX=0"}</definedName>
    <definedName name="_8_0_0__123Grap" hidden="1">#REF!</definedName>
    <definedName name="_80__FDSAUDITLINK__" hidden="1">{"fdsup://directions/FAT Viewer?action=UPDATE&amp;creator=factset&amp;DYN_ARGS=TRUE&amp;DOC_NAME=FAT:FQL_AUDITING_CLIENT_TEMPLATE.FAT&amp;display_string=Audit&amp;VAR:KEY=KVIZONYBQL&amp;VAR:QUERY=RkZfRUJJVERBX0lCKCdDQUwnLDIwMDksLCwsJ1VTRCcp&amp;WINDOW=FIRST_POPUP&amp;HEIGHT=450&amp;WIDTH=450&amp;","START_MAXIMIZED=FALSE&amp;VAR:CALENDAR=US&amp;VAR:SYMBOL=01381710&amp;VAR:INDEX=0"}</definedName>
    <definedName name="_81__123Graph_BCHART_15" hidden="1">#REF!</definedName>
    <definedName name="_81__123Graph_FCHART_16" hidden="1">#REF!</definedName>
    <definedName name="_81__FDSAUDITLINK__" hidden="1">{"fdsup://directions/FAT Viewer?action=UPDATE&amp;creator=factset&amp;DYN_ARGS=TRUE&amp;DOC_NAME=FAT:FQL_AUDITING_CLIENT_TEMPLATE.FAT&amp;display_string=Audit&amp;VAR:KEY=WDIPMPONKN&amp;VAR:QUERY=RkZfRU5UUlBSX1ZBTF9EQUlMWSg0MDI0MiwsLCwnVVNEJywnRElMJyk=&amp;WINDOW=FIRST_POPUP&amp;HEIGHT=45","0&amp;WIDTH=450&amp;START_MAXIMIZED=FALSE&amp;VAR:CALENDAR=US&amp;VAR:SYMBOL=01381710&amp;VAR:INDEX=0"}</definedName>
    <definedName name="_82__FDSAUDITLINK__" hidden="1">{"fdsup://directions/FAT Viewer?action=UPDATE&amp;creator=factset&amp;DYN_ARGS=TRUE&amp;DOC_NAME=FAT:FQL_AUDITING_CLIENT_TEMPLATE.FAT&amp;display_string=Audit&amp;VAR:KEY=SFSDQLCZQV&amp;VAR:QUERY=RkZfRUJJVERBX0lCKCdDQUwnLDIwMDksLCwsJ1VTRCcp&amp;WINDOW=FIRST_POPUP&amp;HEIGHT=450&amp;WIDTH=450&amp;","START_MAXIMIZED=FALSE&amp;VAR:CALENDAR=US&amp;VAR:SYMBOL=B1G426&amp;VAR:INDEX=0"}</definedName>
    <definedName name="_83__123Graph_BCHART_3" hidden="1">#REF!</definedName>
    <definedName name="_83__FDSAUDITLINK__" hidden="1">{"fdsup://directions/FAT Viewer?action=UPDATE&amp;creator=factset&amp;DYN_ARGS=TRUE&amp;DOC_NAME=FAT:FQL_AUDITING_CLIENT_TEMPLATE.FAT&amp;display_string=Audit&amp;VAR:KEY=MZYVMTAFUT&amp;VAR:QUERY=RkZfRU5UUlBSX1ZBTF9EQUlMWSg0MDI0MiwsLCwnVVNEJywnRElMJyk=&amp;WINDOW=FIRST_POPUP&amp;HEIGHT=45","0&amp;WIDTH=450&amp;START_MAXIMIZED=FALSE&amp;VAR:CALENDAR=US&amp;VAR:SYMBOL=B1G426&amp;VAR:INDEX=0"}</definedName>
    <definedName name="_84__123Graph_FCHART_17" hidden="1">#REF!</definedName>
    <definedName name="_84__FDSAUDITLINK__" hidden="1">{"fdsup://directions/FAT Viewer?action=UPDATE&amp;creator=factset&amp;DYN_ARGS=TRUE&amp;DOC_NAME=FAT:FQL_AUDITING_CLIENT_TEMPLATE.FAT&amp;display_string=Audit&amp;VAR:KEY=CLMPGRAFIV&amp;VAR:QUERY=RkZfRUJJVERBX0lCKCdDQUwnLDIwMDksLCwsJ1VTRCcp&amp;WINDOW=FIRST_POPUP&amp;HEIGHT=450&amp;WIDTH=450&amp;","START_MAXIMIZED=FALSE&amp;VAR:CALENDAR=US&amp;VAR:SYMBOL=B29BCK&amp;VAR:INDEX=0"}</definedName>
    <definedName name="_85__123Graph_LBL_DCHART_1" hidden="1">#REF!</definedName>
    <definedName name="_85__FDSAUDITLINK__" hidden="1">{"fdsup://directions/FAT Viewer?action=UPDATE&amp;creator=factset&amp;DYN_ARGS=TRUE&amp;DOC_NAME=FAT:FQL_AUDITING_CLIENT_TEMPLATE.FAT&amp;display_string=Audit&amp;VAR:KEY=ONCXUBIDAL&amp;VAR:QUERY=RkZfRU5UUlBSX1ZBTF9EQUlMWSg0MDI0MiwsLCwnVVNEJywnRElMJyk=&amp;WINDOW=FIRST_POPUP&amp;HEIGHT=45","0&amp;WIDTH=450&amp;START_MAXIMIZED=FALSE&amp;VAR:CALENDAR=US&amp;VAR:SYMBOL=B29BCK&amp;VAR:INDEX=0"}</definedName>
    <definedName name="_86__FDSAUDITLINK__" hidden="1">{"fdsup://directions/FAT Viewer?action=UPDATE&amp;creator=factset&amp;DYN_ARGS=TRUE&amp;DOC_NAME=FAT:FQL_AUDITING_CLIENT_TEMPLATE.FAT&amp;display_string=Audit&amp;VAR:KEY=CPINQXQDOF&amp;VAR:QUERY=RkZfRUJJVERBX0lCKCdDQUwnLDIwMDksLCwsJ1VTRCcp&amp;WINDOW=FIRST_POPUP&amp;HEIGHT=450&amp;WIDTH=450&amp;","START_MAXIMIZED=FALSE&amp;VAR:CALENDAR=US&amp;VAR:SYMBOL=B019KX&amp;VAR:INDEX=0"}</definedName>
    <definedName name="_87__123Graph_FCHART_22" hidden="1">#REF!</definedName>
    <definedName name="_87__FDSAUDITLINK__" hidden="1">{"fdsup://directions/FAT Viewer?action=UPDATE&amp;creator=factset&amp;DYN_ARGS=TRUE&amp;DOC_NAME=FAT:FQL_AUDITING_CLIENT_TEMPLATE.FAT&amp;display_string=Audit&amp;VAR:KEY=GBWNGBUNCZ&amp;VAR:QUERY=RkZfRUJJVERBX0lCKCdDQUwnLDIwMDksLCwsJ1VTRCcp&amp;WINDOW=FIRST_POPUP&amp;HEIGHT=450&amp;WIDTH=450&amp;","START_MAXIMIZED=FALSE&amp;VAR:CALENDAR=US&amp;VAR:SYMBOL=84265V10&amp;VAR:INDEX=0"}</definedName>
    <definedName name="_88__123Graph_BCHART_1" hidden="1">#REF!</definedName>
    <definedName name="_88__FDSAUDITLINK__" hidden="1">{"fdsup://directions/FAT Viewer?action=UPDATE&amp;creator=factset&amp;DYN_ARGS=TRUE&amp;DOC_NAME=FAT:FQL_AUDITING_CLIENT_TEMPLATE.FAT&amp;display_string=Audit&amp;VAR:KEY=QTEFEBGPSL&amp;VAR:QUERY=RkZfRUJJVERBX0lCKCdDQUwnLDIwMDksLCwsJ1VTRCcp&amp;WINDOW=FIRST_POPUP&amp;HEIGHT=450&amp;WIDTH=450&amp;","START_MAXIMIZED=FALSE&amp;VAR:CALENDAR=US&amp;VAR:SYMBOL=35671D85&amp;VAR:INDEX=0"}</definedName>
    <definedName name="_89__FDSAUDITLINK__" hidden="1">{"fdsup://directions/FAT Viewer?action=UPDATE&amp;creator=factset&amp;DYN_ARGS=TRUE&amp;DOC_NAME=FAT:FQL_AUDITING_CLIENT_TEMPLATE.FAT&amp;display_string=Audit&amp;VAR:KEY=SDCXMZYZYB&amp;VAR:QUERY=RkZfRUJJVERBX0lCKCdDQUwnLDIwMDksLCwsJ1VTRCcp&amp;WINDOW=FIRST_POPUP&amp;HEIGHT=450&amp;WIDTH=450&amp;","START_MAXIMIZED=FALSE&amp;VAR:CALENDAR=US&amp;VAR:SYMBOL=604348&amp;VAR:INDEX=0"}</definedName>
    <definedName name="_9__123Graph_ACHART_12" hidden="1">#REF!</definedName>
    <definedName name="_9__123Graph_ACHART_16" hidden="1">#REF!</definedName>
    <definedName name="_9__123Graph_ACHART_2" hidden="1">#REF!</definedName>
    <definedName name="_9__123Graph_ACHART_7" hidden="1">#REF!</definedName>
    <definedName name="_9__123Graph_BCHART_1" hidden="1">#REF!</definedName>
    <definedName name="_9__123Graph_BCHART_15" hidden="1">#REF!</definedName>
    <definedName name="_9__123Graph_BCHART_1A" hidden="1">#REF!</definedName>
    <definedName name="_9__123Graph_BCHART_3" hidden="1">#REF!</definedName>
    <definedName name="_9__123Graph_BCHART_4" hidden="1">#REF!</definedName>
    <definedName name="_9__123Graph_BGROWTH_9" hidden="1">#REF!</definedName>
    <definedName name="_9__123Graph_CCHART_2" hidden="1">#REF!</definedName>
    <definedName name="_9__123Graph_ECHART_1" hidden="1">#REF!</definedName>
    <definedName name="_9__FDSAUDITLINK__" hidden="1">{"fdsup://directions/FAT Viewer?action=UPDATE&amp;creator=factset&amp;DYN_ARGS=TRUE&amp;DOC_NAME=FAT:FQL_AUDITING_CLIENT_TEMPLATE.FAT&amp;display_string=Audit&amp;VAR:KEY=EDQJQJKLIF&amp;VAR:QUERY=RkZfRU5UUlBSX1ZBTF9EQUlMWSg0MDI0MiwsLCwnVVNEJywnRElMJyk=&amp;WINDOW=FIRST_POPUP&amp;HEIGHT=45","0&amp;WIDTH=450&amp;START_MAXIMIZED=FALSE&amp;VAR:CALENDAR=US&amp;VAR:SYMBOL=620337&amp;VAR:INDEX=0"}</definedName>
    <definedName name="_90__123Graph_BCHART_16" hidden="1">#REF!</definedName>
    <definedName name="_90__123Graph_XCHART_15" hidden="1">#REF!</definedName>
    <definedName name="_90__FDSAUDITLINK__" hidden="1">{"fdsup://Directions/FactSet Auditing Viewer?action=AUDIT_VALUE&amp;DB=129&amp;ID1=604348&amp;VALUEID=02001&amp;SDATE=2008&amp;PERIODTYPE=ANN_STD&amp;window=popup_no_bar&amp;width=385&amp;height=120&amp;START_MAXIMIZED=FALSE&amp;creator=factset&amp;display_string=Audit"}</definedName>
    <definedName name="_91__123Graph_LBL_ACHART_1" hidden="1">#REF!</definedName>
    <definedName name="_91__FDSAUDITLINK__" hidden="1">{"fdsup://directions/FAT Viewer?action=UPDATE&amp;creator=factset&amp;DYN_ARGS=TRUE&amp;DOC_NAME=FAT:FQL_AUDITING_CLIENT_TEMPLATE.FAT&amp;display_string=Audit&amp;VAR:KEY=IBUXKJGJCN&amp;VAR:QUERY=RkZfRU5UUlBSX1ZBTF9EQUlMWSg0MDI0MiwsLCwnVVNEJywnRElMJyk=&amp;WINDOW=FIRST_POPUP&amp;HEIGHT=45","0&amp;WIDTH=450&amp;START_MAXIMIZED=FALSE&amp;VAR:CALENDAR=US&amp;VAR:SYMBOL=604348&amp;VAR:INDEX=0"}</definedName>
    <definedName name="_92__FDSAUDITLINK__" hidden="1">{"fdsup://directions/FAT Viewer?action=UPDATE&amp;creator=factset&amp;DYN_ARGS=TRUE&amp;DOC_NAME=FAT:FQL_AUDITING_CLIENT_TEMPLATE.FAT&amp;display_string=Audit&amp;VAR:KEY=ORCHORYFWP&amp;VAR:QUERY=RkZfRUJJVERBX0lCKCdDQUwnLDIwMDksLCwsJ1VTRCcp&amp;WINDOW=FIRST_POPUP&amp;HEIGHT=450&amp;WIDTH=450&amp;","START_MAXIMIZED=FALSE&amp;VAR:CALENDAR=US&amp;VAR:SYMBOL=613944&amp;VAR:INDEX=0"}</definedName>
    <definedName name="_92_0_Table1_" hidden="1">#REF!</definedName>
    <definedName name="_93__123Graph_XCHART_16" hidden="1">#REF!</definedName>
    <definedName name="_93__FDSAUDITLINK__" hidden="1">{"fdsup://directions/FAT Viewer?action=UPDATE&amp;creator=factset&amp;DYN_ARGS=TRUE&amp;DOC_NAME=FAT:FQL_AUDITING_CLIENT_TEMPLATE.FAT&amp;display_string=Audit&amp;VAR:KEY=MPCJKXEHKN&amp;VAR:QUERY=RkZfRU5UUlBSX1ZBTF9EQUlMWSg0MDI0MiwsLCwnVVNEJywnRElMJyk=&amp;WINDOW=FIRST_POPUP&amp;HEIGHT=45","0&amp;WIDTH=450&amp;START_MAXIMIZED=FALSE&amp;VAR:CALENDAR=US&amp;VAR:SYMBOL=613944&amp;VAR:INDEX=0"}</definedName>
    <definedName name="_94__FDSAUDITLINK__" hidden="1">{"fdsup://directions/FAT Viewer?action=UPDATE&amp;creator=factset&amp;DYN_ARGS=TRUE&amp;DOC_NAME=FAT:FQL_AUDITING_CLIENT_TEMPLATE.FAT&amp;display_string=Audit&amp;VAR:KEY=MZMPOVYPOT&amp;VAR:QUERY=RkZfRUJJVERBX0lCKCdDQUwnLDIwMDksLCwsJ1VTRCcp&amp;WINDOW=FIRST_POPUP&amp;HEIGHT=450&amp;WIDTH=450&amp;","START_MAXIMIZED=FALSE&amp;VAR:CALENDAR=US&amp;VAR:SYMBOL=B0GWF4&amp;VAR:INDEX=0"}</definedName>
    <definedName name="_94_0_Table2_" hidden="1">#REF!</definedName>
    <definedName name="_95__123Graph_X_FABP_L.WK1_FAB" hidden="1">#REF!</definedName>
    <definedName name="_95__FDSAUDITLINK__" hidden="1">{"fdsup://directions/FAT Viewer?action=UPDATE&amp;creator=factset&amp;DYN_ARGS=TRUE&amp;DOC_NAME=FAT:FQL_AUDITING_CLIENT_TEMPLATE.FAT&amp;display_string=Audit&amp;VAR:KEY=OTIPUXQVWX&amp;VAR:QUERY=RkZfRU5UUlBSX1ZBTF9EQUlMWSg0MDI0MiwsLCwnVVNEJywnRElMJyk=&amp;WINDOW=FIRST_POPUP&amp;HEIGHT=45","0&amp;WIDTH=450&amp;START_MAXIMIZED=FALSE&amp;VAR:CALENDAR=US&amp;VAR:SYMBOL=B0GWF4&amp;VAR:INDEX=0"}</definedName>
    <definedName name="_96__123Graph_XCHART_17" hidden="1">#REF!</definedName>
    <definedName name="_96__FDSAUDITLINK__" hidden="1">{"fdsup://directions/FAT Viewer?action=UPDATE&amp;creator=factset&amp;DYN_ARGS=TRUE&amp;DOC_NAME=FAT:FQL_AUDITING_CLIENT_TEMPLATE.FAT&amp;display_string=Audit&amp;VAR:KEY=OFSDYBCHEJ&amp;VAR:QUERY=RkZfRUJJVERBX0lCKCdDQUwnLDIwMDksLCwsJ1VTRCcp&amp;WINDOW=FIRST_POPUP&amp;HEIGHT=450&amp;WIDTH=450&amp;","START_MAXIMIZED=FALSE&amp;VAR:CALENDAR=US&amp;VAR:SYMBOL=B11HK3&amp;VAR:INDEX=0"}</definedName>
    <definedName name="_97__FDSAUDITLINK__" hidden="1">{"fdsup://directions/FAT Viewer?action=UPDATE&amp;creator=factset&amp;DYN_ARGS=TRUE&amp;DOC_NAME=FAT:FQL_AUDITING_CLIENT_TEMPLATE.FAT&amp;display_string=Audit&amp;VAR:KEY=MDELEFOVAR&amp;VAR:QUERY=RkZfRU5UUlBSX1ZBTF9EQUlMWSg0MDI0MiwsLCwnVVNEJywnRElMJyk=&amp;WINDOW=FIRST_POPUP&amp;HEIGHT=45","0&amp;WIDTH=450&amp;START_MAXIMIZED=FALSE&amp;VAR:CALENDAR=US&amp;VAR:SYMBOL=B11HK3&amp;VAR:INDEX=0"}</definedName>
    <definedName name="_98__FDSAUDITLINK__" hidden="1">{"fdsup://directions/FAT Viewer?action=UPDATE&amp;creator=factset&amp;DYN_ARGS=TRUE&amp;DOC_NAME=FAT:FQL_AUDITING_CLIENT_TEMPLATE.FAT&amp;display_string=Audit&amp;VAR:KEY=UXMFINCVAN&amp;VAR:QUERY=RkZfRUJJVERBX0lCKCdDQUwnLDIwMDksLCwsJ1VTRCcp&amp;WINDOW=FIRST_POPUP&amp;HEIGHT=450&amp;WIDTH=450&amp;","START_MAXIMIZED=FALSE&amp;VAR:CALENDAR=US&amp;VAR:SYMBOL=20854P10&amp;VAR:INDEX=0"}</definedName>
    <definedName name="_99__123Graph_BCHART_17" hidden="1">#REF!</definedName>
    <definedName name="_99__123Graph_BCHART_2" hidden="1">#REF!</definedName>
    <definedName name="_99__123Graph_LBL_ACHART_2" hidden="1">#REF!</definedName>
    <definedName name="_99__123Graph_XCHART_18" hidden="1">#REF!</definedName>
    <definedName name="_99__FDSAUDITLINK__" hidden="1">{"fdsup://directions/FAT Viewer?action=UPDATE&amp;creator=factset&amp;DYN_ARGS=TRUE&amp;DOC_NAME=FAT:FQL_AUDITING_CLIENT_TEMPLATE.FAT&amp;display_string=Audit&amp;VAR:KEY=YZUDINQFMN&amp;VAR:QUERY=RkZfRU5UUlBSX1ZBTF9EQUlMWSg0MDI0MiwsLCwnVVNEJywnRElMJyk=&amp;WINDOW=FIRST_POPUP&amp;HEIGHT=45","0&amp;WIDTH=450&amp;START_MAXIMIZED=FALSE&amp;VAR:CALENDAR=US&amp;VAR:SYMBOL=20854P10&amp;VAR:INDEX=0"}</definedName>
    <definedName name="_99_0_Table1_" hidden="1">#REF!</definedName>
    <definedName name="_a1" hidden="1">{"Assump",#N/A,TRUE,"Proforma";"first",#N/A,TRUE,"Proforma";"second",#N/A,TRUE,"Proforma";"lease1",#N/A,TRUE,"Proforma";"lease2",#N/A,TRUE,"Proforma"}</definedName>
    <definedName name="_a2" hidden="1">{"sheet a",#N/A,FALSE,"A";"2 9 casflow",#N/A,FALSE,"B"}</definedName>
    <definedName name="_ADM2000">#REF!</definedName>
    <definedName name="_ADM2001">#REF!</definedName>
    <definedName name="_al1" hidden="1">{"sheet a",#N/A,FALSE,"A";"sheet b 1",#N/A,FALSE,"B";"sheet b 2",#N/A,FALSE,"B"}</definedName>
    <definedName name="_as2" hidden="1">{"FCB_ALL",#N/A,FALSE,"FCB"}</definedName>
    <definedName name="_asdasfsedf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VB2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_bdm.0000011391824A3BB065AA3290EB713A.edm" hidden="1">#REF!</definedName>
    <definedName name="_bdm.001ebbfb01f446788abe587396dca203.edm" hidden="1">#REF!</definedName>
    <definedName name="_bdm.009D8938786F46E0B5A069FBF295F125.edm" hidden="1">#REF!</definedName>
    <definedName name="_bdm.009FBCED271D4C33850C59B86BBEFA5E.edm" hidden="1">#REF!</definedName>
    <definedName name="_bdm.00A30EEC70914950886ACA1DA54ED705.edm" hidden="1">#REF!</definedName>
    <definedName name="_bdm.00DF460E05C946038BAC10FA4B695964.edm" hidden="1">#REF!</definedName>
    <definedName name="_bdm.01538417E31B4AF7857A980BA1A90657.edm" hidden="1">#REF!</definedName>
    <definedName name="_bdm.016a9a2f75ed43119a8de09f1c2c0f84.edm" hidden="1">#REF!</definedName>
    <definedName name="_bdm.019D86CC9B5F4A438ECE0F5A68BFB1B6.edm" hidden="1">#REF!</definedName>
    <definedName name="_bdm.026E05F70CA84C22868A1088F849EC78.edm" hidden="1">#REF!</definedName>
    <definedName name="_bdm.02C3F0020F8242858E50ED8F580EC2B9.edm" hidden="1">#REF!</definedName>
    <definedName name="_bdm.02DA0F14E77F410CB688206B95A3651E.edm" hidden="1">#REF!</definedName>
    <definedName name="_bdm.034DCEECAC4B4525936291C529A286E1.edm" hidden="1">#REF!</definedName>
    <definedName name="_bdm.0361AAB0C8DF4B4F829B8B9D9F6E7739.edm" hidden="1">#REF!</definedName>
    <definedName name="_bdm.03ee43d78be043ffa57f7b21ccccd8d4.edm" hidden="1">#REF!</definedName>
    <definedName name="_bdm.045A1838D86F47CC995485B6BD6EA147.edm" hidden="1">#REF!</definedName>
    <definedName name="_bdm.04C024BA2CA647408B384C4E8434AF11.edm" hidden="1">#REF!</definedName>
    <definedName name="_bdm.053467FC79AC4911B25AD65640B9F694.edm" hidden="1">#REF!</definedName>
    <definedName name="_bdm.054e672510964616b338d87f20da4110.edm" hidden="1">#REF!</definedName>
    <definedName name="_bdm.0586221F243A41EABDC140BDC10FFF81.edm" hidden="1">#REF!</definedName>
    <definedName name="_bdm.05BE98B744D44AE6ADA8DD409385F72D.edm" hidden="1">#REF!</definedName>
    <definedName name="_bdm.077DAB9856674B1BB0163E30E1B2BE30.edm" hidden="1">#REF!</definedName>
    <definedName name="_bdm.08248F6E4FAD4E70B33AD4D7B220B787.edm" hidden="1">#REF!</definedName>
    <definedName name="_bdm.08268dc8e60746f29bab8ccb424c3995.edm" hidden="1">#REF!</definedName>
    <definedName name="_bdm.084320B1F3854DF3A6E7EBED1747A3D8.edm" hidden="1">#REF!</definedName>
    <definedName name="_bdm.085e2160f4ad457aafc24e35dd80e65d.edm" hidden="1">#REF!</definedName>
    <definedName name="_bdm.08763FB2B0AD43229F5479F0721891AE.edm" hidden="1">#REF!</definedName>
    <definedName name="_bdm.08E94ECD949F45C692F32266AE8057B1.edm" hidden="1">#REF!</definedName>
    <definedName name="_bdm.0918806E79ED4806B4341C11D437AD7E.edm" hidden="1">#REF!</definedName>
    <definedName name="_bdm.0929A4DC5A004DDEB37590D37954F5ED.edm" hidden="1">#REF!</definedName>
    <definedName name="_bdm.09DCA47796BD4D369C372D771591429D.edm" hidden="1">#REF!</definedName>
    <definedName name="_bdm.0A059373B67B4F8CBAC43B054965B49A.edm" hidden="1">#REF!</definedName>
    <definedName name="_bdm.0b1e5c7326cd4e0e8cc65baea87ada32.edm" hidden="1">#REF!</definedName>
    <definedName name="_bdm.0b41d1b2049646d599bb1809c645d1bb.edm" hidden="1">#REF!</definedName>
    <definedName name="_bdm.0B582B8F13D74787BBFA522358CEE9F6.edm" hidden="1">#REF!</definedName>
    <definedName name="_bdm.0B6654A6EEE6494E8FF5D9DCF9DE348F.edm" hidden="1">#REF!</definedName>
    <definedName name="_bdm.0B6924026F204A9CB3FEB8AC70BC65C5.edm" hidden="1">#REF!</definedName>
    <definedName name="_bdm.0B84724C98A943CBB8B64E8FDC47F469.edm" hidden="1">#REF!</definedName>
    <definedName name="_bdm.0C45FA7333F14177BDD4497D806A8CC5.edm" hidden="1">#REF!</definedName>
    <definedName name="_bdm.0C7D2B832C15436A9AF40A933667BF4F.edm" hidden="1">#REF!</definedName>
    <definedName name="_bdm.0DA695115A7849878FF9EE3AC84F1576.edm" hidden="1">#REF!</definedName>
    <definedName name="_bdm.0DC956D7E796469F9D9BB85AABB3D589.edm" hidden="1">#REF!</definedName>
    <definedName name="_bdm.0DEFC6CA905A40CDAE1F4A8F8E01F5D0.edm" hidden="1">#N/A</definedName>
    <definedName name="_bdm.0E0927368FDA4F41A2E56A99ECDC4BF8.edm" hidden="1">#N/A</definedName>
    <definedName name="_bdm.0E35EF21EBD547599D485A7D76045A18.edm" hidden="1">#REF!</definedName>
    <definedName name="_bdm.0E3CBD3E264B41B28F3F526873678CBA.edm" hidden="1">#REF!</definedName>
    <definedName name="_bdm.0e579f5134d2428f907dd3263f3d3a96.edm" hidden="1">#REF!</definedName>
    <definedName name="_bdm.0EE6FC54691E434D9159A3C6D972147D.edm" hidden="1">#REF!</definedName>
    <definedName name="_bdm.0F29B0194978478E841F907C40A21F6F.edm" hidden="1">#REF!</definedName>
    <definedName name="_bdm.0F3A02584C6842C6B88C64266649CFDD.edm" hidden="1">#REF!</definedName>
    <definedName name="_bdm.0FF3515C4D8A46C39371756981218BC2.edm" hidden="1">#REF!</definedName>
    <definedName name="_bdm.1005001E7CA34FA08435D955664FB3AD.edm" hidden="1">#REF!</definedName>
    <definedName name="_bdm.104276f570c54be088a08e0fc64669f3.edm" hidden="1">#REF!</definedName>
    <definedName name="_bdm.106BF9AD7184485C82620E5C6501496A.edm" hidden="1">#REF!</definedName>
    <definedName name="_bdm.119a6f57d771459cadc3bda0322c10cf.edm" hidden="1">#REF!</definedName>
    <definedName name="_bdm.120CF732499E4BBC9366C054E3739509.edm" hidden="1">#REF!</definedName>
    <definedName name="_bdm.122E4A6B2C54429CBB80EBB70B7C528F.edm" hidden="1">#N/A</definedName>
    <definedName name="_bdm.12f67ba7893f42628745fba8faef98d0.edm" hidden="1">#REF!</definedName>
    <definedName name="_bdm.12f7a5d175bb4c279e0ddd827f28516e.edm" hidden="1">#REF!</definedName>
    <definedName name="_bdm.1320D9E2D6BF46A9AC09A792A6E32BD9.edm" hidden="1">#REF!</definedName>
    <definedName name="_bdm.13406362699440AEA5EF4B8ADEE522F0.edm" hidden="1">#REF!</definedName>
    <definedName name="_bdm.138CE5D51A304FFDB8D964A42B52773D.edm" hidden="1">#REF!</definedName>
    <definedName name="_bdm.159CCB3A74614A5D87BBBC6DD67AC7E6.edm" hidden="1">#REF!</definedName>
    <definedName name="_bdm.160f7016d2c24d57ac704f6349190c5f.edm" hidden="1">#REF!</definedName>
    <definedName name="_bdm.161A1B3F66FC4CA59023742E35E83BC0.edm" hidden="1">#REF!</definedName>
    <definedName name="_bdm.1636CB241427403B8D690FA04961A801.edm" hidden="1">#REF!</definedName>
    <definedName name="_bdm.166620AD85C24DB6964FE6183CB94521.edm" hidden="1">#REF!</definedName>
    <definedName name="_bdm.16950da0b2e44a1bbd6240f38e8be561.edm" hidden="1">#REF!</definedName>
    <definedName name="_bdm.16B3008A64E44D499C71DFDE9580B547.edm" hidden="1">#REF!</definedName>
    <definedName name="_bdm.1718F6ECF9B643BB9ECFC6EF36F303DB.edm" hidden="1">#REF!</definedName>
    <definedName name="_bdm.17686CFFBE4A450B95D750F6CAF63F79.edm" hidden="1">#REF!</definedName>
    <definedName name="_bdm.17B53146B77B45A0BEDDB75EFDC4A065.edm" hidden="1">#REF!</definedName>
    <definedName name="_bdm.17D6D0306F13452D8EC568F03D908316.edm" hidden="1">#REF!</definedName>
    <definedName name="_bdm.17FF8FC0CB67401A947CDE6B76B7A5C7.edm" hidden="1">#REF!</definedName>
    <definedName name="_bdm.1837948C9DFD4F478195D8D7C2B014C4.edm" hidden="1">#REF!</definedName>
    <definedName name="_bdm.1886814B452E429C804967D39484D1F2.edm" hidden="1">#REF!</definedName>
    <definedName name="_bdm.18ef7a19750b4d11a6a5adf249540ae4.edm" hidden="1">#REF!</definedName>
    <definedName name="_bdm.1942e8c738894f36956be557bf376f6c.edm" hidden="1">#REF!</definedName>
    <definedName name="_bdm.194963E896034ECA9031284ADD56F613.edm" hidden="1">#REF!</definedName>
    <definedName name="_bdm.1970F22910DF4397983C8FF5D28E0F8F.edm" hidden="1">#REF!</definedName>
    <definedName name="_bdm.19B6E50345314EAD93A54CD7A694D859.edm" hidden="1">#REF!</definedName>
    <definedName name="_bdm.19EFE4A357D8496D943FBCBCBFCF130C.edm" hidden="1">#REF!</definedName>
    <definedName name="_bdm.1A60CA308C234F83AAB2EE96AD403B4A.edm" hidden="1">#REF!</definedName>
    <definedName name="_bdm.1A6DD9EDF0014631BA5DAB54DD1AF109.edm" hidden="1">#REF!</definedName>
    <definedName name="_bdm.1a827dae8fda40578a88f08ee0c0b5e8.edm" hidden="1">#REF!</definedName>
    <definedName name="_bdm.1AD00C3B56054B49B0702F2AABFC9046.edm" hidden="1">#REF!</definedName>
    <definedName name="_bdm.1AE0E60C53774E6998E9075CB8641DEC.edm" hidden="1">#REF!</definedName>
    <definedName name="_bdm.1B16DD25DD6544E6971940B4F2C3A52A.edm" hidden="1">#REF!</definedName>
    <definedName name="_bdm.1B6C0A1A6B7F408497E757C686EBD63D.edm" hidden="1">#REF!</definedName>
    <definedName name="_bdm.1B6D0DE624354F56AB6DAC12553B8A3F.edm" hidden="1">#REF!</definedName>
    <definedName name="_bdm.1BAA57F96AFF465DBD4F11048C70D68A.edm" hidden="1">#REF!</definedName>
    <definedName name="_bdm.1c2f2f633ce64d049c4960bfea1c3bf9.edm" hidden="1">#REF!</definedName>
    <definedName name="_bdm.1C6BFD37D0EC46C8BADCDCDF85FC0E92.edm" hidden="1">#REF!</definedName>
    <definedName name="_bdm.1C9835AF9E9748CBB0BFFF4BCF0594F0.edm" hidden="1">#REF!</definedName>
    <definedName name="_bdm.1CAA96B36F22447EAD8C9BD8FCE27331.edm" hidden="1">#REF!</definedName>
    <definedName name="_bdm.1cdd619104e54e0ea3c5bcdc591a9fd7.edm" hidden="1">#REF!</definedName>
    <definedName name="_bdm.1CEDA0EF377A47BDBB5F928D501D1657.edm" hidden="1">#REF!</definedName>
    <definedName name="_bdm.1D0C2820985E4D8D9A53450F5BC66FA7.edm" hidden="1">#REF!</definedName>
    <definedName name="_bdm.1D3D252A3ED84811AD0FA4712245B264.edm" hidden="1">#REF!</definedName>
    <definedName name="_bdm.1D548960ED2C452B9E65B84C19B7A669.edm" hidden="1">#REF!</definedName>
    <definedName name="_bdm.1E11197879E148699BA81A66230AC518.edm" hidden="1">#REF!</definedName>
    <definedName name="_bdm.1E5CA6E3B5204C70A2F71F2ADC7DA213.edm" hidden="1">#REF!</definedName>
    <definedName name="_bdm.1E7ACAEADE8841F1ACA0B32FE24FE49D.edm" hidden="1">#REF!</definedName>
    <definedName name="_bdm.1E958923CB97465D873AE2981E7EF503.edm" hidden="1">#REF!</definedName>
    <definedName name="_bdm.1EE47C4AA0064280819CC19BB4690A1F.edm" hidden="1">#REF!</definedName>
    <definedName name="_bdm.1f04dc48cac7476f98640b8286b1c640.edm" hidden="1">#REF!</definedName>
    <definedName name="_bdm.1FA5713C12A349E887E6CE04DE7000C5.edm" hidden="1">#REF!</definedName>
    <definedName name="_bdm.205CE42F10B1402DAED71CCF9CE1735D.edm" hidden="1">#REF!</definedName>
    <definedName name="_bdm.208D7AAD418D45DC9CD0DB5248EA1C54.edm" hidden="1">#REF!</definedName>
    <definedName name="_bdm.20D92F93B3F14855A2001E3D36889F81.edm" hidden="1">#REF!</definedName>
    <definedName name="_bdm.21035019083648108165B1BA45E6A741.edm" hidden="1">#REF!</definedName>
    <definedName name="_bdm.226FED87962B41349D1EB0228679AA7C.edm" hidden="1">#REF!</definedName>
    <definedName name="_bdm.22AEF38705EE4679A7004923B5451B99.edm" hidden="1">#REF!</definedName>
    <definedName name="_bdm.22F1C0055A4644768DBAC180CC11D54E.edm" hidden="1">#REF!</definedName>
    <definedName name="_bdm.23670C5F8FB04EA2B3A96B1EA78D5F3E.edm" hidden="1">#REF!</definedName>
    <definedName name="_bdm.2375BEA4FD994733BF573265850818D8.edm" hidden="1">#N/A</definedName>
    <definedName name="_bdm.238B51964A82412792FE0CD24D4EDB24.edm" hidden="1">#REF!</definedName>
    <definedName name="_bdm.23D13E00A2CC4DA3AE2346EFF9C33B24.edm" hidden="1">#REF!</definedName>
    <definedName name="_bdm.2504604E69DD4DB38D16B580E9DD9E71.edm" hidden="1">#REF!</definedName>
    <definedName name="_bdm.25A249BEEF5C41918C4EF275AEC526FA.edm" hidden="1">#REF!</definedName>
    <definedName name="_bdm.27A3D57A7F1E4ED194098B7389CDD32A.edm" hidden="1">#REF!</definedName>
    <definedName name="_bdm.27fd09bad1d047c2bc4d85fa5a8c4ee6.edm" hidden="1">#REF!</definedName>
    <definedName name="_bdm.28059f013c8e4bffa50771401a6ed368.edm" hidden="1">#REF!</definedName>
    <definedName name="_bdm.2855D58411CD4FE4A735E3A6EE25C836.edm" hidden="1">#N/A</definedName>
    <definedName name="_bdm.2907C800E7354AF49EF9B30655538BFC.edm" hidden="1">#REF!</definedName>
    <definedName name="_bdm.2931B7BFDE154F5EAE1A5735CA3BD3DD.edm" hidden="1">#REF!</definedName>
    <definedName name="_bdm.294AA496D34A43399372281D01706956.edm" hidden="1">#REF!</definedName>
    <definedName name="_bdm.29978DFEBA4F42A7BBA04DF8EA909BA5.edm" hidden="1">#REF!</definedName>
    <definedName name="_bdm.29B4AAD3E0F94597AF1D7A79DCC2A860.edm" hidden="1">#REF!</definedName>
    <definedName name="_bdm.2A81A4CD1EBF489FA3A5E2762C1E232F.edm" hidden="1">#REF!</definedName>
    <definedName name="_bdm.2AACF379138C4ACF9B347ABF8FE65863.edm" hidden="1">#REF!</definedName>
    <definedName name="_bdm.2adff27edca44858ba2930c1f2e33dbb.edm" hidden="1">#REF!</definedName>
    <definedName name="_bdm.2AF1B31EE30F45778FD3F2A94A3EBB04.edm" hidden="1">#REF!</definedName>
    <definedName name="_bdm.2B266B094B714C22B66D493C1E5626C3.edm" hidden="1">#REF!</definedName>
    <definedName name="_bdm.2C5F54B5CDD3489698C833C833F36067.edm" hidden="1">#REF!</definedName>
    <definedName name="_bdm.2C7D239AA19E4778A90259BF7A2BF9FF.edm" hidden="1">#REF!</definedName>
    <definedName name="_bdm.2CB4BF74C4B048B5911F24941A31F5FE.edm" hidden="1">#REF!</definedName>
    <definedName name="_bdm.2CCD44ACE8EF422D88045C2A0F5B824C.edm" hidden="1">#REF!</definedName>
    <definedName name="_bdm.2cd6ecf3a5a64a9f9e84ab4b96703999.edm" hidden="1">#REF!</definedName>
    <definedName name="_bdm.2D2F7533CCE94D17BF3F603B29093C72.edm" hidden="1">#REF!</definedName>
    <definedName name="_bdm.2D8A9BA2029349879D845F587E86F8A7.edm" hidden="1">#REF!</definedName>
    <definedName name="_bdm.2DAB2B1D99A44F69B10CB9D00243940D.edm" hidden="1">#REF!</definedName>
    <definedName name="_bdm.2DFF2ADFD0A34F15BB51AE98AF0CD141.edm" hidden="1">#REF!</definedName>
    <definedName name="_bdm.2e0fa6c752b04c57a70638aedd638a3e.edm" hidden="1">#REF!</definedName>
    <definedName name="_bdm.2e2a872bfdb545909c3f879544d9c26f.edm" hidden="1">#REF!</definedName>
    <definedName name="_bdm.2E992C0B17A84955BA91F52DDFA70110.edm" hidden="1">#REF!</definedName>
    <definedName name="_bdm.2E9C8A4F9CEA48D19CF24C07D401990F.edm" hidden="1">#REF!</definedName>
    <definedName name="_bdm.2EDEA7D2AA2D4136A8CCA76F09CB212B.edm" hidden="1">#REF!</definedName>
    <definedName name="_bdm.2F2B2B5E0A7F41A5A5153533F14B2F3B.edm" hidden="1">#REF!</definedName>
    <definedName name="_bdm.2F44724262DE43D3BDE5786DB353A8FA.edm" hidden="1">#REF!</definedName>
    <definedName name="_bdm.2F550A4241F342F69B6ABF5933AB756A.edm" hidden="1">#REF!</definedName>
    <definedName name="_bdm.2FC03635BF3E4836AD64569892D8AD00.edm" hidden="1">#REF!</definedName>
    <definedName name="_bdm.2FE3202B86524D4DBB4E253AD9373036.edm" hidden="1">#REF!</definedName>
    <definedName name="_bdm.3059FC0807AD4C3BB6649AE47F6BAE83.edm" hidden="1">#REF!</definedName>
    <definedName name="_bdm.30B871B032664FC18B843AAE03C7A6BF.edm" hidden="1">#REF!</definedName>
    <definedName name="_bdm.31180886AA1C44999657AADF8B07A65B.edm" hidden="1">#REF!</definedName>
    <definedName name="_bdm.315B51B8441A481E80D76335B1387721.edm" hidden="1">#REF!</definedName>
    <definedName name="_bdm.318F7FA3B6564C7382F87C2807B768F2.edm" hidden="1">#N/A</definedName>
    <definedName name="_bdm.31DE635AD9CE4D6B902F064FDBBBF467.edm" hidden="1">#REF!</definedName>
    <definedName name="_bdm.320b6c8c568547888fc300a04242fc92.edm" hidden="1">#REF!</definedName>
    <definedName name="_bdm.3288F7267AD84412A6BBE42C27EAAEDF.edm" hidden="1">#REF!</definedName>
    <definedName name="_bdm.3298F537C98A4E8391727CC612F1CF49.edm" hidden="1">#REF!</definedName>
    <definedName name="_bdm.32BE2BB4707549EAAAF874A36DAA2A41.edm" hidden="1">#REF!</definedName>
    <definedName name="_bdm.32e0359972d04f60adbe9289093d3aea.edm" hidden="1">#REF!</definedName>
    <definedName name="_bdm.33576D400FD044DD8354B35E1AA4591F.edm" hidden="1">#REF!</definedName>
    <definedName name="_bdm.3381B92ED69C44B1AAD1265465682DA0.edm" hidden="1">#REF!</definedName>
    <definedName name="_bdm.33FEAC027B3F459B8BE06F74992AC4BB.edm" hidden="1">#REF!</definedName>
    <definedName name="_bdm.34145880510C416C85644C58A8D12353.edm" hidden="1">#REF!</definedName>
    <definedName name="_bdm.34182B27D68C4E9D8EA685646B09A0E8.edm" hidden="1">#REF!</definedName>
    <definedName name="_bdm.3472369B624C4554BFA2B3CD85986586.edm" hidden="1">#REF!</definedName>
    <definedName name="_bdm.349ebe3540164a9db574498e805ead94.edm" hidden="1">#REF!</definedName>
    <definedName name="_bdm.34FEC3ED52824CBEB006DB5A8CED478B.edm" hidden="1">#N/A</definedName>
    <definedName name="_bdm.356860FDB939423396FFB1B7D4E7E389.edm" hidden="1">#REF!</definedName>
    <definedName name="_bdm.35AE18F075EB4D8C8B3A482A51E3D08A.edm" hidden="1">#REF!</definedName>
    <definedName name="_bdm.35CC9F67A8D1443F88DB03C615293600.edm" hidden="1">#REF!</definedName>
    <definedName name="_bdm.3627893EB5D44F85A9898DB7E2735846.edm" hidden="1">#REF!</definedName>
    <definedName name="_bdm.36D2766ECD1049448968A9C485824191.edm" hidden="1">#REF!</definedName>
    <definedName name="_bdm.36D2A2580E7E40149A40FBE530628719.edm" hidden="1">#REF!</definedName>
    <definedName name="_bdm.372EFD856B9C4969908033BBACFCF06C.edm" hidden="1">#REF!</definedName>
    <definedName name="_bdm.384EE96C742345499A1C166A07BD588D.edm" hidden="1">#REF!</definedName>
    <definedName name="_bdm.388e292c02c64784a281685ca22616b7.edm" hidden="1">#REF!</definedName>
    <definedName name="_bdm.38A607F2D76C4DECA5D18AC9DFE68A84.edm" hidden="1">#REF!</definedName>
    <definedName name="_bdm.392DA044F4E94D799308C267E4E7FEFE.edm" hidden="1">#REF!</definedName>
    <definedName name="_bdm.396C5DC4488C41F2A55A6A9A4FA39CB5.edm" hidden="1">#REF!</definedName>
    <definedName name="_bdm.396E33553A8446A8AA4873AE62900D27.edm" hidden="1">#REF!</definedName>
    <definedName name="_bdm.398E817975214956A02E26DF8F2711A8.edm" hidden="1">#REF!</definedName>
    <definedName name="_bdm.39A13F57309140C480CD3C11FECDDE0B.edm" hidden="1">#REF!</definedName>
    <definedName name="_bdm.39D175483D364E2588F3E440F98C7725.edm" hidden="1">#REF!</definedName>
    <definedName name="_bdm.39dade56de1b42d983ce8d894356bd19.edm" hidden="1">#REF!</definedName>
    <definedName name="_bdm.3A75987E2C7B41CDA0FEED8522EB73DE.edm" hidden="1">#REF!</definedName>
    <definedName name="_bdm.3aa1232e383b4539965c90ad3a6f3cb9.edm" hidden="1">#REF!</definedName>
    <definedName name="_bdm.3BC385B203304DC2A2F1B29290FCAD72.edm" hidden="1">#REF!</definedName>
    <definedName name="_bdm.3BFF97D4B70541A1AB18440AF48B4030.edm" hidden="1">#REF!</definedName>
    <definedName name="_bdm.3CAB7057C2DD42888BBF9D13A64861D2.edm" hidden="1">#REF!</definedName>
    <definedName name="_bdm.3CBC5B09A08F4336ACC8C679008533BF.edm" hidden="1">#REF!</definedName>
    <definedName name="_bdm.3CD927BF1D6447359EE3667290A6670B.edm" hidden="1">#REF!</definedName>
    <definedName name="_bdm.3CEA6569C8E343FA99AA03396582BDAA.edm" hidden="1">#REF!</definedName>
    <definedName name="_bdm.3D1E10B26203441B858D280FE05B7DCC.edm" hidden="1">#REF!</definedName>
    <definedName name="_bdm.3D2DF660175F47099FB11EC32617A5C1.edm" hidden="1">#REF!</definedName>
    <definedName name="_bdm.3E4E04BAFACA428DA01DD123B72C7D30.edm" hidden="1">#REF!</definedName>
    <definedName name="_bdm.3E656774FFD24CAAA312EEDD608EB489.edm" hidden="1">#REF!</definedName>
    <definedName name="_bdm.3E7A1EC9BD754784A7FEAF7D5A8BC9C2.edm" hidden="1">#REF!</definedName>
    <definedName name="_bdm.3EAE1F3AD27F42FD84E51F0CDC1C5CDC.edm" hidden="1">#REF!</definedName>
    <definedName name="_bdm.3F587436603A435DA121EDF6452BD138.edm" hidden="1">#REF!</definedName>
    <definedName name="_bdm.3FF9BF0CD07843B6B0C473B9EA33B256.edm" hidden="1">#REF!</definedName>
    <definedName name="_bdm.407CD10E83E84C1F9A80AFB27CE5D53A.edm" hidden="1">#REF!</definedName>
    <definedName name="_bdm.41b8177043dc465e9979559f93cd058c.edm" hidden="1">#REF!</definedName>
    <definedName name="_bdm.41BB7010280A4F17A60A7A2EC65762F2.edm" hidden="1">#REF!</definedName>
    <definedName name="_bdm.41DFE0648815401C8625480744470C15.edm" hidden="1">#REF!</definedName>
    <definedName name="_bdm.4206AD06615B4CCBB41C66A4F2CD48B8.edm" hidden="1">#REF!</definedName>
    <definedName name="_bdm.425343A9E0134837A6ECC38214DF76D7.edm" hidden="1">#REF!</definedName>
    <definedName name="_bdm.434B100D22B049B8B753816FBC05C5F0.edm" hidden="1">#REF!</definedName>
    <definedName name="_bdm.43579CAC20BC4F7780D333FAE524597E.edm" hidden="1">#REF!</definedName>
    <definedName name="_bdm.4379E51FFE244487883A18E1A12B5AF3.edm" hidden="1">#REF!</definedName>
    <definedName name="_bdm.43CE62AD62924B2DBFE57089B20D3DE3.edm" hidden="1">#REF!</definedName>
    <definedName name="_bdm.43e40a228fac4c01833c7f6688f854f9.edm" hidden="1">#REF!</definedName>
    <definedName name="_bdm.43FB78AC4C294F46B2DC4D3676C1471F.edm" hidden="1">#REF!</definedName>
    <definedName name="_bdm.43FC0D71033D4EA79BA8B50F2137F9A0.edm" hidden="1">#REF!</definedName>
    <definedName name="_bdm.43FDCAA237CB40BE8F5A0CC46E2452CE.edm" hidden="1">#REF!</definedName>
    <definedName name="_bdm.4418E901CD374AF39ED5735CC763C2EF.edm" hidden="1">#REF!</definedName>
    <definedName name="_bdm.44C8A3A18C954DC28DF11D65F8CD9D16.edm" hidden="1">#REF!</definedName>
    <definedName name="_bdm.45b5410ed38f4cd6a0c98d918a454cc9.edm" hidden="1">#REF!</definedName>
    <definedName name="_bdm.45D289B8878A441E9D37295804097740.edm" hidden="1">#REF!</definedName>
    <definedName name="_bdm.462774E013DA4C2490AA31CFFD99523F.edm" hidden="1">#REF!</definedName>
    <definedName name="_bdm.46B50CECF8B1448D9BA71B58077B92DD.edm" hidden="1">#REF!</definedName>
    <definedName name="_bdm.47415ABAF28B42B380ACD6186BBB7FFF.edm" hidden="1">#REF!</definedName>
    <definedName name="_bdm.481881804AB842A4995410D65293E331.edm" hidden="1">#N/A</definedName>
    <definedName name="_bdm.482E0259FBC74402B98A806BA3A623EB.edm" hidden="1">#REF!</definedName>
    <definedName name="_bdm.485707491EC34E5AB7C4661D8C46033E.edm" hidden="1">#REF!</definedName>
    <definedName name="_bdm.486603D52B0A41308EAA522F0F700B7B.edm" hidden="1">#REF!</definedName>
    <definedName name="_bdm.49C69B5591F8437A940272489930B9EA.edm" hidden="1">#REF!</definedName>
    <definedName name="_bdm.4A424AFC423A4B92B9931B2A6702D220.edm" hidden="1">#REF!</definedName>
    <definedName name="_bdm.4A5C97D8A8B4461BB06808C9781CCA97.edm" hidden="1">#REF!</definedName>
    <definedName name="_bdm.4AC540F0263646A4B23B749E5A7CFD7E.edm" hidden="1">#REF!</definedName>
    <definedName name="_bdm.4AE6C975F8294006B0BFA06571B7FAC5.edm" hidden="1">#REF!</definedName>
    <definedName name="_bdm.4B2BFA8079DB4EF791830BB94EFFE90F.edm" hidden="1">#REF!</definedName>
    <definedName name="_bdm.4B2D5BD28B3140D4B4705065833BCDC7.edm" hidden="1">#REF!</definedName>
    <definedName name="_bdm.4BAAD788663C4927AC9B2D3273A30784.edm" hidden="1">#REF!</definedName>
    <definedName name="_bdm.4BF4D5F9A8A54BEF9E6C0813B17074E3.edm" hidden="1">#REF!</definedName>
    <definedName name="_bdm.4C0820FE73D94BA1B2B4A6A724A199CC.edm" hidden="1">#REF!</definedName>
    <definedName name="_bdm.4C44C078990642D78A02330A9225EF64.edm" hidden="1">#REF!</definedName>
    <definedName name="_bdm.4CC45777DB794402B638D2F5A2762696.edm" hidden="1">#REF!</definedName>
    <definedName name="_bdm.4d7e8b98502e4317989705faa089faf2.edm" hidden="1">#REF!</definedName>
    <definedName name="_bdm.4DA249A0C5784F35917D09DE46C4BBA0.edm" hidden="1">#REF!</definedName>
    <definedName name="_bdm.4DB2644D35F448CD9B0013A0F3915E09.edm" hidden="1">#REF!</definedName>
    <definedName name="_bdm.4E13E13C5F2F42DF87E20EBAE016B9AB.edm" hidden="1">#N/A</definedName>
    <definedName name="_bdm.4F023A98DD254131BE2E677DB226C2C4.edm" hidden="1">#REF!</definedName>
    <definedName name="_bdm.4F657E653B14431C80FBCC9DCADBB169.edm" hidden="1">#REF!</definedName>
    <definedName name="_bdm.4F73B73271114C6CB1F0D6CA023A909E.edm" hidden="1">#REF!</definedName>
    <definedName name="_bdm.4f770b3a5e064bae860d3597e730559d.edm" hidden="1">#REF!</definedName>
    <definedName name="_bdm.4FB5ED0DC1F54E89A8ABD6C62E9A1A73.edm" hidden="1">#REF!</definedName>
    <definedName name="_bdm.5011d7008c1b4c14a0608aed032c5881.edm" hidden="1">#REF!</definedName>
    <definedName name="_bdm.505BC32561004A2E8FAC6257652A957B.edm" hidden="1">#REF!</definedName>
    <definedName name="_bdm.506BB95D5FF74692ACB6C4DCCF0C02A1.edm" hidden="1">#REF!</definedName>
    <definedName name="_bdm.50D3A1D7B5584F559E494D98546BC058.edm" hidden="1">#REF!</definedName>
    <definedName name="_bdm.50FB6FE9A7204DEC8B4A147929DD201C.edm" hidden="1">#REF!</definedName>
    <definedName name="_bdm.5131554936EB402C9C0ADC73C0942BDF.edm" hidden="1">#REF!</definedName>
    <definedName name="_bdm.513edb90263148bb83d38ec28cc89d90.edm" hidden="1">#REF!</definedName>
    <definedName name="_bdm.51F2C2ABCE3D47D3AFEF2C48D35EF1AE.edm" hidden="1">#REF!</definedName>
    <definedName name="_bdm.52205806B7494501B935897EDAE40C47.edm" hidden="1">#REF!</definedName>
    <definedName name="_bdm.5222E973893B4D419699D266C985636B.edm" hidden="1">#REF!</definedName>
    <definedName name="_bdm.5317156ED3834B09918F6E9C916C8030.edm" hidden="1">#REF!</definedName>
    <definedName name="_bdm.532855C8713A4ED2BE65859A52DE38A6.edm" hidden="1">#REF!</definedName>
    <definedName name="_bdm.5381E876F578457791B38D1DC0F111ED.edm" hidden="1">#REF!</definedName>
    <definedName name="_bdm.5407610E4A3949798C32D51045BF3275.edm" hidden="1">#REF!</definedName>
    <definedName name="_bdm.5556D73EAF13440A88C2A923F0104106.edm" hidden="1">#REF!</definedName>
    <definedName name="_bdm.5556dc0476f14d68b13ce2ba9783223a.edm" hidden="1">#REF!</definedName>
    <definedName name="_bdm.55EA4041DC1946C39D44477DE8810544.edm" hidden="1">#REF!</definedName>
    <definedName name="_bdm.55EBCDF38506436ABCF2B64FA3767621.edm" hidden="1">#REF!</definedName>
    <definedName name="_bdm.5644e99cc6974b78bf5e19c76821139a.edm" hidden="1">#REF!</definedName>
    <definedName name="_bdm.56612c627c0e4f2896a2a80c3630c42a.edm" hidden="1">#REF!</definedName>
    <definedName name="_bdm.566fe5a92e164799966a61da3c913e94.edm" hidden="1">#REF!</definedName>
    <definedName name="_bdm.569343150CEE4E949874014E31384266.edm" hidden="1">#REF!</definedName>
    <definedName name="_bdm.56D5D11E1C9A41AF9F370F08D6EB511C.edm" hidden="1">#REF!</definedName>
    <definedName name="_bdm.56F72C0613F04AEC97700FF20C5F9B86.edm" hidden="1">#REF!</definedName>
    <definedName name="_bdm.5774105F019240CD8319D8CD8D95D706.edm" hidden="1">#REF!</definedName>
    <definedName name="_bdm.5787AD1ACC334FDB8E2263B1F024685F.edm" hidden="1">#REF!</definedName>
    <definedName name="_bdm.57FA3EE63C6F43B6BC1A78D17833CF38.edm" hidden="1">#N/A</definedName>
    <definedName name="_bdm.5822C7B2DBBD4570AED0FA491B178A20.edm" hidden="1">#REF!</definedName>
    <definedName name="_bdm.59097C90020849E584C54BBE15C02D79.edm" hidden="1">#REF!</definedName>
    <definedName name="_bdm.591c5f18c4334980a886e189b73faf77.edm" hidden="1">#REF!</definedName>
    <definedName name="_bdm.591EB47C21C740079DFA03DBF9B896A6.edm" hidden="1">#REF!</definedName>
    <definedName name="_bdm.5A06B77531BB40EAB24074C943DCD22A.edm" hidden="1">#REF!</definedName>
    <definedName name="_bdm.5AB0290907E74A59AD61C108619557BF.edm" hidden="1">#REF!</definedName>
    <definedName name="_bdm.5AD944435AAB4E59BE5754CEE8639177.edm" hidden="1">#REF!</definedName>
    <definedName name="_bdm.5B01567551CF4D0F9516DB9616A4CC65.edm" hidden="1">#REF!</definedName>
    <definedName name="_bdm.5B39FF2E51684801BF2B19C6CA4C5623.edm" hidden="1">#REF!</definedName>
    <definedName name="_bdm.5B7727DF487A4ED1A970FE868DCAB737.edm" hidden="1">#REF!</definedName>
    <definedName name="_bdm.5BED8E322A0E4D21AD81A57E4077B268.edm" hidden="1">#REF!</definedName>
    <definedName name="_bdm.5CF81FEE6E9A4189820ECA41DD31C6C1.edm" hidden="1">#REF!</definedName>
    <definedName name="_bdm.5D31E83EAF3C44D1AB191842C1200959.edm" hidden="1">#REF!</definedName>
    <definedName name="_bdm.5D83D4FAA6344614A40E21DB9160887C.edm" hidden="1">#REF!</definedName>
    <definedName name="_bdm.5E033E8614194FCBADEF7EB7A716B0A7.edm" hidden="1">#REF!</definedName>
    <definedName name="_bdm.5e11f69969314c439fbe3664f30fee7d.edm" hidden="1">#REF!</definedName>
    <definedName name="_bdm.5E3A688369224664B12548FD15A516DD.edm" hidden="1">#REF!</definedName>
    <definedName name="_bdm.600594aab2824bd78b75a7b1f116546c.edm" hidden="1">#REF!</definedName>
    <definedName name="_bdm.603487ff383d493d913c0c12efc254ab.edm" hidden="1">#REF!</definedName>
    <definedName name="_bdm.604BF667BDBF4BF191BB2AFF3973B8FA.edm" hidden="1">#REF!</definedName>
    <definedName name="_bdm.606439BA82B9464F87851B49F611E17B.edm" hidden="1">#REF!</definedName>
    <definedName name="_bdm.60C1A0D19FAF481989BB82933BC0DB92.edm" hidden="1">#REF!</definedName>
    <definedName name="_bdm.60D1E9AD46C44C31BD4921876B6B8E89.edm" hidden="1">#REF!</definedName>
    <definedName name="_bdm.60D496C198B94FE88AAC240F81DA2AE4.edm" hidden="1">#REF!</definedName>
    <definedName name="_bdm.60D9BAA530494B848C89FD091AD27B44.edm" hidden="1">#REF!</definedName>
    <definedName name="_bdm.60e7dcf42a0343e48bf25ae7367eeaa3.edm" hidden="1">#REF!</definedName>
    <definedName name="_bdm.61330CBA08904ACAB64AC6F5479848F8.edm" hidden="1">#REF!</definedName>
    <definedName name="_bdm.61C0268107124E37A9B886DBD4485DAA.edm" hidden="1">#REF!</definedName>
    <definedName name="_bdm.61c3ce8cc6ec41fb88dd4e56e1b8c01b.edm" hidden="1">#REF!</definedName>
    <definedName name="_bdm.61ED02BFE0B348829184BE36B07771C8.edm" hidden="1">#REF!</definedName>
    <definedName name="_bdm.62014CE4344B47469900109D23F83536.edm" hidden="1">#REF!</definedName>
    <definedName name="_bdm.621903F4E3F24FD0B6FC2ED5D809768E.edm" hidden="1">#REF!</definedName>
    <definedName name="_bdm.6384E401ACF242E2947ECB9198E5E73A.edm" hidden="1">#REF!</definedName>
    <definedName name="_bdm.638ED91A93804F5D9E69120C0D3D71A8.edm" hidden="1">#REF!</definedName>
    <definedName name="_bdm.63941e6d1b244216828ac170564845fb.edm" hidden="1">#REF!</definedName>
    <definedName name="_bdm.639E0DA34E18487AB31CE96EC0A44870.edm" hidden="1">#REF!</definedName>
    <definedName name="_bdm.63CE9CF74A934A2CABE43E0C9A5325A7.edm" hidden="1">#REF!</definedName>
    <definedName name="_bdm.648AD1D8D6B744EFA7969766C1C9688A.edm" hidden="1">#REF!</definedName>
    <definedName name="_bdm.654C8EDA268E41A0BB9FEA30B24668CE.edm" hidden="1">#REF!</definedName>
    <definedName name="_bdm.658BD73E718B4E1C912C47566B23EE2B.edm" hidden="1">#REF!</definedName>
    <definedName name="_bdm.6631D025E3DA4129A5C05DEFF0A78E72.edm" hidden="1">#REF!</definedName>
    <definedName name="_bdm.664080757F3D4BC2A61C0A8E7F58284F.edm" hidden="1">#N/A</definedName>
    <definedName name="_bdm.6657855B840E42128A201BE863EC1AD9.edm" hidden="1">#REF!</definedName>
    <definedName name="_bdm.665FCB1D52C344F389D375804F17A17C.edm" hidden="1">#REF!</definedName>
    <definedName name="_bdm.66AF624733E24EBC8EE41466C72B1FF8.edm" hidden="1">#REF!</definedName>
    <definedName name="_bdm.66F6802BBD9B4638ACDB08834F16FCF6.edm" hidden="1">#REF!</definedName>
    <definedName name="_bdm.6854F5B3A1074E21A7E29A900CF9C0FD.edm" hidden="1">#REF!</definedName>
    <definedName name="_bdm.68AE8E8816004C59BF6F22A4E29BB438.edm" hidden="1">#REF!</definedName>
    <definedName name="_bdm.68C1455F3C744CD3B4FAFEA63902F454.edm" hidden="1">#REF!</definedName>
    <definedName name="_bdm.69B894C4E5A8465F8862773CAE413F97.edm" hidden="1">#REF!</definedName>
    <definedName name="_bdm.6ABD906E889542728B71832173617762.edm" hidden="1">#REF!</definedName>
    <definedName name="_bdm.6AFB8EC9794F4B969C3DC3748E73F7B9.edm" hidden="1">#REF!</definedName>
    <definedName name="_bdm.6B922E2C01B840F3846C2C49675DC960.edm" hidden="1">#REF!</definedName>
    <definedName name="_bdm.6BC95A4A6A5B49C3A2326DE710415184.edm" hidden="1">#REF!</definedName>
    <definedName name="_bdm.6bf6471b7c4d4d4f9297a17dbddfaf55.edm" hidden="1">#REF!</definedName>
    <definedName name="_bdm.6c1b6dd0d3574147a98bebf526aaaaa8.edm" hidden="1">#REF!</definedName>
    <definedName name="_bdm.6D53DE4225324FDCBF9AA92886584D79.edm" hidden="1">#REF!</definedName>
    <definedName name="_bdm.6D8BB308F1A7454584FC7D1C95409EBC.edm" hidden="1">#REF!</definedName>
    <definedName name="_bdm.6E4CA2400FD148C6ABD12E10316F5FB2.edm" hidden="1">#REF!</definedName>
    <definedName name="_bdm.6E6AC3AB029949FD882DE6CF28E96A18.edm" hidden="1">#REF!</definedName>
    <definedName name="_bdm.6E7E7A9B6C344B019A02AB74EB3A849C.edm" hidden="1">#REF!</definedName>
    <definedName name="_bdm.6EEC5A193E16440E948667A92332B274.edm" hidden="1">#REF!</definedName>
    <definedName name="_bdm.6EFF6BF9DA394A29AB4619CF14E80301.edm" hidden="1">#N/A</definedName>
    <definedName name="_bdm.6F69026AB7F74852B6E976FF69BD3B79.edm" hidden="1">#REF!</definedName>
    <definedName name="_bdm.6FE180B454FB43358B7047BB5BFCA0E6.edm" hidden="1">#REF!</definedName>
    <definedName name="_bdm.70058EEE7BCB482F8E1363DCED650E60.edm" hidden="1">#REF!</definedName>
    <definedName name="_bdm.7038DB908F4F4C80AC08D58013794A10.edm" hidden="1">#REF!</definedName>
    <definedName name="_bdm.705760A1B45140F9B71328111DEC6C1A.edm" hidden="1">#REF!</definedName>
    <definedName name="_bdm.710C7DA6F4DF4B42B668C074065CAC09.edm" hidden="1">#REF!</definedName>
    <definedName name="_bdm.71F0BB01B7E64656915E0781B5F4896E.edm" hidden="1">#REF!</definedName>
    <definedName name="_bdm.722FFBA31F474BFAB735063A64B90C1F.edm" hidden="1">#REF!</definedName>
    <definedName name="_bdm.7232396e7f144792a455af3a03febebe.edm" hidden="1">#REF!</definedName>
    <definedName name="_bdm.72E6923CAC814F5E850DB1877FE33636.edm" hidden="1">#N/A</definedName>
    <definedName name="_bdm.73017CA1697D4E179562DE45A692A8D1.edm" hidden="1">#REF!</definedName>
    <definedName name="_bdm.7356D19C508E45D5BCA036988C40826A.edm" hidden="1">#REF!</definedName>
    <definedName name="_bdm.74948890E52A4A12B6FEE1C8F759F4B3.edm" hidden="1">#REF!</definedName>
    <definedName name="_bdm.74A9476FAC55418499D93F7D398E7EF4.edm" hidden="1">#REF!</definedName>
    <definedName name="_bdm.74E7E27736D841FD861DBC138FF10505.edm" hidden="1">#REF!</definedName>
    <definedName name="_bdm.74EF0CA68A23406B8F83AC6C95DC30C5.edm" hidden="1">#REF!</definedName>
    <definedName name="_bdm.7500A888C25C4A7A9D607197D0216FE5.edm" hidden="1">#REF!</definedName>
    <definedName name="_bdm.75F1D394719348F4837FD5C38CD0E50D.edm" hidden="1">#REF!</definedName>
    <definedName name="_bdm.7600CB5C2BF74B4B9CC987CA00103588.edm" hidden="1">#REF!</definedName>
    <definedName name="_bdm.760CE0791FFA4C46885A609CCE539100.edm" hidden="1">#REF!</definedName>
    <definedName name="_bdm.763E9B061D824965ABE00FECE1C119CE.edm" hidden="1">#REF!</definedName>
    <definedName name="_bdm.763F178D80114F57820E4C6C0024777D.edm" hidden="1">#REF!</definedName>
    <definedName name="_bdm.766242ecedfb4a8da805fb918ee09d9b.edm" hidden="1">#REF!</definedName>
    <definedName name="_bdm.76A83B961E724F848C72CFBCC8C89D79.edm" hidden="1">#REF!</definedName>
    <definedName name="_bdm.7704643C2DB34A3F918143DECA3C4DE2.edm" hidden="1">#N/A</definedName>
    <definedName name="_bdm.775f1b92231345beac5b6a7ed0baab63.edm" hidden="1">#REF!</definedName>
    <definedName name="_bdm.7840EB5D15424756B94CF933E38E96E2.edm" hidden="1">#REF!</definedName>
    <definedName name="_bdm.7878728B0549452A831B7C33AA636A5B.edm" hidden="1">#REF!</definedName>
    <definedName name="_bdm.787EA5A165CF43FB8E0A5924FA31108D.edm" hidden="1">#REF!</definedName>
    <definedName name="_bdm.78c6c072f20b4c82ba824fdb6065a9b9.edm" hidden="1">#REF!</definedName>
    <definedName name="_bdm.79589ABDEFB54FB09CD421FD6832248F.edm" hidden="1">#REF!</definedName>
    <definedName name="_bdm.7A39769AA990408F98A40E93E2C328B7.edm" hidden="1">#REF!</definedName>
    <definedName name="_bdm.7A63497052294108BBB8C9F28C1714CA.edm" hidden="1">#REF!</definedName>
    <definedName name="_bdm.7ABE8D07F0BC4810B6A1CF0F06B0D822.edm" hidden="1">#REF!</definedName>
    <definedName name="_bdm.7AE6D4C9BFD44A24884B0E7783F34497.edm" hidden="1">#REF!</definedName>
    <definedName name="_bdm.7B83263CB2EA40A3A1C326F4B64FF272.edm" hidden="1">#REF!</definedName>
    <definedName name="_bdm.7BAB045F55674A75B88F57B71127A243.edm" hidden="1">#REF!</definedName>
    <definedName name="_bdm.7C1450A0D06448B0B7349F8EEA36977C.edm" hidden="1">#REF!</definedName>
    <definedName name="_bdm.7C70E420607249B397E3C4F49521F10D.edm" hidden="1">#REF!</definedName>
    <definedName name="_bdm.7C8F732387564934BFF94B2B3A2F1708.edm" hidden="1">#REF!</definedName>
    <definedName name="_bdm.7D3ECE4F25C94A6EBE538786CFBAF74B.edm" hidden="1">#REF!</definedName>
    <definedName name="_bdm.7D79CCEAE23C43E28C60B86A3AE5E0E2.edm" hidden="1">#REF!</definedName>
    <definedName name="_bdm.7D95730C247643EEA3B963D7969C456D.edm" hidden="1">#REF!</definedName>
    <definedName name="_bdm.7E889CBB27EA41159176861147F0AFC5.edm" hidden="1">#REF!</definedName>
    <definedName name="_bdm.7eacf50218da4246835f27f177d5fadb.edm" hidden="1">#REF!</definedName>
    <definedName name="_bdm.7EC65D909DF840588A6CA3F04BE3A31E.edm" hidden="1">#REF!</definedName>
    <definedName name="_bdm.7F13F3083E614A29B32E7B4151F4A016.edm" hidden="1">#REF!</definedName>
    <definedName name="_bdm.8014a81f189c43e0b9afcdbf2b56d201.edm" hidden="1">#REF!</definedName>
    <definedName name="_bdm.804F03656EE34D2DB392885B01F57F3D.edm" hidden="1">#REF!</definedName>
    <definedName name="_bdm.805FFD14F628439A8928B3AF3F0F25B8.edm" hidden="1">#REF!</definedName>
    <definedName name="_bdm.80A6D6EF19614E129E482B00B90292B5.edm" hidden="1">#REF!</definedName>
    <definedName name="_bdm.80B2266AE52841B79E2E9F23BF6E8149.edm" hidden="1">#REF!</definedName>
    <definedName name="_bdm.80E4624CFA544DF49D9E78665703B7DE.edm" hidden="1">#REF!</definedName>
    <definedName name="_bdm.80F6FA82A31A47C58A68A0EDE1223DD1.edm" hidden="1">#REF!</definedName>
    <definedName name="_bdm.81406bbfc2274232a76c23a59e79bfb1.edm" hidden="1">#REF!</definedName>
    <definedName name="_bdm.81A7DCB98AFA442597C5DECE5FAF135A.edm" hidden="1">#REF!</definedName>
    <definedName name="_bdm.8289850a63a64f30bd416943f73445c8.edm" hidden="1">#REF!</definedName>
    <definedName name="_bdm.84029fd2204a4f1c996d0c483f410cb3.edm" hidden="1">#REF!</definedName>
    <definedName name="_bdm.842888B6F15043AFBC913C1A8E0142B0.edm" hidden="1">#REF!</definedName>
    <definedName name="_bdm.8441f24cef574b5fb37560a8cdaebb2c.edm" hidden="1">#REF!</definedName>
    <definedName name="_bdm.84E01D2DBA1A4CCE9697F725B5F39C5C.edm" hidden="1">#REF!</definedName>
    <definedName name="_bdm.85D6C78B2B5D4D4793BCC71891259F85.edm" hidden="1">#REF!</definedName>
    <definedName name="_bdm.85E7D943FFDF4849BADDF66B787F0FE0.edm" hidden="1">#REF!</definedName>
    <definedName name="_bdm.8619819714C34785A60673868673C589.edm" hidden="1">#REF!</definedName>
    <definedName name="_bdm.8624F4AE44E14A7497E1D4088F797A76.edm" hidden="1">#REF!</definedName>
    <definedName name="_bdm.862a365d7ee245cb922b5685355cd389.edm" hidden="1">#REF!</definedName>
    <definedName name="_bdm.86539AE4DFAD4FEF8F7BC13CED1B65BD.edm" hidden="1">#REF!</definedName>
    <definedName name="_bdm.86B8F6E048DD42EDB1E538D2B5AB72A7.edm" hidden="1">#REF!</definedName>
    <definedName name="_bdm.86e418e1668348e480fcd41532825c9c.edm" hidden="1">#REF!</definedName>
    <definedName name="_bdm.86feeadfae7a481cb8b93c50284d2830.edm" hidden="1">#REF!</definedName>
    <definedName name="_bdm.8739F0B826D74C0F92B3EFB384E0D99A.edm" hidden="1">#REF!</definedName>
    <definedName name="_bdm.875710AB518640B6B7A4C6C360BD885A.edm" hidden="1">#REF!</definedName>
    <definedName name="_bdm.87EC8B54D0914194933649F313CF4230.edm" hidden="1">#REF!</definedName>
    <definedName name="_bdm.8821B96569564C7783F9355FD275A864.edm" hidden="1">#REF!</definedName>
    <definedName name="_bdm.882C59D4404640129C696AF15CB3755A.edm" hidden="1">#REF!</definedName>
    <definedName name="_bdm.8921AA538C6B4B109BBA62E9534A9C14.edm" hidden="1">#REF!</definedName>
    <definedName name="_bdm.89E6BDEE223B433E91AA988BACACCCA7.edm" hidden="1">#REF!</definedName>
    <definedName name="_bdm.8A08EA11AC38492FAE61DFC7796E493D.edm" hidden="1">#REF!</definedName>
    <definedName name="_bdm.8A0F2319A84943EABB2C42CE92AECFCE.edm" hidden="1">#REF!</definedName>
    <definedName name="_bdm.8A531667E06F41F589ECBE50EB131292.edm" hidden="1">#REF!</definedName>
    <definedName name="_bdm.8AA8BD0F69204775B0A74378BF5202C4.edm" hidden="1">#REF!</definedName>
    <definedName name="_bdm.8B35F89D16034126B13D53ADFD7752D5.edm" hidden="1">#REF!</definedName>
    <definedName name="_bdm.8D37ED638AD34A37AE5E53618DBE8226.edm" hidden="1">#REF!</definedName>
    <definedName name="_bdm.8d7830f59c774cbda20b2d4b21b36bca.edm" hidden="1">#REF!</definedName>
    <definedName name="_bdm.8DA6119DB8FF4E89A70AD5D4C3D3F063.edm" hidden="1">#N/A</definedName>
    <definedName name="_bdm.8DBC5E47CDA840288DE96589919BE62B.edm" hidden="1">#REF!</definedName>
    <definedName name="_bdm.8DCCCB4B2BC14C1AA84A9FF8A30B1264.edm" hidden="1">#REF!</definedName>
    <definedName name="_bdm.8F6996C8B88741B4AFC085E2E31F5F45.edm" hidden="1">#REF!</definedName>
    <definedName name="_bdm.8F7EA46C2AF44FD8B9853320F4C1D308.edm" hidden="1">#REF!</definedName>
    <definedName name="_bdm.8F9D84B1DA024119B21C33A792531846.edm" hidden="1">#REF!</definedName>
    <definedName name="_bdm.8FB8D0476D434CF0BB12679ACFD65F47.edm" hidden="1">#REF!</definedName>
    <definedName name="_bdm.8FC3C75C3F864B7BAD2586F1891B40CD.edm" hidden="1">#REF!</definedName>
    <definedName name="_bdm.900DA900218A492AAE89E907EDA27C79.edm" hidden="1">#REF!</definedName>
    <definedName name="_bdm.9021E5C64433461DA2545928D8C14D7C.edm" hidden="1">#REF!</definedName>
    <definedName name="_bdm.90827DD3B8DA47E6B20CF91F7AEB8DEF.edm" hidden="1">#REF!</definedName>
    <definedName name="_bdm.9153024C63394F95B439E2F1733EFCDE.edm" hidden="1">#REF!</definedName>
    <definedName name="_bdm.91A0B11909A947559083CFFAB8CC725C.edm" hidden="1">#REF!</definedName>
    <definedName name="_bdm.91B5014D282441F0AE56633B86379C51.edm" hidden="1">#REF!</definedName>
    <definedName name="_bdm.9295845727974FDA81DFBC25B6C85439.edm" hidden="1">#REF!</definedName>
    <definedName name="_bdm.92c6e2fd23fa4acf8b6e47a12fe7f94a.edm" hidden="1">#REF!</definedName>
    <definedName name="_bdm.92DE871363C0464F9E085F9868F72FF2.edm" hidden="1">#REF!</definedName>
    <definedName name="_bdm.93235CC542A84AE781376A3CAB8201B5.edm" hidden="1">#REF!</definedName>
    <definedName name="_bdm.932A88661F144B0EB0A1ABEBBFF74D41.edm" hidden="1">#REF!</definedName>
    <definedName name="_bdm.937E5C54C9C04661B537B3722FEFC15D.edm" hidden="1">#REF!</definedName>
    <definedName name="_bdm.93E88A72D9144BD9A88F5D8E349C4FC6.edm" hidden="1">#REF!</definedName>
    <definedName name="_bdm.94810449B91145CF8FE2D04E4EAC48FB.edm" hidden="1">#REF!</definedName>
    <definedName name="_bdm.948A18E54F854DF78AA6F2EA7F0F0676.edm" hidden="1">#REF!</definedName>
    <definedName name="_bdm.949B2547748F49B197C942B5AC4E9AFE.edm" hidden="1">#REF!</definedName>
    <definedName name="_bdm.94D63755E22F41798F4B40D8943C2F3C.edm" hidden="1">#REF!</definedName>
    <definedName name="_bdm.955BB573355F4380B529B457D6A9B8DB.edm" hidden="1">#REF!</definedName>
    <definedName name="_bdm.958a9696b4a349debe7d31303cf606e8.edm" hidden="1">#REF!</definedName>
    <definedName name="_bdm.95936FC30BE54F4F8BD88B9FADB3B06B.edm" hidden="1">#REF!</definedName>
    <definedName name="_bdm.9646B478C6A44110A39C09C611292BC6.edm" hidden="1">#REF!</definedName>
    <definedName name="_bdm.9653DE5D1DE340038545453292074708.edm" hidden="1">#REF!</definedName>
    <definedName name="_bdm.967b89721a8f44b8b7abff48b795d59c.edm" hidden="1">#REF!</definedName>
    <definedName name="_bdm.96A92CA2E0A5491A9F4EC2A597DD5C80.edm" hidden="1">#REF!</definedName>
    <definedName name="_bdm.96D833F6ECB84ED69D43C8F7783FCDA7.edm" hidden="1">#REF!</definedName>
    <definedName name="_bdm.9705da9c72f24415984a8fadef332d3a.edm" hidden="1">#REF!</definedName>
    <definedName name="_bdm.972A0188B6C74475B4B9ABABAF0CE384.edm" hidden="1">#REF!</definedName>
    <definedName name="_bdm.9824D1854B07496E92FBB3FBEBC06588.edm" hidden="1">#REF!</definedName>
    <definedName name="_bdm.9843AFC235C14AFC84C910A41F40EB0A.edm" hidden="1">#REF!</definedName>
    <definedName name="_bdm.986EF8DB917447AC8DC9400BF7AE52B3.edm" hidden="1">#REF!</definedName>
    <definedName name="_bdm.9877ACEE390C45A196CB01D5E3BB3F25.edm" hidden="1">#REF!</definedName>
    <definedName name="_bdm.9933D23F27BF46B8A50BF44F8F24C7E1.edm" hidden="1">#REF!</definedName>
    <definedName name="_bdm.99F55084A5364FE6884E1669DD980415.edm" hidden="1">#REF!</definedName>
    <definedName name="_bdm.9A040B5ACDCB4B0698A5B5E86E5A054C.edm" hidden="1">#REF!</definedName>
    <definedName name="_bdm.9A24B22176BD46AE80F61283EB784C24.edm" hidden="1">#REF!</definedName>
    <definedName name="_bdm.9A2B326206C24FF9BF9246D48686EF69.edm" hidden="1">#N/A</definedName>
    <definedName name="_bdm.9A33AC905BB444F196611646F4B45A33.edm" hidden="1">#REF!</definedName>
    <definedName name="_bdm.9a45c2d095a245d581393c0ae7fe4583.edm" hidden="1">#REF!</definedName>
    <definedName name="_bdm.9B405D01CC23443DB1C18C31CC760CA5.edm" hidden="1">#REF!</definedName>
    <definedName name="_bdm.9B4B4AED967146C2B5105E244C24BC28.edm" hidden="1">#REF!</definedName>
    <definedName name="_bdm.9C53B09F598E47D48CB6C24D9DCA09FC.edm" hidden="1">#N/A</definedName>
    <definedName name="_bdm.9C693B1F8DD14A379D9CA0C4D57FE6E2.edm" hidden="1">#REF!</definedName>
    <definedName name="_bdm.9CAF6C027A14488E8A0EEBFD8D5AC962.edm" hidden="1">#REF!</definedName>
    <definedName name="_bdm.9D56EB5F43204F978F37E4C059A868D1.edm" hidden="1">#REF!</definedName>
    <definedName name="_bdm.9D6AFCC90CAC4A59B167272DC3455CD4.edm" hidden="1">#REF!</definedName>
    <definedName name="_bdm.9D7AEA57863E4A2390DF02EEBA36AE3A.edm" hidden="1">#REF!</definedName>
    <definedName name="_bdm.9da63cfb85724b9a8bf84d7ac0a902cb.edm" hidden="1">#REF!</definedName>
    <definedName name="_bdm.9E6F0A82A5E5415CAAF64DE7061D11DB.edm" hidden="1">#REF!</definedName>
    <definedName name="_bdm.9F208D015B134B47B545B64FDAF07661.edm" hidden="1">#REF!</definedName>
    <definedName name="_bdm.9F46F9B0355144CD92786BC7A590E434.edm" hidden="1">#REF!</definedName>
    <definedName name="_bdm.A0CF02EA29F449759792FB9AA710768C.edm" hidden="1">#REF!</definedName>
    <definedName name="_bdm.A1817E7BA1FD45B7B1328270FF4FAF53.edm" hidden="1">#REF!</definedName>
    <definedName name="_bdm.A247B1D77986400F9A61095B26F4A68A.edm" hidden="1">#REF!</definedName>
    <definedName name="_bdm.A2D7D32E999A42C693AC64234B320B5F.edm" hidden="1">#REF!</definedName>
    <definedName name="_bdm.a39910f6b16348899ef93db85dc3b3fb.edm" hidden="1">#REF!</definedName>
    <definedName name="_bdm.A3A75D4C593949B9B996FE51C9585838.edm" hidden="1">#REF!</definedName>
    <definedName name="_bdm.A3FD5497DBE04494A34B6E84080D40A9.edm" hidden="1">#REF!</definedName>
    <definedName name="_bdm.A411065B5F324D8CBAB4FB61821C40F4.edm" hidden="1">#REF!</definedName>
    <definedName name="_bdm.A4DAC0D0633C4863AD94619826D2984F.edm" hidden="1">#REF!</definedName>
    <definedName name="_bdm.A508B333E25044FAB95CD28811999DA7.edm" hidden="1">#REF!</definedName>
    <definedName name="_bdm.A631F04C24C64FA1B3442671385A8C6F.edm" hidden="1">#REF!</definedName>
    <definedName name="_bdm.A66AE807B67643F8B8301B620184D260.edm" hidden="1">#REF!</definedName>
    <definedName name="_bdm.A6EBE14DE4BC44C28DF5E55C98A19744.edm" hidden="1">#REF!</definedName>
    <definedName name="_bdm.A7BDD56845D9412F9C4B0BA7F995B457.edm" hidden="1">#REF!</definedName>
    <definedName name="_bdm.A8855C368B0441E792C540656C2568A1.edm" hidden="1">#REF!</definedName>
    <definedName name="_bdm.A89FC4F87AEB428881A8D060C0D25C93.edm" hidden="1">#REF!</definedName>
    <definedName name="_bdm.A93E44EA09E7485B995131FEAF4E6B0F.edm" hidden="1">#REF!</definedName>
    <definedName name="_bdm.A956A545376C41AFA0BB6E78FDB1E463.edm" hidden="1">#REF!</definedName>
    <definedName name="_bdm.a959b5b656774de0ad9704988d477132.edm" hidden="1">#REF!</definedName>
    <definedName name="_bdm.A99AFBA406D64FB89B6DD45DCD9B359B.edm" hidden="1">#REF!</definedName>
    <definedName name="_bdm.AA1DA22D2B6242A1B834E84EBA658562.edm" hidden="1">#REF!</definedName>
    <definedName name="_bdm.aa503b83e58841f894b56e35fcd4758d.edm" hidden="1">#REF!</definedName>
    <definedName name="_bdm.AA800F43136D43E48FE84EB8F11154AC.edm" hidden="1">#REF!</definedName>
    <definedName name="_bdm.AA83FF06981C438D9FFB6784B6C11E6B.edm" hidden="1">#REF!</definedName>
    <definedName name="_bdm.AB061C648D314BCBBEB8E5498C965AFF.edm" hidden="1">#REF!</definedName>
    <definedName name="_bdm.AB5EC28A3C6F4DBBB2909BDAFC1FA969.edm" hidden="1">#REF!</definedName>
    <definedName name="_bdm.ABE8C9034EC54986B0EE063EDD66AB43.edm" hidden="1">#REF!</definedName>
    <definedName name="_bdm.AD41DDE7431F4602AB79648F8DFACF67.edm" hidden="1">#REF!</definedName>
    <definedName name="_bdm.AD5A6331246A4F19A261362F47B704A5.edm" hidden="1">#REF!</definedName>
    <definedName name="_bdm.ADD40332324C4D18A8C9D57083A36C27.edm" hidden="1">#REF!</definedName>
    <definedName name="_bdm.ae0c22fb8a9040fea0e5045247bc7e8c.edm" hidden="1">#REF!</definedName>
    <definedName name="_bdm.AE148FA4168546C58A598F1DF2EFA90E.edm" hidden="1">#REF!</definedName>
    <definedName name="_bdm.AE48393B14B34F5A9D1F8B314A6B61CE.edm" hidden="1">#REF!</definedName>
    <definedName name="_bdm.af0a8eeff89d47d6a3f11360025356d6.edm" hidden="1">#REF!</definedName>
    <definedName name="_bdm.AF96C98CFADB40A29FBC55BF472EC83D.edm" hidden="1">#REF!</definedName>
    <definedName name="_bdm.B0621781755A4650AB79B0F302E29759.edm" hidden="1">#REF!</definedName>
    <definedName name="_bdm.B1AB6DB0ACBD4AFEA14C0F9F6FA47775.edm" hidden="1">#REF!</definedName>
    <definedName name="_bdm.B1B8B01901474A3FAEDD99532F0512D9.edm" hidden="1">#REF!</definedName>
    <definedName name="_bdm.B21235BCF6604B82AA6C6B8F0FFF699E.edm" hidden="1">#REF!</definedName>
    <definedName name="_bdm.B2307084EF9F4C7D8716E7C83539FC82.edm" hidden="1">#REF!</definedName>
    <definedName name="_bdm.B238B0BF07174C20BE49BB50D2EFA2EF.edm" hidden="1">#REF!</definedName>
    <definedName name="_bdm.b27dbbfe5d4d487b95ebe2f0e5ca2436.edm" hidden="1">#REF!</definedName>
    <definedName name="_bdm.B283837471F34CCBA9E7AF9F10093756.edm" hidden="1">#REF!</definedName>
    <definedName name="_bdm.B284BBA334874EEFA4767558940763E1.edm" hidden="1">#REF!</definedName>
    <definedName name="_bdm.b2b9dceb386140fcabb91280b2196902.edm" hidden="1">#REF!</definedName>
    <definedName name="_bdm.B2C35A47FB1A4A3F88326AF1BEB8C12C.edm" hidden="1">#REF!</definedName>
    <definedName name="_bdm.B2F3F41B90384D609C598ACA4C045722.edm" hidden="1">#REF!</definedName>
    <definedName name="_bdm.B31F0C67559C40CFBA36A3D04EB3FD7C.edm" hidden="1">#REF!</definedName>
    <definedName name="_bdm.B34198F78CC043239767DA1C385649DB.edm" hidden="1">#REF!</definedName>
    <definedName name="_bdm.B3A4BD6B228F429D84F19E39334DE333.edm" hidden="1">#N/A</definedName>
    <definedName name="_bdm.B3A9F977F4314E89BFCED45B7CD43B23.edm" hidden="1">#REF!</definedName>
    <definedName name="_bdm.B3ACEA44F2294844BF284B61ED0026F2.edm" hidden="1">#REF!</definedName>
    <definedName name="_bdm.B3C3AA356CE24FDDB9FA3667EB226B90.edm" hidden="1">#REF!</definedName>
    <definedName name="_bdm.B3E1854C8CFA4833BC002D14F0D3D6C1.edm" hidden="1">#REF!</definedName>
    <definedName name="_bdm.B4437C5413BE404383BD19DD6769B91D.edm" hidden="1">#REF!</definedName>
    <definedName name="_bdm.B44B39F24B8F404A9B79CFADC1040818.edm" hidden="1">#REF!</definedName>
    <definedName name="_bdm.B4E0A942ACB6477BA9616C7683885D79.edm" hidden="1">#REF!</definedName>
    <definedName name="_bdm.B4E22011F915428FA5A0D0B0E6F899EB.edm" hidden="1">#REF!</definedName>
    <definedName name="_bdm.B5094461F488437A9A822C174EA8AA5E.edm" hidden="1">#REF!</definedName>
    <definedName name="_bdm.b549e0319b1d4d4f8b0d40f9817d3849.edm" hidden="1">#REF!</definedName>
    <definedName name="_bdm.B5E56900AEE7463EA843066AD9C1DBB0.edm" hidden="1">#REF!</definedName>
    <definedName name="_bdm.B62AFDF0C9064AF3869DADD40F90B273.edm" hidden="1">#REF!</definedName>
    <definedName name="_bdm.B6B12FFDEA024C84B9F9141054595299.edm" hidden="1">#N/A</definedName>
    <definedName name="_bdm.B6F88C8CEE704951B11DD738AD559123.edm" hidden="1">#REF!</definedName>
    <definedName name="_bdm.B725C9C38DBC4EF480B8AD3B484E3030.edm" hidden="1">#REF!</definedName>
    <definedName name="_bdm.B75DFC9B2CE8450AA8877DDBEDBDE60B.edm" hidden="1">#REF!</definedName>
    <definedName name="_bdm.B80F625885894CA6822B3B9EC2C4B103.edm" hidden="1">#REF!</definedName>
    <definedName name="_bdm.B84D1F02013F42A68B2196ED360ECEE1.edm" hidden="1">#REF!</definedName>
    <definedName name="_bdm.B94ED3E620B644C58A62EB65AAA1D7FF.edm" hidden="1">#REF!</definedName>
    <definedName name="_bdm.B97D9B136D0A4F9BB5287231BCBB617C.edm" hidden="1">#REF!</definedName>
    <definedName name="_bdm.B993F17BDCB944D7B0FDD7C6618720FA.edm" hidden="1">#REF!</definedName>
    <definedName name="_bdm.B9A8D500C744459C9F195AC41BDB245D.edm" hidden="1">#REF!</definedName>
    <definedName name="_bdm.B9DB597268FF4E6A9C506BE1E771F551.edm" hidden="1">#REF!</definedName>
    <definedName name="_bdm.B9DF74829F3B4CD6988F4DE0DB1BCF38.edm" hidden="1">#REF!</definedName>
    <definedName name="_bdm.B9FA0D73802D460D9753D070E00F2518.edm" hidden="1">#REF!</definedName>
    <definedName name="_bdm.BA35F86C913C454C9F7E55A2F807E4BE.edm" hidden="1">#REF!</definedName>
    <definedName name="_bdm.BA87B23BDD0045309F1DFE71D4C3B113.edm" hidden="1">#REF!</definedName>
    <definedName name="_bdm.BABF452210574A9CA93D617BC84B3A91.edm" hidden="1">#REF!</definedName>
    <definedName name="_bdm.BAD6743125F64CF5B46CFDEB8D68D329.edm" hidden="1">#REF!</definedName>
    <definedName name="_bdm.BAF090EDB36940DF8EAB5F8FDBC9917A.edm" hidden="1">#REF!</definedName>
    <definedName name="_bdm.BB998E3468A04264B722FFB382DAD4A6.edm" hidden="1">#REF!</definedName>
    <definedName name="_bdm.BC0211E181094707BD7C6FE5463B3D99.edm" hidden="1">#REF!</definedName>
    <definedName name="_bdm.BCC54364CD1942AC8C89A97A92113290.edm" hidden="1">#REF!</definedName>
    <definedName name="_bdm.BD495EBDC1914DBD9B6470BCA0B93927.edm" hidden="1">#REF!</definedName>
    <definedName name="_bdm.BDF86781587B4CE2802B5B5770960A62.edm" hidden="1">#REF!</definedName>
    <definedName name="_bdm.BF26B38A53B94A02B49ED20FDC7B90F7.edm" hidden="1">#REF!</definedName>
    <definedName name="_bdm.BF38EDEC9C0741078123029737F9BFD3.edm" hidden="1">#REF!</definedName>
    <definedName name="_bdm.bf48fd25b20d48ffaa1b4fdef5e2ae5e.edm" hidden="1">#REF!</definedName>
    <definedName name="_bdm.C0304B96ECE24D2992715D7FCE5D8B71.edm" hidden="1">#REF!</definedName>
    <definedName name="_bdm.C0543421CD694029A02AED39B7B4A4E4.edm" hidden="1">#REF!</definedName>
    <definedName name="_bdm.C05F64A50B1C49B18A42EF3653A60752.edm" hidden="1">#REF!</definedName>
    <definedName name="_bdm.C0AF0529C5EE4334BC78FCB26BC04820.edm" hidden="1">#REF!</definedName>
    <definedName name="_bdm.C0F450AE914E4376B0FFB9F969683C09.edm" hidden="1">#REF!</definedName>
    <definedName name="_bdm.C1E9DC370AFD493B96374786ACD5EFEA.edm" hidden="1">#REF!</definedName>
    <definedName name="_bdm.c2221da5cfa14ebc97a26c23bbe958b0.edm" hidden="1">#REF!</definedName>
    <definedName name="_bdm.C2B2D6ED6A2E46B79F04E519AC7AF970.edm" hidden="1">#REF!</definedName>
    <definedName name="_bdm.C3237E6B1FFC4DCBA75404594775A07E.edm" hidden="1">#REF!</definedName>
    <definedName name="_bdm.C339B5DB3E594D95A66F2D5E433755E4.edm" hidden="1">#REF!</definedName>
    <definedName name="_bdm.C36A13298BB54AD88301BD1203C4CD54.edm" hidden="1">#REF!</definedName>
    <definedName name="_bdm.C37CDF7D9160439B8EE8D5B3B3971FA5.edm" hidden="1">#REF!</definedName>
    <definedName name="_bdm.C40B67D061CB44D88266843C77C4A875.edm" hidden="1">#REF!</definedName>
    <definedName name="_bdm.C570CEC2E201448697EEA67AEEC48C92.edm" hidden="1">#REF!</definedName>
    <definedName name="_bdm.C5DC8FA93DE442CCB61B4A0C11C100E3.edm" hidden="1">#REF!</definedName>
    <definedName name="_bdm.C5EA0C259E63403D93B5EA89078017EC.edm" hidden="1">#REF!</definedName>
    <definedName name="_bdm.C6431F7D8E184B61B695E4CD7A6BA286.edm" hidden="1">#REF!</definedName>
    <definedName name="_bdm.C6B7218D518D4DEFBDE91D23E5344CC7.edm" hidden="1">#REF!</definedName>
    <definedName name="_bdm.C6CBB324C3DF4C78ADFFE620653991B6.edm" hidden="1">#REF!</definedName>
    <definedName name="_bdm.C752B30334FD4D6B911EEB3E8BFBCDB8.edm" hidden="1">#REF!</definedName>
    <definedName name="_bdm.C7DBB29E3D8D41B69A73DF63E338BC5B.edm" hidden="1">#REF!</definedName>
    <definedName name="_bdm.C7EC7C9397A74D5B838601EA86DF84CF.edm" hidden="1">#REF!</definedName>
    <definedName name="_bdm.C80DFA93FBFA43969ECC38920DD2C9C2.edm" hidden="1">#REF!</definedName>
    <definedName name="_bdm.C88AFA8E94C6438498AB0CFC62AF535D.edm" hidden="1">#N/A</definedName>
    <definedName name="_bdm.C92855286E524CC6AA6FE531BB1AC235.edm" hidden="1">#REF!</definedName>
    <definedName name="_bdm.c96bb1d40f9f4f838e6bf1319a50ca65.edm" hidden="1">#REF!</definedName>
    <definedName name="_bdm.CB1F284F6F3F44C7AA34271F2E4A7366.edm" hidden="1">#REF!</definedName>
    <definedName name="_bdm.CB22EAFD62BC44F2824F5B70DE2722FC.edm" hidden="1">#REF!</definedName>
    <definedName name="_bdm.CC8D4248568C4E39836F45FE408706B5.edm" hidden="1">#REF!</definedName>
    <definedName name="_bdm.CC971240B06D4B72974932A5991C4C48.edm" hidden="1">#REF!</definedName>
    <definedName name="_bdm.CCDBB06690E640C1A8B075607965F8FB.edm" hidden="1">#REF!</definedName>
    <definedName name="_bdm.CD26987DE32D4671AE827B5655D52F15.edm" hidden="1">#REF!</definedName>
    <definedName name="_bdm.ce427e876e6242df92a079a5b9e432a2.edm" hidden="1">#REF!</definedName>
    <definedName name="_bdm.CEB1A2C583D34065857A7E8E8DA7C6B7.edm" hidden="1">#REF!</definedName>
    <definedName name="_bdm.CF02168FB8E9419AAAE043008F3ED3FA.edm" hidden="1">#REF!</definedName>
    <definedName name="_bdm.D03F53F083AB47DDB0AA114CCD0F9CE2.edm" hidden="1">#REF!</definedName>
    <definedName name="_bdm.D0423E6A4FFC436AA4D38948B7D7A19E.edm" hidden="1">#REF!</definedName>
    <definedName name="_bdm.D04DF9632C8847EF98BCCAE0B786BF73.edm" hidden="1">#REF!</definedName>
    <definedName name="_bdm.D09924EFCD5F4945A75C01BA27084DAA.edm" hidden="1">#REF!</definedName>
    <definedName name="_bdm.D09B80795EF541A287486283862F6944.edm" hidden="1">#REF!</definedName>
    <definedName name="_bdm.D1AD1FD987FC48DDB27340619D17BD4B.edm" hidden="1">#REF!</definedName>
    <definedName name="_bdm.D2B1740531EB42EFA55C061A4965B641.edm" hidden="1">#REF!</definedName>
    <definedName name="_bdm.D2CCADD4FC5B49ACA9EC2095F713590B.edm" hidden="1">#REF!</definedName>
    <definedName name="_bdm.d2e05b7bbe394a179c59d0b9c826a5bc.edm" hidden="1">#REF!</definedName>
    <definedName name="_bdm.D35661170E5544B0AB8B1C85FFF3A75F.edm" hidden="1">#REF!</definedName>
    <definedName name="_bdm.D3EDFD64385E40D69A79C80D81B305D2.edm" hidden="1">#REF!</definedName>
    <definedName name="_bdm.D4590E31785042E9BDCEF3B2354E20DD.edm" hidden="1">#REF!</definedName>
    <definedName name="_bdm.D4850A8A27AA4685999755CDE2C5945C.edm" hidden="1">#REF!</definedName>
    <definedName name="_bdm.D4CF1C6FAE0C4663851E52BF8B871FAD.edm" hidden="1">#REF!</definedName>
    <definedName name="_bdm.D59C811B3D494A0EA74B1169FA91A502.edm" hidden="1">#REF!</definedName>
    <definedName name="_bdm.D619F92786E0454786C79CB7B1156B09.edm" hidden="1">#REF!</definedName>
    <definedName name="_bdm.D677CBE865C447399A20D13A16482277.edm" hidden="1">#REF!</definedName>
    <definedName name="_bdm.d6ce46683f2249aaaad631f3506c19ec.edm" hidden="1">#REF!</definedName>
    <definedName name="_bdm.D7A7E3C542724D59AB9152AE3CE78586.edm" hidden="1">#REF!</definedName>
    <definedName name="_bdm.D7CD4C512BCA4CD2B45591CE8BDEAD0B.edm" hidden="1">#REF!</definedName>
    <definedName name="_bdm.D7E0ACE8AD814A1BB89B25C84084CF13.edm" hidden="1">#REF!</definedName>
    <definedName name="_bdm.d7f15742803841e9b2a1815cb1c98f3e.edm" hidden="1">#REF!</definedName>
    <definedName name="_bdm.d832970f46844d3ea85c5b99dd7f192f.edm" hidden="1">#REF!</definedName>
    <definedName name="_bdm.d8fe9cbb1f124415bb83dfd796babb6c.edm" hidden="1">#REF!</definedName>
    <definedName name="_bdm.D935410C6D51491AA424CF14990C5EBC.edm" hidden="1">#REF!</definedName>
    <definedName name="_bdm.D9D944A6D3E34B7B8EFE3724375E0152.edm" hidden="1">#REF!</definedName>
    <definedName name="_bdm.D9ECDB47EB944209A49F9DEB77C8F931.edm" hidden="1">#REF!</definedName>
    <definedName name="_bdm.DA519DD06AD04286B81FAF2A763BFB6F.edm" hidden="1">#REF!</definedName>
    <definedName name="_bdm.db82f91749484738b76f5e0d272f3f6b.edm" hidden="1">#REF!</definedName>
    <definedName name="_bdm.DBB5ACDA5BD746A98542AFB153BDFEF7.edm" hidden="1">#REF!</definedName>
    <definedName name="_bdm.DBB7B9E409C34D8294D0997646FCBE69.edm" hidden="1">#REF!</definedName>
    <definedName name="_bdm.DBD99F5645254F80BB9955CF92A1A9AF.edm" hidden="1">#REF!</definedName>
    <definedName name="_bdm.DC32E0CB559443F4A9E92D02A6B84DE5.edm" hidden="1">#REF!</definedName>
    <definedName name="_bdm.DC4D9CF90E7D4ACD9DB0549A683B8465.edm" hidden="1">#REF!</definedName>
    <definedName name="_bdm.DC875A1E5D7247BFAB834A855BD35C6E.edm" hidden="1">#REF!</definedName>
    <definedName name="_bdm.DC9CA7F15CCA471EBCEE56A3A16E2C4E.edm" hidden="1">#REF!</definedName>
    <definedName name="_bdm.DCD4238C512B4EA5AC02BAA7BE4DDB96.edm" hidden="1">#REF!</definedName>
    <definedName name="_bdm.DD095069D3AF48E6A145C9F0FC3C1FAA.edm" hidden="1">#REF!</definedName>
    <definedName name="_bdm.DD72E3E4240445EEBF6632FBF3BDB2F2.edm" hidden="1">#REF!</definedName>
    <definedName name="_bdm.dd9b5201f9ef41e0877d911c9e9c8e7f.edm" hidden="1">#REF!</definedName>
    <definedName name="_bdm.DDF07D276443410880AED92640235617.edm" hidden="1">#REF!</definedName>
    <definedName name="_bdm.DE146303A2C64E8B9F6B0CC32AF7454D.edm" hidden="1">#REF!</definedName>
    <definedName name="_bdm.de23e503b950465ba0ef790cbea66611.edm" hidden="1">#REF!</definedName>
    <definedName name="_bdm.DE7A6EF29FA14EB892B9AE01C1A7F4A2.edm" hidden="1">#REF!</definedName>
    <definedName name="_bdm.DE98270AB5A941F2B59BAC96AB2837C2.edm" hidden="1">#REF!</definedName>
    <definedName name="_bdm.defeee2c227a4d4e805f47e1a7e9594b.edm" hidden="1">#REF!</definedName>
    <definedName name="_bdm.DF106DD122D9423AA9E739AB8C8AFB7C.edm" hidden="1">#REF!</definedName>
    <definedName name="_bdm.dfe93628459c42c0a1b230efe5da0e6f.edm" hidden="1">#REF!</definedName>
    <definedName name="_bdm.E0202CCEAE9B45DF800CD86E6F67C09C.edm" hidden="1">#REF!</definedName>
    <definedName name="_bdm.e0d2225138bd4b84bf9cf781dd3ddd10.edm" hidden="1">#REF!</definedName>
    <definedName name="_bdm.e14ebc830005426db01d539ed11ffbbb.edm" hidden="1">#REF!</definedName>
    <definedName name="_bdm.E20A39970C934A56827944A7083536AD.edm" hidden="1">#REF!</definedName>
    <definedName name="_bdm.E2146D56B51D42BFA7A36787BB2091E1.edm" hidden="1">#REF!</definedName>
    <definedName name="_bdm.E28F4DC58D17427F81D60C9AF9C615BF.edm" hidden="1">#REF!</definedName>
    <definedName name="_bdm.E2BF0CF6213A4E58ADC7C744CEAF5C83.edm" hidden="1">#REF!</definedName>
    <definedName name="_bdm.e2ebcd33312e4abbbf453f2c26ea7ac9.edm" hidden="1">#REF!</definedName>
    <definedName name="_bdm.E3061F9D23BA494BB145113ACB2F7327.edm" hidden="1">#REF!</definedName>
    <definedName name="_bdm.E36DA5890E2046EFB7DA33B348CA388C.edm" hidden="1">#REF!</definedName>
    <definedName name="_bdm.E39EBCDC1C124205BED5C8547A5B72D1.edm" hidden="1">#REF!</definedName>
    <definedName name="_bdm.E3F39A4C774D40E2967721210C2879F3.edm" hidden="1">#REF!</definedName>
    <definedName name="_bdm.E43160091D894E4682594BC359201658.edm" hidden="1">#REF!</definedName>
    <definedName name="_bdm.E44F4A6711374D6B91AADB9FA3F6C5C5.edm" hidden="1">#REF!</definedName>
    <definedName name="_bdm.E489436D3DF346DE907A0360E5EAEC8D.edm" hidden="1">#REF!</definedName>
    <definedName name="_bdm.E48B019D23A34E2FB36833D571C08B02.edm" hidden="1">#REF!</definedName>
    <definedName name="_bdm.e50c148df0d94afe9036d798361eb9c5.edm" hidden="1">#REF!</definedName>
    <definedName name="_bdm.E5743739224A4283ADB83CE2636E223E.edm" hidden="1">#REF!</definedName>
    <definedName name="_bdm.e5c26aa359834bbc9635fd245036c75d.edm" hidden="1">#REF!</definedName>
    <definedName name="_bdm.E5FC0CF48FB5437C8A20BA5DCB395152.edm" hidden="1">#REF!</definedName>
    <definedName name="_bdm.E66671197BB84D9CB784EBA8A298DD70.edm" hidden="1">#REF!</definedName>
    <definedName name="_bdm.E69E4802DC434ADBA8081243844C6988.edm" hidden="1">#REF!</definedName>
    <definedName name="_bdm.E6EAF6EA2CB94A3988683635710F111D.edm" hidden="1">#REF!</definedName>
    <definedName name="_bdm.E6EE4D346442467587874AB112A91B00.edm" hidden="1">#REF!</definedName>
    <definedName name="_bdm.E7423D687DCC44E08A636FF1C03B7327.edm" hidden="1">#REF!</definedName>
    <definedName name="_bdm.E747304E50CC42809E31B35572E376F6.edm" hidden="1">#REF!</definedName>
    <definedName name="_bdm.E760B70AB6D44349B0F46823EFBDA54D.edm" hidden="1">#REF!</definedName>
    <definedName name="_bdm.E7879069D6544094ACC574392F02FCDC.edm" hidden="1">#REF!</definedName>
    <definedName name="_bdm.E7CB8804B9E445D18E03D62F4AE5EA14.edm" hidden="1">#REF!</definedName>
    <definedName name="_bdm.E7F147181F6749909E86AE0B94642443.edm" hidden="1">#REF!</definedName>
    <definedName name="_bdm.E7FE84A084364391BB41DB428BD74FDA.edm" hidden="1">#REF!</definedName>
    <definedName name="_bdm.E82B9A19CF4343EC9674771C65B0EBE1.edm" hidden="1">#REF!</definedName>
    <definedName name="_bdm.E83131132811402EAD49BD1EA8CD48EB.edm" hidden="1">#REF!</definedName>
    <definedName name="_bdm.E9905BC403254510A5C8BB975C19D221.edm" hidden="1">#REF!</definedName>
    <definedName name="_bdm.E9939EA0C06A4D33BD55829357CAEA83.edm" hidden="1">#REF!</definedName>
    <definedName name="_bdm.E9CF464F22A84AA6975FEE9F15F4A7FC.edm" hidden="1">#REF!</definedName>
    <definedName name="_bdm.E9E307659C3C4FBF897790A0D326B4A8.edm" hidden="1">#REF!</definedName>
    <definedName name="_bdm.E9EE559E6F4248D18E2D4C03DF8C296A.edm" hidden="1">#REF!</definedName>
    <definedName name="_bdm.EA4DEB90385B4240B559AB053F5D7384.edm" hidden="1">#REF!</definedName>
    <definedName name="_bdm.EA90692A9A854C42A909A8D0E0E78763.edm" hidden="1">#REF!</definedName>
    <definedName name="_bdm.EB193AD7D56647E8B33736278248FB8E.edm" hidden="1">#REF!</definedName>
    <definedName name="_bdm.eb92ceea4b85440680e1e58b55cb0c99.edm" hidden="1">#REF!</definedName>
    <definedName name="_bdm.ECD7CD27800F4C01A85872A2A17ACFFB.edm" hidden="1">#REF!</definedName>
    <definedName name="_bdm.ED0C18D1621B4EAEA5215BE441249EBB.edm" hidden="1">#REF!</definedName>
    <definedName name="_bdm.EDAAEECA2DBC4B0584397B03489516CA.edm" hidden="1">#REF!</definedName>
    <definedName name="_bdm.EDE90AADB97F4FB4872ACDD83889FF30.edm" hidden="1">#REF!</definedName>
    <definedName name="_bdm.EDF9E1546C2140E3A88416C4BE2667E3.edm" hidden="1">#REF!</definedName>
    <definedName name="_bdm.EE641F58DFEF4258A8597F4F5C2007D8.edm" hidden="1">#REF!</definedName>
    <definedName name="_bdm.EE7FB79BA0C245EBA45A8052DB95D782.edm" hidden="1">#REF!</definedName>
    <definedName name="_bdm.ef45477c88e64c078f4fac629171ab82.edm" hidden="1">#REF!</definedName>
    <definedName name="_bdm.EF75AAC0F11345B5B6FEEC3D8F94705E.edm" hidden="1">#REF!</definedName>
    <definedName name="_bdm.EF7A9AF8685C46ED8F865C3EE8870754.edm" hidden="1">#REF!</definedName>
    <definedName name="_bdm.F04F4E7E061A46B1B6791076165C1BA7.edm" hidden="1">#REF!</definedName>
    <definedName name="_bdm.f09fd8df88ab441ca610218ed879b200.edm" hidden="1">#REF!</definedName>
    <definedName name="_bdm.f1218a9252db464dbb86ea52660ac728.edm" hidden="1">#REF!</definedName>
    <definedName name="_bdm.F1E0FC2F3EB04B88AAA80D60A91C07BC.edm" hidden="1">#REF!</definedName>
    <definedName name="_bdm.f23d8990ef2e412fb60cb39e6fa47ef8.edm" hidden="1">#REF!</definedName>
    <definedName name="_bdm.F2D7291CDB3D4FC3B160BBE6876EBBC4.edm" hidden="1">#REF!</definedName>
    <definedName name="_bdm.F2F8A725C0EF443AAB58E6D35B1B9F1D.edm" hidden="1">#REF!</definedName>
    <definedName name="_bdm.f32a2a5f347b47b39d71cf6cdb24778d.edm" hidden="1">#REF!</definedName>
    <definedName name="_bdm.F37276AFD694462CBFE4BB1A4661BFD7.edm" hidden="1">#REF!</definedName>
    <definedName name="_bdm.f39f1b2c270044c1884a0050ac2ca9e6.edm" hidden="1">#REF!</definedName>
    <definedName name="_bdm.F3EFE946BB1645DCAAFE2F786B617A19.edm" hidden="1">#REF!</definedName>
    <definedName name="_bdm.F4D182427A0D4B5481C7F3065D86822D.edm" hidden="1">#REF!</definedName>
    <definedName name="_bdm.F4F73DBE5B974BA68D1877DDE99E313F.edm" hidden="1">#REF!</definedName>
    <definedName name="_bdm.f533adff5cc6498186d2b5652bdedfe4.edm" hidden="1">#REF!</definedName>
    <definedName name="_bdm.F668575024A54B62B5FE159042CE6D74.edm" hidden="1">#REF!</definedName>
    <definedName name="_bdm.F6922AD455B24AC2A1C1B443764C1205.edm" hidden="1">#REF!</definedName>
    <definedName name="_bdm.F6A828CF2B724605A28FA4D36DE5E0EE.edm" hidden="1">#REF!</definedName>
    <definedName name="_bdm.F7132AC7BB4A4C0DA0D7053C053C4CC6.edm" hidden="1">#REF!</definedName>
    <definedName name="_bdm.F74F088D4E344235A54774DAFAC46D4A.edm" hidden="1">#REF!</definedName>
    <definedName name="_bdm.F83612F9F2B74E8580278D9F885F56E7.edm" hidden="1">#REF!</definedName>
    <definedName name="_bdm.F88F076BB6694DC186B3666D010501EC.edm" hidden="1">#REF!</definedName>
    <definedName name="_bdm.F8FC83D03C874DEA8992887C0CAAAF32.edm" hidden="1">#REF!</definedName>
    <definedName name="_bdm.F93EDABDA4534BCF8AFE6848E08D07C8.edm" hidden="1">#REF!</definedName>
    <definedName name="_bdm.fa291217c36549b6b9c1bb4c4656d8d7.edm" hidden="1">#REF!</definedName>
    <definedName name="_bdm.FA76B221A40448DA9B7AF85FF9A6E014.edm" hidden="1">#REF!</definedName>
    <definedName name="_bdm.FA84F58C8C0347EABAB83C6CA9263675.edm" hidden="1">#REF!</definedName>
    <definedName name="_bdm.FAA4AA31B4A048D29FC5CAB93BE9A429.edm" hidden="1">#REF!</definedName>
    <definedName name="_bdm.FACDE5C901294AA6A5A8D69CCFC7EE9F.edm" hidden="1">#REF!</definedName>
    <definedName name="_bdm.FastTrackBookmark.1_30_2020_11_38_46_PM.edm" hidden="1">#REF!</definedName>
    <definedName name="_bdm.FastTrackBookmark.12_10_2005_4_35_12_PM.edm" hidden="1">#REF!</definedName>
    <definedName name="_bdm.FastTrackBookmark.12_10_2005_4_35_13_PM.edm" hidden="1">#REF!</definedName>
    <definedName name="_bdm.FastTrackBookmark.12_14_2005_3_58_56_PM.edm" hidden="1">#REF!</definedName>
    <definedName name="_bdm.FastTrackBookmark.6_30_2009_4_34_16_PM.edm" hidden="1">#REF!</definedName>
    <definedName name="_bdm.FastTrackBookmark.8_23_2004_10_50_33_AM.edm" hidden="1">#REF!</definedName>
    <definedName name="_bdm.FastTrackBookmark.8_23_2004_10_50_37_AM.edm" hidden="1">#REF!</definedName>
    <definedName name="_bdm.FastTrackBookmark.8_23_2004_10_54_30_AM.edm" hidden="1">#REF!</definedName>
    <definedName name="_bdm.FastTrackBookmark.8_23_2004_10_54_40_AM.edm" hidden="1">#REF!</definedName>
    <definedName name="_bdm.FastTrackBookmark.8_23_2004_3_57_07_PM.edm" hidden="1">#REF!</definedName>
    <definedName name="_bdm.FastTrackBookmark.8_23_2004_3_57_16_PM.edm" hidden="1">#REF!</definedName>
    <definedName name="_bdm.FastTrackBookmark.8_23_2004_4_05_53_PM.edm" hidden="1">#REF!</definedName>
    <definedName name="_bdm.FastTrackBookmark.8_23_2004_4_06_00_PM.edm" hidden="1">#REF!</definedName>
    <definedName name="_bdm.FB1E9E00540E472A9C8CFF6D783FC853.edm" hidden="1">#N/A</definedName>
    <definedName name="_bdm.FB72741E774A49088D16A9B2C010ED3A.edm" hidden="1">#REF!</definedName>
    <definedName name="_bdm.FB7F1A7645214169AE2AB6573203C693.edm" hidden="1">#REF!</definedName>
    <definedName name="_bdm.FC33060EBDC242D8A9AC035BB7340F1D.edm" hidden="1">#REF!</definedName>
    <definedName name="_bdm.fd08819146664e47b20649034fa7ce0d.edm" hidden="1">#REF!</definedName>
    <definedName name="_bdm.FD419D728EEE4E35899F2FE5B3B58234.edm" hidden="1">#REF!</definedName>
    <definedName name="_bdm.FD84FAF3D478437DBCC15ECFAC6E8AB9.edm" hidden="1">#REF!</definedName>
    <definedName name="_bdm.FD98FC87081B4B0A8A929F6045D7BEBB.edm" hidden="1">#REF!</definedName>
    <definedName name="_bdm.FE1CF0F9DA8D484BA18FFCE8B6DA2D22.edm" hidden="1">#REF!</definedName>
    <definedName name="_bdm.FE2ACCB92A9846EFA811FA1F5B762938.edm" hidden="1">#REF!</definedName>
    <definedName name="_bdm.FECC922A73CE4ED5AEF0561D82336DED.edm" hidden="1">#REF!</definedName>
    <definedName name="_bdm.FF0A03FB97DA4D188B322E3A6EF53865.edm" hidden="1">#REF!</definedName>
    <definedName name="_bdm.FFD97655F89D4868B19F5A48292E1019.edm" hidden="1">#REF!</definedName>
    <definedName name="_bdm.FFFC152FC94848048D9888D8E2116D1E.edm" hidden="1">#REF!</definedName>
    <definedName name="_bdm.ToolkitBookmark.1_24_2004_11_15_31_PM.edm" hidden="1">#REF!</definedName>
    <definedName name="_bdm.ToolkitBookmark.1_24_2004_8_24_02_PM.edm" hidden="1">#REF!</definedName>
    <definedName name="_bdm.ToolkitBookmark.1_24_2004_8_54_41_PM.edm" hidden="1">#REF!</definedName>
    <definedName name="_bdm.ToolkitBookmark.1_25_2004_9_47_15_PM.edm" hidden="1">#REF!</definedName>
    <definedName name="_bdm.ToolkitBookmark.1_25_2004_9_47_23_PM.edm" hidden="1">#REF!</definedName>
    <definedName name="_bdm.ToolkitBookmark.1_25_2004_9_48_01_PM.edm" hidden="1">#REF!</definedName>
    <definedName name="_Bud02">#REF!</definedName>
    <definedName name="_Bud03">#REF!</definedName>
    <definedName name="_CAM96">#REF!</definedName>
    <definedName name="_CAM97">#REF!</definedName>
    <definedName name="_CAM98">#REF!</definedName>
    <definedName name="_dan1" hidden="1">#REF!</definedName>
    <definedName name="_del1" hidden="1">{"Page1",#N/A,FALSE,"7979";"Page2",#N/A,FALSE,"7979";"Page3",#N/A,FALSE,"7979"}</definedName>
    <definedName name="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ist_Bin" hidden="1">#REF!</definedName>
    <definedName name="_Dist_Values" hidden="1">#REF!</definedName>
    <definedName name="_DPU95">#REF!</definedName>
    <definedName name="_e4" hidden="1">{"new",#N/A,FALSE,"D";"PROFORMA",#N/A,FALSE,"A";"partial 1",#N/A,FALSE,"B";"partial 2",#N/A,FALSE,"B";"partial 3",#N/A,FALSE,"B";"SMALL CF 1",#N/A,FALSE,"C"}</definedName>
    <definedName name="_e4567" hidden="1">{"Status",#N/A,FALSE,"Consol";"StatusDetail",#N/A,FALSE,"Consol"}</definedName>
    <definedName name="_end1">IF([0]!Loan_Amount*[0]!Interest_Rate*[0]!Loan_Years*[0]!Loan_Start&gt;0,1,0)</definedName>
    <definedName name="_EPU01">#REF!</definedName>
    <definedName name="_EPU02">#REF!</definedName>
    <definedName name="_EPU03">#REF!</definedName>
    <definedName name="_EPU04">#REF!</definedName>
    <definedName name="_EPU96">#REF!</definedName>
    <definedName name="_EPU97">#REF!</definedName>
    <definedName name="_EPU98">#REF!</definedName>
    <definedName name="_EPU99">#REF!</definedName>
    <definedName name="_EXP1">#REF!</definedName>
    <definedName name="_fdf1" hidden="1">{"incomemth",#N/A,TRUE,"forecast00";"incomepercentmth",#N/A,TRUE,"forecast00";"balancemth",#N/A,TRUE,"forecast00";"cashmth",#N/A,TRUE,"forecast00";"covenantmth",#N/A,TRUE,"forecast00"}</definedName>
    <definedName name="_fdg1" hidden="1">{"incomemth",#N/A,TRUE,"forecast00";"incomepercentmth",#N/A,TRUE,"forecast00";"balancemth",#N/A,TRUE,"forecast00";"cashmth",#N/A,TRUE,"forecast00";"covenantmth",#N/A,TRUE,"forecast00"}</definedName>
    <definedName name="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eb03" hidden="1">{#N/A,#N/A,FALSE,"Class A";#N/A,#N/A,FALSE,"Class B";#N/A,#N/A,FALSE,"Class C"}</definedName>
    <definedName name="_FG1" hidden="1">{"schedule1",#N/A,FALSE,"Sheet1";"schedule2",#N/A,FALSE,"Sheet1";"schedule3",#N/A,FALSE,"Sheet1";"schedule4",#N/A,FALSE,"Sheet1";"schedule5",#N/A,FALSE,"Sheet1";"schedule6",#N/A,FALSE,"Sheet1"}</definedName>
    <definedName name="_Fil1" hidden="1">#REF!</definedName>
    <definedName name="_Fill" hidden="1">#REF!</definedName>
    <definedName name="_Fill1" hidden="1">#REF!</definedName>
    <definedName name="_Fill2" hidden="1">#REF!</definedName>
    <definedName name="_Fillb" hidden="1">#REF!</definedName>
    <definedName name="_Fillc" hidden="1">#REF!</definedName>
    <definedName name="_Filll" hidden="1">#REF!</definedName>
    <definedName name="_xlnm._FilterDatabase" localSheetId="0" hidden="1">'Pro Forma'!$B$3:$G$11</definedName>
    <definedName name="_xlnm._FilterDatabase" hidden="1">#REF!</definedName>
    <definedName name="_FL" hidden="1">#REF!</definedName>
    <definedName name="_fx2" hidden="1">#REF!</definedName>
    <definedName name="_FX2006" hidden="1">{#N/A,#N/A,FALSE,"Aging Summary";#N/A,#N/A,FALSE,"Ratio Analysis";#N/A,#N/A,FALSE,"Test 120 Day Accts";#N/A,#N/A,FALSE,"Tickmarks"}</definedName>
    <definedName name="_gf1" hidden="1">{"incomemth",#N/A,TRUE,"forecast00";"incomepercentmth",#N/A,TRUE,"forecast00";"balancemth",#N/A,TRUE,"forecast00";"cashmth",#N/A,TRUE,"forecast00";"covenantmth",#N/A,TRUE,"forecast00"}</definedName>
    <definedName name="_gfd2" hidden="1">{#N/A,#N/A,FALSE,"Cashflow Analysis";#N/A,#N/A,FALSE,"Sensitivity Analysis";#N/A,#N/A,FALSE,"PV";#N/A,#N/A,FALSE,"Pro Forma"}</definedName>
    <definedName name="_INC01">#REF!</definedName>
    <definedName name="_INC02">#REF!</definedName>
    <definedName name="_INC03">#REF!</definedName>
    <definedName name="_INC04">#REF!</definedName>
    <definedName name="_INC05">#REF!</definedName>
    <definedName name="_INC95">#REF!</definedName>
    <definedName name="_INC96">#REF!</definedName>
    <definedName name="_INC97">#REF!</definedName>
    <definedName name="_INC98">#REF!</definedName>
    <definedName name="_INC99">#REF!</definedName>
    <definedName name="_jc1" hidden="1">{"'Cash Requirements 5F '!$A$1:$AC$48"}</definedName>
    <definedName name="_jc2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_jc3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jc4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k" hidden="1">{#N/A,#N/A,FALSE,"Project Properties";#N/A,#N/A,FALSE,"Eng %";#N/A,#N/A,FALSE,"ENGFORM";#N/A,#N/A,FALSE,"staffing";#N/A,#N/A,FALSE,"spending"}</definedName>
    <definedName name="_KAW999929" hidden="1">#REF!</definedName>
    <definedName name="_KAW999934" hidden="1">#REF!</definedName>
    <definedName name="_Key" hidden="1">#REF!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Key5" hidden="1">#REF!</definedName>
    <definedName name="_Key6" hidden="1">#REF!</definedName>
    <definedName name="_Key8" hidden="1">#REF!</definedName>
    <definedName name="_Key9" hidden="1">#REF!</definedName>
    <definedName name="_keyl2" hidden="1">#REF!</definedName>
    <definedName name="_ky1" hidden="1">#REF!</definedName>
    <definedName name="_LTC2">#REF!</definedName>
    <definedName name="_Market">#REF!</definedName>
    <definedName name="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MGF197">#REF!</definedName>
    <definedName name="_MGF198">#REF!</definedName>
    <definedName name="_MGF199">#REF!</definedName>
    <definedName name="_MGF297">#REF!</definedName>
    <definedName name="_MGF298">#REF!</definedName>
    <definedName name="_MGF299">#REF!</definedName>
    <definedName name="_MI101">#REF!</definedName>
    <definedName name="_MI102">#REF!</definedName>
    <definedName name="_MI103">#REF!</definedName>
    <definedName name="_MI104">#REF!</definedName>
    <definedName name="_MI105">#REF!</definedName>
    <definedName name="_MI106">#REF!</definedName>
    <definedName name="_MI107">#REF!</definedName>
    <definedName name="_MI108">#REF!</definedName>
    <definedName name="_MI109">#REF!</definedName>
    <definedName name="_MI110">#REF!</definedName>
    <definedName name="_MI111">#REF!</definedName>
    <definedName name="_MI112">#REF!</definedName>
    <definedName name="_MI201">#REF!</definedName>
    <definedName name="_MI202">#REF!</definedName>
    <definedName name="_MI203">#REF!</definedName>
    <definedName name="_MI204">#REF!</definedName>
    <definedName name="_MI205">#REF!</definedName>
    <definedName name="_MI206">#REF!</definedName>
    <definedName name="_MI207">#REF!</definedName>
    <definedName name="_MI208">#REF!</definedName>
    <definedName name="_MI209">#REF!</definedName>
    <definedName name="_MI210">#REF!</definedName>
    <definedName name="_MI211">#REF!</definedName>
    <definedName name="_MI212">#REF!</definedName>
    <definedName name="_MI301">#REF!</definedName>
    <definedName name="_MI302">#REF!</definedName>
    <definedName name="_MI303">#REF!</definedName>
    <definedName name="_MI304">#REF!</definedName>
    <definedName name="_MI305">#REF!</definedName>
    <definedName name="_MI306">#REF!</definedName>
    <definedName name="_MI307">#REF!</definedName>
    <definedName name="_MI308">#REF!</definedName>
    <definedName name="_MI309">#REF!</definedName>
    <definedName name="_MI310">#REF!</definedName>
    <definedName name="_MI311">#REF!</definedName>
    <definedName name="_MI312">#REF!</definedName>
    <definedName name="_MI401">#REF!</definedName>
    <definedName name="_Mkt101">#REF!</definedName>
    <definedName name="_Mkt102">#REF!</definedName>
    <definedName name="_Mkt103">#REF!</definedName>
    <definedName name="_Mkt104">#REF!</definedName>
    <definedName name="_Mkt105">#REF!</definedName>
    <definedName name="_Mkt106">#REF!</definedName>
    <definedName name="_Mkt107">#REF!</definedName>
    <definedName name="_Mkt108">#REF!</definedName>
    <definedName name="_MKt109">#REF!</definedName>
    <definedName name="_Mkt110">#REF!</definedName>
    <definedName name="_MKt111">#REF!</definedName>
    <definedName name="_Mkt112">#REF!</definedName>
    <definedName name="_Mkt201">#REF!</definedName>
    <definedName name="_Mkt202">#REF!</definedName>
    <definedName name="_Mkt203">#REF!</definedName>
    <definedName name="_Mkt204">#REF!</definedName>
    <definedName name="_Mkt205">#REF!</definedName>
    <definedName name="_Mkt206">#REF!</definedName>
    <definedName name="_Mkt207">#REF!</definedName>
    <definedName name="_Mkt208">#REF!</definedName>
    <definedName name="_Mkt209">#REF!</definedName>
    <definedName name="_Mkt210">#REF!</definedName>
    <definedName name="_Mkt211">#REF!</definedName>
    <definedName name="_Mkt212">#REF!</definedName>
    <definedName name="_Mkt301">#REF!</definedName>
    <definedName name="_Mkt302">#REF!</definedName>
    <definedName name="_Mkt303">#REF!</definedName>
    <definedName name="_Mkt304">#REF!</definedName>
    <definedName name="_Mkt305">#REF!</definedName>
    <definedName name="_Mkt306">#REF!</definedName>
    <definedName name="_Mkt307">#REF!</definedName>
    <definedName name="_Mkt308">#REF!</definedName>
    <definedName name="_MKt309">#REF!</definedName>
    <definedName name="_Mkt310">#REF!</definedName>
    <definedName name="_MKt311">#REF!</definedName>
    <definedName name="_MKt312">#REF!</definedName>
    <definedName name="_MO101">#REF!</definedName>
    <definedName name="_MO102">#REF!</definedName>
    <definedName name="_MO103">#REF!</definedName>
    <definedName name="_MO104">#REF!</definedName>
    <definedName name="_MO105">#REF!</definedName>
    <definedName name="_MO106">#REF!</definedName>
    <definedName name="_MO107">#REF!</definedName>
    <definedName name="_MO108">#REF!</definedName>
    <definedName name="_MO109">#REF!</definedName>
    <definedName name="_MO110">#REF!</definedName>
    <definedName name="_MO111">#REF!</definedName>
    <definedName name="_MO112">#REF!</definedName>
    <definedName name="_MO201">#REF!</definedName>
    <definedName name="_MO202">#REF!</definedName>
    <definedName name="_MO203">#REF!</definedName>
    <definedName name="_MO204">#REF!</definedName>
    <definedName name="_MO205">#REF!</definedName>
    <definedName name="_MO206">#REF!</definedName>
    <definedName name="_MO207">#REF!</definedName>
    <definedName name="_MO208">#REF!</definedName>
    <definedName name="_MO209">#REF!</definedName>
    <definedName name="_MO210">#REF!</definedName>
    <definedName name="_MO211">#REF!</definedName>
    <definedName name="_MO212">#REF!</definedName>
    <definedName name="_MO301">#REF!</definedName>
    <definedName name="_MO302">#REF!</definedName>
    <definedName name="_MO303">#REF!</definedName>
    <definedName name="_MO304">#REF!</definedName>
    <definedName name="_MO305">#REF!</definedName>
    <definedName name="_MO306">#REF!</definedName>
    <definedName name="_MO307">#REF!</definedName>
    <definedName name="_MO308">#REF!</definedName>
    <definedName name="_MO309">#REF!</definedName>
    <definedName name="_MO310">#REF!</definedName>
    <definedName name="_MO311">#REF!</definedName>
    <definedName name="_MO312">#REF!</definedName>
    <definedName name="_MR2000">#REF!</definedName>
    <definedName name="_MR2001">#REF!</definedName>
    <definedName name="_MRG2" hidden="1">{"INCOME",#N/A,FALSE,"ProNet";"VALUE",#N/A,FALSE,"ProNet"}</definedName>
    <definedName name="_MTM">#REF!</definedName>
    <definedName name="_new" hidden="1">#REF!</definedName>
    <definedName name="_new1">#REF!</definedName>
    <definedName name="_new2" hidden="1">{"'B-2 QSER Jun 98 4-27-98 cor'!$A$1:$F$57"}</definedName>
    <definedName name="_new5" hidden="1">{"'B-2 QSER Jun 98 4-27-98 cor'!$A$1:$F$57"}</definedName>
    <definedName name="_NTA01">#REF!</definedName>
    <definedName name="_NTA02">#REF!</definedName>
    <definedName name="_NTA03">#REF!</definedName>
    <definedName name="_NTA04">#REF!</definedName>
    <definedName name="_NTA05">#REF!</definedName>
    <definedName name="_NTA95">#REF!</definedName>
    <definedName name="_NTA98">#REF!</definedName>
    <definedName name="_NTA99">#REF!</definedName>
    <definedName name="_OC201">#REF!</definedName>
    <definedName name="_OC202">#REF!</definedName>
    <definedName name="_OC203">#REF!</definedName>
    <definedName name="_OC204">#REF!</definedName>
    <definedName name="_OC205">#REF!</definedName>
    <definedName name="_OC206">#REF!</definedName>
    <definedName name="_OC207">#REF!</definedName>
    <definedName name="_OC208">#REF!</definedName>
    <definedName name="_OC209">#REF!</definedName>
    <definedName name="_OC210">#REF!</definedName>
    <definedName name="_OC211">#REF!</definedName>
    <definedName name="_OC212">#REF!</definedName>
    <definedName name="_OC301">#REF!</definedName>
    <definedName name="_OC302">#REF!</definedName>
    <definedName name="_OC303">#REF!</definedName>
    <definedName name="_OC304">#REF!</definedName>
    <definedName name="_OC305">#REF!</definedName>
    <definedName name="_OC306">#REF!</definedName>
    <definedName name="_OC307">#REF!</definedName>
    <definedName name="_OC308">#REF!</definedName>
    <definedName name="_OC309">#REF!</definedName>
    <definedName name="_OC310">#REF!</definedName>
    <definedName name="_OC311">#REF!</definedName>
    <definedName name="_OC312">#REF!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ld2" hidden="1">{#N/A,#N/A,FALSE,"Chart 2 by Prop Type"}</definedName>
    <definedName name="_Order1" hidden="1">255</definedName>
    <definedName name="_Order1_1" hidden="1">255</definedName>
    <definedName name="_Order2" hidden="1">255</definedName>
    <definedName name="_OrderA" hidden="1">0</definedName>
    <definedName name="_OtherInc">#REF!</definedName>
    <definedName name="_Parse_In" hidden="1">#REF!</definedName>
    <definedName name="_Parse_Out" hidden="1">#REF!</definedName>
    <definedName name="_Ppm2" hidden="1">{"data",#N/A,FALSE,"INPUT"}</definedName>
    <definedName name="_Q2NAME">#REF!</definedName>
    <definedName name="_Regression_Int" hidden="1">1</definedName>
    <definedName name="_Regression_Out" hidden="1">#REF!</definedName>
    <definedName name="_regression_out1" hidden="1">#REF!</definedName>
    <definedName name="_Regression_X" hidden="1">#REF!</definedName>
    <definedName name="_regression_x1" hidden="1">#REF!</definedName>
    <definedName name="_Regression_Y" hidden="1">#REF!</definedName>
    <definedName name="_regression_y1" hidden="1">#REF!</definedName>
    <definedName name="_RM2000">#REF!</definedName>
    <definedName name="_RM2001">#REF!</definedName>
    <definedName name="_RN101">#REF!</definedName>
    <definedName name="_RN102">#REF!</definedName>
    <definedName name="_RN103">#REF!</definedName>
    <definedName name="_RN104">#REF!</definedName>
    <definedName name="_RN105">#REF!</definedName>
    <definedName name="_RN106">#REF!</definedName>
    <definedName name="_RN107">#REF!</definedName>
    <definedName name="_RN108">#REF!</definedName>
    <definedName name="_RN109">#REF!</definedName>
    <definedName name="_RN110">#REF!</definedName>
    <definedName name="_RN111">#REF!</definedName>
    <definedName name="_RN112">#REF!</definedName>
    <definedName name="_RN201">#REF!</definedName>
    <definedName name="_RN202">#REF!</definedName>
    <definedName name="_RN203">#REF!</definedName>
    <definedName name="_RN204">#REF!</definedName>
    <definedName name="_RN205">#REF!</definedName>
    <definedName name="_RN206">#REF!</definedName>
    <definedName name="_RN207">#REF!</definedName>
    <definedName name="_RN208">#REF!</definedName>
    <definedName name="_RN209">#REF!</definedName>
    <definedName name="_RN210">#REF!</definedName>
    <definedName name="_RN211">#REF!</definedName>
    <definedName name="_RN212">#REF!</definedName>
    <definedName name="_RN301">#REF!</definedName>
    <definedName name="_RN302">#REF!</definedName>
    <definedName name="_RN303">#REF!</definedName>
    <definedName name="_RN304">#REF!</definedName>
    <definedName name="_RN305">#REF!</definedName>
    <definedName name="_RN306">#REF!</definedName>
    <definedName name="_RN307">#REF!</definedName>
    <definedName name="_RN308">#REF!</definedName>
    <definedName name="_RN309">#REF!</definedName>
    <definedName name="_RN310">#REF!</definedName>
    <definedName name="_RN311">#REF!</definedName>
    <definedName name="_RN312">#REF!</definedName>
    <definedName name="_s2" hidden="1">{"'Expirations'!$A$1:$L$65"}</definedName>
    <definedName name="_sad2" hidden="1">{"MonthlyRentRoll",#N/A,FALSE,"RentRoll"}</definedName>
    <definedName name="_scenchg_count" hidden="1">7</definedName>
    <definedName name="_scenchg1" hidden="1">#REF!</definedName>
    <definedName name="_scenchg2" hidden="1">#REF!</definedName>
    <definedName name="_scenchg3" hidden="1">#REF!</definedName>
    <definedName name="_scenchg4" hidden="1">#REF!</definedName>
    <definedName name="_scenchg5" hidden="1">#REF!</definedName>
    <definedName name="_scenchg6" hidden="1">#REF!</definedName>
    <definedName name="_scenchg7" hidden="1">#REF!</definedName>
    <definedName name="_Sort" hidden="1">#REF!</definedName>
    <definedName name="_sort2" hidden="1">#REF!</definedName>
    <definedName name="_sum1" hidden="1">{#N/A,#N/A,FALSE,"Notes";#N/A,#N/A,FALSE,"Loan Value";"CashFlowSummary Quarterly",#N/A,FALSE,"CashFlowSummary";"InvestorSummary Quarterly",#N/A,FALSE,"InvestorSummary";#N/A,#N/A,FALSE,"RevenueAssumptions";"MasterCostAssmp Quarterly",#N/A,FALSE,"MasterCostAssmp";#N/A,#N/A,FALSE,"InTractCstAssmp";"Lot Takedowns Quarterly",#N/A,FALSE,"LotTakedowns"}</definedName>
    <definedName name="_T" hidden="1">#REF!</definedName>
    <definedName name="_Tab2_In2" hidden="1">#REF!</definedName>
    <definedName name="_Table1_In1" hidden="1">#REF!</definedName>
    <definedName name="_Table1_In2" hidden="1">#REF!</definedName>
    <definedName name="_Table1_Out" hidden="1">#REF!</definedName>
    <definedName name="_Table2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able3_In3" hidden="1">#REF!</definedName>
    <definedName name="_TL" hidden="1">#REF!</definedName>
    <definedName name="_TMAutoChart1Names" hidden="1">{"YTD","Chart 1","YTD Chart 1"}</definedName>
    <definedName name="_TMAutoChart1Refs" hidden="1">{"","","'YTD'!$AB$20","","","","","","","","","","","","","","","","",""}</definedName>
    <definedName name="_TMAutoChart2Names" hidden="1">{"Mth","Chart 1","Mth Chart 1"}</definedName>
    <definedName name="_TMAutoChart2Refs" hidden="1">{"","","'Mth'!$AB$20","","","","","","","","","","","","","","","","",""}</definedName>
    <definedName name="_TMAutoChart3Names" hidden="1">{"YTD","Chart 2","Mth Chart 2"}</definedName>
    <definedName name="_TMAutoChart3Refs" hidden="1">{"","","'YTD'!$AB$20","","","","","","","","","","","","","","","","",""}</definedName>
    <definedName name="_TMAutoChart4Names" hidden="1">{"Mth","Chart 1","Mth Chart 1"}</definedName>
    <definedName name="_TMAutoChart4Refs" hidden="1">{"","","'Mth'!$AB$20","","","","","","","","","","","","","","","","",""}</definedName>
    <definedName name="_TMAutoChart5Names" hidden="1">{"Mth","Chart 1","Mth Chart 1"}</definedName>
    <definedName name="_TMAutoChart5Refs" hidden="1">{"","","'Mth'!$AB$20","","","","","","","","","","","","","","","","",""}</definedName>
    <definedName name="_TMAutoChart6Names" hidden="1">{"YTD","Chart 2","YTD Chart 2"}</definedName>
    <definedName name="_TMAutoChart6Refs" hidden="1">{"","","'YTD'!$AB$20","","","","","","","","","","","","","","","","",""}</definedName>
    <definedName name="_TMAutoChartCount" hidden="1">6</definedName>
    <definedName name="_v" hidden="1">#REF!</definedName>
    <definedName name="_v2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_Vacant">#REF!</definedName>
    <definedName name="_w" hidden="1">{#N/A,#N/A,FALSE,"Project Properties";#N/A,#N/A,FALSE,"Eng %";#N/A,#N/A,FALSE,"ENGFORM";#N/A,#N/A,FALSE,"staffing";#N/A,#N/A,FALSE,"spending"}</definedName>
    <definedName name="_Whatever" hidden="1">#REF!</definedName>
    <definedName name="_wmp1" hidden="1">{#N/A,#N/A,FALSE,"ENVIRONMENTAL"}</definedName>
    <definedName name="_wpm1" hidden="1">{#N/A,#N/A,FALSE,"LOAN ANALYSIS"}</definedName>
    <definedName name="_wrn.Aging._.and._.Trend._.Analysis" hidden="1">{#N/A,#N/A,FALSE,"Aging Summary";#N/A,#N/A,FALSE,"Ratio Analysis";#N/A,#N/A,FALSE,"Test 120 Day Accts";#N/A,#N/A,FALSE,"Tickmarks"}</definedName>
    <definedName name="_wrn1" localSheetId="0" hidden="1">{"schedule1",#N/A,FALSE,"Sheet1";"schedule2",#N/A,FALSE,"Sheet1";"schedule3",#N/A,FALSE,"Sheet1";"schedule4",#N/A,FALSE,"Sheet1";"schedule5",#N/A,FALSE,"Sheet1";"schedule6",#N/A,FALSE,"Sheet1"}</definedName>
    <definedName name="_wrn1" hidden="1">{"schedule1",#N/A,FALSE,"Sheet1";"schedule2",#N/A,FALSE,"Sheet1";"schedule3",#N/A,FALSE,"Sheet1";"schedule4",#N/A,FALSE,"Sheet1";"schedule5",#N/A,FALSE,"Sheet1";"schedule6",#N/A,FALSE,"Sheet1"}</definedName>
    <definedName name="_wrn1_1" hidden="1">{"schedule1",#N/A,FALSE,"Sheet1";"schedule2",#N/A,FALSE,"Sheet1";"schedule3",#N/A,FALSE,"Sheet1";"schedule4",#N/A,FALSE,"Sheet1";"schedule5",#N/A,FALSE,"Sheet1";"schedule6",#N/A,FALSE,"Sheet1"}</definedName>
    <definedName name="_wrn1_2" hidden="1">{"schedule1",#N/A,FALSE,"Sheet1";"schedule2",#N/A,FALSE,"Sheet1";"schedule3",#N/A,FALSE,"Sheet1";"schedule4",#N/A,FALSE,"Sheet1";"schedule5",#N/A,FALSE,"Sheet1";"schedule6",#N/A,FALSE,"Sheet1"}</definedName>
    <definedName name="_wrn1_3" hidden="1">{"schedule1",#N/A,FALSE,"Sheet1";"schedule2",#N/A,FALSE,"Sheet1";"schedule3",#N/A,FALSE,"Sheet1";"schedule4",#N/A,FALSE,"Sheet1";"schedule5",#N/A,FALSE,"Sheet1";"schedule6",#N/A,FALSE,"Sheet1"}</definedName>
    <definedName name="_wrn1_4" hidden="1">{"schedule1",#N/A,FALSE,"Sheet1";"schedule2",#N/A,FALSE,"Sheet1";"schedule3",#N/A,FALSE,"Sheet1";"schedule4",#N/A,FALSE,"Sheet1";"schedule5",#N/A,FALSE,"Sheet1";"schedule6",#N/A,FALSE,"Sheet1"}</definedName>
    <definedName name="_wrn2" hidden="1">{"schedule1",#N/A,FALSE,"Sheet1";"schedule2",#N/A,FALSE,"Sheet1";"schedule3",#N/A,FALSE,"Sheet1";"schedule4",#N/A,FALSE,"Sheet1";"schedule5",#N/A,FALSE,"Sheet1";"schedule6",#N/A,FALSE,"Sheet1"}</definedName>
    <definedName name="_wrn3" hidden="1">{#N/A,#N/A,FALSE,"Aging Summary";#N/A,#N/A,FALSE,"Ratio Analysis";#N/A,#N/A,FALSE,"Test 120 Day Accts";#N/A,#N/A,FALSE,"Tickmarks"}</definedName>
    <definedName name="_wrn4" hidden="1">{"data",#N/A,FALSE,"INPUT"}</definedName>
    <definedName name="_x1" hidden="1">{#N/A,#N/A,FALSE,"WATCHDSC";#N/A,#N/A,FALSE,"2LOSSMOD";#N/A,#N/A,FALSE,"2LOSS";#N/A,#N/A,FALSE,"DSC";#N/A,#N/A,FALSE,"OPERAT";#N/A,#N/A,FALSE,"ADJUST";#N/A,#N/A,FALSE,"LEASE EXPIRE"}</definedName>
    <definedName name="_x2" hidden="1">{#N/A,#N/A,FALSE,"WATCHDSC";#N/A,#N/A,FALSE,"2LOSSMOD";#N/A,#N/A,FALSE,"2LOSS";#N/A,#N/A,FALSE,"DSC";#N/A,#N/A,FALSE,"OPERAT";#N/A,#N/A,FALSE,"ADJUST";#N/A,#N/A,FALSE,"LEASE EXPIRE"}</definedName>
    <definedName name="_x3" hidden="1">{#N/A,#N/A,FALSE,"WATCHDSC";#N/A,#N/A,FALSE,"2LOSSMOD";#N/A,#N/A,FALSE,"2LOSS";#N/A,#N/A,FALSE,"DSC";#N/A,#N/A,FALSE,"OPERAT";#N/A,#N/A,FALSE,"ADJUST";#N/A,#N/A,FALSE,"LEASE EXPIRE"}</definedName>
    <definedName name="_y1" hidden="1">#REF!</definedName>
    <definedName name="_y2" hidden="1">#REF!</definedName>
    <definedName name="_y3" hidden="1">#REF!</definedName>
    <definedName name="_y4" hidden="1">#REF!</definedName>
    <definedName name="_y5" hidden="1">#REF!</definedName>
    <definedName name="_Yr02">#REF!</definedName>
    <definedName name="_Yr03">#REF!</definedName>
    <definedName name="_yr4" hidden="1">#REF!</definedName>
    <definedName name="_z1" hidden="1">{"Commish",#N/A,FALSE,"LAWTC"}</definedName>
    <definedName name="\" hidden="1">{#N/A,#N/A,TRUE,"Cap Budget";#N/A,#N/A,TRUE,"Sources &amp; Uses";#N/A,#N/A,TRUE,"All Closing Disbursements";#N/A,#N/A,TRUE,"Title Co Instructions";#N/A,#N/A,TRUE,"Title Co  - Tranche A";#N/A,#N/A,TRUE,"Title Co - Tranche B";#N/A,#N/A,TRUE,"Lender Summary";#N/A,#N/A,TRUE,"Lender Summary- Tranche A";#N/A,#N/A,TRUE,"Lender - Tranche B";#N/A,#N/A,TRUE,"Closing Prorations";#N/A,#N/A,TRUE,"JV &amp; PWREF Wire Transfers";#N/A,#N/A,TRUE,"Cost Aggregation";#N/A,#N/A,TRUE,"Escrow Accounts";#N/A,#N/A,TRUE,"Inputs"}</definedName>
    <definedName name="\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I">#REF!</definedName>
    <definedName name="\k">#N/A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v">#N/A</definedName>
    <definedName name="\X">#REF!</definedName>
    <definedName name="\y">#REF!</definedName>
    <definedName name="\Z">#REF!</definedName>
    <definedName name="a" hidden="1">{"AnnualRentRoll",#N/A,FALSE,"RentRoll"}</definedName>
    <definedName name="a_Key1" hidden="1">#REF!</definedName>
    <definedName name="a_Key2" hidden="1">#REF!</definedName>
    <definedName name="a1a1" hidden="1">{"Assump",#N/A,TRUE,"Proforma";"first",#N/A,TRUE,"Proforma";"second",#N/A,TRUE,"Proforma";"lease1",#N/A,TRUE,"Proforma";"lease2",#N/A,TRUE,"Proforma"}</definedName>
    <definedName name="A6.0">#REF!</definedName>
    <definedName name="A6B">#REF!</definedName>
    <definedName name="A6B4">#REF!</definedName>
    <definedName name="aa" hidden="1">{"AnnualRentRoll",#N/A,FALSE,"RentRoll"}</definedName>
    <definedName name="aa.2" hidden="1">{#N/A,#N/A,FALSE,"Cashflow Analysis";#N/A,#N/A,FALSE,"Sensitivity Analysis";#N/A,#N/A,FALSE,"PV";#N/A,#N/A,FALSE,"Pro Forma"}</definedName>
    <definedName name="aa3e43" hidden="1">#REF!</definedName>
    <definedName name="aaa" hidden="1">{"AnnualRentRoll",#N/A,FALSE,"RentRoll"}</definedName>
    <definedName name="AAA_DOCTOPS" hidden="1">"AAA_SET"</definedName>
    <definedName name="AAA_duser" hidden="1">"OFF"</definedName>
    <definedName name="aaaa" hidden="1">#REF!</definedName>
    <definedName name="aaaaa" hidden="1">#REF!</definedName>
    <definedName name="aaaaaaa" localSheetId="0" hidden="1">{"Outflow 1",#N/A,FALSE,"Outflows-Inflows";"Outflow 2",#N/A,FALSE,"Outflows-Inflows";"Inflow 1",#N/A,FALSE,"Outflows-Inflows";"Inflow 2",#N/A,FALSE,"Outflows-Inflows"}</definedName>
    <definedName name="aaaaaaa" hidden="1">{"Outflow 1",#N/A,FALSE,"Outflows-Inflows";"Outflow 2",#N/A,FALSE,"Outflows-Inflows";"Inflow 1",#N/A,FALSE,"Outflows-Inflows";"Inflow 2",#N/A,FALSE,"Outflows-Inflows"}</definedName>
    <definedName name="aaaaaaa_1" hidden="1">{"Outflow 1",#N/A,FALSE,"Outflows-Inflows";"Outflow 2",#N/A,FALSE,"Outflows-Inflows";"Inflow 1",#N/A,FALSE,"Outflows-Inflows";"Inflow 2",#N/A,FALSE,"Outflows-Inflows"}</definedName>
    <definedName name="aaaaaaa_2" hidden="1">{"Outflow 1",#N/A,FALSE,"Outflows-Inflows";"Outflow 2",#N/A,FALSE,"Outflows-Inflows";"Inflow 1",#N/A,FALSE,"Outflows-Inflows";"Inflow 2",#N/A,FALSE,"Outflows-Inflows"}</definedName>
    <definedName name="aaaaaaa_3" hidden="1">{"Outflow 1",#N/A,FALSE,"Outflows-Inflows";"Outflow 2",#N/A,FALSE,"Outflows-Inflows";"Inflow 1",#N/A,FALSE,"Outflows-Inflows";"Inflow 2",#N/A,FALSE,"Outflows-Inflows"}</definedName>
    <definedName name="aaaaaaa_4" hidden="1">{"Outflow 1",#N/A,FALSE,"Outflows-Inflows";"Outflow 2",#N/A,FALSE,"Outflows-Inflows";"Inflow 1",#N/A,FALSE,"Outflows-Inflows";"Inflow 2",#N/A,FALSE,"Outflows-Inflows"}</definedName>
    <definedName name="aaaaaaa1" localSheetId="0" hidden="1">{"Outflow 1",#N/A,FALSE,"Outflows-Inflows";"Outflow 2",#N/A,FALSE,"Outflows-Inflows";"Inflow 1",#N/A,FALSE,"Outflows-Inflows";"Inflow 2",#N/A,FALSE,"Outflows-Inflows"}</definedName>
    <definedName name="aaaaaaa1" hidden="1">{"Outflow 1",#N/A,FALSE,"Outflows-Inflows";"Outflow 2",#N/A,FALSE,"Outflows-Inflows";"Inflow 1",#N/A,FALSE,"Outflows-Inflows";"Inflow 2",#N/A,FALSE,"Outflows-Inflows"}</definedName>
    <definedName name="aaaaaaa1_1" hidden="1">{"Outflow 1",#N/A,FALSE,"Outflows-Inflows";"Outflow 2",#N/A,FALSE,"Outflows-Inflows";"Inflow 1",#N/A,FALSE,"Outflows-Inflows";"Inflow 2",#N/A,FALSE,"Outflows-Inflows"}</definedName>
    <definedName name="aaaaaaa1_2" hidden="1">{"Outflow 1",#N/A,FALSE,"Outflows-Inflows";"Outflow 2",#N/A,FALSE,"Outflows-Inflows";"Inflow 1",#N/A,FALSE,"Outflows-Inflows";"Inflow 2",#N/A,FALSE,"Outflows-Inflows"}</definedName>
    <definedName name="aaaaaaa1_3" hidden="1">{"Outflow 1",#N/A,FALSE,"Outflows-Inflows";"Outflow 2",#N/A,FALSE,"Outflows-Inflows";"Inflow 1",#N/A,FALSE,"Outflows-Inflows";"Inflow 2",#N/A,FALSE,"Outflows-Inflows"}</definedName>
    <definedName name="aaaaaaa1_4" hidden="1">{"Outflow 1",#N/A,FALSE,"Outflows-Inflows";"Outflow 2",#N/A,FALSE,"Outflows-Inflows";"Inflow 1",#N/A,FALSE,"Outflows-Inflows";"Inflow 2",#N/A,FALSE,"Outflows-Inflows"}</definedName>
    <definedName name="aaaaaaaaaa" hidden="1">{"FCB_ALL",#N/A,FALSE,"FCB";"GREY_ALL",#N/A,FALSE,"GREY"}</definedName>
    <definedName name="aaaab" hidden="1">{#N/A,#N/A,FALSE,"Project Properties";#N/A,#N/A,FALSE,"Eng %";#N/A,#N/A,FALSE,"ENGFORM";#N/A,#N/A,FALSE,"staffing";#N/A,#N/A,FALSE,"spending"}</definedName>
    <definedName name="aaaattt" hidden="1">{#N/A,#N/A,TRUE,"Cover &amp; Contents";#N/A,#N/A,TRUE,"Net Assets &amp; Ops &amp; #Units";#N/A,#N/A,TRUE,"NAV per unit";#N/A,#N/A,TRUE,"Cashflow &amp; RE";#N/A,#N/A,TRUE,"Notes 1-2";#N/A,#N/A,TRUE,"Notes 3-8";#N/A,#N/A,TRUE,"Notes 9-10";#N/A,#N/A,TRUE,"Notes 11-17";#N/A,#N/A,TRUE,"Notes 18-19";#N/A,#N/A,TRUE,"Notes 20-";#N/A,#N/A,TRUE,"Cos 1";#N/A,#N/A,TRUE,"Cos 2";#N/A,#N/A,TRUE,"App I";#N/A,#N/A,TRUE,"App II"}</definedName>
    <definedName name="aab" hidden="1">{#N/A,#N/A,TRUE,"A-site";#N/A,#N/A,TRUE,"B-Buildings";#N/A,#N/A,TRUE,"c-out-of-fence";#N/A,#N/A,TRUE,"d-proj.infr.";#N/A,#N/A,TRUE,"e- land"}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ghteasfdbdsf" hidden="1">#REF!</definedName>
    <definedName name="aasdfa" localSheetId="0" hidden="1">{"rtn",#N/A,FALSE,"RTN";"tables",#N/A,FALSE,"RTN";"cf",#N/A,FALSE,"CF";"stats",#N/A,FALSE,"Stats";"prop",#N/A,FALSE,"Prop"}</definedName>
    <definedName name="aasdfa" hidden="1">{"rtn",#N/A,FALSE,"RTN";"tables",#N/A,FALSE,"RTN";"cf",#N/A,FALSE,"CF";"stats",#N/A,FALSE,"Stats";"prop",#N/A,FALSE,"Prop"}</definedName>
    <definedName name="aasdfa_1" hidden="1">{"rtn",#N/A,FALSE,"RTN";"tables",#N/A,FALSE,"RTN";"cf",#N/A,FALSE,"CF";"stats",#N/A,FALSE,"Stats";"prop",#N/A,FALSE,"Prop"}</definedName>
    <definedName name="aasdfa_2" hidden="1">{"rtn",#N/A,FALSE,"RTN";"tables",#N/A,FALSE,"RTN";"cf",#N/A,FALSE,"CF";"stats",#N/A,FALSE,"Stats";"prop",#N/A,FALSE,"Prop"}</definedName>
    <definedName name="aasdfa_3" hidden="1">{"rtn",#N/A,FALSE,"RTN";"tables",#N/A,FALSE,"RTN";"cf",#N/A,FALSE,"CF";"stats",#N/A,FALSE,"Stats";"prop",#N/A,FALSE,"Prop"}</definedName>
    <definedName name="aasdfa_4" hidden="1">{"rtn",#N/A,FALSE,"RTN";"tables",#N/A,FALSE,"RTN";"cf",#N/A,FALSE,"CF";"stats",#N/A,FALSE,"Stats";"prop",#N/A,FALSE,"Prop"}</definedName>
    <definedName name="ab" hidden="1">{#N/A,#N/A,TRUE,"Ericsson Stadium PCD ";#N/A,#N/A,TRUE,"Ericsson Stadium IOR"}</definedName>
    <definedName name="ab_condo" hidden="1">{#N/A,#N/A,TRUE,"Ericsson Stadium PCD ";#N/A,#N/A,TRUE,"Ericsson Stadium IOR"}</definedName>
    <definedName name="abc" hidden="1">{#N/A,#N/A,FALSE,"Broker Sheet";#N/A,#N/A,FALSE,"Exec.Summary";#N/A,#N/A,FALSE,"Argus Cash Flow";#N/A,#N/A,FALSE,"SPF";#N/A,#N/A,FALSE,"RentRoll"}</definedName>
    <definedName name="ABC_old" hidden="1">{"CHART",#N/A,FALSE,"Arch Communications"}</definedName>
    <definedName name="abcd" hidden="1">{"Zone1",#N/A,FALSE,"Parameters";"Zone2",#N/A,FALSE,"Parameters"}</definedName>
    <definedName name="abm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AccDate">#REF!</definedName>
    <definedName name="Access_Button">"Loan_Front_End_Input_List"</definedName>
    <definedName name="AccessCode" hidden="1">""""</definedName>
    <definedName name="AccessDatabase">"C:\My Documents\DAVE\MODELS\Cash at Risk\Loan Front End.mdb"</definedName>
    <definedName name="AccruedExpenses">#REF!</definedName>
    <definedName name="accts">#REF!</definedName>
    <definedName name="Acq_Date">#REF!</definedName>
    <definedName name="acqdate">#REF!</definedName>
    <definedName name="acqp1">#REF!</definedName>
    <definedName name="acqp2">#REF!</definedName>
    <definedName name="acqp3">#REF!</definedName>
    <definedName name="acqp4">#REF!</definedName>
    <definedName name="acqp5">#REF!</definedName>
    <definedName name="ACQSUM">#REF!</definedName>
    <definedName name="Acquisition_Date">#REF!</definedName>
    <definedName name="Active_Case">#REF!</definedName>
    <definedName name="actthru">#REF!</definedName>
    <definedName name="actual">#REF!</definedName>
    <definedName name="actualdatethru">#REF!</definedName>
    <definedName name="actualexp">#REF!</definedName>
    <definedName name="actuals">#REF!</definedName>
    <definedName name="ACwvu.ALL." hidden="1">#REF!</definedName>
    <definedName name="ACwvu.CAM._.RATES." hidden="1">#REF!</definedName>
    <definedName name="ACwvu.CAM._.RECOVERIES." hidden="1">#REF!</definedName>
    <definedName name="ACwvu.CAM._.RECOVERY." hidden="1">#REF!</definedName>
    <definedName name="ACwvu.CAM._.TABLE." hidden="1">#REF!</definedName>
    <definedName name="ACwvu.FRP_BACKLOG1." hidden="1">#REF!</definedName>
    <definedName name="ACwvu.FRP_backlog2." hidden="1">#REF!</definedName>
    <definedName name="ACwvu.inputs._.raw._.data." hidden="1">#REF!</definedName>
    <definedName name="ACwvu.INSURANCE._.RECOVERIES." hidden="1">#REF!</definedName>
    <definedName name="ACwvu.LSMEET." hidden="1">#REF!</definedName>
    <definedName name="ACwvu.MARKETING._.REVENUE." hidden="1">#REF!</definedName>
    <definedName name="ACwvu.MINIMUM._.RENT." hidden="1">#REF!</definedName>
    <definedName name="ACwvu.OCCUPANCY." hidden="1">#REF!</definedName>
    <definedName name="ACwvu.OCCUPANCY._.ANALYSIS." hidden="1">#REF!</definedName>
    <definedName name="ACwvu.Overhead._.detail." hidden="1">#REF!</definedName>
    <definedName name="ACwvu.PERCENTAGE._.RENT." hidden="1">#REF!</definedName>
    <definedName name="ACwvu.Profit._.report._.detailed." hidden="1">#REF!</definedName>
    <definedName name="ACwvu.Sommaire." hidden="1">#REF!,#REF!,#REF!,#REF!,#REF!,#REF!</definedName>
    <definedName name="ACwvu.summary1." hidden="1">#REF!</definedName>
    <definedName name="ACwvu.summary2." hidden="1">#REF!</definedName>
    <definedName name="ACwvu.summary3." hidden="1">#REF!</definedName>
    <definedName name="ACwvu.TAX._.RATES." hidden="1">#REF!</definedName>
    <definedName name="ACwvu.TAX._.RECOVERIES." hidden="1">#REF!</definedName>
    <definedName name="ACwvu.TAX._.RECOVERY." hidden="1">#REF!</definedName>
    <definedName name="ACwvu.WAT." hidden="1">#REF!</definedName>
    <definedName name="ad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d_old" hidden="1">{"CHART",#N/A,FALSE,"Arch Communications"}</definedName>
    <definedName name="addgf" hidden="1">{#N/A,#N/A,FALSE,"Chart 2 by Prop Type"}</definedName>
    <definedName name="adf" hidden="1">{"INCOME",#N/A,FALSE,"ProNet";"VALUE",#N/A,FALSE,"ProNet"}</definedName>
    <definedName name="adfa" hidden="1">{"cap_structure",#N/A,FALSE,"Graph-Mkt Cap";"price",#N/A,FALSE,"Graph-Price";"ebit",#N/A,FALSE,"Graph-EBITDA";"ebitda",#N/A,FALSE,"Graph-EBITDA"}</definedName>
    <definedName name="adfgh" hidden="1">{0,#N/A,FALSE,0;0,#N/A,FALSE,0}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justedLoanAmnt">#REF!</definedName>
    <definedName name="ADJUSTEDoccupancy">#REF!</definedName>
    <definedName name="adlak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adrtr" hidden="1">{0,0,0,0}</definedName>
    <definedName name="ads" hidden="1">{"inputs raw data",#N/A,TRUE,"INPUT"}</definedName>
    <definedName name="adsew" hidden="1">{"FCB_ALL",#N/A,FALSE,"FCB"}</definedName>
    <definedName name="adsf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adsf1" hidden="1">{"Annual",#N/A,FALSE,"Sales &amp; Market";"Quarterly",#N/A,FALSE,"Sales &amp; Market"}</definedName>
    <definedName name="ADSFA" hidden="1">{"inputs raw data",#N/A,TRUE,"INPUT"}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" hidden="1">{#N/A,#N/A,TRUE,"10 Yr Hold";#N/A,#N/A,TRUE,"7 Yr Hold";#N/A,#N/A,TRUE,"5 Yr Hold";#N/A,#N/A,TRUE,"3 Yr Hold"}</definedName>
    <definedName name="AEWEW" hidden="1">{"inputs raw data",#N/A,TRUE,"INPUT"}</definedName>
    <definedName name="aewfwe" hidden="1">{#N/A,#N/A,FALSE,"Brad_DCFM";#N/A,#N/A,FALSE,"Nick_DCFM";#N/A,#N/A,FALSE,"Mobile_DCFM"}</definedName>
    <definedName name="afdsdsaf" hidden="1">#REF!</definedName>
    <definedName name="afe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afei" hidden="1">#REF!</definedName>
    <definedName name="Affordable">#REF!</definedName>
    <definedName name="afge" hidden="1">{"FCB_ALL",#N/A,FALSE,"FCB";"GREY_ALL",#N/A,FALSE,"GREY"}</definedName>
    <definedName name="afhasd" hidden="1">{#VALUE!,#N/A,FALSE,0}</definedName>
    <definedName name="afirot" hidden="1">{#N/A,#N/A,TRUE,"TITLE";#N/A,#N/A,TRUE,"SCH 1";#N/A,#N/A,TRUE,"SCH 2";#N/A,#N/A,TRUE,"SCH 3";#N/A,#N/A,TRUE,"SCH3(A)"}</definedName>
    <definedName name="afirpt" hidden="1">{#N/A,#N/A,TRUE,"TITLE";#N/A,#N/A,TRUE,"SCH 1";#N/A,#N/A,TRUE,"SCH 2";#N/A,#N/A,TRUE,"SCH 3";#N/A,#N/A,TRUE,"SCH3(A)"}</definedName>
    <definedName name="afsdasio" hidden="1">#REF!</definedName>
    <definedName name="aftreport" hidden="1">{#N/A,#N/A,TRUE,"TITLE";#N/A,#N/A,TRUE,"SCH 1";#N/A,#N/A,TRUE,"SCH 2";#N/A,#N/A,TRUE,"SCH 3";#N/A,#N/A,TRUE,"SCH3(A)"}</definedName>
    <definedName name="agf" hidden="1">{#N/A,#N/A,FALSE,"ExecSum";#N/A,#N/A,FALSE,"total summary";#N/A,#N/A,FALSE,"Budget";#N/A,#N/A,FALSE,"CashFlow"}</definedName>
    <definedName name="agne" hidden="1">{"FCB_ALL",#N/A,FALSE,"FCB";"GREY_ALL",#N/A,FALSE,"GREY"}</definedName>
    <definedName name="ah" hidden="1">#REF!</definedName>
    <definedName name="ahafd" hidden="1">{#VALUE!,#N/A,FALSE,0}</definedName>
    <definedName name="ahge" hidden="1">{"FCB_ALL",#N/A,FALSE,"FCB";"GREY_ALL",#N/A,FALSE,"GREY"}</definedName>
    <definedName name="AIG">#REF!</definedName>
    <definedName name="aioeaiovio" hidden="1">#REF!</definedName>
    <definedName name="akdlk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Al" hidden="1">{"sheet a",#N/A,FALSE,"A";"2 9 casflow",#N/A,FALSE,"B"}</definedName>
    <definedName name="ALL">#REF!</definedName>
    <definedName name="alsow" hidden="1">{#N/A,#N/A,FALSE,"Consolidated";#N/A,#N/A,FALSE,"Available Credit";#N/A,#N/A,FALSE,"100% Owned";#N/A,#N/A,FALSE,"Bentall U.S. LLC";#N/A,#N/A,FALSE,"Bentall Properties (U.S.) Ltd.";#N/A,#N/A,FALSE,"Schedule I"}</definedName>
    <definedName name="alternate_matrix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amo">#REF!</definedName>
    <definedName name="Amo_Print">#REF!</definedName>
    <definedName name="Amort">#REF!</definedName>
    <definedName name="Amortize">#REF!</definedName>
    <definedName name="Amortizing?">#REF!</definedName>
    <definedName name="AMP_SUMMARY">#REF!</definedName>
    <definedName name="an" hidden="1">#REF!</definedName>
    <definedName name="Analysis_Begin">#REF!</definedName>
    <definedName name="Analysis_Date">#REF!</definedName>
    <definedName name="Analysis_Year">#REF!</definedName>
    <definedName name="andrew" hidden="1">{"eca",#N/A,TRUE,"E-C1 (R)";"ecb",#N/A,TRUE,"E-C1 (R)"}</definedName>
    <definedName name="Annual_Amort_Table">#REF!</definedName>
    <definedName name="Annual_interest_rate">#REF!</definedName>
    <definedName name="annual_quarterly1" hidden="1">{"Annual",#N/A,FALSE,"Sales &amp; Market";"Quarterly",#N/A,FALSE,"Sales &amp; Market"}</definedName>
    <definedName name="annualize">#REF!</definedName>
    <definedName name="Annuitäten">#REF!</definedName>
    <definedName name="anoigrowth">#REF!</definedName>
    <definedName name="anscount" hidden="1">1</definedName>
    <definedName name="aold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ap">#REF!</definedName>
    <definedName name="apartments">#REF!</definedName>
    <definedName name="apartmentTypes">#REF!</definedName>
    <definedName name="Apr.">#REF!</definedName>
    <definedName name="April03" hidden="1">{#N/A,#N/A,FALSE,"Class A";#N/A,#N/A,FALSE,"Class B";#N/A,#N/A,FALSE,"Class C"}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rgusScenario" hidden="1">#REF!</definedName>
    <definedName name="ArgusSF">#REF!</definedName>
    <definedName name="as" localSheetId="0" hidden="1">{"Outflow 1",#N/A,FALSE,"Outflows-Inflows";"Outflow 2",#N/A,FALSE,"Outflows-Inflows";"Inflow 1",#N/A,FALSE,"Outflows-Inflows";"Inflow 2",#N/A,FALSE,"Outflows-Inflows"}</definedName>
    <definedName name="as" hidden="1">{"Outflow 1",#N/A,FALSE,"Outflows-Inflows";"Outflow 2",#N/A,FALSE,"Outflows-Inflows";"Inflow 1",#N/A,FALSE,"Outflows-Inflows";"Inflow 2",#N/A,FALSE,"Outflows-Inflows"}</definedName>
    <definedName name="as_1" hidden="1">{"Outflow 1",#N/A,FALSE,"Outflows-Inflows";"Outflow 2",#N/A,FALSE,"Outflows-Inflows";"Inflow 1",#N/A,FALSE,"Outflows-Inflows";"Inflow 2",#N/A,FALSE,"Outflows-Inflows"}</definedName>
    <definedName name="as_2" hidden="1">{"Outflow 1",#N/A,FALSE,"Outflows-Inflows";"Outflow 2",#N/A,FALSE,"Outflows-Inflows";"Inflow 1",#N/A,FALSE,"Outflows-Inflows";"Inflow 2",#N/A,FALSE,"Outflows-Inflows"}</definedName>
    <definedName name="as_3" hidden="1">{"Outflow 1",#N/A,FALSE,"Outflows-Inflows";"Outflow 2",#N/A,FALSE,"Outflows-Inflows";"Inflow 1",#N/A,FALSE,"Outflows-Inflows";"Inflow 2",#N/A,FALSE,"Outflows-Inflows"}</definedName>
    <definedName name="as_4" hidden="1">{"Outflow 1",#N/A,FALSE,"Outflows-Inflows";"Outflow 2",#N/A,FALSE,"Outflows-Inflows";"Inflow 1",#N/A,FALSE,"Outflows-Inflows";"Inflow 2",#N/A,FALSE,"Outflows-Inflows"}</definedName>
    <definedName name="AS2DocOpenMode" hidden="1">"AS2DocumentEdit"</definedName>
    <definedName name="AS2HasNoAutoHeaderFooter" hidden="1">" "</definedName>
    <definedName name="AS2LinkLS" hidden="1">#REF!</definedName>
    <definedName name="AS2NamedRange" hidden="1">3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localSheetId="0" hidden="1">{"Outflow 1",#N/A,FALSE,"Outflows-Inflows";"Outflow 2",#N/A,FALSE,"Outflows-Inflows";"Inflow 1",#N/A,FALSE,"Outflows-Inflows";"Inflow 2",#N/A,FALSE,"Outflows-Inflows"}</definedName>
    <definedName name="asa" hidden="1">{"Outflow 1",#N/A,FALSE,"Outflows-Inflows";"Outflow 2",#N/A,FALSE,"Outflows-Inflows";"Inflow 1",#N/A,FALSE,"Outflows-Inflows";"Inflow 2",#N/A,FALSE,"Outflows-Inflows"}</definedName>
    <definedName name="asa_1" hidden="1">{"Outflow 1",#N/A,FALSE,"Outflows-Inflows";"Outflow 2",#N/A,FALSE,"Outflows-Inflows";"Inflow 1",#N/A,FALSE,"Outflows-Inflows";"Inflow 2",#N/A,FALSE,"Outflows-Inflows"}</definedName>
    <definedName name="asa_2" hidden="1">{"Outflow 1",#N/A,FALSE,"Outflows-Inflows";"Outflow 2",#N/A,FALSE,"Outflows-Inflows";"Inflow 1",#N/A,FALSE,"Outflows-Inflows";"Inflow 2",#N/A,FALSE,"Outflows-Inflows"}</definedName>
    <definedName name="asa_3" hidden="1">{"Outflow 1",#N/A,FALSE,"Outflows-Inflows";"Outflow 2",#N/A,FALSE,"Outflows-Inflows";"Inflow 1",#N/A,FALSE,"Outflows-Inflows";"Inflow 2",#N/A,FALSE,"Outflows-Inflows"}</definedName>
    <definedName name="asa_4" hidden="1">{"Outflow 1",#N/A,FALSE,"Outflows-Inflows";"Outflow 2",#N/A,FALSE,"Outflows-Inflows";"Inflow 1",#N/A,FALSE,"Outflows-Inflows";"Inflow 2",#N/A,FALSE,"Outflows-Inflows"}</definedName>
    <definedName name="asadgasgasg" hidden="1">#REF!</definedName>
    <definedName name="asd" hidden="1">{#N/A,#N/A,FALSE,"Chart 2 by Prop Type"}</definedName>
    <definedName name="asda" hidden="1">{"AnnualRentRoll",#N/A,FALSE,"RentRoll"}</definedName>
    <definedName name="asdasd" hidden="1">{#N/A,#N/A,FALSE,"Loan Summary";#N/A,#N/A,FALSE,"NOI";"RR and Expir",#N/A,FALSE,"Rental";"Sales History",#N/A,FALSE,"Rental";#N/A,#N/A,FALSE,"Reserves"}</definedName>
    <definedName name="asdaw" hidden="1">{"FCB_ALL",#N/A,FALSE,"FCB"}</definedName>
    <definedName name="asdf" hidden="1">{"Plant Parameters",#N/A,FALSE,"Total Project Economics";"summary1",#N/A,FALSE,"Total Project Economics";"Tariffs_Unit Prices_Costs",#N/A,FALSE,"Total Project Economics";"Financials",#N/A,FALSE,"Total Project Economics"}</definedName>
    <definedName name="asdf_1" hidden="1">{"Plant Parameters",#N/A,FALSE,"Total Project Economics";"summary1",#N/A,FALSE,"Total Project Economics";"Tariffs_Unit Prices_Costs",#N/A,FALSE,"Total Project Economics";"Financials",#N/A,FALSE,"Total Project Economics"}</definedName>
    <definedName name="asdf2" localSheetId="0" hidden="1">{#N/A,#N/A,FALSE,"OperatingAssumptions"}</definedName>
    <definedName name="asdf2" hidden="1">{#N/A,#N/A,FALSE,"OperatingAssumptions"}</definedName>
    <definedName name="asdf2_1" hidden="1">{#N/A,#N/A,FALSE,"OperatingAssumptions"}</definedName>
    <definedName name="asdf2_2" hidden="1">{#N/A,#N/A,FALSE,"OperatingAssumptions"}</definedName>
    <definedName name="asdf2_3" hidden="1">{#N/A,#N/A,FALSE,"OperatingAssumptions"}</definedName>
    <definedName name="asdf2_4" hidden="1">{#N/A,#N/A,FALSE,"OperatingAssumptions"}</definedName>
    <definedName name="asdf22" hidden="1">{#N/A,#N/A,FALSE,"OperatingAssumptions"}</definedName>
    <definedName name="asdf3" localSheetId="0" hidden="1">{#N/A,#N/A,FALSE,"LoanAssumptions"}</definedName>
    <definedName name="asdf3" hidden="1">{#N/A,#N/A,FALSE,"LoanAssumptions"}</definedName>
    <definedName name="asdf3_1" hidden="1">{#N/A,#N/A,FALSE,"LoanAssumptions"}</definedName>
    <definedName name="asdf3_2" hidden="1">{#N/A,#N/A,FALSE,"LoanAssumptions"}</definedName>
    <definedName name="asdf3_3" hidden="1">{#N/A,#N/A,FALSE,"LoanAssumptions"}</definedName>
    <definedName name="asdf3_4" hidden="1">{#N/A,#N/A,FALSE,"LoanAssumptions"}</definedName>
    <definedName name="asdf33" hidden="1">{#N/A,#N/A,FALSE,"LoanAssumptions"}</definedName>
    <definedName name="asdf5" localSheetId="0" hidden="1">{"MonthlyRentRoll",#N/A,FALSE,"RentRoll"}</definedName>
    <definedName name="asdf5" hidden="1">{"MonthlyRentRoll",#N/A,FALSE,"RentRoll"}</definedName>
    <definedName name="asdf5_1" hidden="1">{"MonthlyRentRoll",#N/A,FALSE,"RentRoll"}</definedName>
    <definedName name="asdf5_2" hidden="1">{"MonthlyRentRoll",#N/A,FALSE,"RentRoll"}</definedName>
    <definedName name="asdf5_3" hidden="1">{"MonthlyRentRoll",#N/A,FALSE,"RentRoll"}</definedName>
    <definedName name="asdf5_4" hidden="1">{"MonthlyRentRoll",#N/A,FALSE,"RentRoll"}</definedName>
    <definedName name="asdf55" hidden="1">{"MonthlyRentRoll",#N/A,FALSE,"RentRoll"}</definedName>
    <definedName name="asdf7" localSheetId="0" hidden="1">{#N/A,#N/A,TRUE,"Summary";"AnnualRentRoll",#N/A,TRUE,"RentRoll";#N/A,#N/A,TRUE,"ExitStratigy";#N/A,#N/A,TRUE,"OperatingAssumptions"}</definedName>
    <definedName name="asdf7" hidden="1">{#N/A,#N/A,TRUE,"Summary";"AnnualRentRoll",#N/A,TRUE,"RentRoll";#N/A,#N/A,TRUE,"ExitStratigy";#N/A,#N/A,TRUE,"OperatingAssumptions"}</definedName>
    <definedName name="asdf7_1" hidden="1">{#N/A,#N/A,TRUE,"Summary";"AnnualRentRoll",#N/A,TRUE,"RentRoll";#N/A,#N/A,TRUE,"ExitStratigy";#N/A,#N/A,TRUE,"OperatingAssumptions"}</definedName>
    <definedName name="asdf7_2" hidden="1">{#N/A,#N/A,TRUE,"Summary";"AnnualRentRoll",#N/A,TRUE,"RentRoll";#N/A,#N/A,TRUE,"ExitStratigy";#N/A,#N/A,TRUE,"OperatingAssumptions"}</definedName>
    <definedName name="asdf7_3" hidden="1">{#N/A,#N/A,TRUE,"Summary";"AnnualRentRoll",#N/A,TRUE,"RentRoll";#N/A,#N/A,TRUE,"ExitStratigy";#N/A,#N/A,TRUE,"OperatingAssumptions"}</definedName>
    <definedName name="asdf7_4" hidden="1">{#N/A,#N/A,TRUE,"Summary";"AnnualRentRoll",#N/A,TRUE,"RentRoll";#N/A,#N/A,TRUE,"ExitStratigy";#N/A,#N/A,TRUE,"OperatingAssumptions"}</definedName>
    <definedName name="asdf77" hidden="1">{#N/A,#N/A,TRUE,"Summary";"AnnualRentRoll",#N/A,TRUE,"RentRoll";#N/A,#N/A,TRUE,"ExitStratigy";#N/A,#N/A,TRUE,"OperatingAssumptions"}</definedName>
    <definedName name="asdfa" hidden="1">#N/A</definedName>
    <definedName name="asdfas" localSheetId="0" hidden="1">{"print 1.6",#N/A,FALSE,"Sheet1";"print 2.6",#N/A,FALSE,"Sheet1";"print 3.6",#N/A,FALSE,"Sheet1";"print 4.6",#N/A,FALSE,"Sheet1";"print 5.6",#N/A,FALSE,"Sheet1";"print 6.6",#N/A,FALSE,"Sheet1"}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_1" hidden="1">{"print 1.6",#N/A,FALSE,"Sheet1";"print 2.6",#N/A,FALSE,"Sheet1";"print 3.6",#N/A,FALSE,"Sheet1";"print 4.6",#N/A,FALSE,"Sheet1";"print 5.6",#N/A,FALSE,"Sheet1";"print 6.6",#N/A,FALSE,"Sheet1"}</definedName>
    <definedName name="asdfas_2" hidden="1">{"print 1.6",#N/A,FALSE,"Sheet1";"print 2.6",#N/A,FALSE,"Sheet1";"print 3.6",#N/A,FALSE,"Sheet1";"print 4.6",#N/A,FALSE,"Sheet1";"print 5.6",#N/A,FALSE,"Sheet1";"print 6.6",#N/A,FALSE,"Sheet1"}</definedName>
    <definedName name="asdfas_3" hidden="1">{"print 1.6",#N/A,FALSE,"Sheet1";"print 2.6",#N/A,FALSE,"Sheet1";"print 3.6",#N/A,FALSE,"Sheet1";"print 4.6",#N/A,FALSE,"Sheet1";"print 5.6",#N/A,FALSE,"Sheet1";"print 6.6",#N/A,FALSE,"Sheet1"}</definedName>
    <definedName name="asdfas_4" hidden="1">{"print 1.6",#N/A,FALSE,"Sheet1";"print 2.6",#N/A,FALSE,"Sheet1";"print 3.6",#N/A,FALSE,"Sheet1";"print 4.6",#N/A,FALSE,"Sheet1";"print 5.6",#N/A,FALSE,"Sheet1";"print 6.6",#N/A,FALSE,"Sheet1"}</definedName>
    <definedName name="asdfasaa" localSheetId="0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aa_1" hidden="1">{"print 1.6",#N/A,FALSE,"Sheet1";"print 2.6",#N/A,FALSE,"Sheet1";"print 3.6",#N/A,FALSE,"Sheet1";"print 4.6",#N/A,FALSE,"Sheet1";"print 5.6",#N/A,FALSE,"Sheet1";"print 6.6",#N/A,FALSE,"Sheet1"}</definedName>
    <definedName name="asdfasaa_2" hidden="1">{"print 1.6",#N/A,FALSE,"Sheet1";"print 2.6",#N/A,FALSE,"Sheet1";"print 3.6",#N/A,FALSE,"Sheet1";"print 4.6",#N/A,FALSE,"Sheet1";"print 5.6",#N/A,FALSE,"Sheet1";"print 6.6",#N/A,FALSE,"Sheet1"}</definedName>
    <definedName name="asdfasaa_3" hidden="1">{"print 1.6",#N/A,FALSE,"Sheet1";"print 2.6",#N/A,FALSE,"Sheet1";"print 3.6",#N/A,FALSE,"Sheet1";"print 4.6",#N/A,FALSE,"Sheet1";"print 5.6",#N/A,FALSE,"Sheet1";"print 6.6",#N/A,FALSE,"Sheet1"}</definedName>
    <definedName name="asdfasaa_4" hidden="1">{"print 1.6",#N/A,FALSE,"Sheet1";"print 2.6",#N/A,FALSE,"Sheet1";"print 3.6",#N/A,FALSE,"Sheet1";"print 4.6",#N/A,FALSE,"Sheet1";"print 5.6",#N/A,FALSE,"Sheet1";"print 6.6",#N/A,FALSE,"Sheet1"}</definedName>
    <definedName name="asdfasdf" localSheetId="0" hidden="1">{"rtn",#N/A,FALSE,"RTN";"tables",#N/A,FALSE,"RTN";"cf",#N/A,FALSE,"CF";"stats",#N/A,FALSE,"Stats";"prop",#N/A,FALSE,"Prop"}</definedName>
    <definedName name="asdfasdf" hidden="1">{"rtn",#N/A,FALSE,"RTN";"tables",#N/A,FALSE,"RTN";"cf",#N/A,FALSE,"CF";"stats",#N/A,FALSE,"Stats";"prop",#N/A,FALSE,"Prop"}</definedName>
    <definedName name="asdfasdf_1" hidden="1">{"rtn",#N/A,FALSE,"RTN";"tables",#N/A,FALSE,"RTN";"cf",#N/A,FALSE,"CF";"stats",#N/A,FALSE,"Stats";"prop",#N/A,FALSE,"Prop"}</definedName>
    <definedName name="asdfasdf_2" hidden="1">{"rtn",#N/A,FALSE,"RTN";"tables",#N/A,FALSE,"RTN";"cf",#N/A,FALSE,"CF";"stats",#N/A,FALSE,"Stats";"prop",#N/A,FALSE,"Prop"}</definedName>
    <definedName name="asdfasdf_3" hidden="1">{"rtn",#N/A,FALSE,"RTN";"tables",#N/A,FALSE,"RTN";"cf",#N/A,FALSE,"CF";"stats",#N/A,FALSE,"Stats";"prop",#N/A,FALSE,"Prop"}</definedName>
    <definedName name="asdfasdf_4" hidden="1">{"rtn",#N/A,FALSE,"RTN";"tables",#N/A,FALSE,"RTN";"cf",#N/A,FALSE,"CF";"stats",#N/A,FALSE,"Stats";"prop",#N/A,FALSE,"Prop"}</definedName>
    <definedName name="asdfasdf1" hidden="1">{"Annual",#N/A,FALSE,"Sales &amp; Market";"Quarterly",#N/A,FALSE,"Sales &amp; Market"}</definedName>
    <definedName name="asdfasdfasdfa" localSheetId="0" hidden="1">binary</definedName>
    <definedName name="asdfasdfasdfa" localSheetId="1" hidden="1">binary</definedName>
    <definedName name="asdfasdfasdfa" hidden="1">binary</definedName>
    <definedName name="asdfasdfdddd" hidden="1">{"DCF","UPSIDE CASE",FALSE,"Sheet1";"DCF","BASE CASE",FALSE,"Sheet1";"DCF","DOWNSIDE CASE",FALSE,"Sheet1"}</definedName>
    <definedName name="asdfasdfs" hidden="1">{#N/A,#N/A,FALSE,"Matrix";#N/A,#N/A,FALSE,"Cash Flow";#N/A,#N/A,FALSE,"10 Year Cost Analysis"}</definedName>
    <definedName name="asdfasfsa" localSheetId="0" hidden="1">binary</definedName>
    <definedName name="asdfasfsa" localSheetId="1" hidden="1">binary</definedName>
    <definedName name="asdfasfsa" hidden="1">binary</definedName>
    <definedName name="asdfe" hidden="1">{"FCB_ALL",#N/A,FALSE,"FCB"}</definedName>
    <definedName name="asdfg" hidden="1">{"rtn",#N/A,FALSE,"RTN";"tables",#N/A,FALSE,"RTN";"cf",#N/A,FALSE,"CF";"stats",#N/A,FALSE,"Stats";"prop",#N/A,FALSE,"Prop"}</definedName>
    <definedName name="asdfn" hidden="1">{"FCB_ALL",#N/A,FALSE,"FCB";"GREY_ALL",#N/A,FALSE,"GREY"}</definedName>
    <definedName name="asdfsd" localSheetId="0" hidden="1">binary</definedName>
    <definedName name="asdfsd" localSheetId="1" hidden="1">binary</definedName>
    <definedName name="asdfsd" hidden="1">binary</definedName>
    <definedName name="asdfsdf" hidden="1">{"Annual",#N/A,FALSE,"Sales &amp; Market";"Quarterly",#N/A,FALSE,"Sales &amp; Market"}</definedName>
    <definedName name="asdfsdf1" hidden="1">{"Annual",#N/A,FALSE,"Sales &amp; Market";"Quarterly",#N/A,FALSE,"Sales &amp; Market"}</definedName>
    <definedName name="asdgaew" hidden="1">{"FCB_ALL",#N/A,FALSE,"FCB"}</definedName>
    <definedName name="asdr5" hidden="1">{"FCB_ALL",#N/A,FALSE,"FCB";"GREY_ALL",#N/A,FALSE,"GREY"}</definedName>
    <definedName name="asdvaw" hidden="1">#REF!</definedName>
    <definedName name="asf" hidden="1">{"sheet a",#N/A,FALSE,"A";"sheet b 1",#N/A,FALSE,"B";"sheet b 2",#N/A,FALSE,"B"}</definedName>
    <definedName name="asfd" hidden="1">{"FCB_ALL",#N/A,FALSE,"FCB"}</definedName>
    <definedName name="asfget" hidden="1">{"Page1",#N/A,FALSE,"7979";"Page2",#N/A,FALSE,"7979";"Page3",#N/A,FALSE,"7979"}</definedName>
    <definedName name="asfsaf" localSheetId="0" hidden="1">binary</definedName>
    <definedName name="asfsaf" localSheetId="1" hidden="1">binary</definedName>
    <definedName name="asfsaf" hidden="1">binary</definedName>
    <definedName name="asgdr" hidden="1">{"fdb2_print",#N/A,FALSE,"Report"}</definedName>
    <definedName name="asgearg" hidden="1">#REF!</definedName>
    <definedName name="ashish" hidden="1">{"'Assump'!$F$6:$J$6"}</definedName>
    <definedName name="ASIS">#REF!</definedName>
    <definedName name="ass" localSheetId="0" hidden="1">{"print 1.6",#N/A,FALSE,"Sheet1";"print 2.6",#N/A,FALSE,"Sheet1";"print 3.6",#N/A,FALSE,"Sheet1";"print 4.6",#N/A,FALSE,"Sheet1";"print 5.6",#N/A,FALSE,"Sheet1";"print 6.6",#N/A,FALSE,"Sheet1"}</definedName>
    <definedName name="ass" hidden="1">{"print 1.6",#N/A,FALSE,"Sheet1";"print 2.6",#N/A,FALSE,"Sheet1";"print 3.6",#N/A,FALSE,"Sheet1";"print 4.6",#N/A,FALSE,"Sheet1";"print 5.6",#N/A,FALSE,"Sheet1";"print 6.6",#N/A,FALSE,"Sheet1"}</definedName>
    <definedName name="ass_1" hidden="1">{"print 1.6",#N/A,FALSE,"Sheet1";"print 2.6",#N/A,FALSE,"Sheet1";"print 3.6",#N/A,FALSE,"Sheet1";"print 4.6",#N/A,FALSE,"Sheet1";"print 5.6",#N/A,FALSE,"Sheet1";"print 6.6",#N/A,FALSE,"Sheet1"}</definedName>
    <definedName name="ass_2" hidden="1">{"print 1.6",#N/A,FALSE,"Sheet1";"print 2.6",#N/A,FALSE,"Sheet1";"print 3.6",#N/A,FALSE,"Sheet1";"print 4.6",#N/A,FALSE,"Sheet1";"print 5.6",#N/A,FALSE,"Sheet1";"print 6.6",#N/A,FALSE,"Sheet1"}</definedName>
    <definedName name="ass_3" hidden="1">{"print 1.6",#N/A,FALSE,"Sheet1";"print 2.6",#N/A,FALSE,"Sheet1";"print 3.6",#N/A,FALSE,"Sheet1";"print 4.6",#N/A,FALSE,"Sheet1";"print 5.6",#N/A,FALSE,"Sheet1";"print 6.6",#N/A,FALSE,"Sheet1"}</definedName>
    <definedName name="ass_4" hidden="1">{"print 1.6",#N/A,FALSE,"Sheet1";"print 2.6",#N/A,FALSE,"Sheet1";"print 3.6",#N/A,FALSE,"Sheet1";"print 4.6",#N/A,FALSE,"Sheet1";"print 5.6",#N/A,FALSE,"Sheet1";"print 6.6",#N/A,FALSE,"Sheet1"}</definedName>
    <definedName name="ASSESS_">#REF!</definedName>
    <definedName name="asset" hidden="1">{"print 1.6",#N/A,FALSE,"Sheet1";"print 2.6",#N/A,FALSE,"Sheet1";"print 3.6",#N/A,FALSE,"Sheet1";"print 4.6",#N/A,FALSE,"Sheet1";"print 5.6",#N/A,FALSE,"Sheet1";"print 6.6",#N/A,FALSE,"Sheet1"}</definedName>
    <definedName name="AssetMgmntFee">#REF!</definedName>
    <definedName name="AssetMngmtFee">#REF!</definedName>
    <definedName name="asss" localSheetId="0" hidden="1">{"rtn",#N/A,FALSE,"RTN";"tables",#N/A,FALSE,"RTN";"cf",#N/A,FALSE,"CF";"stats",#N/A,FALSE,"Stats";"prop",#N/A,FALSE,"Prop"}</definedName>
    <definedName name="asss" hidden="1">{"rtn",#N/A,FALSE,"RTN";"tables",#N/A,FALSE,"RTN";"cf",#N/A,FALSE,"CF";"stats",#N/A,FALSE,"Stats";"prop",#N/A,FALSE,"Prop"}</definedName>
    <definedName name="asss_1" hidden="1">{"rtn",#N/A,FALSE,"RTN";"tables",#N/A,FALSE,"RTN";"cf",#N/A,FALSE,"CF";"stats",#N/A,FALSE,"Stats";"prop",#N/A,FALSE,"Prop"}</definedName>
    <definedName name="asss_2" hidden="1">{"rtn",#N/A,FALSE,"RTN";"tables",#N/A,FALSE,"RTN";"cf",#N/A,FALSE,"CF";"stats",#N/A,FALSE,"Stats";"prop",#N/A,FALSE,"Prop"}</definedName>
    <definedName name="asss_3" hidden="1">{"rtn",#N/A,FALSE,"RTN";"tables",#N/A,FALSE,"RTN";"cf",#N/A,FALSE,"CF";"stats",#N/A,FALSE,"Stats";"prop",#N/A,FALSE,"Prop"}</definedName>
    <definedName name="asss_4" hidden="1">{"rtn",#N/A,FALSE,"RTN";"tables",#N/A,FALSE,"RTN";"cf",#N/A,FALSE,"CF";"stats",#N/A,FALSE,"Stats";"prop",#N/A,FALSE,"Prop"}</definedName>
    <definedName name="assssss" hidden="1">{"FCB_ALL",#N/A,FALSE,"FCB"}</definedName>
    <definedName name="assum" hidden="1">{"Financials",#N/A,FALSE,"Financials";"AVP",#N/A,FALSE,"AVP";"DCF",#N/A,FALSE,"DCF";"CSC",#N/A,FALSE,"CSC";"Deal_Comp",#N/A,FALSE,"DealComp"}</definedName>
    <definedName name="ASSUME">#REF!</definedName>
    <definedName name="ASSUMP">#REF!</definedName>
    <definedName name="assumpt">#REF!</definedName>
    <definedName name="assumptions" hidden="1">{#N/A,#N/A,FALSE,"Notes";#N/A,#N/A,FALSE,"CashFlowSummary";#N/A,#N/A,FALSE,"InvestorSummary";#N/A,#N/A,FALSE,"RevenueAssumptions";#N/A,#N/A,FALSE,"MasterCostAssmp";#N/A,#N/A,FALSE,"InTractCstAssmp";#N/A,#N/A,FALSE,"LotTakedowns"}</definedName>
    <definedName name="Assumptions1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Assumptions1_1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AssumptionsA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AssumSEComb" hidden="1">{"clp_bs_doc",#N/A,FALSE,"CLP";"clp_is_doc",#N/A,FALSE,"CLP";"clp_cf_doc",#N/A,FALSE,"CLP";"clp_fr_doc",#N/A,FALSE,"CLP"}</definedName>
    <definedName name="aswd" hidden="1">{#N/A,#N/A,FALSE,"Loan Summary";#N/A,#N/A,FALSE,"NOI";"RR and Expir",#N/A,FALSE,"Rental";"Sales History",#N/A,FALSE,"Rental";#N/A,#N/A,FALSE,"Reserves"}</definedName>
    <definedName name="Atlanta" hidden="1">{#N/A,#N/A,FALSE,"Chart 2 by Prop Type"}</definedName>
    <definedName name="Attach3" hidden="1">{"Grant",#N/A,FALSE,"Grant";"GP Developer",#N/A,FALSE,"GP &amp; Dev Loans";"Operating Analysis",#N/A,FALSE,"Operations";"Tax Credit",#N/A,FALSE,"Tax Credits";"Tax Credit Analysis",#N/A,FALSE,"TC Analysis"}</definedName>
    <definedName name="Aug.">#REF!</definedName>
    <definedName name="avegmultiple" hidden="1">#REF!</definedName>
    <definedName name="aveparkcopy" hidden="1">{"View1",#N/A,FALSE,"Sheet1";"View2",#N/A,FALSE,"Sheet1"}</definedName>
    <definedName name="AvgCOC_10yr">#REF!</definedName>
    <definedName name="AvgCOC_5yr">#REF!</definedName>
    <definedName name="avl" hidden="1">{"Analysis of Assets_Liabilities",#N/A,FALSE,"ccy_anal";"Analysis of Investments",#N/A,FALSE,"ccy_anal"}</definedName>
    <definedName name="awe" hidden="1">{"FCB_ALL",#N/A,FALSE,"FCB"}</definedName>
    <definedName name="awea" hidden="1">{"FCB_ALL",#N/A,FALSE,"FCB";"GREY_ALL",#N/A,FALSE,"GREY"}</definedName>
    <definedName name="awuil">#REF!</definedName>
    <definedName name="ayesha" hidden="1">{"p1TOC",#N/A,FALSE,"DCF_Summary";"p23summary",#N/A,FALSE,"DCF_Summary";"p4contact",#N/A,FALSE,"Contact Lake";"p5kumtor",#N/A,FALSE,"Kumtor";#N/A,#N/A,FALSE,"CCAU_NAV";"p8compdata",#N/A,FALSE,"Gold_Comps";#N/A,#N/A,FALSE,"Comp_Valuation"}</definedName>
    <definedName name="az" hidden="1">{#N/A,#N/A,FALSE,"Chart 2 by Prop Type"}</definedName>
    <definedName name="b" hidden="1">{#N/A,#N/A,FALSE,"ExitStratigy"}</definedName>
    <definedName name="b_Key1" hidden="1">#REF!</definedName>
    <definedName name="b_Key2" hidden="1">#REF!</definedName>
    <definedName name="ba" hidden="1">{"FCB_ALL",#N/A,FALSE,"FCB";"GREY_ALL",#N/A,FALSE,"GREY"}</definedName>
    <definedName name="back" hidden="1">{"fdb1_Rapport_Report",#N/A,FALSE,"Report"}</definedName>
    <definedName name="back2" hidden="1">{"fdb2_print",#N/A,FALSE,"Report"}</definedName>
    <definedName name="backup_yo" hidden="1">{"fdb1_Rapport_Report",#N/A,FALSE,"Report"}</definedName>
    <definedName name="backup2_yo" hidden="1">{"fdb2_print",#N/A,FALSE,"Report"}</definedName>
    <definedName name="BadLink" hidden="1">#REF!</definedName>
    <definedName name="BAL_SHT">#REF!</definedName>
    <definedName name="balance">#REF!</definedName>
    <definedName name="BalType">#REF!</definedName>
    <definedName name="Bank_funding">#REF!</definedName>
    <definedName name="BASE">#REF!</definedName>
    <definedName name="Base_Rental_Revenue">#REF!</definedName>
    <definedName name="Base.Row">ROW(#REF!)</definedName>
    <definedName name="BASERATE">#REF!</definedName>
    <definedName name="BaseRnt">#REF!</definedName>
    <definedName name="Battery">#N/A</definedName>
    <definedName name="battery1">{"Annually";"Semi-Annually";"Quarterly";"Bi-Monthly";"Monthly"}</definedName>
    <definedName name="battery2">#REF!</definedName>
    <definedName name="battery3">#N/A</definedName>
    <definedName name="battery4">#REF!</definedName>
    <definedName name="battery5">#REF!</definedName>
    <definedName name="bb" hidden="1">{#N/A,#N/A,FALSE,"ExitStratigy"}</definedName>
    <definedName name="bbb" hidden="1">{#N/A,#N/A,FALSE,"ExitStratigy"}</definedName>
    <definedName name="bbbb" hidden="1">{#N/A,#N/A,FALSE,"Aging Summary";#N/A,#N/A,FALSE,"Ratio Analysis";#N/A,#N/A,FALSE,"Test 120 Day Accts";#N/A,#N/A,FALSE,"Tickmarks"}</definedName>
    <definedName name="bbbbbb" hidden="1">{"Outflow 1",#N/A,FALSE,"Outflows-Inflows";"Outflow 2",#N/A,FALSE,"Outflows-Inflows";"Inflow 1",#N/A,FALSE,"Outflows-Inflows";"Inflow 2",#N/A,FALSE,"Outflows-Inflows"}</definedName>
    <definedName name="bdcopy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bdinvestor" hidden="1">{"View1",#N/A,FALSE,"Sheet1";"View2",#N/A,FALSE,"Sheet1"}</definedName>
    <definedName name="be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g_Bal">#REF!</definedName>
    <definedName name="BellGlobeMedia" localSheetId="0">Word</definedName>
    <definedName name="BellGlobeMedia" localSheetId="1">Word</definedName>
    <definedName name="BellGlobeMedia">Word</definedName>
    <definedName name="ben" hidden="1">{"Analysis of Assets_Liabilities",#N/A,FALSE,"ccy_anal";"Analysis of Investments",#N/A,FALSE,"ccy_anal"}</definedName>
    <definedName name="BETA">#REF!</definedName>
    <definedName name="Bewässerung">#REF!</definedName>
    <definedName name="Bewässerung_______28.">#REF!</definedName>
    <definedName name="BG_Del" hidden="1">15</definedName>
    <definedName name="BG_Ins" hidden="1">4</definedName>
    <definedName name="BG_Mod" hidden="1">6</definedName>
    <definedName name="bijou">#REF!</definedName>
    <definedName name="Billboard_Cell_Tower_Income">#REF!</definedName>
    <definedName name="birch">#REF!</definedName>
    <definedName name="Bison_Spot">#REF!</definedName>
    <definedName name="blah" hidden="1">{"Input Assumptions",#N/A,FALSE,"Summary";"Project CF",#N/A,FALSE,"Summary";"Debt &amp; Sq. Ft.",#N/A,FALSE,"Summary";"Revenues",#N/A,FALSE,"Revenue"}</definedName>
    <definedName name="blah1" hidden="1">{"schedule1",#N/A,FALSE,"Sheet1";"schedule2",#N/A,FALSE,"Sheet1";"schedule3",#N/A,FALSE,"Sheet1";"schedule4",#N/A,FALSE,"Sheet1";"schedule5",#N/A,FALSE,"Sheet1";"schedule6",#N/A,FALSE,"Sheet1"}</definedName>
    <definedName name="blah2" hidden="1">{"'Directory'!$A$72:$E$91"}</definedName>
    <definedName name="blah3" hidden="1">{"'Directory'!$A$72:$E$91"}</definedName>
    <definedName name="blc">#REF!</definedName>
    <definedName name="BLPH1" hidden="1">#REF!</definedName>
    <definedName name="BLPH10" hidden="1">#REF!</definedName>
    <definedName name="BLPH1001" hidden="1">#REF!</definedName>
    <definedName name="BLPH1002" hidden="1">#REF!</definedName>
    <definedName name="BLPH1003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" hidden="1">#REF!</definedName>
    <definedName name="BLPH30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" hidden="1">#REF!</definedName>
    <definedName name="BLPH40" hidden="1">#REF!</definedName>
    <definedName name="BLPH41" hidden="1">#REF!</definedName>
    <definedName name="BLPH5" hidden="1">#REF!</definedName>
    <definedName name="BLPH50" hidden="1">#REF!</definedName>
    <definedName name="BLPH51" hidden="1">#REF!</definedName>
    <definedName name="BLPH52" hidden="1">#REF!</definedName>
    <definedName name="BLPH535" hidden="1">#REF!</definedName>
    <definedName name="BLPH536" hidden="1">#REF!</definedName>
    <definedName name="BLPH6" hidden="1">#REF!</definedName>
    <definedName name="BLPH64" hidden="1">#REF!</definedName>
    <definedName name="BLPH65" hidden="1">#REF!</definedName>
    <definedName name="BLPH66" hidden="1">#REF!</definedName>
    <definedName name="BLPH67" hidden="1">#REF!</definedName>
    <definedName name="BLPH68" hidden="1">#REF!</definedName>
    <definedName name="BLPH69" hidden="1">#REF!</definedName>
    <definedName name="BLPH7" hidden="1">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" hidden="1">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9" hidden="1">#REF!</definedName>
    <definedName name="BLPH99" hidden="1">#REF!</definedName>
    <definedName name="BNE_MESSAGES_HIDDEN" hidden="1">#REF!</definedName>
    <definedName name="bnmb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boc">#REF!</definedName>
    <definedName name="Bond" localSheetId="0">Facility</definedName>
    <definedName name="Bond" localSheetId="1">Facility</definedName>
    <definedName name="Bond">Facility</definedName>
    <definedName name="BONDRATE">#REF!</definedName>
    <definedName name="bps">#REF!</definedName>
    <definedName name="BR_MO">#REF!</definedName>
    <definedName name="BR_YR">#REF!</definedName>
    <definedName name="Bridgerock" hidden="1">{"Financials",#N/A,FALSE,"Financials";"AVP",#N/A,FALSE,"AVP";"DCF",#N/A,FALSE,"DCF";"CSC",#N/A,FALSE,"CSC";"Deal_Comp",#N/A,FALSE,"DealComp"}</definedName>
    <definedName name="BROWS">#REF!</definedName>
    <definedName name="BSIWhichPageSetup" hidden="1">1</definedName>
    <definedName name="BSIWhichPageSetup_0" hidden="1">"0þ"</definedName>
    <definedName name="BU_Fin_high_pg1">#REF!</definedName>
    <definedName name="BUCH2">#REF!</definedName>
    <definedName name="BUDGET">#REF!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dgetyear">#REF!</definedName>
    <definedName name="BUDGETYTD">#REF!</definedName>
    <definedName name="budtype">#REF!</definedName>
    <definedName name="building">#REF!</definedName>
    <definedName name="building_address">#REF!</definedName>
    <definedName name="building_entity">#REF!</definedName>
    <definedName name="BULK_ValidationRange_0b7bdea024214a8282272c9afb1564a3" hidden="1">#REF!</definedName>
    <definedName name="BULK_ValidationRange_12556ffef6aa483299aa0877d17cbfa0">#REF!</definedName>
    <definedName name="BULK_ValidationRange_12821d32298743069c881a2c45e792ee" hidden="1">#REF!</definedName>
    <definedName name="BULK_ValidationRange_149183ca4b8747228aeaf6223dc7d01e">#REF!</definedName>
    <definedName name="BULK_ValidationRange_14c2cd2d31c34555a7ba024d9466d88c">#REF!</definedName>
    <definedName name="BULK_ValidationRange_15618c1c73dd49549d24af154e37eb19" hidden="1">#REF!</definedName>
    <definedName name="BULK_ValidationRange_1706a2e64baa4140bee3f0e5769f46cc" hidden="1">#REF!</definedName>
    <definedName name="BULK_ValidationRange_18f4061f3dc84248b46421aae7e5d57b" hidden="1">#REF!</definedName>
    <definedName name="BULK_ValidationRange_18f739bcbf7f47ff9c32ca9cd8a19359">#REF!</definedName>
    <definedName name="BULK_ValidationRange_21ee9137b6cd4289a204b31a11de98c2" hidden="1">#REF!</definedName>
    <definedName name="BULK_ValidationRange_2940cb12f7ff4854beee83124817c702">#REF!</definedName>
    <definedName name="BULK_ValidationRange_2972fb02a2e14ea4aa1ae669088dd14c" hidden="1">#REF!</definedName>
    <definedName name="BULK_ValidationRange_2d09407f771247878d1e4141bffee311">#REF!</definedName>
    <definedName name="BULK_ValidationRange_3233a3f6af92408e969b5ac6d6377fce">#REF!</definedName>
    <definedName name="BULK_ValidationRange_386d5683f9234a1ba3b0e63c8d3a5a62" hidden="1">#REF!</definedName>
    <definedName name="BULK_ValidationRange_3ca9f147e93d4d76b160293bf8d59c1c" hidden="1">#REF!</definedName>
    <definedName name="BULK_ValidationRange_3d913c7796e3451ea94b7e4c0931f5a8" hidden="1">#REF!</definedName>
    <definedName name="BULK_ValidationRange_41efc4496cda42f8a14c1047d8be0977" hidden="1">#REF!</definedName>
    <definedName name="BULK_ValidationRange_44a676f09489472ba03fc7b2209e6ab5">#REF!</definedName>
    <definedName name="BULK_ValidationRange_4722c5575b0743658c6f7b3951ec5c93">#REF!</definedName>
    <definedName name="BULK_ValidationRange_4995a0e33daa40b895c330d90d6dba02" hidden="1">#REF!</definedName>
    <definedName name="BULK_ValidationRange_4cf8d0a98cb147bb83428777ab1f32cc" hidden="1">#REF!</definedName>
    <definedName name="BULK_ValidationRange_5932e04fba674694bae03d04fe5d7dd7">#REF!</definedName>
    <definedName name="BULK_ValidationRange_6000b17ef1314361ad48dbf04c448ab9" hidden="1">#REF!</definedName>
    <definedName name="BULK_ValidationRange_60e57394662e470bbada4829788053d2">#REF!</definedName>
    <definedName name="BULK_ValidationRange_6468c789af0a4b04b91f6020307977a9">#REF!</definedName>
    <definedName name="BULK_ValidationRange_68ab878b7aa14256a61fc3b76911bb0a" hidden="1">#REF!</definedName>
    <definedName name="BULK_ValidationRange_7798328a78a74b3098b5323b7d48b550" hidden="1">#REF!</definedName>
    <definedName name="BULK_ValidationRange_85550909b16f4f609069bc490859c66f" hidden="1">#REF!</definedName>
    <definedName name="BULK_ValidationRange_914aa9c7722043cc91672f3db0beb881" hidden="1">#REF!</definedName>
    <definedName name="BULK_ValidationRange_9450bd842be24c45b479df67b6787428" hidden="1">#REF!</definedName>
    <definedName name="BULK_ValidationRange_9646321a0b424dd6a31d7086868f19ab">#REF!</definedName>
    <definedName name="BULK_ValidationRange_99a490aea6104cf58f799f4ef0297918" hidden="1">#REF!</definedName>
    <definedName name="BULK_ValidationRange_9dbe50a5a8b94d96821c467b29631bba" hidden="1">#REF!</definedName>
    <definedName name="BULK_ValidationRange_a48cf423aa214ca7adad0c840ef491c4" hidden="1">#REF!</definedName>
    <definedName name="BULK_ValidationRange_ade4932bc2d8417db1e14b3c860121cd">#REF!</definedName>
    <definedName name="BULK_ValidationRange_b178c8473ace4def8108a29d34f79aa6">#REF!</definedName>
    <definedName name="BULK_ValidationRange_b7378246069f466ba97cd713ef1b6004">#REF!</definedName>
    <definedName name="BULK_ValidationRange_bc9f24b80a0d42fabad20f4a9fef5e6c" hidden="1">#REF!</definedName>
    <definedName name="BULK_ValidationRange_c4611a26fca64b55a919aa5b891394e8" hidden="1">#REF!</definedName>
    <definedName name="BULK_ValidationRange_c859fbfe6fbb4f1f91f99af3a094e3ea">#REF!</definedName>
    <definedName name="BULK_ValidationRange_cddeba81f4a246599a71522bd3f586fb" hidden="1">#REF!</definedName>
    <definedName name="BULK_ValidationRange_d6419b0234f74cada30b280a6a23355d">#REF!</definedName>
    <definedName name="BULK_ValidationRange_d79ee53613d44cd882449757feee2d82" hidden="1">#REF!</definedName>
    <definedName name="BULK_ValidationRange_d9ce7a4f291b4420b12ccc7d75250576" hidden="1">#REF!</definedName>
    <definedName name="BULK_ValidationRange_de4e10c000d645888413fadda7cbb707" hidden="1">#REF!</definedName>
    <definedName name="BULK_ValidationRange_e22d8460b4fe415ea3348d2cdf9042b1" hidden="1">#REF!</definedName>
    <definedName name="BULK_ValidationRange_e2fd83aeed1d493e816b0ecb68ab475a" hidden="1">#REF!</definedName>
    <definedName name="BULK_ValidationRange_f431fde2da6c4727808a228795ddcb8b" hidden="1">#REF!</definedName>
    <definedName name="BULK_ValidationRange_f48b2752c95f4db8af00438b31b7fb59" hidden="1">#REF!</definedName>
    <definedName name="BULK_ValidationRange_f4dfc3b94e614dd5bb63a1211641bfac" hidden="1">#REF!</definedName>
    <definedName name="BULK_ValidationRange_f58ae05a06d94224bee7a8cbe6bcfdf9" hidden="1">#REF!</definedName>
    <definedName name="BULK_ValidationRange_fd2741e684f14cbeb279cc4d89b4f8d2" hidden="1">#REF!</definedName>
    <definedName name="BULK_ValidationRange_feab3b3f620f4ffe8822de3f4141ef65" hidden="1">#REF!</definedName>
    <definedName name="bull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sf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hit" hidden="1">{"Assumptions",#N/A,TRUE,"Returns";"Tables",#N/A,TRUE,"Returns"}</definedName>
    <definedName name="business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Unit">#REF!</definedName>
    <definedName name="but" hidden="1">{"2000",#N/A,FALSE,"2000"}</definedName>
    <definedName name="bv" hidden="1">"c2205"</definedName>
    <definedName name="C_">#REF!</definedName>
    <definedName name="c.LTMYear" hidden="1">#REF!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l" hidden="1">{#N/A,#N/A,FALSE,"Project Properties";#N/A,#N/A,FALSE,"Eng %";#N/A,#N/A,FALSE,"ENGFORM";#N/A,#N/A,FALSE,"staffing";#N/A,#N/A,FALSE,"spending"}</definedName>
    <definedName name="CALCCHOICE">#REF!</definedName>
    <definedName name="calvin" hidden="1">{#N/A,#N/A,FALSE,"Project Properties";#N/A,#N/A,FALSE,"Eng %";#N/A,#N/A,FALSE,"ENGFORM";#N/A,#N/A,FALSE,"staffing";#N/A,#N/A,FALSE,"spending"}</definedName>
    <definedName name="CAM">#REF!</definedName>
    <definedName name="Cap">#REF!</definedName>
    <definedName name="CAP_IMP">#REF!</definedName>
    <definedName name="Cap_Inplace">#REF!</definedName>
    <definedName name="Cap_MTM">#REF!</definedName>
    <definedName name="Cap_Rate">#REF!</definedName>
    <definedName name="Cap_Yr1">#REF!</definedName>
    <definedName name="Cap_Yr3">#REF!</definedName>
    <definedName name="Cap_Yr5">#REF!</definedName>
    <definedName name="CAPIMPRV">#REF!</definedName>
    <definedName name="capint">#REF!</definedName>
    <definedName name="Capital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CapRate">#REF!</definedName>
    <definedName name="Carrie" hidden="1">#REF!</definedName>
    <definedName name="case_name">#REF!</definedName>
    <definedName name="cash" hidden="1">{#N/A,#N/A,FALSE,"Assumptions";#N/A,#N/A,FALSE,"Consol CF";#N/A,#N/A,FALSE,"Hacienda CF";#N/A,#N/A,FALSE,"Chabot CF";#N/A,#N/A,FALSE,"Diablo CF"}</definedName>
    <definedName name="CASH_FLOW">#REF!</definedName>
    <definedName name="CASH198">#REF!</definedName>
    <definedName name="cash23" hidden="1">{"fdb1_Rapport_Report",#N/A,FALSE,"Report"}</definedName>
    <definedName name="CASH297">#REF!</definedName>
    <definedName name="cashflow">#REF!</definedName>
    <definedName name="CASHFLOW2">#REF!</definedName>
    <definedName name="CASHFLOW3">#REF!</definedName>
    <definedName name="CashflowRO_Codes" hidden="1">#REF!</definedName>
    <definedName name="CashflowRO_Details" hidden="1">#REF!</definedName>
    <definedName name="cashoncash">#REF!</definedName>
    <definedName name="cat">#REF!</definedName>
    <definedName name="cavde" hidden="1">{"FCB_ALL",#N/A,FALSE,"FCB"}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bChart595EC34_opts" hidden="1">"1, 9, 1, False, 2, False, False, , 0, False, True, 1, 1"</definedName>
    <definedName name="cb_bChart9876793_opts" hidden="1">"1, 2, 1, False, 2, False, False, , 0, False, False, 2, 2"</definedName>
    <definedName name="cb_Chart_1_opts" hidden="1">"1, 6, 1, False, 2, False, False, , 0, False, True, 1, 2"</definedName>
    <definedName name="cb_Chart_10_opts" hidden="1">"1, 8, 1, False, 2, False, False, , 0, False, False, 2, 2"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1, 1, False, 2, False, False, , 0, False, False, 2, 2"</definedName>
    <definedName name="cb_Chart_12_opts" hidden="1">"1, 8, 1, False, 2, False, False, , 0, False, False, 2, 2"</definedName>
    <definedName name="cb_Chart_13_opts" hidden="1">"1, 8, 1, False, 2, False, False, , 0, False, False, 2, 2"</definedName>
    <definedName name="cb_Chart_14_opts" hidden="1">"1, 8, 1, False, 2, False, False, , 0, False, False, 2, 2"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"1, 8, 1, False, 2, False, False, , 0, False, False, 2, 2"</definedName>
    <definedName name="cb_Chart_1670_opts" hidden="1">"1, 5, 1, False, 2, True, False, , 0, False, False, 2, 1"</definedName>
    <definedName name="cb_Chart_17_opts" hidden="1">"1, 6, 1, False, 2, False, False, , 0, False, True, 2, 2"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1opts1" hidden="1">"1, 9, 1, False, 2, False, True, , 1, False, True, 1, 1"</definedName>
    <definedName name="cb_Chart_2_opts" hidden="1">"1, 6, 1, False, 2, False, False, , 0, False, False, 1, 2"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_opts" hidden="1">"1, 9, 1, False, 2, False, False, , 0, False, False, 1, 1"</definedName>
    <definedName name="cb_Chart_24" hidden="1">#REF!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" hidden="1">#REF!</definedName>
    <definedName name="cb_Chart_26_opts" hidden="1">"1, 8, 1, False, 2, False, False, , 0, False, False, 2, 2"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_opts" hidden="1">"1, 1, 1, False, 2, True, False, , 0, False, False, 2, 2"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3, 1, False, 2, True, False, , 0, False, True, 2, 1"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0_opts" hidden="1">"1, 1, 1, False, 2, False, False, , 0, False, False, 3,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3, 1, False, 2, True, False, , 0, False, True, 1, 2"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48_opts" hidden="1">"2, 1, 2, True, 2, False, False, , 0, False, True, 1, 1"</definedName>
    <definedName name="cb_Chart_49_opts" hidden="1">"2, 1, 2, True, 2, False, False, , 0, False, True, 1, 1"</definedName>
    <definedName name="cb_Chart_5" hidden="1">#REF!</definedName>
    <definedName name="cb_Chart_5_opts" hidden="1">"1, 8, 1, False, 2, False, False, , 0, False, False, 1, 2"</definedName>
    <definedName name="cb_Chart_50_opts" hidden="1">"2, 1, 2, True, 2, False, False, , 0, False, True, 1, 1"</definedName>
    <definedName name="cb_Chart_51_opts" hidden="1">"1, 2, 1, False, 2, False, False, , 0, False, False, 2, 1"</definedName>
    <definedName name="cb_Chart_52_opts" hidden="1">"1, 2, 1, False, 2, False, False, , 0, False, False, 2, 1"</definedName>
    <definedName name="cb_Chart_52582_opts" hidden="1">"1, 1, 1, False, 2, False, False, , 0, False, False, 1, 2"</definedName>
    <definedName name="cb_Chart_53_opts" hidden="1">"1, 9, 1, False, 2, False, True, , 3, False, False, 1, 1"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2, 1, False, 2, False, False, , 0, False, False, 2, 1"</definedName>
    <definedName name="cb_Chart_5449_opts" hidden="1">"1, 1, 1, False, 2, False, False, , 0, False, False, 1, 1"</definedName>
    <definedName name="cb_Chart_55_opts" hidden="1">"1, 7, 1, False, 2, False, False, , 0, False, True, 2, 2"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" hidden="1">#REF!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6_opts" hidden="1">"1, 1, 1, False, 2, False, False, , 0, False, False, 1, 1"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" hidden="1">#REF!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"1, 7, 1, False, 2, False, False, , 0, False, True, 2,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PieChart_16_opts" hidden="1">"1, 10, 1, False, 2, True, False, , 0, False, False, 2, 2"</definedName>
    <definedName name="cb_sChart_1501_opts" hidden="1">"1, 1, 1, False, 2, True, False, , 0, False, False, 1, 2"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1, 1, False, 2, True, False, , 0, False, False, 1, 2"</definedName>
    <definedName name="cb_sChart_36498_opts" hidden="1">"1, 3, 1, False, 2, False, False, , 0, False, False, 1, 2"</definedName>
    <definedName name="cb_sChart_37450_opts" hidden="1">"1, 5, 1, False, 2, True, False, , 0, False, True, 2, 1"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9, 1, False, 2, False, False, , 0, False, True, 2, 2"</definedName>
    <definedName name="cb_sChart_5449_opts" hidden="1">"1, 3, 1, False, 2, False, False, , 0, False, True, 2, 2"</definedName>
    <definedName name="cb_sChart_5723_opts" hidden="1">"1, 3, 1, False, 2, False, False, , 0, False, True, 2, 2"</definedName>
    <definedName name="cb_sChart_58046_opts" hidden="1">"1, 9, 1, False, 2, False, False, , 0, False, True, 2,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8, 1, False, 2, False, False, , 0, False, False, 2, 2"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1, 1, False, 2, True, False, , 0, False, False, 1, 2"</definedName>
    <definedName name="cb_sChart_79140_opts" hidden="1">"1, 5, 1, False, 2, False, False, , 0, False, True, 2, 1"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4, 1, False, 2, True, False, , 0, False, False, 1, 1"</definedName>
    <definedName name="cb_sChart_87236_opts" hidden="1">"1, 1, 1, False, 2, False, False, , 0, False, False, 1, 1"</definedName>
    <definedName name="cb_sChart_95047_opts" hidden="1">"1, 6, 1, False, 2, False, False, , 0, False, True, 2, 2"</definedName>
    <definedName name="cb_sChart_96286_opts" hidden="1">"1, 2, 1, False, 2, False, False, , 0, False, False, 2, 1"</definedName>
    <definedName name="cb_sChart105F0196_opts" hidden="1">"1, 2, 1, False, 2, False, False, , 1, False, False, 2, 1"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12D83A2_opts" hidden="1">"1, 1, 1, False, 2, False, False, , 0, False, True, 2, 2"</definedName>
    <definedName name="cb_sChart12D852C_opts" hidden="1">"1, 1, 1, False, 2, False, False, , 0, False, True, 2, 2"</definedName>
    <definedName name="cb_sChart12D89EB_opts" hidden="1">"1, 1, 1, False, 2, False, False, , 0, False, True, 2, 2"</definedName>
    <definedName name="cb_sChart12DAD51_opts" hidden="1">"1, 1, 1, False, 2, False, False, , 0, False, True, 2, 2"</definedName>
    <definedName name="cb_sChart12E7B7B_opts" hidden="1">"1, 1, 1, False, 2, True, False, , 0, False, True, 2, 2"</definedName>
    <definedName name="cb_sChart12E83C1_opts" hidden="1">"1, 1, 1, False, 2, False, False, , 0, False, True, 2, 1"</definedName>
    <definedName name="cb_sChart12E85B3_opts" hidden="1">"1, 1, 1, False, 2, False, False, , 0, False, True, 2, 2"</definedName>
    <definedName name="cb_sChart12E8C9E_opts" hidden="1">"1, 2, 1, False, 2, False, False, , 0, False, False, 2, 1"</definedName>
    <definedName name="cb_sChart12EA8E0_opts" hidden="1">"1, 1, 1, False, 2, True, False, , 0, False, False, 2, 2"</definedName>
    <definedName name="cb_sChart12EB078_opts" hidden="1">"1, 1, 1, False, 2, False, False, , 0, False, False, 2, 2"</definedName>
    <definedName name="cb_sChart12EBD15_opts" hidden="1">"1, 1, 1, False, 2, False, False, , 0, False, False, 2, 2"</definedName>
    <definedName name="cb_sChart12FE48A_opts" hidden="1">"1, 2, 1, False, 2, False, False, , 0, False, False, 2, 1"</definedName>
    <definedName name="cb_sChart12FE9EB_opts" hidden="1">"1, 1, 1, False, 2, False, False, , 0, False, False, 1, 2"</definedName>
    <definedName name="cb_sChart12FEDFD_opts" hidden="1">"1, 1, 1, False, 2, False, False, , 0, False, False, 1, 2"</definedName>
    <definedName name="cb_sChart12FF231_opts" hidden="1">"1, 1, 1, False, 2, False, False, , 0, False, False, 1, 2"</definedName>
    <definedName name="cb_sChart12FF8BF_opts" hidden="1">"1, 1, 1, False, 2, False, False, , 0, False, False, 1, 2"</definedName>
    <definedName name="cb_sChart12FF933_opts" hidden="1">"1, 3, 1, False, 2, False, False, , 0, False, False, 1, 2"</definedName>
    <definedName name="cb_sChart12FFC46_opts" hidden="1">"1, 1, 1, False, 2, False, False, , 0, False, False, 1, 2"</definedName>
    <definedName name="cb_sChart181DCCD8_opts" hidden="1">"1, 9, 1, False, 2, False, False, , 0, False, True, 1, 2"</definedName>
    <definedName name="cb_sChart181DCFF7_opts" hidden="1">"1, 3, 1, False, 2, True, False, , 0, True, True, 2, 1"</definedName>
    <definedName name="cb_sChart181DDD93_opts" hidden="1">"1, 3, 1, False, 2, True, False, , 0, True, True, 2, 1"</definedName>
    <definedName name="cb_sChart181DDEEE_opts" hidden="1">"1, 3, 1, False, 2, True, False, , 0, True, True, 2, 1"</definedName>
    <definedName name="cb_sChart181DE1C7_opts" hidden="1">"1, 10, 1, False, 2, True, False, , 0, False, True, 2, 1"</definedName>
    <definedName name="cb_sChart181E8791_opts" hidden="1">"2, 1, 2, True, 2, True, False, , 0, False, True, 1, 2"</definedName>
    <definedName name="cb_sChart181E96D9_opts" hidden="1">"1, 9, 1, False, 2, False, False, , 0, False, True, 1, 2"</definedName>
    <definedName name="cb_sChart1B7AB11_opts" hidden="1">"1, 7, 1, False, 2, False, False, , 0, False, True, 1, 1"</definedName>
    <definedName name="cb_sChart1B7ECF0_opts" hidden="1">"1, 9, 1, False, 2, False, False, , 0, False, False, 1, 1"</definedName>
    <definedName name="cb_sChart1B8AF1F_opts" hidden="1">"1, 9, 1, False, 2, False, True, , 0, False, False, 1, 1"</definedName>
    <definedName name="cb_sChart1B99DE1_opts" hidden="1">"1, 7, 1, False, 2, False, False, , 0, False, True, 1, 2"</definedName>
    <definedName name="cb_sChart1BA8AA_opts" hidden="1">"1, 1, 1, False, 2, False, False, , 0, False, False, 1, 2"</definedName>
    <definedName name="cb_sChart1BADD1_opts" hidden="1">"1, 1, 1, False, 2, False, False, , 0, False, False, 2, 2"</definedName>
    <definedName name="cb_sChart1CAAAF_opts" hidden="1">"1, 1, 1, False, 2, False, False, , 0, False, False, 3, 2"</definedName>
    <definedName name="cb_sChart1D05BD_opts" hidden="1">"1, 4, 1, False, 2, True, False, , 0, False, False, 2, 1"</definedName>
    <definedName name="cb_sChart1D0E49_opts" hidden="1">"1, 1, 1, False, 2, True, False, , 0, False, True, 2, 1"</definedName>
    <definedName name="cb_sChart1D0EF7_opts" hidden="1">"1, 5, 1, False, 2, True, False, , 0, False, True, 2, 1"</definedName>
    <definedName name="cb_sChart1D3AE8_opts" hidden="1">"1, 6, 1, False, 2, False, False, , 0, False, True, 2, 2"</definedName>
    <definedName name="cb_sChart1D3EEF_opts" hidden="1">"1, 7, 1, False, 2, False, False, , 0, False, True, 2, 2"</definedName>
    <definedName name="cb_sChart1D41EA_opts" hidden="1">"1, 8, 1, False, 2, False, False, , 0, False, False, 2, 2"</definedName>
    <definedName name="cb_sChart1D5891_opts" hidden="1">"1, 9, 1, False, 2, False, False, , 0, False, True, 2, 2"</definedName>
    <definedName name="cb_sChart1D9CE2_opts" hidden="1">"1, 10, 1, False, 2, True, False, , 0, False, False, 2, 2"</definedName>
    <definedName name="cb_sChart1DA03A_opts" hidden="1">"2, 1, 1, True, 3, False, False, , 0, False, True, 1, 2"</definedName>
    <definedName name="cb_sChart1DA590_opts" hidden="1">"2, 1, 1, True, 3, False, False, , 0, False, True, 2, 2"</definedName>
    <definedName name="cb_sChart1DBAAD_opts" hidden="1">"2, 1, 2, True, 2, False, False, , 0, False, True, 1, 2"</definedName>
    <definedName name="cb_sChart1DBB89_opts" hidden="1">"2, 1, 2, True, 2, False, False, , 0, False, True, 1, 1"</definedName>
    <definedName name="cb_sChart1DCA97_opts" hidden="1">"2, 1, 1, True, 2, False, False, , 0, False, True, 2, 1"</definedName>
    <definedName name="cb_sChart1DCCF1_opts" hidden="1">"2, 1, 1, True, 2, False, False, , 0, False, True, 1, 2"</definedName>
    <definedName name="cb_sChart1E1206_opts" hidden="1">"2, 1, 3, False, 2, False, False, , 0, False, True, 2, 2"</definedName>
    <definedName name="cb_sChart1E17F2_opts" hidden="1">"1, 9, 1, False, 2, False, False, , 0, False, True, 1, 1"</definedName>
    <definedName name="cb_sChart1E2D49_opts" hidden="1">"1, 10, 1, False, 2, True, False, , 0, False, False, 3, 2"</definedName>
    <definedName name="cb_sChart1E2DEB_opts" hidden="1">"1, 10, 1, False, 2, True, False, , 0, False, False, 2, 2"</definedName>
    <definedName name="cb_sChart1E3944_opts" hidden="1">"1, 10, 1, False, 2, True, False, , 0, False, False, 2, 2"</definedName>
    <definedName name="cb_sChart1E3BE4_opts" hidden="1">"1, 10, 1, False, 2, True, False, , 0, False, False, 2, 2"</definedName>
    <definedName name="cb_sChart1E3E3D_opts" hidden="1">"1, 10, 1, False, 2, True, False, , 0, False, False, 1, 2"</definedName>
    <definedName name="cb_sChart1E4314_opts" hidden="1">"1, 10, 1, False, 2, True, False, , 0, False, False, 2, 2"</definedName>
    <definedName name="cb_sChart1E4E56_opts" hidden="1">"1, 1, 1, False, 2, False, False, , 0, False, False, 2, 2"</definedName>
    <definedName name="cb_sChart1E5372_opts" hidden="1">"1, 1, 1, False, 2, True, False, , 0, False, True, 2, 2"</definedName>
    <definedName name="cb_sChart1E5975_opts" hidden="1">"2, 1, 2, True, 2, False, False, , 0, False, True, 1, 2"</definedName>
    <definedName name="cb_sChart1E5C43_opts" hidden="1">"2, 1, 2, True, 2, False, False, , 0, False, True, 2, 2"</definedName>
    <definedName name="cb_sChart1E5F4A_opts" hidden="1">"2, 1, 2, True, 2, False, False, , 0, False, True, 1, 2"</definedName>
    <definedName name="cb_sChart23F891A_opts" hidden="1">"1, 9, 1, False, 2, False, False, , 0, False, True, 1, 1"</definedName>
    <definedName name="cb_sChart24ED245_opts" hidden="1">"1, 9, 1, False, 2, False, False, , 0, False, True, 1, 1"</definedName>
    <definedName name="cb_sChart24ED930_opts" hidden="1">"1, 9, 1, False, 2, False, False, , 0, False, False, 1, 1"</definedName>
    <definedName name="cb_sChart26CA498_opts" hidden="1">"1, 9, 1, False, 2, False, False, , 0, False, False, 1, 1"</definedName>
    <definedName name="cb_sChart27D31D5_opts" hidden="1">"1, 9, 1, False, 2, False, False, , 0, False, True, 1, 1"</definedName>
    <definedName name="cb_sChart27D3990_opts" hidden="1">"1, 9, 1, False, 2, False, False, , 0, False, True, 1, 1"</definedName>
    <definedName name="cb_sChart2A64D8F_opts" hidden="1">"1, 8, 1, False, 2, False, False, , 0, False, True, 1, 1"</definedName>
    <definedName name="cb_sChart2A65748_opts" hidden="1">"1, 8, 1, False, 2, False, False, , 0, False, True, 1, 1"</definedName>
    <definedName name="cb_sChart2A667D4_opts" hidden="1">"1, 8, 1, False, 2, False, False, , 0, False, True, 1, 1"</definedName>
    <definedName name="cb_sChart2A66D9D_opts" hidden="1">"1, 8, 1, False, 2, False, False, , 0, False, True, 1, 1"</definedName>
    <definedName name="cb_sChart2A67124_opts" hidden="1">"2, 1, 3, False, 2, False, False, , 0, False, True, 1, 1"</definedName>
    <definedName name="cb_sChart2A673A1_opts" hidden="1">"1, 8, 1, False, 2, False, False, , 0, False, True, 1, 1"</definedName>
    <definedName name="cb_sChart2A67A0C_opts" hidden="1">"1, 8, 1, False, 2, False, False, , 0, False, True, 1, 1"</definedName>
    <definedName name="cb_sChart2A68670_opts" hidden="1">"1, 8, 1, False, 2, False, False, , 0, False, True, 1, 1"</definedName>
    <definedName name="cb_sChart2A6C43D_opts" hidden="1">"1, 9, 1, False, 2, False, False, , 0, False, True, 1, 1"</definedName>
    <definedName name="cb_sChart2A74E8A_opts" hidden="1">"1, 9, 1, False, 2, False, False, , 0, False, True, 1, 1"</definedName>
    <definedName name="cb_sChart2A76BA8_opts" hidden="1">"1, 9, 1, False, 2, False, False, , 0, False, True, 1, 1"</definedName>
    <definedName name="cb_sChart2D6F93B_opts" hidden="1">"1, 9, 1, False, 2, False, False, , 0, False, True, 1, 1"</definedName>
    <definedName name="cb_sChart2D714FE_opts" hidden="1">"1, 9, 1, False, 2, False, False, , 0, False, True, 1, 2"</definedName>
    <definedName name="cb_sChart2D737E5_opts" hidden="1">"1, 9, 1, False, 2, False, False, , 0, False, False, 1, 2"</definedName>
    <definedName name="cb_sChart2D73A28_opts" hidden="1">"1, 9, 1, False, 2, False, False, , 0, False, True, 1, 1"</definedName>
    <definedName name="cb_sChart2D759D9_opts" hidden="1">"1, 10, 1, False, 2, False, False, , 0, False, False, 1, 2"</definedName>
    <definedName name="cb_sChart2D76823_opts" hidden="1">"1, 9, 1, False, 2, False, False, , 0, False, True, 1, 2"</definedName>
    <definedName name="cb_sChart2D76BFA_opts" hidden="1">"1, 9, 1, False, 2, False, False, , 0, False, True, 1, 2"</definedName>
    <definedName name="cb_sChart2D9FB96_opts" hidden="1">"1, 9, 1, False, 2, False, False, , 0, False, True, 1, 2"</definedName>
    <definedName name="cb_sChart2D9FE6F_opts" hidden="1">"1, 9, 1, False, 2, False, False, , 0, False, True, 1, 2"</definedName>
    <definedName name="cb_sChart2DA6F48_opts" hidden="1">"1, 9, 1, False, 2, False, False, , 0, False, True, 1, 2"</definedName>
    <definedName name="cb_sChart2DAB5B8_opts" hidden="1">"1, 7, 1, False, 2, False, False, , 0, False, True, 1, 1"</definedName>
    <definedName name="cb_sChart2DAC2D5_opts" hidden="1">"1, 7, 1, False, 2, False, False, , 0, False, True, 1, 1"</definedName>
    <definedName name="cb_sChart2DADDDE_opts" hidden="1">"1, 7, 1, False, 2, False, False, , 0, False, False, 1, 1"</definedName>
    <definedName name="cb_sChart2DADE5D_opts" hidden="1">"1, 7, 1, False, 2, False, False, , 0, False, True, 1, 1"</definedName>
    <definedName name="cb_sChart2DAF358_opts" hidden="1">"1, 7, 1, False, 2, False, False, , 0, False, True, 1, 1"</definedName>
    <definedName name="cb_sChart2DB05D6_opts" hidden="1">"1, 7, 1, False, 2, False, False, , 0, False, True, 1, 1"</definedName>
    <definedName name="cb_sChart2DBCB46_opts" hidden="1">"1, 7, 1, False, 2, False, False, , 0, False, True, 1, 1"</definedName>
    <definedName name="cb_sChart2E6278B_opts" hidden="1">"1, 9, 1, False, 2, False, False, , 0, False, True, 1, 1"</definedName>
    <definedName name="cb_sChart2EB0678_opts" hidden="1">"1, 1, 1, False, 2, True, False, , 0, False, True, 2, 2"</definedName>
    <definedName name="cb_sChart2F3EBCE_opts" hidden="1">"2, 1, 1, False, 2, False, False, , 0, False, True, 2, 2"</definedName>
    <definedName name="cb_sChart2F3F63F_opts" hidden="1">"1, 5, 1, False, 2, True, False, , 0, False, False, 1, 1"</definedName>
    <definedName name="cb_sChart2F3F90D_opts" hidden="1">"1, 5, 1, False, 2, True, False, , 0, False, False, 2, 2"</definedName>
    <definedName name="cb_sChart2F46DBE_opts" hidden="1">"2, 1, 1, True, 2, False, False, , 0, False, True, 1, 2"</definedName>
    <definedName name="cb_sChart2F470D1_opts" hidden="1">"2, 1, 1, False, 2, True, False, , 0, False, True, 1, 2"</definedName>
    <definedName name="cb_sChart2F4952A_opts" hidden="1">"1, 5, 1, False, 2, False, False, , 0, False, False, 1, 1"</definedName>
    <definedName name="cb_sChart2F49CDA_opts" hidden="1">"1, 5, 1, False, 2, False, False, , 0, False, False, 1, 1"</definedName>
    <definedName name="cb_sChart2F4A3D0_opts" hidden="1">"1, 5, 1, False, 2, False, False, , 0, False, False, 1, 1"</definedName>
    <definedName name="cb_sChart2F4A9B1_opts" hidden="1">"1, 5, 1, False, 2, False, False, , 0, False, False, 1, 1"</definedName>
    <definedName name="cb_sChart2F65E86_opts" hidden="1">"1, 1, 1, False, 2, True, False, , 0, False, False, 2, 2"</definedName>
    <definedName name="cb_sChart2F6A8C2_opts" hidden="1">"1, 1, 1, False, 2, True, False, , 0, False, False, 1, 2"</definedName>
    <definedName name="cb_sChart2F6AAB4_opts" hidden="1">"1, 1, 1, False, 2, True, False, , 0, False, True, 1, 2"</definedName>
    <definedName name="cb_sChart2F6B601_opts" hidden="1">"1, 1, 1, False, 2, False, False, , 0, False, False, 1, 1"</definedName>
    <definedName name="cb_sChart2F730C1_opts" hidden="1">"1, 4, 1, False, 2, False, False, , 0, False, False, 1, 1"</definedName>
    <definedName name="cb_sChart2FA9A3C_opts" hidden="1">"1, 3, 1, False, 2, False, False, , 0, False, True, 1, 2"</definedName>
    <definedName name="cb_sChart2FA9CC4_opts" hidden="1">"1, 3, 1, False, 2, False, False, , 0, False, True, 1, 2"</definedName>
    <definedName name="cb_sChart33FC2FF_opts" hidden="1">"1, 5, 1, False, 2, False, False, , 0, False, False, 1, 2"</definedName>
    <definedName name="cb_sChart33FC8D4_opts" hidden="1">"1, 5, 1, False, 2, False, False, , 0, False, False, 1, 2"</definedName>
    <definedName name="cb_sChart33FE8BF_opts" hidden="1">"1, 5, 1, False, 2, False, False, , 0, False, False, 1, 2"</definedName>
    <definedName name="cb_sChart34010F1_opts" hidden="1">"1, 5, 1, False, 2, False, False, , 0, False, False, 1, 2"</definedName>
    <definedName name="cb_sChart3401AFA_opts" hidden="1">"1, 5, 1, False, 2, False, False, , 0, False, False, 1, 2"</definedName>
    <definedName name="cb_sChart3409186_opts" hidden="1">"1, 5, 1, False, 2, False, False, , 0, False, False, 1, 2"</definedName>
    <definedName name="cb_sChart340A263_opts" hidden="1">"1, 5, 1, False, 2, False, False, , 0, False, False, 1, 1"</definedName>
    <definedName name="cb_sChart340F629_opts" hidden="1">"1, 8, 1, False, 2, False, False, , 0, False, False, 1, 2"</definedName>
    <definedName name="cb_sChart340FD14_opts" hidden="1">"1, 8, 1, False, 2, False, False, , 0, False, False, 1, 2"</definedName>
    <definedName name="cb_sChart34107E2_opts" hidden="1">"1, 8, 1, False, 2, False, False, , 0, False, False, 1, 1"</definedName>
    <definedName name="cb_sChart3434ED7_opts" hidden="1">"1, 5, 1, False, 2, False, False, , 0, False, False, 1, 2"</definedName>
    <definedName name="cb_sChart343DEED_opts" hidden="1">"2, 1, 2, True, 2, False, False, , 0, False, True, 1, 2"</definedName>
    <definedName name="cb_sChart344EE9A_opts" hidden="1">"1, 9, 1, False, 2, False, False, , 0, False, True, 1, 1"</definedName>
    <definedName name="cb_sChart344F24F_opts" hidden="1">"1, 9, 1, False, 2, False, False, , 0, False, True, 1, 2"</definedName>
    <definedName name="cb_sChart3450777_opts" hidden="1">"1, 9, 1, False, 2, False, True, 13, 2, False, False, 1, 1"</definedName>
    <definedName name="cb_sChart3450E85_opts" hidden="1">"1, 9, 1, False, 2, False, False, , 0, False, True, 1, 2"</definedName>
    <definedName name="cb_sChart3452C22_opts" hidden="1">"1, 3, 1, False, 2, False, False, , 0, False, True, 1, 2"</definedName>
    <definedName name="cb_sChart345311B_opts" hidden="1">"1, 3, 1, False, 2, False, False, , 0, False, True, 1, 2"</definedName>
    <definedName name="cb_sChart3453B0D_opts" hidden="1">"2, 1, 1, True, 2, False, False, , 0, False, True, 1, 2"</definedName>
    <definedName name="cb_sChart34647CA_opts" hidden="1">"1, 8, 1, False, 2, False, False, , 0, False, False, 2, 2"</definedName>
    <definedName name="cb_sChart346520D_opts" hidden="1">"1, 8, 1, False, 2, False, False, , 0, False, False, 1, 2"</definedName>
    <definedName name="cb_sChart34654DB_opts" hidden="1">"1, 8, 1, False, 2, False, False, , 0, False, False, 1, 2"</definedName>
    <definedName name="cb_sChart346953C_opts" hidden="1">"2, 1, 1, False, 2, False, False, , 0, False, False, 2, 2"</definedName>
    <definedName name="cb_sChart346A27B_opts" hidden="1">"1, 3, 1, False, 2, False, False, , 0, False, True, 2, 2"</definedName>
    <definedName name="cb_sChart347102A_opts" hidden="1">"2, 1, 1, False, 2, False, False, , 0, False, True, 2, 2"</definedName>
    <definedName name="cb_sChart34E448E_opts" hidden="1">"1, 1, 1, False, 2, False, False, , 0, False, False, 1, 1"</definedName>
    <definedName name="cb_sChart34F5376_opts" hidden="1">"2, 1, 2, True, 2, False, False, , 0, False, True, 1, 2"</definedName>
    <definedName name="cb_sChart34F577C_opts" hidden="1">"2, 1, 2, True, 2, False, False, , 0, False, True, 1, 2"</definedName>
    <definedName name="cb_sChart34F5A05_opts" hidden="1">"2, 1, 2, True, 2, False, False, , 0, False, True, 1, 2"</definedName>
    <definedName name="cb_sChart34F5F2C_opts" hidden="1">"2, 1, 2, True, 2, False, False, , 0, False, True, 1, 2"</definedName>
    <definedName name="cb_sChart34F92FC_opts" hidden="1">"1, 1, 1, False, 2, True, False, , 0, False, False, 1, 2"</definedName>
    <definedName name="cb_sChart34F9B08_opts" hidden="1">"1, 4, 1, False, 2, False, False, , 0, False, False, 1, 1"</definedName>
    <definedName name="cb_sChart34FAEB3_opts" hidden="1">"1, 3, 1, False, 2, False, False, , 0, False, True, 1, 1"</definedName>
    <definedName name="cb_sChart34FB053_opts" hidden="1">"1, 3, 1, False, 2, True, False, , 0, False, False, 1, 1"</definedName>
    <definedName name="cb_sChart352F02B_opts" hidden="1">"1, 5, 1, False, 2, True, False, , 0, False, False, 1, 2"</definedName>
    <definedName name="cb_sChart3532FF6_opts" hidden="1">"2, 1, 1, False, 2, False, False, , 0, False, True, 1, 2"</definedName>
    <definedName name="cb_sChart355BCAD_opts" hidden="1">"2, 1, 1, False, 2, False, False, , 0, False, True, 1, 2"</definedName>
    <definedName name="cb_sChart35FF6A2_opts" hidden="1">"1, 8, 1, False, 2, False, False, , 0, False, False, 1, 2"</definedName>
    <definedName name="cb_sChart3624091_opts" hidden="1">"1, 8, 1, False, 2, False, False, , 0, False, False, 1, 2"</definedName>
    <definedName name="cb_sChart36406CE_opts" hidden="1">"1, 3, 1, False, 2, True, False, , 0, False, True, 1, 1"</definedName>
    <definedName name="cb_sChart3AB73A1_opts" hidden="1">"2, 1, 1, False, 2, True, False, , 0, False, True, 2, 2"</definedName>
    <definedName name="cb_sChart3ABAD51_opts" hidden="1">"1, 5, 1, False, 2, True, False, , 0, False, False, 2, 2"</definedName>
    <definedName name="cb_sChart3AE4A4F_opts" hidden="1">"2, 1, 1, True, 2, False, False, , 0, False, True, 2, 2"</definedName>
    <definedName name="cb_sChart3AEA7B7_opts" hidden="1">"2, 1, 1, True, 2, False, False, , 0, False, True, 1, 1"</definedName>
    <definedName name="cb_sChart3AEAB83_opts" hidden="1">"2, 1, 1, True, 2, False, False, , 0, False, True, 2, 2"</definedName>
    <definedName name="cb_sChart3AF2834_opts" hidden="1">"1, 3, 1, False, 2, False, False, , 0, False, False, 2, 2"</definedName>
    <definedName name="cb_sChart3AF5310_opts" hidden="1">"1, 1, 1, False, 2, False, False, , 0, False, False, 1, 2"</definedName>
    <definedName name="cb_sChart3AF68AD_opts" hidden="1">"1, 1, 1, False, 2, False, False, , 0, False, False, 2, 2"</definedName>
    <definedName name="cb_sChart3AF71DA_opts" hidden="1">"1, 1, 1, False, 2, False, False, , 0, False, False, 1, 1"</definedName>
    <definedName name="cb_sChart3AF76D4_opts" hidden="1">"1, 1, 1, False, 2, False, False, , 0, False, False, 2, 2"</definedName>
    <definedName name="cb_sChart3AF8492_opts" hidden="1">"1, 1, 1, False, 2, False, False, , 0, False, False, 1, 1"</definedName>
    <definedName name="cb_sChart3AFF994_opts" hidden="1">"1, 1, 1, False, 2, False, False, , 0, False, False, 2, 2"</definedName>
    <definedName name="cb_sChart3B004D6_opts" hidden="1">"1, 1, 1, False, 2, False, False, , 0, False, False, 1, 1"</definedName>
    <definedName name="cb_sChart3B03C44_opts" hidden="1">"1, 1, 1, False, 2, False, False, , 0, False, False, 1, 1"</definedName>
    <definedName name="cb_sChart3B08D31_opts" hidden="1">"1, 8, 1, False, 2, False, False, , 0, False, False, 2, 2"</definedName>
    <definedName name="cb_sChart3B09A9F_opts" hidden="1">"1, 8, 1, False, 2, False, False, , 0, False, False, 2, 2"</definedName>
    <definedName name="cb_sChart3B09F8C_opts" hidden="1">"1, 8, 1, False, 2, False, False, , 0, False, False, 2, 2"</definedName>
    <definedName name="cb_sChart3B0ABD8_opts" hidden="1">"1, 8, 1, False, 2, False, False, , 0, False, False, 2, 2"</definedName>
    <definedName name="cb_sChart3B12357_opts" hidden="1">"1, 8, 1, False, 2, False, False, , 0, False, False, 2, 2"</definedName>
    <definedName name="cb_sChart3B12816_opts" hidden="1">"1, 8, 1, False, 2, False, False, , 0, False, False, 2, 2"</definedName>
    <definedName name="cb_sChart3B12D0F_opts" hidden="1">"1, 8, 1, False, 2, False, False, , 0, False, False, 2, 2"</definedName>
    <definedName name="cb_sChart3BA9EF5_opts" hidden="1">"1, 9, 1, False, 2, False, False, , 0, False, True, 1, 1"</definedName>
    <definedName name="cb_sChart3BAA0A1_opts" hidden="1">"1, 9, 1, False, 2, False, False, , 0, False, True, 1, 1"</definedName>
    <definedName name="cb_sChart3BAA29E_opts" hidden="1">"1, 9, 1, False, 2, False, False, , 0, False, True, 1, 1"</definedName>
    <definedName name="cb_sChart3BAACED_opts" hidden="1">"1, 9, 1, False, 2, False, False, , 0, False, True, 1, 1"</definedName>
    <definedName name="cb_sChart3BAD7A6_opts" hidden="1">"2, 1, 2, True, 2, False, False, , 0, False, True, 1, 2"</definedName>
    <definedName name="cb_sChart3BBD972_opts" hidden="1">"1, 1, 1, False, 2, False, False, , 0, False, False, 1, 1"</definedName>
    <definedName name="cb_sChart3BC0E91_opts" hidden="1">"2, 1, 1, False, 2, True, False, , 0, False, True, 1, 1"</definedName>
    <definedName name="cb_sChart3BFC30E_opts" hidden="1">"1, 4, 1, False, 2, False, False, , 0, False, False, 1, 1"</definedName>
    <definedName name="cb_sChart3BFD9FA_opts" hidden="1">"2, 1, 1, True, 2, False, False, , 0, False, True, 2, 2"</definedName>
    <definedName name="cb_sChart3BFEF23_opts" hidden="1">"1, 4, 1, False, 2, False, False, , 0, False, False, 1, 1"</definedName>
    <definedName name="cb_sChart3BFF2E3_opts" hidden="1">"1, 1, 1, False, 2, False, False, , 0, False, False, 1, 1"</definedName>
    <definedName name="cb_sChart41E9A35_opts" hidden="1">"1, 9, 1, False, 2, False, False, , 0, False, True, 1, 1"</definedName>
    <definedName name="cb_sChart463330_opts" hidden="1">"2, 1, 2, True, 2, False, False, , 0, False, True, 1, 2"</definedName>
    <definedName name="cb_sChart4665D3_opts" hidden="1">"1, 9, 1, False, 2, False, False, , 0, False, True, 2, 2"</definedName>
    <definedName name="cb_sChart4680DD_opts" hidden="1">"1, 10, 1, False, 2, True, False, , 0, False, False, 2, 2"</definedName>
    <definedName name="cb_sChart468801_opts" hidden="1">"1, 10, 1, False, 2, True, False, , 0, False, False, 2, 2"</definedName>
    <definedName name="cb_sChart46BC0B_opts" hidden="1">"2, 1, 2, True, 2, False, False, , 0, False, True, 1, 2"</definedName>
    <definedName name="cb_sChart4828C3_opts" hidden="1">"1, 1, 1, False, 2, False, False, , 0, False, False, 1, 2"</definedName>
    <definedName name="cb_sChart482D03_opts" hidden="1">"1, 1, 1, False, 2, False, False, , 0, False, False, 1, 2"</definedName>
    <definedName name="cb_sChart595EE0E_opts" hidden="1">"1, 9, 1, False, 2, False, True, , 3, False, True, 1, 1"</definedName>
    <definedName name="cb_sChart5D0C805_opts" hidden="1">"1, 4, 1, False, 2, False, False, , 0, False, False, 1, 1"</definedName>
    <definedName name="cb_sChart5D375C8_opts" hidden="1">"1, 9, 1, False, 2, False, False, , 0, False, True, 1, 1"</definedName>
    <definedName name="cb_sChart6A2ED7_opts" hidden="1">"1, 10, 1, False, 2, True, False, , 0, False, False, 1, 1"</definedName>
    <definedName name="cb_sChart6A6617_opts" hidden="1">"1, 10, 1, False, 2, True, False, , 0, False, False, 1, 1"</definedName>
    <definedName name="cb_sChart6A66F3_opts" hidden="1">"1, 10, 1, False, 2, True, False, , 0, False, False, 1, 1"</definedName>
    <definedName name="cb_sChart6A7DF6_opts" hidden="1">"1, 3, 1, False, 2, True, False, , 0, False, True, 2, 1"</definedName>
    <definedName name="cb_sChart74E984_opts" hidden="1">"1, 1, 1, False, 2, False, False, , 0, False, False, 2, 2"</definedName>
    <definedName name="cb_sChart8CD287E_opts" hidden="1">"1, 1, 1, False, 2, False, False, , 0, False, False, 1, 1"</definedName>
    <definedName name="cb_sChartD086F3E_opts" hidden="1">"1, 1, 1, False, 2, False, False, , 1, False, True, 2, 2"</definedName>
    <definedName name="cb_sChartD0876B3_opts" hidden="1">"2, 2, 2, True, 2, False, False, , 1, False, True, 2, 2"</definedName>
    <definedName name="cb_sChartEB337E1_opts" hidden="1">"1, 10, 1, False, 2, False, False, , 1, False, True, 2, 2"</definedName>
    <definedName name="cb_sChartEB33A80_opts" hidden="1">"1, 10, 1, False, 2, False, False, , 1, False, True, 2, 2"</definedName>
    <definedName name="cb_sChartEB33EA9_opts" hidden="1">"1, 10, 1, False, 2, False, False, , 1, False, True, 2, 2"</definedName>
    <definedName name="cb_sChartEB340BD_opts" hidden="1">"1, 10, 1, False, 2, False, False, , 1, False, True, 2, 2"</definedName>
    <definedName name="cb_sChartEB344DA_opts" hidden="1">"1, 10, 1, False, 2, False, False, , 1, False, False, 2, 2"</definedName>
    <definedName name="cb_sChartEB3479C_opts" hidden="1">"1, 1, 1, False, 2, False, False, , 1, False, True, 2, 1"</definedName>
    <definedName name="cb_sChartEB34833_opts" hidden="1">"1, 10, 1, False, 2, False, False, , 1, False, True, 2, 1"</definedName>
    <definedName name="cb_sChartEB34DCE_opts" hidden="1">"1, 10, 1, False, 2, False, False, , 1, False, True, 2, 1"</definedName>
    <definedName name="cb_sChartEB36CAF_opts" hidden="1">"1, 9, 1, False, 2, False, False, , 1, False, True, 1, 2"</definedName>
    <definedName name="cb_sChartEB38838_opts" hidden="1">"1, 9, 1, False, 2, False, False, , 1, False, True, 2, 2"</definedName>
    <definedName name="cb_sChartEB38E8C_opts" hidden="1">"1, 10, 1, False, 2, False, False, , 1, False, True, 2, 2"</definedName>
    <definedName name="cb_sChartEB3980B_opts" hidden="1">"1, 2, 1, False, 2, False, False, , 1, False, False, 2, 1"</definedName>
    <definedName name="cb_sChartEB39C1C_opts" hidden="1">"1, 2, 1, False, 2, False, False, , 1, False, False, 2,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0FF3D7_opts" hidden="1">"1, 8, 1, False, 2, False, False, , 1, False, True, 1, 2"</definedName>
    <definedName name="cb_sChartF1BF8C8_opts" hidden="1">"1, 8, 1, False, 2, False, False, , 1, False, True, 1, 2"</definedName>
    <definedName name="cb_sChartF1C057C_opts" hidden="1">"1, 2, 1, False, 2, False, False, , 1, False, False, 2, 1"</definedName>
    <definedName name="cb_sChartF1C0A0D_opts" hidden="1">"1, 8, 1, False, 2, False, False, , 1, False, True, 1, 1"</definedName>
    <definedName name="cb_sChartF1C9DF0_opts" hidden="1">"1, 8, 1, False, 2, False, False, , 1, False, True, 1, 2"</definedName>
    <definedName name="cb_sChartF1F24F5_opts" hidden="1">"1, 8, 1, False, 2, False, False, , 1, False, True, 1, 2"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bre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CBWorkbookPriority" hidden="1">-1131501022</definedName>
    <definedName name="cc" hidden="1">{#N/A,#N/A,FALSE,"LoanAssumptions"}</definedName>
    <definedName name="cc." hidden="1">{"CD1",#N/A,TRUE,"C-D (R)";"CD2",#N/A,TRUE,"C-D (R)"}</definedName>
    <definedName name="cCaprecycling">#REF!</definedName>
    <definedName name="ccc" hidden="1">{#N/A,#N/A,FALSE,"LoanAssumptions"}</definedName>
    <definedName name="cccc" hidden="1">{#N/A,#N/A,TRUE,"10 Yr Hold";#N/A,#N/A,TRUE,"7 Yr Hold";#N/A,#N/A,TRUE,"5 Yr Hold";#N/A,#N/A,TRUE,"3 Yr Hold"}</definedName>
    <definedName name="ccccc" hidden="1">{#N/A,#N/A,FALSE,"Class A";#N/A,#N/A,FALSE,"Class B";#N/A,#N/A,FALSE,"Class C"}</definedName>
    <definedName name="CCCCCCCCC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CCEC_DATA" hidden="1">#REF!</definedName>
    <definedName name="CCM">#REF!</definedName>
    <definedName name="ccs" hidden="1">{#N/A,#N/A,FALSE,"Chart 2 by Prop Type"}</definedName>
    <definedName name="cd" hidden="1">{"annual",#N/A,FALSE,"Pro Forma";#N/A,#N/A,FALSE,"Golf Operations"}</definedName>
    <definedName name="cDebt">#REF!</definedName>
    <definedName name="cDebtassum">#REF!</definedName>
    <definedName name="cdfd" hidden="1">{"fdb1_Rapport_Report",#N/A,FALSE,"Report"}</definedName>
    <definedName name="cDispositions">#REF!</definedName>
    <definedName name="cDMrev">#REF!</definedName>
    <definedName name="census">#REF!</definedName>
    <definedName name="cert" hidden="1">{"fis.dbo.r1_datasum"}</definedName>
    <definedName name="cert1" hidden="1">{"fis.dbo.r1_datasum"}</definedName>
    <definedName name="CF">#REF!</definedName>
    <definedName name="CFafterDS">#REF!</definedName>
    <definedName name="CFDate">[1]Inputs!$AE$45</definedName>
    <definedName name="cfgcfg" hidden="1">{#N/A,#N/A,FALSE,"CCC Variance";#N/A,#N/A,FALSE,"CCC Notes"}</definedName>
    <definedName name="cfgjcfgh" hidden="1">{#N/A,#N/A,FALSE,"Common Area Accrual";#N/A,#N/A,FALSE,"Unit One LaSalle";#N/A,#N/A,FALSE,"Unit One CW";#N/A,#N/A,FALSE,"Unit One LaSalle + C &amp; W";#N/A,#N/A,FALSE,"Consolidated Accrual"}</definedName>
    <definedName name="cfin100">#REF!</definedName>
    <definedName name="cfin101">#REF!</definedName>
    <definedName name="cfin102">#REF!</definedName>
    <definedName name="cfin103">#REF!</definedName>
    <definedName name="cfin104">#REF!</definedName>
    <definedName name="cfin105">#REF!</definedName>
    <definedName name="cfin106">#REF!</definedName>
    <definedName name="cfin107">#REF!</definedName>
    <definedName name="CFIN196">#REF!</definedName>
    <definedName name="cfin197">#REF!</definedName>
    <definedName name="cfin198">#REF!</definedName>
    <definedName name="cfin199">#REF!</definedName>
    <definedName name="cfin200">#REF!</definedName>
    <definedName name="cfin201">#REF!</definedName>
    <definedName name="cfin202">#REF!</definedName>
    <definedName name="cfin203">#REF!</definedName>
    <definedName name="cfin204">#REF!</definedName>
    <definedName name="cfin205">#REF!</definedName>
    <definedName name="cfin206">#REF!</definedName>
    <definedName name="cfin207">#REF!</definedName>
    <definedName name="CFIN295">#REF!</definedName>
    <definedName name="CFIN296">#REF!</definedName>
    <definedName name="cfin297">#REF!</definedName>
    <definedName name="cfin298">#REF!</definedName>
    <definedName name="cfin299">#REF!</definedName>
    <definedName name="cfl">#REF!</definedName>
    <definedName name="cflookup">#REF!</definedName>
    <definedName name="cFMV">#REF!</definedName>
    <definedName name="CFS">#REF!</definedName>
    <definedName name="cGAexpenses">#REF!</definedName>
    <definedName name="cgaf" hidden="1">{"FCB_ALL",#N/A,FALSE,"FCB"}</definedName>
    <definedName name="cgafde" hidden="1">{"FCB_ALL",#N/A,FALSE,"FCB"}</definedName>
    <definedName name="cghj" hidden="1">{"ReportTop",#N/A,FALSE,"report top"}</definedName>
    <definedName name="ChangeRange" hidden="1">#N/A</definedName>
    <definedName name="Chart" hidden="1">#REF!</definedName>
    <definedName name="Chart12345" hidden="1">#REF!</definedName>
    <definedName name="chase">#REF!</definedName>
    <definedName name="check2" hidden="1">{#N/A,#N/A,FALSE,"Cashflow Analysis";#N/A,#N/A,FALSE,"Sensitivity Analysis";#N/A,#N/A,FALSE,"PV";#N/A,#N/A,FALSE,"Pro Forma"}</definedName>
    <definedName name="Cherokee">#REF!</definedName>
    <definedName name="chgeas" hidden="1">{"FCB_ALL",#N/A,FALSE,"FCB"}</definedName>
    <definedName name="Choices_Wrapper">#REF!</definedName>
    <definedName name="CIQWBGuid" hidden="1">"322255f0-d5f7-4ed0-9297-4b0b9fdb7c94"</definedName>
    <definedName name="Circ_Break">#REF!</definedName>
    <definedName name="CIRCULAR">#REF!</definedName>
    <definedName name="cLandacq">#REF!</definedName>
    <definedName name="cLandsale">#REF!</definedName>
    <definedName name="ClientFees">#REF!</definedName>
    <definedName name="CloseMonth">[1]Inputs!$X$14</definedName>
    <definedName name="CLOSING">#REF!</definedName>
    <definedName name="cocncf">#REF!</definedName>
    <definedName name="cocnoi">#REF!</definedName>
    <definedName name="Code" hidden="1">#REF!</definedName>
    <definedName name="COL" hidden="1">#REF!</definedName>
    <definedName name="com" hidden="1">{#N/A,#N/A,FALSE,"PropInfo";#N/A,#N/A,FALSE,"Summary";#N/A,#N/A,FALSE,"Comparitive";#N/A,#N/A,FALSE,"RevSummary";#N/A,#N/A,FALSE,"Rooms";#N/A,#N/A,FALSE,"Van";#N/A,#N/A,FALSE,"F&amp;B Rev";#N/A,#N/A,FALSE,"Food";#N/A,#N/A,FALSE,"Bev";#N/A,#N/A,FALSE,"PBX";#N/A,#N/A,FALSE,"Fitness";#N/A,#N/A,FALSE,"Golf #1";#N/A,#N/A,FALSE,"Golf #2 ";#N/A,#N/A,FALSE,"Tennis";#N/A,#N/A,FALSE,"BusCtr";#N/A,#N/A,FALSE,"InRoomVend";#N/A,#N/A,FALSE,"Retail #1";#N/A,#N/A,FALSE,"Retail #2";#N/A,#N/A,FALSE,"Parking";#N/A,#N/A,FALSE,"Rents&amp;Other";#N/A,#N/A,FALSE,"A&amp;G";#N/A,#N/A,FALSE,"A&amp;P";#N/A,#N/A,FALSE,"Comp";#N/A,#N/A,FALSE,"R&amp;M";#N/A,#N/A,FALSE,"Energy";#N/A,#N/A,FALSE,"Capital";#N/A,#N/A,FALSE,"Laundry";#N/A,#N/A,FALSE,"EmpCafe";#N/A,#N/A,FALSE,"PTEB";#N/A,#N/A,FALSE,"Rent Calc"}</definedName>
    <definedName name="COMM_BLEND">#REF!</definedName>
    <definedName name="COMM_NEW">#REF!</definedName>
    <definedName name="COMM_RENEWAL">#REF!</definedName>
    <definedName name="COMMENTS">#REF!</definedName>
    <definedName name="CommercialCF">#REF!</definedName>
    <definedName name="commonstart" hidden="1">#REF!</definedName>
    <definedName name="Community">#REF!</definedName>
    <definedName name="comp21" hidden="1">#REF!</definedName>
    <definedName name="comp22" hidden="1">#REF!</definedName>
    <definedName name="comp23" hidden="1">#REF!</definedName>
    <definedName name="comp24" hidden="1">#REF!</definedName>
    <definedName name="comp25" hidden="1">#REF!</definedName>
    <definedName name="comp26" hidden="1">#REF!</definedName>
    <definedName name="comp27" hidden="1">#REF!</definedName>
    <definedName name="comp28" hidden="1">#REF!</definedName>
    <definedName name="comp29" hidden="1">#REF!</definedName>
    <definedName name="comp30" hidden="1">#REF!</definedName>
    <definedName name="comp31" hidden="1">#REF!</definedName>
    <definedName name="comp32" hidden="1">#REF!</definedName>
    <definedName name="comp33" hidden="1">#REF!</definedName>
    <definedName name="comp34" hidden="1">#REF!</definedName>
    <definedName name="comp35" hidden="1">#REF!</definedName>
    <definedName name="comp36" hidden="1">#REF!</definedName>
    <definedName name="COMPANY_SUMMARY">#REF!</definedName>
    <definedName name="CompanyOH" hidden="1">#REF!</definedName>
    <definedName name="compnam" hidden="1">#REF!</definedName>
    <definedName name="comps" hidden="1">#REF!</definedName>
    <definedName name="conflict" hidden="1">#REF!</definedName>
    <definedName name="Consolidated">#REF!</definedName>
    <definedName name="ConstLoan">#REF!</definedName>
    <definedName name="ConstLoan2">#REF!</definedName>
    <definedName name="ConstLoan3">#REF!</definedName>
    <definedName name="ConstPeriod">#REF!</definedName>
    <definedName name="Construct" hidden="1">{"Assumptions",#N/A,FALSE,"Assumptions"}</definedName>
    <definedName name="construction" hidden="1">{"Construction Costs",#N/A,FALSE,"Total Costs"}</definedName>
    <definedName name="Construction1" hidden="1">{"Construction Costs",#N/A,FALSE,"Total Costs"}</definedName>
    <definedName name="ConstStart">#REF!</definedName>
    <definedName name="CONT200">#REF!</definedName>
    <definedName name="CONT2000">#REF!</definedName>
    <definedName name="ContentsHelp" hidden="1">#N/A</definedName>
    <definedName name="control">#REF!</definedName>
    <definedName name="Control_Number">#REF!</definedName>
    <definedName name="COO" hidden="1">{#N/A,#N/A,FALSE,"Matrix";#N/A,#N/A,FALSE,"Cash Flow";#N/A,#N/A,FALSE,"10 Year Cost Analysis"}</definedName>
    <definedName name="cOpprop">#REF!</definedName>
    <definedName name="cOppropnew">#REF!</definedName>
    <definedName name="Copy" hidden="1">{"AnnualRentRoll",#N/A,FALSE,"RentRoll"}</definedName>
    <definedName name="copy2" hidden="1">{"new",#N/A,FALSE,"D";"PROFORMA",#N/A,FALSE,"A";"partial 1",#N/A,FALSE,"B";"partial 2",#N/A,FALSE,"B";"partial 3",#N/A,FALSE,"B";"SMALL CF 1",#N/A,FALSE,"C"}</definedName>
    <definedName name="copyall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copymondayjv" hidden="1">{"View1",#N/A,FALSE,"Sheet1";"View2",#N/A,FALSE,"Sheet1"}</definedName>
    <definedName name="corp" hidden="1">{#N/A,#N/A,FALSE,"ZellLurieFinSummary";#N/A,#N/A,FALSE,"FirstCapFinSummary";#N/A,#N/A,FALSE,"ZM I-III Consol FinSummary"}</definedName>
    <definedName name="coss">#REF!</definedName>
    <definedName name="Costs" hidden="1">{"eca",#N/A,TRUE,"E-C1 (R)";"ecb",#N/A,TRUE,"E-C1 (R)"}</definedName>
    <definedName name="Cottage" hidden="1">{"cot1",#N/A,FALSE,"Cottages";"cot2",#N/A,FALSE,"Cottages";"cot3",#N/A,FALSE,"Cottages"}</definedName>
    <definedName name="cottage2" hidden="1">{"cot1",#N/A,FALSE,"Cottages";"cot2",#N/A,FALSE,"Cottages";"cot3",#N/A,FALSE,"Cottages"}</definedName>
    <definedName name="COUNT">#N/A</definedName>
    <definedName name="CPIMAyo1" hidden="1">{"Zone1",#N/A,FALSE,"Parameters";"Zone2",#N/A,FALSE,"Parameters"}</definedName>
    <definedName name="CreateTable" hidden="1">#N/A</definedName>
    <definedName name="Credit_loss">#REF!</definedName>
    <definedName name="CreditStats" hidden="1">#REF!</definedName>
    <definedName name="_xlnm.Criteria">#REF!</definedName>
    <definedName name="CSDCDS" hidden="1">#REF!</definedName>
    <definedName name="CSG" hidden="1">{"cap_structure",#N/A,FALSE,"Graph-Mkt Cap";"price",#N/A,FALSE,"Graph-Price";"ebit",#N/A,FALSE,"Graph-EBITDA";"ebitda",#N/A,FALSE,"Graph-EBITDA"}</definedName>
    <definedName name="csh" hidden="1">{"fdb2_print",#N/A,FALSE,"Report"}</definedName>
    <definedName name="cStabilisations">#REF!</definedName>
    <definedName name="cStarts">#REF!</definedName>
    <definedName name="Currency">#REF!</definedName>
    <definedName name="CURRENT">#REF!</definedName>
    <definedName name="Current_month">#REF!</definedName>
    <definedName name="CURRENTYTD">#REF!</definedName>
    <definedName name="CurrS">#REF!</definedName>
    <definedName name="curse" hidden="1">#REF!</definedName>
    <definedName name="cursource" hidden="1">"SQLServer"</definedName>
    <definedName name="curve">IF(#REF!="Actual",SUMIF(#REF!,CONCATENATE(#REF!,MONTH(#REF!),YEAR(#REF!)),#REF!)/1000,IF(#REF!=0,0,IF(#REF!&lt;#REF!,#REF!,(#REF!/#REF!)*#REF!)))</definedName>
    <definedName name="curveinc">IF(#REF!="Actual",SUMIF(#REF!,CONCATENATE(#REF!,MONTH(#REF!),YEAR(#REF!)),#REF!)/1000,IF(#REF!=0,0,IF(#REF!&lt;#REF!,#REF!,(#REF!/#REF!)*-#REF!)))</definedName>
    <definedName name="cvade" hidden="1">{"FCB_ALL",#N/A,FALSE,"FCB"}</definedName>
    <definedName name="cVLN">#REF!</definedName>
    <definedName name="CVS" hidden="1">#REF!</definedName>
    <definedName name="Cwvu._Current_." hidden="1">#REF!,#REF!,#REF!,#REF!,#REF!,#REF!,#REF!,#REF!,#REF!,#REF!,#REF!,#REF!,#REF!,#REF!,#REF!,#REF!,#REF!,#REF!,#REF!,#REF!,#REF!,#REF!,#REF!,#REF!</definedName>
    <definedName name="Cwvu.ACCOUNT._.DETAIL." hidden="1">#REF!</definedName>
    <definedName name="Cwvu.GREY_ALL." hidden="1">#REF!</definedName>
    <definedName name="Cwvu.Overhead._.Detail." hidden="1">#REF!,#REF!,#REF!,#REF!,#REF!,#REF!,#REF!,#REF!,#REF!,#REF!</definedName>
    <definedName name="Cwvu.Profit._.report._.detailed." hidden="1">#REF!,#REF!,#REF!,#REF!,#REF!,#REF!,#REF!,#REF!,#REF!</definedName>
    <definedName name="Cwvu.WAT." hidden="1">#REF!</definedName>
    <definedName name="Cwvy.GREY_ALL._dcf" hidden="1">#REF!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cxvbvcxb" hidden="1">#REF!</definedName>
    <definedName name="CY">#REF!</definedName>
    <definedName name="d" hidden="1">{#N/A,#N/A,FALSE,"LoanAssumptions"}</definedName>
    <definedName name="d_1" hidden="1">{#N/A,#N/A,FALSE,"Bennington";#N/A,#N/A,FALSE,"Castle Court";#N/A,#N/A,FALSE,"Century Hills";#N/A,#N/A,FALSE,"Edgewater Hills";#N/A,#N/A,FALSE,"Edgewater Terrace";#N/A,#N/A,FALSE,"Edgewater Village";#N/A,#N/A,FALSE,"Fairfax";#N/A,#N/A,FALSE,"Gen. Wash.";#N/A,#N/A,FALSE,"Huntington-Unfurnished";#N/A,#N/A,FALSE,"Huntington-Furnished";#N/A,#N/A,FALSE,"Iris Court";#N/A,#N/A,FALSE,"North Park";#N/A,#N/A,FALSE,"Talbot Woods";#N/A,#N/A,FALSE,"Parkview";#N/A,#N/A,FALSE,"Westgate"}</definedName>
    <definedName name="DACF" hidden="1">{"mgmt forecast",#N/A,FALSE,"Mgmt Forecast";"dcf table",#N/A,FALSE,"Mgmt Forecast";"sensitivity",#N/A,FALSE,"Mgmt Forecast";"table inputs",#N/A,FALSE,"Mgmt Forecast";"calculations",#N/A,FALSE,"Mgmt Forecast"}</definedName>
    <definedName name="daeklj" hidden="1">{"FCB_ALL",#N/A,FALSE,"FCB"}</definedName>
    <definedName name="daewkl" hidden="1">{"FCB_ALL",#N/A,FALSE,"FCB";"GREY_ALL",#N/A,FALSE,"GREY"}</definedName>
    <definedName name="DAFAD" hidden="1">{"cap_structure",#N/A,FALSE,"Graph-Mkt Cap";"price",#N/A,FALSE,"Graph-Price";"ebit",#N/A,FALSE,"Graph-EBITDA";"ebitda",#N/A,FALSE,"Graph-EBITDA"}</definedName>
    <definedName name="dafdsaf" hidden="1">{"incomemth",#N/A,TRUE,"forecast00";"incomepercentmth",#N/A,TRUE,"forecast00";"balancemth",#N/A,TRUE,"forecast00";"cashmth",#N/A,TRUE,"forecast00";"covenantmth",#N/A,TRUE,"forecast00"}</definedName>
    <definedName name="dafsaf1" hidden="1">{"incomemth",#N/A,TRUE,"forecast00";"incomepercentmth",#N/A,TRUE,"forecast00";"balancemth",#N/A,TRUE,"forecast00";"cashmth",#N/A,TRUE,"forecast00";"covenantmth",#N/A,TRUE,"forecast00"}</definedName>
    <definedName name="dag" hidden="1">{"Total",#N/A,FALSE,"Six Fields";"PDP",#N/A,FALSE,"Six Fields";"PNP",#N/A,FALSE,"Six Fields";"PUD",#N/A,FALSE,"Six Fields";"Prob",#N/A,FALSE,"Six Fields"}</definedName>
    <definedName name="danbe" hidden="1">#N/A</definedName>
    <definedName name="danny" hidden="1">#REF!</definedName>
    <definedName name="das" hidden="1">#REF!</definedName>
    <definedName name="dasdasdsasad" hidden="1">{#N/A,#N/A,FALSE,"Notes";#N/A,#N/A,FALSE,"BaseAssumptions";#N/A,#N/A,FALSE,"CFD";#N/A,#N/A,FALSE,"RevenueAssumptions";"MasterCostAssmp Annually",#N/A,FALSE,"MasterCostAssmp";#N/A,#N/A,FALSE,"InTractCstAssmp";"LotTakedowns Annually",#N/A,FALSE,"LotTakedowns";"CashFlowSummary Annually",#N/A,FALSE,"CashFlowSummary";#N/A,#N/A,FALSE,"Loan Value";"AcqDev Loan Annually",#N/A,FALSE,"AcqDev Loan";"Loan #1 Annually",#N/A,FALSE,"Loan #1";"Loan #2 Annually",#N/A,FALSE,"Loan #2";"Loan #3 Annually",#N/A,FALSE,"Loan #3";"Consolidated Loan Annually",#N/A,FALSE,"Consolidated Loan";"FlowSummary Annually",#N/A,FALSE,"FlowSummary";"SourcesAndUses Annually",#N/A,FALSE,"SourcesAndUses";"CashDistribute Annually",#N/A,FALSE,"CashDistribute";"InvestorSummary Annually",#N/A,FALSE,"InvestorSummary";#N/A,#N/A,FALSE,"Finance Summary";#N/A,#N/A,FALSE,"Valuation"}</definedName>
    <definedName name="dasf" hidden="1">#REF!</definedName>
    <definedName name="dasgfdag" hidden="1">{"FCB_ALL",#N/A,FALSE,"FCB"}</definedName>
    <definedName name="dasklej" hidden="1">{"FCB_ALL",#N/A,FALSE,"FCB"}</definedName>
    <definedName name="dat" hidden="1">{"data",#N/A,FALSE,"INPUT"}</definedName>
    <definedName name="DATA">#REF!</definedName>
    <definedName name="DATA_0" hidden="1">#REF!</definedName>
    <definedName name="DATA_01" hidden="1">#REF!</definedName>
    <definedName name="DATA_01_a" hidden="1">#REF!</definedName>
    <definedName name="DATA_01A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5A" hidden="1">#REF!</definedName>
    <definedName name="DATA_07" hidden="1">#REF!</definedName>
    <definedName name="DATA_07A" hidden="1">#REF!</definedName>
    <definedName name="DATA_08" hidden="1">#REF!</definedName>
    <definedName name="data1" hidden="1">#REF!</definedName>
    <definedName name="Data116" hidden="1">{#N/A,#N/A,FALSE,"Sales"}</definedName>
    <definedName name="data14" hidden="1">{"data",#N/A,FALSE,"INPUT"}</definedName>
    <definedName name="Data16" hidden="1">{#N/A,#N/A,FALSE,"Sales"}</definedName>
    <definedName name="data2" hidden="1">#REF!</definedName>
    <definedName name="data3" hidden="1">#REF!</definedName>
    <definedName name="_xlnm.Database">#REF!</definedName>
    <definedName name="datadownfour" hidden="1">#REF!</definedName>
    <definedName name="datadownone" hidden="1">#REF!</definedName>
    <definedName name="datadownthree" hidden="1">#REF!</definedName>
    <definedName name="datadowntwo" hidden="1">#REF!</definedName>
    <definedName name="dataerror" hidden="1">{"data",#N/A,FALSE,"INPUT"}</definedName>
    <definedName name="DATATABLE">#REF!</definedName>
    <definedName name="datatoggle" hidden="1">#REF!</definedName>
    <definedName name="datatoggletwo" hidden="1">#REF!</definedName>
    <definedName name="DataValDate" hidden="1">#REF!</definedName>
    <definedName name="datavaldate2" hidden="1">#REF!</definedName>
    <definedName name="datavaldate3" hidden="1">#REF!</definedName>
    <definedName name="date_CurrMo">#REF!</definedName>
    <definedName name="date_PriorMo">#REF!</definedName>
    <definedName name="Dates">#REF!</definedName>
    <definedName name="DAYAN" hidden="1">{"LIBOR",#N/A,TRUE,"Model";"Caps",#N/A,TRUE,"Model";"Assets",#N/A,TRUE,"Model";"Liabilities",#N/A,TRUE,"Model";"Tests",#N/A,TRUE,"Model";"Results",#N/A,TRUE,"Model"}</definedName>
    <definedName name="db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dbase_char_set" hidden="1">1</definedName>
    <definedName name="dbase_compatibility" hidden="1">1</definedName>
    <definedName name="dbase_dflt" hidden="1">TRUE</definedName>
    <definedName name="dc" hidden="1">{#N/A,#N/A,FALSE,"Chart 2 by Prop Type"}</definedName>
    <definedName name="dd" hidden="1">{"MonthlyRentRoll",#N/A,FALSE,"RentRoll"}</definedName>
    <definedName name="ddd" hidden="1">{"MonthlyRentRoll",#N/A,FALSE,"RentRoll"}</definedName>
    <definedName name="dddd" hidden="1">#REF!</definedName>
    <definedName name="dddddd" hidden="1">#REF!</definedName>
    <definedName name="dddddd2" hidden="1">{#N/A,#N/A,FALSE,"CAPREIT"}</definedName>
    <definedName name="ddddddd" hidden="1">{#N/A,#N/A,FALSE,"CAPREIT"}</definedName>
    <definedName name="ddddddd2" hidden="1">{#N/A,#N/A,FALSE,"CAPREIT"}</definedName>
    <definedName name="ddddddddddd" hidden="1">{#N/A,#N/A,TRUE,"Krycí list"}</definedName>
    <definedName name="dddddddddddddddddd" hidden="1">{"Full Gross to Net",#N/A,TRUE,"GtoN";"R_I Accepted from Group Coys",#N/A,TRUE,"GtoN";"R_I Ceded to Group Coys",#N/A,TRUE,"GtoN";"Closing Loss Reserves and Gross Claims Incurred",#N/A,TRUE,"GtoN"}</definedName>
    <definedName name="dddddddddddddddddddddddddddd" hidden="1">{#N/A,#N/A,FALSE,"A";#N/A,#N/A,FALSE,"C"}</definedName>
    <definedName name="ddeded" hidden="1">{"TAB 1",#N/A,FALSE,"1";"tab 2",#N/A,FALSE,"2";"TAB 3",#N/A,FALSE,"3";"tab 4",#N/A,FALSE,"4";"tab 5",#N/A,FALSE,"5";"tab 6",#N/A,FALSE,"6";"tab 7",#N/A,FALSE,"7";"TAB 8",#N/A,FALSE,"8"}</definedName>
    <definedName name="ddgfds" hidden="1">{#N/A,#N/A,FALSE,"Consolidated";#N/A,#N/A,FALSE,"Available Credit";#N/A,#N/A,FALSE,"100% Owned";#N/A,#N/A,FALSE,"Bentall U.S. LLC";#N/A,#N/A,FALSE,"Bentall Properties (U.S.) Ltd.";#N/A,#N/A,FALSE,"Schedule I"}</definedName>
    <definedName name="DDLEntityType">#REF!</definedName>
    <definedName name="DDLResidentialAffordableType">#REF!</definedName>
    <definedName name="DDLResidentialUnitType">#REF!</definedName>
    <definedName name="ddm" hidden="1">{"May",#N/A,FALSE,"Manager Report"}</definedName>
    <definedName name="ddrd" hidden="1">#REF!</definedName>
    <definedName name="deal.closer">#REF!</definedName>
    <definedName name="deal.dealName">#REF!</definedName>
    <definedName name="deal.initialFunding">#REF!</definedName>
    <definedName name="debt">#REF!</definedName>
    <definedName name="Debt_Calc1_Amort" hidden="1">#REF!</definedName>
    <definedName name="Debt_Calc1_CapExEnd" hidden="1">#REF!</definedName>
    <definedName name="Debt_Calc1_Draw" hidden="1">#REF!</definedName>
    <definedName name="Debt_Calc1_End" hidden="1">#REF!</definedName>
    <definedName name="Debt_Calc1_InitialBalance" hidden="1">#REF!</definedName>
    <definedName name="Debt_Calc1_IO" hidden="1">#REF!</definedName>
    <definedName name="Debt_Calc1_IsPrepaid" hidden="1">#REF!</definedName>
    <definedName name="Debt_Calc1_IsRefied" hidden="1">#REF!</definedName>
    <definedName name="Debt_Calc1_Maturity" hidden="1">#REF!</definedName>
    <definedName name="Debt_Calc1_Start" hidden="1">#REF!</definedName>
    <definedName name="Debt_Calc1_Term" hidden="1">#REF!</definedName>
    <definedName name="Debt_Calc1_Year" hidden="1">#REF!</definedName>
    <definedName name="Debt_Calc2_Amort" hidden="1">#REF!</definedName>
    <definedName name="Debt_Calc2_CapExEnd" hidden="1">#REF!</definedName>
    <definedName name="Debt_Calc2_Draw" hidden="1">#REF!</definedName>
    <definedName name="Debt_Calc2_End" hidden="1">#REF!</definedName>
    <definedName name="Debt_Calc2_InitialBalance" hidden="1">#REF!</definedName>
    <definedName name="Debt_Calc2_IO" hidden="1">#REF!</definedName>
    <definedName name="Debt_Calc2_IsPrepaid" hidden="1">#REF!</definedName>
    <definedName name="Debt_Calc2_IsRefied" hidden="1">#REF!</definedName>
    <definedName name="Debt_Calc2_Maturity" hidden="1">#REF!</definedName>
    <definedName name="Debt_Calc2_Start" hidden="1">#REF!</definedName>
    <definedName name="Debt_Calc2_Term" hidden="1">#REF!</definedName>
    <definedName name="Debt_Calc2_Year" hidden="1">#REF!</definedName>
    <definedName name="Debt_Calc3_Amort" hidden="1">#REF!</definedName>
    <definedName name="Debt_Calc3_CapExEnd" hidden="1">#REF!</definedName>
    <definedName name="Debt_Calc3_Draw" hidden="1">#REF!</definedName>
    <definedName name="Debt_Calc3_End" hidden="1">#REF!</definedName>
    <definedName name="Debt_Calc3_InitialBalance" hidden="1">#REF!</definedName>
    <definedName name="Debt_Calc3_IO" hidden="1">#REF!</definedName>
    <definedName name="Debt_Calc3_IsPrepaid" hidden="1">#REF!</definedName>
    <definedName name="Debt_Calc3_Maturity" hidden="1">#REF!</definedName>
    <definedName name="Debt_Calc3_Refi1" hidden="1">#REF!</definedName>
    <definedName name="Debt_Calc3_Refi2" hidden="1">#REF!</definedName>
    <definedName name="Debt_Calc3_Start" hidden="1">#REF!</definedName>
    <definedName name="Debt_Calc3_Term" hidden="1">#REF!</definedName>
    <definedName name="Debt_CalcType2" hidden="1">#REF!</definedName>
    <definedName name="Debt_CalcType3" hidden="1">#REF!</definedName>
    <definedName name="Debt_CalcType4" hidden="1">#REF!</definedName>
    <definedName name="Debt_CalcType5" hidden="1">#REF!</definedName>
    <definedName name="Debt_CalcTypes" hidden="1">#REF!</definedName>
    <definedName name="Debt_FundType1" hidden="1">#REF!</definedName>
    <definedName name="Debt_FundType2" hidden="1">#REF!</definedName>
    <definedName name="Debt_FundType3" hidden="1">#REF!</definedName>
    <definedName name="Debt_FundTypes" hidden="1">#REF!</definedName>
    <definedName name="DEBT_InitialBalance" hidden="1">#REF!</definedName>
    <definedName name="Debt_InitialBOPBalance" hidden="1">#REF!</definedName>
    <definedName name="DEBT_InitialCapital" hidden="1">#REF!</definedName>
    <definedName name="DEBT_InitialFunding" hidden="1">#REF!</definedName>
    <definedName name="DEBT_InitialInterest" hidden="1">#REF!</definedName>
    <definedName name="Debt_InitialLoanFee" hidden="1">#REF!</definedName>
    <definedName name="DEBT_InitialMaturity" hidden="1">#REF!</definedName>
    <definedName name="Debt_InitialPrepaymentFee" hidden="1">#REF!</definedName>
    <definedName name="DEBT_InitialPrincipal" hidden="1">#REF!</definedName>
    <definedName name="DEBT_InitialRefi" hidden="1">#REF!</definedName>
    <definedName name="Debt_InitialSeniorBalance" hidden="1">#REF!</definedName>
    <definedName name="Debt_InitialSeniorBOPBalance" hidden="1">#REF!</definedName>
    <definedName name="Debt_InitialSeniorInterest" hidden="1">#REF!</definedName>
    <definedName name="Debt_InitialSeniorPrincipal" hidden="1">#REF!</definedName>
    <definedName name="Debt_Label1_Amort" hidden="1">#REF!</definedName>
    <definedName name="Debt_Label1_Amount" hidden="1">#REF!</definedName>
    <definedName name="Debt_Label1_InitialRate" hidden="1">#REF!</definedName>
    <definedName name="Debt_Label1_IO" hidden="1">#REF!</definedName>
    <definedName name="Debt_Label1_Maturity" hidden="1">#REF!</definedName>
    <definedName name="Debt_Label1_Percent" hidden="1">#REF!</definedName>
    <definedName name="Debt_Label1_Term" hidden="1">#REF!</definedName>
    <definedName name="Debt_Label1_Value" hidden="1">#REF!</definedName>
    <definedName name="Debt_Label2_Amort" hidden="1">#REF!</definedName>
    <definedName name="Debt_Label2_Amount" hidden="1">#REF!</definedName>
    <definedName name="Debt_Label2_InitialRate" hidden="1">#REF!</definedName>
    <definedName name="Debt_Label2_IO" hidden="1">#REF!</definedName>
    <definedName name="Debt_Label2_Maturity" hidden="1">#REF!</definedName>
    <definedName name="Debt_Label2_Percent" hidden="1">#REF!</definedName>
    <definedName name="Debt_Label2_Term" hidden="1">#REF!</definedName>
    <definedName name="Debt_Label2_Value" hidden="1">#REF!</definedName>
    <definedName name="Debt_Label3_Amort" hidden="1">#REF!</definedName>
    <definedName name="Debt_Label3_Amount" hidden="1">#REF!</definedName>
    <definedName name="Debt_Label3_InitialRate" hidden="1">#REF!</definedName>
    <definedName name="Debt_Label3_IO" hidden="1">#REF!</definedName>
    <definedName name="Debt_Label3_Maturity" hidden="1">#REF!</definedName>
    <definedName name="Debt_Label3_Percent" hidden="1">#REF!</definedName>
    <definedName name="Debt_Label3_Term" hidden="1">#REF!</definedName>
    <definedName name="Debt_Label3_Value" hidden="1">#REF!</definedName>
    <definedName name="Debt_LoanType1" hidden="1">#REF!</definedName>
    <definedName name="Debt_LoanType2" hidden="1">#REF!</definedName>
    <definedName name="Debt_LoanType4" hidden="1">#REF!</definedName>
    <definedName name="Debt_LoanTypes" hidden="1">#REF!</definedName>
    <definedName name="DEBT_PaymentType1" hidden="1">#REF!</definedName>
    <definedName name="DEBT_PaymentType5" hidden="1">#REF!</definedName>
    <definedName name="DEBT_PaymentTypes" hidden="1">#REF!</definedName>
    <definedName name="Debt_PurchaseRange" hidden="1">0</definedName>
    <definedName name="debt_ratedBBB" hidden="1">{#N/A,#N/A,FALSE,"Aging Summary";#N/A,#N/A,FALSE,"Ratio Analysis";#N/A,#N/A,FALSE,"Test 120 Day Accts";#N/A,#N/A,FALSE,"Tickmarks"}</definedName>
    <definedName name="Debt_RefiTypes" hidden="1">#REF!</definedName>
    <definedName name="Debt_Show1_Amort" hidden="1">#REF!</definedName>
    <definedName name="Debt_Show1_AmortHC" hidden="1">#REF!</definedName>
    <definedName name="Debt_Show1_Amount" hidden="1">#REF!</definedName>
    <definedName name="Debt_Show1_CapEx" hidden="1">#REF!</definedName>
    <definedName name="Debt_Show1_FundDate" hidden="1">#REF!</definedName>
    <definedName name="Debt_Show1_FundMethod" hidden="1">#REF!</definedName>
    <definedName name="Debt_Show1_FundPercent" hidden="1">#REF!</definedName>
    <definedName name="Debt_Show1_FundPoints" hidden="1">#REF!</definedName>
    <definedName name="Debt_Show1_Loan" hidden="1">#REF!</definedName>
    <definedName name="Debt_Show1_Rate" hidden="1">#REF!</definedName>
    <definedName name="Debt_Show1_Spread" hidden="1">#REF!</definedName>
    <definedName name="Debt_Show2_Amort" hidden="1">#REF!</definedName>
    <definedName name="Debt_Show2_AmortHC" hidden="1">#REF!</definedName>
    <definedName name="Debt_Show2_Amount" hidden="1">#REF!</definedName>
    <definedName name="Debt_Show2_CapEx" hidden="1">#REF!</definedName>
    <definedName name="Debt_Show2_FundDate" hidden="1">#REF!</definedName>
    <definedName name="Debt_Show2_FundMethod" hidden="1">#REF!</definedName>
    <definedName name="Debt_Show2_FundPercent" hidden="1">#REF!</definedName>
    <definedName name="Debt_Show2_FundPoints" hidden="1">#REF!</definedName>
    <definedName name="Debt_Show2_Loan" hidden="1">#REF!</definedName>
    <definedName name="Debt_Show2_Rate" hidden="1">#REF!</definedName>
    <definedName name="Debt_Show2_Spread" hidden="1">#REF!</definedName>
    <definedName name="Debt_Show3_Amort" hidden="1">#REF!</definedName>
    <definedName name="Debt_Show3_AmortHC" hidden="1">#REF!</definedName>
    <definedName name="Debt_Show3_Amount" hidden="1">#REF!</definedName>
    <definedName name="Debt_Show3_CapEx" hidden="1">#REF!</definedName>
    <definedName name="Debt_Show3_FundDate" hidden="1">#REF!</definedName>
    <definedName name="Debt_Show3_FundMethod" hidden="1">#REF!</definedName>
    <definedName name="Debt_Show3_FundPercent" hidden="1">#REF!</definedName>
    <definedName name="Debt_Show3_FundPoints" hidden="1">#REF!</definedName>
    <definedName name="Debt_Show3_Loan" hidden="1">#REF!</definedName>
    <definedName name="Debt_Show3_Rate" hidden="1">#REF!</definedName>
    <definedName name="Debt_Show3_Refi" hidden="1">#REF!</definedName>
    <definedName name="Debt_Show3_Refi1" hidden="1">#REF!</definedName>
    <definedName name="Debt_Show3_Refi2" hidden="1">#REF!</definedName>
    <definedName name="Debt_Show3_Spread" hidden="1">#REF!</definedName>
    <definedName name="Debt_SubordinationType2" hidden="1">#REF!</definedName>
    <definedName name="Debt_SubordinationTypes" hidden="1">#REF!</definedName>
    <definedName name="Debt_Yes" hidden="1">#REF!</definedName>
    <definedName name="Debt_YesNo" hidden="1">#REF!</definedName>
    <definedName name="debt1" hidden="1">{"Annual",#N/A,FALSE,"Sales &amp; Market";"Quarterly",#N/A,FALSE,"Sales &amp; Market"}</definedName>
    <definedName name="Debt2" hidden="1">{"'Expirations'!$A$1:$L$65"}</definedName>
    <definedName name="DebtAdjustable">#REF!</definedName>
    <definedName name="debtpage">#REF!</definedName>
    <definedName name="DebtPiece1">#REF!</definedName>
    <definedName name="DebtPiece2">#REF!</definedName>
    <definedName name="DebtPiece3">#REF!</definedName>
    <definedName name="debtpref" hidden="1">#REF!</definedName>
    <definedName name="DebtSummary">#REF!</definedName>
    <definedName name="DEF" hidden="1">#REF!</definedName>
    <definedName name="DefExpNewBusDetails" hidden="1">#REF!</definedName>
    <definedName name="DefExpTendDetails" hidden="1">#REF!</definedName>
    <definedName name="defg" hidden="1">{"Financials",#N/A,FALSE,"Financials";"AVP",#N/A,FALSE,"AVP";"DCF",#N/A,FALSE,"DCF";"CSC",#N/A,FALSE,"CSC";"Deal_Comp",#N/A,FALSE,"DealComp"}</definedName>
    <definedName name="del" hidden="1">{"Page1",#N/A,FALSE,"7979";"Page2",#N/A,FALSE,"7979";"Page3",#N/A,FALSE,"7979"}</definedName>
    <definedName name="delete2" hidden="1">#REF!</definedName>
    <definedName name="DeleteRange" hidden="1">#N/A</definedName>
    <definedName name="DeleteTable" hidden="1">#N/A</definedName>
    <definedName name="DELME" hidden="1">{#N/A,#N/A,FALSE,"A";#N/A,#N/A,FALSE,"C"}</definedName>
    <definedName name="DELME_condo" hidden="1">{#N/A,#N/A,FALSE,"A";#N/A,#N/A,FALSE,"C"}</definedName>
    <definedName name="DELME2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2_Condo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3" hidden="1">{#N/A,#N/A,FALSE,"Common Area Accrual";#N/A,#N/A,FALSE,"Unit One LaSalle";#N/A,#N/A,FALSE,"Unit One CW";#N/A,#N/A,FALSE,"Unit One LaSallle + C &amp; W";#N/A,#N/A,FALSE,"Consolidated Accrual"}</definedName>
    <definedName name="DELME3_Condo" hidden="1">{#N/A,#N/A,FALSE,"Common Area Accrual";#N/A,#N/A,FALSE,"Unit One LaSalle";#N/A,#N/A,FALSE,"Unit One CW";#N/A,#N/A,FALSE,"Unit One LaSallle + C &amp; W";#N/A,#N/A,FALSE,"Consolidated Accrual"}</definedName>
    <definedName name="DELME4" hidden="1">{#N/A,#N/A,FALSE,"399 Park Var";#N/A,#N/A,FALSE,"PK NOTES"}</definedName>
    <definedName name="DELME4_Condo" hidden="1">{#N/A,#N/A,FALSE,"399 Park Var";#N/A,#N/A,FALSE,"PK NOTES"}</definedName>
    <definedName name="DELME5" hidden="1">{#N/A,#N/A,FALSE,"Expense Detail ";#N/A,#N/A,FALSE,"Worksheet";#N/A,#N/A,FALSE,"Audit";#N/A,#N/A,FALSE,"Exclusions";#N/A,#N/A,FALSE,"Variance";#N/A,#N/A,FALSE,"Reconciliation"}</definedName>
    <definedName name="DELME5_Condo" hidden="1">{#N/A,#N/A,FALSE,"Expense Detail ";#N/A,#N/A,FALSE,"Worksheet";#N/A,#N/A,FALSE,"Audit";#N/A,#N/A,FALSE,"Exclusions";#N/A,#N/A,FALSE,"Variance";#N/A,#N/A,FALSE,"Reconciliation"}</definedName>
    <definedName name="DELME7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LME7_Condo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lta" hidden="1">{"ACCOUNTING COPY",#N/A,FALSE,"SCHEDULE A";"FINANCE COPY",#N/A,FALSE,"SCHEDULE A";"P.L. COPY",#N/A,FALSE,"SCHEDULE A"}</definedName>
    <definedName name="dep.amt.non.commitFee">#REF!</definedName>
    <definedName name="dep.amt.ref.commitFee">#REF!</definedName>
    <definedName name="depr">#REF!</definedName>
    <definedName name="DeprBuilding">#REF!</definedName>
    <definedName name="DepreLeasing">#REF!</definedName>
    <definedName name="DeprTI">#REF!</definedName>
    <definedName name="DetailLabelCurrent">#REF!</definedName>
    <definedName name="DetailLabelPrior">#REF!</definedName>
    <definedName name="DEV_FEE">#REF!</definedName>
    <definedName name="Dez.">#REF!</definedName>
    <definedName name="df" hidden="1">{"CASHFLOW",#N/A,FALSE,"Northpointe"}</definedName>
    <definedName name="df_1" hidden="1">{"CASHFLOW",#N/A,FALSE,"Northpointe"}</definedName>
    <definedName name="dfasfdsa" hidden="1">{#N/A,#N/A,TRUE,"10 Yr Hold";#N/A,#N/A,TRUE,"7 Yr Hold";#N/A,#N/A,TRUE,"5 Yr Hold";#N/A,#N/A,TRUE,"3 Yr Hold"}</definedName>
    <definedName name="dfd" hidden="1">{"CSheet",#N/A,FALSE,"C";"SmCap",#N/A,FALSE,"VAL1";"GulfCoast",#N/A,FALSE,"VAL1";"nav",#N/A,FALSE,"NAV";"Summary",#N/A,FALSE,"NAV"}</definedName>
    <definedName name="dfdas" hidden="1">{"FCB_ALL",#N/A,FALSE,"FCB";"GREY_ALL",#N/A,FALSE,"GREY"}</definedName>
    <definedName name="dfdas1" hidden="1">{"FCB_ALL",#N/A,FALSE,"FCB";"GREY_ALL",#N/A,FALSE,"GREY"}</definedName>
    <definedName name="dfdf" hidden="1">{#N/A,#N/A,FALSE,"Class A";#N/A,#N/A,FALSE,"Class B";#N/A,#N/A,FALSE,"Class C"}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sf" hidden="1">{"FCB_ALL",#N/A,FALSE,"FCB";"GREY_ALL",#N/A,FALSE,"GREY"}</definedName>
    <definedName name="dfere" hidden="1">{"ReportTop",#N/A,FALSE,"report top"}</definedName>
    <definedName name="dff" hidden="1">{"sheet a",#N/A,FALSE,"A";"2 9 casflow",#N/A,FALSE,"B"}</definedName>
    <definedName name="DFFDG" hidden="1">#REF!</definedName>
    <definedName name="dfg">#REF!</definedName>
    <definedName name="dfgd" hidden="1">{#N/A,#N/A,FALSE,"Cashflow Analysis";#N/A,#N/A,FALSE,"Sensitivity Analysis";#N/A,#N/A,FALSE,"PV";#N/A,#N/A,FALSE,"Pro Forma"}</definedName>
    <definedName name="dfgdgd" hidden="1">{"FCB_ALL",#N/A,FALSE,"FCB"}</definedName>
    <definedName name="dfgdxfv" hidden="1">{"FCB_ALL",#N/A,FALSE,"FCB"}</definedName>
    <definedName name="dfgg" hidden="1">{"sheet a",#N/A,FALSE,"A";"sheet b 1",#N/A,FALSE,"B";"sheet b 2",#N/A,FALSE,"B"}</definedName>
    <definedName name="dfgsdf" hidden="1">{"FCB_ALL",#N/A,FALSE,"FCB"}</definedName>
    <definedName name="dfhdfh" hidden="1">{"Construction Costs",#N/A,FALSE,"Total Costs"}</definedName>
    <definedName name="dfhdh" hidden="1">{#N/A,#N/A,FALSE,"COVER SHEET";#N/A,#N/A,FALSE,"SECT 1 - SUMM";#N/A,#N/A,FALSE,"SECT 1 - LND PLAN";#N/A,#N/A,FALSE,"SECT 2 - COMBINED QTRLY PROJ CF";#N/A,#N/A,FALSE,"SECT 2 - KUKIO CF";#N/A,#N/A,FALSE,"SECT 2 - MANINI CF";#N/A,#N/A,FALSE,"SECT 5a - CLUB ASSUMPTIONS";#N/A,#N/A,FALSE,"SECT 5 - QTRLY CLUB OPS"}</definedName>
    <definedName name="dfhfh" hidden="1">#REF!</definedName>
    <definedName name="dfhsdf" hidden="1">{0,0,0,0}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gndhgn" hidden="1">#REF!</definedName>
    <definedName name="dgtdf" hidden="1">{"FCB_ALL",#N/A,FALSE,"FCB"}</definedName>
    <definedName name="dh" hidden="1">{#N/A,#N/A,TRUE,"Krycí list"}</definedName>
    <definedName name="dhdjy" hidden="1">#REF!</definedName>
    <definedName name="DHG" hidden="1">{"cap_structure",#N/A,FALSE,"Graph-Mkt Cap";"price",#N/A,FALSE,"Graph-Price";"ebit",#N/A,FALSE,"Graph-EBITDA";"ebitda",#N/A,FALSE,"Graph-EBITDA"}</definedName>
    <definedName name="dhgndn" hidden="1">#REF!</definedName>
    <definedName name="dhh" hidden="1">{#N/A,#N/A,TRUE,"Krycí list"}</definedName>
    <definedName name="dhhh" hidden="1">{#N/A,#N/A,TRUE,"Krycí list"}</definedName>
    <definedName name="DINK">#REF!</definedName>
    <definedName name="Dir_Cap_Value_Stab">#REF!</definedName>
    <definedName name="directory2">#REF!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isc">#REF!</definedName>
    <definedName name="Discount" hidden="1">#REF!</definedName>
    <definedName name="Discount_Rate">#REF!</definedName>
    <definedName name="DiscRate_24seven">#REF!</definedName>
    <definedName name="DiscRate_A">#REF!</definedName>
    <definedName name="Discrepancy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display_area_2" hidden="1">#REF!</definedName>
    <definedName name="DisplaySelectedSheetsMacroButton">#REF!</definedName>
    <definedName name="dispo">#REF!</definedName>
    <definedName name="DispositionFees">#REF!</definedName>
    <definedName name="DispositionPrice" hidden="1">#REF!</definedName>
    <definedName name="dist00">#REF!</definedName>
    <definedName name="dist01">#REF!</definedName>
    <definedName name="dist02">#REF!</definedName>
    <definedName name="dist03">#REF!</definedName>
    <definedName name="dist04">#REF!</definedName>
    <definedName name="dist05">#REF!</definedName>
    <definedName name="dist06">#REF!</definedName>
    <definedName name="dist07">#REF!</definedName>
    <definedName name="dist97">#REF!</definedName>
    <definedName name="dist98">#REF!</definedName>
    <definedName name="dist99">#REF!</definedName>
    <definedName name="distrib" hidden="1">{#N/A,#N/A,FALSE,"Sheet10"}</definedName>
    <definedName name="Divestitures" hidden="1">{"investment roll for cashflow",#N/A,FALSE,"detail investment sched";"fixed asset roll for cashflow",#N/A,FALSE,"other schedules";"goodwill roll for cashflow",#N/A,FALSE,"other schedules";"long term debt roll for cashflow",#N/A,FALSE,"other schedules";"minority interest roll for cashflow",#N/A,FALSE,"other schedules";"other long term obligations roll",#N/A,FALSE,"other schedules"}</definedName>
    <definedName name="dkfjal" hidden="1">#REF!</definedName>
    <definedName name="DME_Dirty" hidden="1">"False"</definedName>
    <definedName name="DME_LocalFile" hidden="1">"True"</definedName>
    <definedName name="DME_ODMALinks1" hidden="1">"::ODMA\DME-MSE\London-44590=C:\TEMP\Dme\London-44590.xls"</definedName>
    <definedName name="DME_ODMALinksCount" hidden="1">"1"</definedName>
    <definedName name="DN_Markets">#REF!</definedName>
    <definedName name="DocType" localSheetId="0">Word</definedName>
    <definedName name="DocType" localSheetId="1">Word</definedName>
    <definedName name="DocType">Word</definedName>
    <definedName name="DocType2" localSheetId="0">Word</definedName>
    <definedName name="DocType2" localSheetId="1">Word</definedName>
    <definedName name="DocType2">Word</definedName>
    <definedName name="dog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doug" hidden="1">{#N/A,#N/A,FALSE,"Consolidated";#N/A,#N/A,FALSE,"Available Credit";#N/A,#N/A,FALSE,"100% Owned";#N/A,#N/A,FALSE,"Bentall U.S. LLC";#N/A,#N/A,FALSE,"Bentall Properties (U.S.) Ltd.";#N/A,#N/A,FALSE,"Schedule I"}</definedName>
    <definedName name="doug2" hidden="1">{#N/A,#N/A,FALSE,"Consolidated";#N/A,#N/A,FALSE,"Available Credit";#N/A,#N/A,FALSE,"100% Owned";#N/A,#N/A,FALSE,"Bentall U.S. LLC";#N/A,#N/A,FALSE,"Bentall Properties (U.S.) Ltd.";#N/A,#N/A,FALSE,"Schedule I"}</definedName>
    <definedName name="dougie" hidden="1">{#N/A,#N/A,FALSE,"Consolidated";#N/A,#N/A,FALSE,"Available Credit";#N/A,#N/A,FALSE,"100% Owned";#N/A,#N/A,FALSE,"Bentall U.S. LLC";#N/A,#N/A,FALSE,"Bentall Properties (U.S.) Ltd.";#N/A,#N/A,FALSE,"Schedule I"}</definedName>
    <definedName name="Down_Time">#REF!</definedName>
    <definedName name="dpa">#REF!</definedName>
    <definedName name="DRE_P_Flor" hidden="1">#REF!</definedName>
    <definedName name="DRE_P_Trad" hidden="1">#REF!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" hidden="1">{#N/A,#N/A,FALSE,"Chart 2 by Prop Type"}</definedName>
    <definedName name="dsaf" hidden="1">{#N/A,#N/A,FALSE,"ExecSum";#N/A,#N/A,FALSE,"total summary";#N/A,#N/A,FALSE,"Budget";#N/A,#N/A,FALSE,"CashFlow"}</definedName>
    <definedName name="dsa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ea" hidden="1">{"FCB_ALL",#N/A,FALSE,"FCB"}</definedName>
    <definedName name="dsf" hidden="1">{#N/A,#N/A,FALSE,"Chart 2 by Prop Type"}</definedName>
    <definedName name="dsfdsfds" hidden="1">{#N/A,#N/A,FALSE,"Consolidated";#N/A,#N/A,FALSE,"Available Credit";#N/A,#N/A,FALSE,"100% Owned";#N/A,#N/A,FALSE,"Bentall U.S. LLC";#N/A,#N/A,FALSE,"Bentall Properties (U.S.) Ltd.";#N/A,#N/A,FALSE,"Schedule I"}</definedName>
    <definedName name="dsfgdsfg" hidden="1">#REF!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sgh" hidden="1">{#N/A,#N/A,TRUE,"Krycí list"}</definedName>
    <definedName name="dsghh" hidden="1">{#N/A,#N/A,TRUE,"Krycí list"}</definedName>
    <definedName name="dsgvnlkdsfn" hidden="1">{#N/A,#N/A,FALSE,"Chart 2 by Prop Type"}</definedName>
    <definedName name="DSHiddenYear1" hidden="1">#REF!</definedName>
    <definedName name="DSHiddenYear2" hidden="1">#REF!</definedName>
    <definedName name="DSHiddenYear3" hidden="1">#REF!</definedName>
    <definedName name="DSHiddenYear4" hidden="1">#REF!</definedName>
    <definedName name="DSIndHiddenYear1" hidden="1">#REF!</definedName>
    <definedName name="DSIndHiddenYear2" hidden="1">#REF!</definedName>
    <definedName name="DSIndHiddenYear3" hidden="1">#REF!</definedName>
    <definedName name="DSIndHiddenYear4" hidden="1">#REF!</definedName>
    <definedName name="DSIndHistHiddenYear1" hidden="1">#REF!</definedName>
    <definedName name="DSIndHistHiddenYear1A" hidden="1">#REF!</definedName>
    <definedName name="DSIndHistHiddenYear2" hidden="1">#REF!</definedName>
    <definedName name="DSIndHistHiddenYear2A" hidden="1">#REF!</definedName>
    <definedName name="DSIndHistHiddenYear3" hidden="1">#REF!</definedName>
    <definedName name="DSIndHistHiddenYear4" hidden="1">#REF!</definedName>
    <definedName name="DSIndHistHiddenYear5" hidden="1">#REF!</definedName>
    <definedName name="DSS" hidden="1">{"print STAY opening assumptions",#N/A,FALSE,"STAY Openings";"print STAY openings",#N/A,FALSE,"STAY Openings"}</definedName>
    <definedName name="dss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TABLE02">#REF!</definedName>
    <definedName name="DTABLE03">#REF!</definedName>
    <definedName name="DTABLE04">#REF!</definedName>
    <definedName name="DTABLE06">#REF!</definedName>
    <definedName name="DTABLE07">#REF!</definedName>
    <definedName name="DTABLE08">#REF!</definedName>
    <definedName name="DTABLE09">#REF!</definedName>
    <definedName name="DTABLE10">#REF!</definedName>
    <definedName name="DTCALC">#REF!</definedName>
    <definedName name="dtytyhj" hidden="1">#REF!</definedName>
    <definedName name="DVLPBDG">#REF!</definedName>
    <definedName name="dw" hidden="1">#REF!</definedName>
    <definedName name="DY">#REF!</definedName>
    <definedName name="DZ.IndSpec_Left" hidden="1">#REF!</definedName>
    <definedName name="DZ.IndSpec_Right" hidden="1">#REF!</definedName>
    <definedName name="DZ.LTM" hidden="1">#REF!</definedName>
    <definedName name="DZ.LTMPlus" hidden="1">#REF!</definedName>
    <definedName name="e" hidden="1">{"MonthlyRentRoll",#N/A,FALSE,"RentRoll"}</definedName>
    <definedName name="E15xe81">#REF!</definedName>
    <definedName name="EagleLogo" hidden="1">"Picture 1"</definedName>
    <definedName name="earn1" hidden="1">#REF!</definedName>
    <definedName name="EBIT_Margin_Adjusted_Data" hidden="1">OFFSET(#REF!,0,0,COUNTA(#REF!),1)</definedName>
    <definedName name="EBIT_Margin_Data" hidden="1">OFFSET(#REF!,0,0,COUNTA(#REF!)-1,1)</definedName>
    <definedName name="EBIT_Margin_Dummy_Data" hidden="1">OFFSET(#REF!,0,0,COUNTA(#REF!)-1,1)</definedName>
    <definedName name="EBIT_Margin_X_Values" hidden="1">OFFSET(#REF!,0,0,COUNTA(#REF!)-1,1)</definedName>
    <definedName name="ebitdamargin">#REF!</definedName>
    <definedName name="ed" hidden="1">{#N/A,#N/A,FALSE,"Chart 2 by Prop Type"}</definedName>
    <definedName name="edd" hidden="1">{"rtn",#N/A,FALSE,"RTN";"tables",#N/A,FALSE,"RTN";"cf",#N/A,FALSE,"CF";"stats",#N/A,FALSE,"Stats";"prop",#N/A,FALSE,"Prop"}</definedName>
    <definedName name="Eden" hidden="1">{"AnnualRentRoll",#N/A,FALSE,"RentRoll"}</definedName>
    <definedName name="edf" hidden="1">{#N/A,#N/A,FALSE,"Chart 2 by Prop Type"}</definedName>
    <definedName name="edr" hidden="1">{#N/A,#N/A,FALSE,"Chart 2 by Prop Type"}</definedName>
    <definedName name="ee" hidden="1">{#N/A,#N/A,FALSE,"OperatingAssumptions"}</definedName>
    <definedName name="eee" hidden="1">{#N/A,#N/A,FALSE,"OperatingAssumptions"}</definedName>
    <definedName name="eeee" hidden="1">#REF!</definedName>
    <definedName name="eeeee" hidden="1">{#N/A,#N/A,FALSE,"CAPREIT"}</definedName>
    <definedName name="eeeeee" hidden="1">#REF!</definedName>
    <definedName name="eeeeeeee" hidden="1">#REF!</definedName>
    <definedName name="eer" hidden="1">{"Construction_Short",#N/A,FALSE,"Construction"}</definedName>
    <definedName name="effd" hidden="1">{#N/A,#N/A,FALSE,"Class A";#N/A,#N/A,FALSE,"Class B";#N/A,#N/A,FALSE,"Class C"}</definedName>
    <definedName name="efQFQA" hidden="1">#REF!</definedName>
    <definedName name="egfh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iyr1">#REF!</definedName>
    <definedName name="egiyr10">#REF!</definedName>
    <definedName name="egiyr11">#REF!</definedName>
    <definedName name="egiyr2">#REF!</definedName>
    <definedName name="egiyr3">#REF!</definedName>
    <definedName name="egiyr4">#REF!</definedName>
    <definedName name="egiyr5">#REF!</definedName>
    <definedName name="egiyr6">#REF!</definedName>
    <definedName name="egiyr7">#REF!</definedName>
    <definedName name="egiyr8">#REF!</definedName>
    <definedName name="egiyr9">#REF!</definedName>
    <definedName name="ehretje" hidden="1">#REF!</definedName>
    <definedName name="eisen">#REF!</definedName>
    <definedName name="ELIGIBLE_ASSETS">#REF!</definedName>
    <definedName name="ellen" hidden="1">{#N/A,#N/A,FALSE,"WATCHDSC";#N/A,#N/A,FALSE,"2LOSSMOD";#N/A,#N/A,FALSE,"2LOSS";#N/A,#N/A,FALSE,"DSC";#N/A,#N/A,FALSE,"OPERAT";#N/A,#N/A,FALSE,"ADJUST";#N/A,#N/A,FALSE,"LEASE EXPIRE"}</definedName>
    <definedName name="encum">#REF!</definedName>
    <definedName name="end">IF([0]!Loan_Amount*[0]!Interest_Rate*[0]!Loan_Years*[0]!Loan_Start&gt;0,1,0)</definedName>
    <definedName name="End_Bal">#REF!</definedName>
    <definedName name="EndCol">#REF!</definedName>
    <definedName name="EndRow">#REF!</definedName>
    <definedName name="ENGEL" hidden="1">#REF!</definedName>
    <definedName name="entities">#REF!</definedName>
    <definedName name="ENTRIES" hidden="1">#REF!</definedName>
    <definedName name="Entries2" hidden="1">#REF!</definedName>
    <definedName name="entry" hidden="1">{#N/A,#N/A,FALSE,"Sales"}</definedName>
    <definedName name="entry1" hidden="1">{#N/A,#N/A,FALSE,"Sales"}</definedName>
    <definedName name="Entwässerung">#REF!</definedName>
    <definedName name="EOP_MSA_sort_Buildings">#REF!</definedName>
    <definedName name="EOP_MSA_Sort_MSA">#REF!</definedName>
    <definedName name="EOP_MSA_sort_NOI">#REF!</definedName>
    <definedName name="EOP_MSA_sort_SQFT">#REF!</definedName>
    <definedName name="ep" hidden="1">#REF!</definedName>
    <definedName name="EPRINT1">#REF!</definedName>
    <definedName name="epsltm" hidden="1">#REF!</definedName>
    <definedName name="EPU00">#REF!</definedName>
    <definedName name="Equity">#REF!</definedName>
    <definedName name="EQUITY_COST">#REF!</definedName>
    <definedName name="Equity_Invested">#REF!</definedName>
    <definedName name="equity2row" hidden="1">#REF!</definedName>
    <definedName name="equityrow" hidden="1">#REF!</definedName>
    <definedName name="er" hidden="1">{#N/A,#N/A,FALSE,"Chart 2 by Prop Type"}</definedName>
    <definedName name="ER_MO">#REF!</definedName>
    <definedName name="ER_YR">#REF!</definedName>
    <definedName name="erasdf" hidden="1">{"Assump",#N/A,TRUE,"Proforma";"first",#N/A,TRUE,"Proforma";"second",#N/A,TRUE,"Proforma";"lease1",#N/A,TRUE,"Proforma";"lease2",#N/A,TRUE,"Proforma"}</definedName>
    <definedName name="ere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er" hidden="1">{"Total",#N/A,FALSE,"Six Fields";"PDP",#N/A,FALSE,"Six Fields";"PNP",#N/A,FALSE,"Six Fields";"PUD",#N/A,FALSE,"Six Fields";"Prob",#N/A,FALSE,"Six Fields"}</definedName>
    <definedName name="ererg" hidden="1">{"Investor",#N/A,FALSE,"Model";"Property",#N/A,FALSE,"Model";"Incentive Taxes",#N/A,FALSE,"Model"}</definedName>
    <definedName name="eret" hidden="1">{"sheet a",#N/A,FALSE,"A";"2 9 casflow",#N/A,FALSE,"B"}</definedName>
    <definedName name="erg" hidden="1">{0,0,"",0;0,0,0,0;0,0,0,0;0,0,0,0;0,0,0,0}</definedName>
    <definedName name="erghr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ic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OWS">#REF!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rt5t6" hidden="1">{"Detail Project Cash Flow",#N/A,TRUE,"Cash Flow Grid";"Financing Calculation",#N/A,TRUE,"Cash Flow Grid"}</definedName>
    <definedName name="erterg" hidden="1">#REF!</definedName>
    <definedName name="ERTY" hidden="1">#REF!</definedName>
    <definedName name="erw" hidden="1">{"Detail Project Cash Flow",#N/A,TRUE,"Cash Flow Grid";"Financing Calculation",#N/A,TRUE,"Cash Flow Grid"}</definedName>
    <definedName name="erwsr" hidden="1">{#N/A,#N/A,FALSE,"Fund-II"}</definedName>
    <definedName name="erwtwert" hidden="1">#REF!</definedName>
    <definedName name="eryuietj" hidden="1">#REF!</definedName>
    <definedName name="eryumds" hidden="1">{"qtrl1",#N/A,TRUE,"Annual Summary";"qtrl2",#N/A,TRUE,"Annual Summary";"qtrl3",#N/A,TRUE,"Annual Summary";"qtrl4",#N/A,TRUE,"QTLY Summary";"qtrl5",#N/A,TRUE,"QTLY Summary";"qtrl6",#N/A,TRUE,"QTLY Summary"}</definedName>
    <definedName name="es" hidden="1">{"FCB_ALL",#N/A,FALSE,"FCB"}</definedName>
    <definedName name="ESC_PSF">#REF!</definedName>
    <definedName name="ESC_VAR">#REF!</definedName>
    <definedName name="ESCAL">#REF!</definedName>
    <definedName name="esr" hidden="1">{"FCB_ALL",#N/A,FALSE,"FCB"}</definedName>
    <definedName name="esrs" hidden="1">{"FCB_ALL",#N/A,FALSE,"FCB"}</definedName>
    <definedName name="est_mvic" hidden="1">#REF!</definedName>
    <definedName name="estimate">#REF!</definedName>
    <definedName name="estimateexp">#REF!</definedName>
    <definedName name="etert" hidden="1">{"sheet a",#N/A,FALSE,"A";"sheet b 1",#N/A,FALSE,"B";"sheet b 2",#N/A,FALSE,"B"}</definedName>
    <definedName name="etyjydt" hidden="1">#REF!</definedName>
    <definedName name="Euro_FXRate">#REF!</definedName>
    <definedName name="euyhj" hidden="1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EV__CVPARAMS__" hidden="1">"S1!$A$4:$B$21;"</definedName>
    <definedName name="EV__DECIMALSYMBOL__" hidden="1">"."</definedName>
    <definedName name="EV__EVCOM_OPTIONS__" hidden="1">8</definedName>
    <definedName name="EV__EXPOPTIONS__" hidden="1">0</definedName>
    <definedName name="EV__LASTREFTIME__" hidden="1">39367.6355439815</definedName>
    <definedName name="EV__LOCKEDCVW__DRP" hidden="1">"R_REVROI,BU4081,CURRENT,INPUT,D1139,LC,2009.TOTAL,PERIODIC,"</definedName>
    <definedName name="EV__LOCKEDCVW__FINANCE" hidden="1">"GOI,BU4081,CURRENT,TOTALADJ,D_HOTEL,All_InterCo,LC,2010.TOTAL,PERIODIC,"</definedName>
    <definedName name="EV__LOCKEDCVW__FINANCEDETAIL" hidden="1">"706520,BU4081,CURRENT,INPUT,D0185,Non_InterCo,L_ALL,LC,2009.TOTAL,PERIODIC,"</definedName>
    <definedName name="EV__LOCKEDCVW__HCM" hidden="1">"PC_MNTHLY,BU4081,CURRENT,INPUT,D_HOTEL,E0,LC,2009.TOTAL,PERIODIC,"</definedName>
    <definedName name="EV__LOCKSTATUS__" hidden="1">4</definedName>
    <definedName name="EV__MAXEXPCOLS__" hidden="1">100</definedName>
    <definedName name="EV__MAXEXPROWS__" hidden="1">1000</definedName>
    <definedName name="EV__MEMORYCVW__" hidden="1">0</definedName>
    <definedName name="EV__MEMORYCVW__INFO" hidden="1">"FINANCE"</definedName>
    <definedName name="EV__USERCHANGEOPTIONS__" hidden="1">1</definedName>
    <definedName name="EV__WBEVMODE__" hidden="1">0</definedName>
    <definedName name="EV__WBREFOPTIONS__" hidden="1">4</definedName>
    <definedName name="EV__WBVERSION__" hidden="1">0</definedName>
    <definedName name="ev.Calculation" hidden="1">-4135</definedName>
    <definedName name="ev.Initialized" hidden="1">FALSE</definedName>
    <definedName name="ew" hidden="1">#REF!</definedName>
    <definedName name="ewrqwer" hidden="1">#REF!</definedName>
    <definedName name="Ex.Rate">1.55576</definedName>
    <definedName name="ExactAddinConnection" hidden="1">"015"</definedName>
    <definedName name="ExactAddinConnection.015" hidden="1">"SQL;022;pcardinale;1"</definedName>
    <definedName name="ExactAddinConnection.018" hidden="1">"SQL;018;ablanchard;1"</definedName>
    <definedName name="ExactAddinReports" hidden="1">1</definedName>
    <definedName name="ExbMult_Total" hidden="1">#REF!</definedName>
    <definedName name="exbnumlist" hidden="1">#REF!</definedName>
    <definedName name="exc" hidden="1">{"'Assump'!$F$6:$J$6"}</definedName>
    <definedName name="excel" hidden="1">{#N/A,#N/A,FALSE}</definedName>
    <definedName name="Exch_FX_Euro">#REF!</definedName>
    <definedName name="exchange">900</definedName>
    <definedName name="Exchange_Rates" hidden="1">#REF!</definedName>
    <definedName name="exhibits1" hidden="1">{"BS_00",#N/A,FALSE,"Consolidated_BS";"BS_01",#N/A,FALSE,"Consolidated_BS";"BS_02",#N/A,FALSE,"Consolidated_BS";"IS_00",#N/A,FALSE,"Consolidated_IS";"IS_01",#N/A,FALSE,"Consolidated_IS";"IS_02",#N/A,FALSE,"Consolidated_IS";"SanMarcos_00",#N/A,FALSE,"San Marcos_IS";"SanMarcos_01",#N/A,FALSE,"San Marcos_IS";"SanMarcos_02",#N/A,FALSE,"San Marcos_IS";"Hagerstown_00",#N/A,FALSE,"Hagerstown_IS";"Hagerstown_01",#N/A,FALSE,"Hagerstown_IS";"Hagerstown_02",#N/A,FALSE,"Hagerstown_IS";"Corporate_00",#N/A,FALSE,"Corporate_IS";"Corporate_01",#N/A,FALSE,"Corporate_IS";"Corporate_02",#N/A,FALSE,"Corporate_IS";"Cash_Flow_00",#N/A,FALSE,"Consolidated_CashFlow";"Store#3_02",#N/A,FALSE,"Store#3";"Store#3_01",#N/A,FALSE,"Store#3";"Store#4_01",#N/A,FALSE,"Store#4";"Store#4_02",#N/A,FALSE,"Store#4";"Store#5_02",#N/A,FALSE,"Store#5";"Store#6_02",#N/A,FALSE,"Store#6";"San_Marcos_99",#N/A,FALSE,"San Marcos_IS _99";"Corporate_99",#N/A,FALSE,"Corp_IS_99"}</definedName>
    <definedName name="ExistingDebtSchedule">#REF!</definedName>
    <definedName name="Exit">#REF!</definedName>
    <definedName name="Exit_Cap">#REF!</definedName>
    <definedName name="Exit_Cap_Rate">#REF!</definedName>
    <definedName name="Exit_Date">#REF!</definedName>
    <definedName name="EXITcap">#REF!</definedName>
    <definedName name="ExitPSF_Yr10">#REF!</definedName>
    <definedName name="ExitPSF_Yr3">#REF!</definedName>
    <definedName name="ExitPSF_Yr5">#REF!</definedName>
    <definedName name="exp" hidden="1">#REF!</definedName>
    <definedName name="Exp_Mo">#REF!</definedName>
    <definedName name="Exp_Yr">#REF!</definedName>
    <definedName name="Exp_yr1">#REF!</definedName>
    <definedName name="Exp_yr10">#REF!</definedName>
    <definedName name="Exp_yr11">#REF!</definedName>
    <definedName name="Exp_yr12">#REF!</definedName>
    <definedName name="Exp_yr13">#REF!</definedName>
    <definedName name="Exp_yr14">#REF!</definedName>
    <definedName name="Exp_yr15">#REF!</definedName>
    <definedName name="Exp_yr16">#REF!</definedName>
    <definedName name="Exp_yr2">#REF!</definedName>
    <definedName name="Exp_yr3">#REF!</definedName>
    <definedName name="Exp_yr4">#REF!</definedName>
    <definedName name="Exp_yr5">#REF!</definedName>
    <definedName name="Exp_yr6">#REF!</definedName>
    <definedName name="Exp_yr7">#REF!</definedName>
    <definedName name="Exp_yr8">#REF!</definedName>
    <definedName name="Exp_yr9">#REF!</definedName>
    <definedName name="exp.amt.reimb.3rdPartyUW">#REF!</definedName>
    <definedName name="exp.amt.reimb.aerialsPhotos">#REF!</definedName>
    <definedName name="exp.amt.reimb.appraisal">#REF!</definedName>
    <definedName name="exp.amt.reimb.audit">#REF!</definedName>
    <definedName name="exp.amt.reimb.confCalls">#REF!</definedName>
    <definedName name="exp.amt.reimb.copies">#REF!</definedName>
    <definedName name="exp.amt.reimb.courier">#REF!</definedName>
    <definedName name="exp.amt.reimb.creditReports">#REF!</definedName>
    <definedName name="exp.amt.reimb.engineer">#REF!</definedName>
    <definedName name="exp.amt.reimb.envPhase1">#REF!</definedName>
    <definedName name="exp.amt.reimb.envPhase2">#REF!</definedName>
    <definedName name="exp.amt.reimb.equifax">#REF!</definedName>
    <definedName name="exp.amt.reimb.fedEx">#REF!</definedName>
    <definedName name="exp.amt.reimb.FF_E">#REF!</definedName>
    <definedName name="exp.amt.reimb.leaseReview">#REF!</definedName>
    <definedName name="exp.amt.reimb.legal">#REF!</definedName>
    <definedName name="exp.amt.reimb.loanStaffServices">#REF!</definedName>
    <definedName name="exp.amt.reimb.marketReports">#REF!</definedName>
    <definedName name="exp.amt.reimb.miscExpenses">#REF!</definedName>
    <definedName name="exp.amt.reimb.otherReport">#REF!</definedName>
    <definedName name="exp.amt.reimb.peerreview">#REF!</definedName>
    <definedName name="exp.amt.reimb.seismic">#REF!</definedName>
    <definedName name="exp.amt.reimb.t_l">#REF!</definedName>
    <definedName name="exp.amt.reimb.t_lSpecCharge">#REF!</definedName>
    <definedName name="exp.amt.reimb.valuationServices">#REF!</definedName>
    <definedName name="exp.amt.reimb.zoning">#REF!</definedName>
    <definedName name="exp.vend.reimb.3rdPartyUW">#REF!</definedName>
    <definedName name="exp.vend.reimb.aerialsPhotos">#REF!</definedName>
    <definedName name="exp.vend.reimb.confCalls">#REF!</definedName>
    <definedName name="exp.vend.reimb.copies">#REF!</definedName>
    <definedName name="exp.vend.reimb.courier">#REF!</definedName>
    <definedName name="exp.vend.reimb.creditReports">#REF!</definedName>
    <definedName name="exp.vend.reimb.equifax">#REF!</definedName>
    <definedName name="exp.vend.reimb.fedEx">#REF!</definedName>
    <definedName name="exp.vend.reimb.leaseReview">#REF!</definedName>
    <definedName name="exp.vend.reimb.legal">#REF!</definedName>
    <definedName name="exp.vend.reimb.loanStaffServices">#REF!</definedName>
    <definedName name="exp.vend.reimb.marketReports">#REF!</definedName>
    <definedName name="exp.vend.reimb.miscExpenses">#REF!</definedName>
    <definedName name="exp.vend.reimb.t_l">#REF!</definedName>
    <definedName name="exp.vend.reimb.t_lSpecCharge">#REF!</definedName>
    <definedName name="exp.vend.reimb.valuationServices">#REF!</definedName>
    <definedName name="EXPBGT">#REF!</definedName>
    <definedName name="EXPBGTCALC">#REF!</definedName>
    <definedName name="EXPBGTSUM">#REF!</definedName>
    <definedName name="expcomp">"Option Button 21"</definedName>
    <definedName name="Expense_Category_1">#REF!</definedName>
    <definedName name="Expense_Category_10">#REF!</definedName>
    <definedName name="Expense_Category_11">#REF!</definedName>
    <definedName name="Expense_Category_12">#REF!</definedName>
    <definedName name="Expense_Category_13">#REF!</definedName>
    <definedName name="Expense_Category_14">#REF!</definedName>
    <definedName name="Expense_Category_15">#REF!</definedName>
    <definedName name="Expense_Category_16">#REF!</definedName>
    <definedName name="Expense_Category_17">#REF!</definedName>
    <definedName name="Expense_Category_18">#REF!</definedName>
    <definedName name="Expense_Category_19">#REF!</definedName>
    <definedName name="Expense_Category_2">#REF!</definedName>
    <definedName name="Expense_Category_20">#REF!</definedName>
    <definedName name="Expense_Category_3">#REF!</definedName>
    <definedName name="Expense_Category_4">#REF!</definedName>
    <definedName name="Expense_Category_5">#REF!</definedName>
    <definedName name="Expense_Category_6">#REF!</definedName>
    <definedName name="Expense_Category_7">#REF!</definedName>
    <definedName name="Expense_Category_8">#REF!</definedName>
    <definedName name="Expense_Category_9">#REF!</definedName>
    <definedName name="Expense_Inflation">#REF!</definedName>
    <definedName name="expinet">"Option Button 20"</definedName>
    <definedName name="EXPIRATION">#REF!</definedName>
    <definedName name="EXPSAL1">#REF!</definedName>
    <definedName name="EXPSAL10">#REF!</definedName>
    <definedName name="EXPSAL2">#REF!</definedName>
    <definedName name="EXPSAL3">#REF!</definedName>
    <definedName name="EXPSAL4">#REF!</definedName>
    <definedName name="EXPSAL5">#REF!</definedName>
    <definedName name="EXPSAL6">#REF!</definedName>
    <definedName name="EXPSAL7">#REF!</definedName>
    <definedName name="EXPSAL8">#REF!</definedName>
    <definedName name="EXPSAL9">#REF!</definedName>
    <definedName name="EXPSALDET">#REF!</definedName>
    <definedName name="EXPSUMM">#REF!</definedName>
    <definedName name="exptenant">"exptenant"</definedName>
    <definedName name="ExRate_Yr1" hidden="1">#REF!</definedName>
    <definedName name="ExRate_Yr2" hidden="1">#REF!</definedName>
    <definedName name="ExRate_Yr3" hidden="1">#REF!</definedName>
    <definedName name="ExRate_Yr4" hidden="1">#REF!</definedName>
    <definedName name="ExRate_Yr5" hidden="1">#REF!</definedName>
    <definedName name="ExRate_Yr6" hidden="1">#REF!</definedName>
    <definedName name="ExRate_Yr7" hidden="1">#REF!</definedName>
    <definedName name="exrate.cad">1.01595</definedName>
    <definedName name="exrate.euro">0.7852</definedName>
    <definedName name="ExRateLTM_Yr1" hidden="1">#REF!</definedName>
    <definedName name="ExRateLTM_Yr2" hidden="1">#REF!</definedName>
    <definedName name="ExRateLTM_Yr3" hidden="1">#REF!</definedName>
    <definedName name="extra" hidden="1">{#N/A,#N/A,TRUE,"10 Yr Hold";#N/A,#N/A,TRUE,"7 Yr Hold";#N/A,#N/A,TRUE,"5 Yr Hold";#N/A,#N/A,TRUE,"3 Yr Hold"}</definedName>
    <definedName name="Extra_Pay">#REF!</definedName>
    <definedName name="eysdy" hidden="1">#REF!</definedName>
    <definedName name="ezrtezr" hidden="1">#REF!</definedName>
    <definedName name="ezrtrezt" hidden="1">#REF!</definedName>
    <definedName name="eztezrt" hidden="1">#REF!</definedName>
    <definedName name="f">#REF!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dsfasadfasdfasdfasdafsdf" hidden="1">#REF!</definedName>
    <definedName name="fafdasfda" hidden="1">{#N/A,#N/A,TRUE,"10 Yr Hold";#N/A,#N/A,TRUE,"7 Yr Hold";#N/A,#N/A,TRUE,"5 Yr Hold";#N/A,#N/A,TRUE,"3 Yr Hold"}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as" hidden="1">{#N/A,#N/A,TRUE,"10 Yr Hold";#N/A,#N/A,TRUE,"7 Yr Hold";#N/A,#N/A,TRUE,"5 Yr Hold";#N/A,#N/A,TRUE,"3 Yr Hold"}</definedName>
    <definedName name="fasffSFffASFasfASFasf" hidden="1">{#N/A,#N/A,FALSE,"LP Exp";#N/A,#N/A,FALSE,"Salary";#N/A,#N/A,FALSE,"Admin Exp";#N/A,#N/A,FALSE,"QTS Bud";#N/A,#N/A,FALSE,"Marketing"}</definedName>
    <definedName name="fcaprecycling">#REF!</definedName>
    <definedName name="fcDate" hidden="1">#REF!</definedName>
    <definedName name="FCode" hidden="1">#REF!</definedName>
    <definedName name="fd" hidden="1">{#N/A,#N/A,FALSE,"Chart 2 by Prop Type"}</definedName>
    <definedName name="fdasfasd" hidden="1">{"bs",#N/A,FALSE,"SCF"}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_1" hidden="1">"A35795"</definedName>
    <definedName name="FDD_10_2" hidden="1">"A36160"</definedName>
    <definedName name="FDD_10_3" hidden="1">"E36525"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_1" hidden="1">"E35795"</definedName>
    <definedName name="FDD_11_2" hidden="1">"E36160"</definedName>
    <definedName name="FDD_11_3" hidden="1">"E36525"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_1" hidden="1">"E35795"</definedName>
    <definedName name="FDD_12_2" hidden="1">"E36160"</definedName>
    <definedName name="FDD_12_3" hidden="1">"E36525"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_1" hidden="1">"A35795"</definedName>
    <definedName name="FDD_19_2" hidden="1">"E36160"</definedName>
    <definedName name="FDD_19_3" hidden="1">"E36525"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_1" hidden="1">"U35795"</definedName>
    <definedName name="FDD_25_2" hidden="1">"U36160"</definedName>
    <definedName name="FDD_25_3" hidden="1">"U36525"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1_1" hidden="1">"A35795"</definedName>
    <definedName name="FDD_41_2" hidden="1">"E36160"</definedName>
    <definedName name="FDD_41_3" hidden="1">"E36525"</definedName>
    <definedName name="FDD_42_0" hidden="1">"U25569"</definedName>
    <definedName name="FDD_42_1" hidden="1">"U35795"</definedName>
    <definedName name="FDD_42_2" hidden="1">"U36160"</definedName>
    <definedName name="FDD_42_3" hidden="1">"U36525"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_1" hidden="1">"E35795"</definedName>
    <definedName name="FDD_5_2" hidden="1">"E36160"</definedName>
    <definedName name="FDD_5_3" hidden="1">"E36525"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00" hidden="1">"A35044"</definedName>
    <definedName name="FDD_58_101" hidden="1">"A35051"</definedName>
    <definedName name="FDD_58_102" hidden="1">"A35058"</definedName>
    <definedName name="FDD_58_103" hidden="1">"A35065"</definedName>
    <definedName name="FDD_58_104" hidden="1">"A35072"</definedName>
    <definedName name="FDD_58_105" hidden="1">"A35079"</definedName>
    <definedName name="FDD_58_106" hidden="1">"A35086"</definedName>
    <definedName name="FDD_58_107" hidden="1">"A35093"</definedName>
    <definedName name="FDD_58_108" hidden="1">"A35100"</definedName>
    <definedName name="FDD_58_109" hidden="1">"A35107"</definedName>
    <definedName name="FDD_58_11" hidden="1">"A34699"</definedName>
    <definedName name="FDD_58_110" hidden="1">"A35114"</definedName>
    <definedName name="FDD_58_111" hidden="1">"A35121"</definedName>
    <definedName name="FDD_58_112" hidden="1">"A35128"</definedName>
    <definedName name="FDD_58_113" hidden="1">"A35135"</definedName>
    <definedName name="FDD_58_114" hidden="1">"A35142"</definedName>
    <definedName name="FDD_58_115" hidden="1">"A35149"</definedName>
    <definedName name="FDD_58_116" hidden="1">"A35156"</definedName>
    <definedName name="FDD_58_117" hidden="1">"A35162"</definedName>
    <definedName name="FDD_58_118" hidden="1">"A35170"</definedName>
    <definedName name="FDD_58_119" hidden="1">"A35177"</definedName>
    <definedName name="FDD_58_12" hidden="1">"A35064"</definedName>
    <definedName name="FDD_58_120" hidden="1">"A35184"</definedName>
    <definedName name="FDD_58_121" hidden="1">"A35191"</definedName>
    <definedName name="FDD_58_122" hidden="1">"A35198"</definedName>
    <definedName name="FDD_58_123" hidden="1">"A35205"</definedName>
    <definedName name="FDD_58_124" hidden="1">"A35212"</definedName>
    <definedName name="FDD_58_125" hidden="1">"A35219"</definedName>
    <definedName name="FDD_58_126" hidden="1">"A35226"</definedName>
    <definedName name="FDD_58_127" hidden="1">"A35233"</definedName>
    <definedName name="FDD_58_128" hidden="1">"A35240"</definedName>
    <definedName name="FDD_58_129" hidden="1">"A35247"</definedName>
    <definedName name="FDD_58_13" hidden="1">"A35430"</definedName>
    <definedName name="FDD_58_130" hidden="1">"A35254"</definedName>
    <definedName name="FDD_58_131" hidden="1">"A35261"</definedName>
    <definedName name="FDD_58_132" hidden="1">"A35268"</definedName>
    <definedName name="FDD_58_133" hidden="1">"A35275"</definedName>
    <definedName name="FDD_58_134" hidden="1">"A35282"</definedName>
    <definedName name="FDD_58_135" hidden="1">"A35289"</definedName>
    <definedName name="FDD_58_136" hidden="1">"A35296"</definedName>
    <definedName name="FDD_58_137" hidden="1">"A35303"</definedName>
    <definedName name="FDD_58_138" hidden="1">"A35310"</definedName>
    <definedName name="FDD_58_139" hidden="1">"A35317"</definedName>
    <definedName name="FDD_58_14" hidden="1">"A35795"</definedName>
    <definedName name="FDD_58_140" hidden="1">"A35324"</definedName>
    <definedName name="FDD_58_141" hidden="1">"A35331"</definedName>
    <definedName name="FDD_58_142" hidden="1">"A35338"</definedName>
    <definedName name="FDD_58_143" hidden="1">"A35345"</definedName>
    <definedName name="FDD_58_144" hidden="1">"A35352"</definedName>
    <definedName name="FDD_58_145" hidden="1">"A35359"</definedName>
    <definedName name="FDD_58_146" hidden="1">"A35366"</definedName>
    <definedName name="FDD_58_147" hidden="1">"A35373"</definedName>
    <definedName name="FDD_58_148" hidden="1">"A35380"</definedName>
    <definedName name="FDD_58_149" hidden="1">"A35387"</definedName>
    <definedName name="FDD_58_15" hidden="1">"A34449"</definedName>
    <definedName name="FDD_58_150" hidden="1">"A35394"</definedName>
    <definedName name="FDD_58_151" hidden="1">"A35401"</definedName>
    <definedName name="FDD_58_152" hidden="1">"A35408"</definedName>
    <definedName name="FDD_58_153" hidden="1">"A35415"</definedName>
    <definedName name="FDD_58_154" hidden="1">"A35422"</definedName>
    <definedName name="FDD_58_155" hidden="1">"A35429"</definedName>
    <definedName name="FDD_58_156" hidden="1">"A35436"</definedName>
    <definedName name="FDD_58_157" hidden="1">"A35443"</definedName>
    <definedName name="FDD_58_158" hidden="1">"A35450"</definedName>
    <definedName name="FDD_58_159" hidden="1">"A35457"</definedName>
    <definedName name="FDD_58_16" hidden="1">"A34456"</definedName>
    <definedName name="FDD_58_160" hidden="1">"A35464"</definedName>
    <definedName name="FDD_58_161" hidden="1">"A35471"</definedName>
    <definedName name="FDD_58_162" hidden="1">"A35478"</definedName>
    <definedName name="FDD_58_163" hidden="1">"A35485"</definedName>
    <definedName name="FDD_58_164" hidden="1">"A35492"</definedName>
    <definedName name="FDD_58_165" hidden="1">"A35499"</definedName>
    <definedName name="FDD_58_166" hidden="1">"A35506"</definedName>
    <definedName name="FDD_58_167" hidden="1">"A35513"</definedName>
    <definedName name="FDD_58_168" hidden="1">"A35520"</definedName>
    <definedName name="FDD_58_169" hidden="1">"A35527"</definedName>
    <definedName name="FDD_58_17" hidden="1">"A34463"</definedName>
    <definedName name="FDD_58_170" hidden="1">"A35534"</definedName>
    <definedName name="FDD_58_171" hidden="1">"A35541"</definedName>
    <definedName name="FDD_58_172" hidden="1">"A35548"</definedName>
    <definedName name="FDD_58_173" hidden="1">"A35555"</definedName>
    <definedName name="FDD_58_174" hidden="1">"A35562"</definedName>
    <definedName name="FDD_58_175" hidden="1">"A35569"</definedName>
    <definedName name="FDD_58_176" hidden="1">"A35576"</definedName>
    <definedName name="FDD_58_177" hidden="1">"A35583"</definedName>
    <definedName name="FDD_58_178" hidden="1">"A35590"</definedName>
    <definedName name="FDD_58_179" hidden="1">"A35597"</definedName>
    <definedName name="FDD_58_18" hidden="1">"A34470"</definedName>
    <definedName name="FDD_58_180" hidden="1">"A35604"</definedName>
    <definedName name="FDD_58_181" hidden="1">"A35611"</definedName>
    <definedName name="FDD_58_182" hidden="1">"A35618"</definedName>
    <definedName name="FDD_58_183" hidden="1">"A35625"</definedName>
    <definedName name="FDD_58_184" hidden="1">"A35632"</definedName>
    <definedName name="FDD_58_185" hidden="1">"A35639"</definedName>
    <definedName name="FDD_58_186" hidden="1">"A35646"</definedName>
    <definedName name="FDD_58_187" hidden="1">"A35653"</definedName>
    <definedName name="FDD_58_188" hidden="1">"A35660"</definedName>
    <definedName name="FDD_58_189" hidden="1">"A35667"</definedName>
    <definedName name="FDD_58_19" hidden="1">"A34477"</definedName>
    <definedName name="FDD_58_190" hidden="1">"A35674"</definedName>
    <definedName name="FDD_58_191" hidden="1">"A35681"</definedName>
    <definedName name="FDD_58_192" hidden="1">"A35688"</definedName>
    <definedName name="FDD_58_193" hidden="1">"A35695"</definedName>
    <definedName name="FDD_58_194" hidden="1">"A35702"</definedName>
    <definedName name="FDD_58_195" hidden="1">"A35709"</definedName>
    <definedName name="FDD_58_196" hidden="1">"A35716"</definedName>
    <definedName name="FDD_58_197" hidden="1">"A35723"</definedName>
    <definedName name="FDD_58_198" hidden="1">"A35730"</definedName>
    <definedName name="FDD_58_199" hidden="1">"A35737"</definedName>
    <definedName name="FDD_58_2" hidden="1">"A31412"</definedName>
    <definedName name="FDD_58_20" hidden="1">"A34484"</definedName>
    <definedName name="FDD_58_200" hidden="1">"A35744"</definedName>
    <definedName name="FDD_58_201" hidden="1">"A35751"</definedName>
    <definedName name="FDD_58_202" hidden="1">"A35758"</definedName>
    <definedName name="FDD_58_203" hidden="1">"A35765"</definedName>
    <definedName name="FDD_58_204" hidden="1">"A35772"</definedName>
    <definedName name="FDD_58_205" hidden="1">"A35779"</definedName>
    <definedName name="FDD_58_206" hidden="1">"A35786"</definedName>
    <definedName name="FDD_58_207" hidden="1">"A35793"</definedName>
    <definedName name="FDD_58_208" hidden="1">"A35800"</definedName>
    <definedName name="FDD_58_209" hidden="1">"A35807"</definedName>
    <definedName name="FDD_58_21" hidden="1">"A34491"</definedName>
    <definedName name="FDD_58_210" hidden="1">"A35814"</definedName>
    <definedName name="FDD_58_211" hidden="1">"A35821"</definedName>
    <definedName name="FDD_58_212" hidden="1">"A35828"</definedName>
    <definedName name="FDD_58_213" hidden="1">"A35835"</definedName>
    <definedName name="FDD_58_214" hidden="1">"A35842"</definedName>
    <definedName name="FDD_58_215" hidden="1">"A35849"</definedName>
    <definedName name="FDD_58_216" hidden="1">"A35856"</definedName>
    <definedName name="FDD_58_217" hidden="1">"A35863"</definedName>
    <definedName name="FDD_58_218" hidden="1">"A35870"</definedName>
    <definedName name="FDD_58_219" hidden="1">"A35877"</definedName>
    <definedName name="FDD_58_22" hidden="1">"A34498"</definedName>
    <definedName name="FDD_58_220" hidden="1">"A35884"</definedName>
    <definedName name="FDD_58_221" hidden="1">"A35891"</definedName>
    <definedName name="FDD_58_222" hidden="1">"A35898"</definedName>
    <definedName name="FDD_58_223" hidden="1">"A35905"</definedName>
    <definedName name="FDD_58_224" hidden="1">"A35912"</definedName>
    <definedName name="FDD_58_225" hidden="1">"A35919"</definedName>
    <definedName name="FDD_58_226" hidden="1">"A35926"</definedName>
    <definedName name="FDD_58_227" hidden="1">"A35933"</definedName>
    <definedName name="FDD_58_228" hidden="1">"A35940"</definedName>
    <definedName name="FDD_58_229" hidden="1">"A35947"</definedName>
    <definedName name="FDD_58_23" hidden="1">"A34505"</definedName>
    <definedName name="FDD_58_230" hidden="1">"A35954"</definedName>
    <definedName name="FDD_58_231" hidden="1">"A35961"</definedName>
    <definedName name="FDD_58_232" hidden="1">"A35968"</definedName>
    <definedName name="FDD_58_233" hidden="1">"A35975"</definedName>
    <definedName name="FDD_58_234" hidden="1">"A35982"</definedName>
    <definedName name="FDD_58_235" hidden="1">"A35989"</definedName>
    <definedName name="FDD_58_236" hidden="1">"A35996"</definedName>
    <definedName name="FDD_58_237" hidden="1">"A36003"</definedName>
    <definedName name="FDD_58_238" hidden="1">"A36010"</definedName>
    <definedName name="FDD_58_239" hidden="1">"A36017"</definedName>
    <definedName name="FDD_58_24" hidden="1">"A34512"</definedName>
    <definedName name="FDD_58_240" hidden="1">"A36024"</definedName>
    <definedName name="FDD_58_241" hidden="1">"A36031"</definedName>
    <definedName name="FDD_58_242" hidden="1">"A36038"</definedName>
    <definedName name="FDD_58_243" hidden="1">"A36045"</definedName>
    <definedName name="FDD_58_244" hidden="1">"A36052"</definedName>
    <definedName name="FDD_58_245" hidden="1">"A36059"</definedName>
    <definedName name="FDD_58_246" hidden="1">"A36066"</definedName>
    <definedName name="FDD_58_247" hidden="1">"A36073"</definedName>
    <definedName name="FDD_58_248" hidden="1">"A36080"</definedName>
    <definedName name="FDD_58_249" hidden="1">"A36087"</definedName>
    <definedName name="FDD_58_25" hidden="1">"A34519"</definedName>
    <definedName name="FDD_58_250" hidden="1">"A36094"</definedName>
    <definedName name="FDD_58_251" hidden="1">"A36101"</definedName>
    <definedName name="FDD_58_252" hidden="1">"A36108"</definedName>
    <definedName name="FDD_58_253" hidden="1">"A36115"</definedName>
    <definedName name="FDD_58_254" hidden="1">"A36122"</definedName>
    <definedName name="FDD_58_255" hidden="1">"A36129"</definedName>
    <definedName name="FDD_58_256" hidden="1">"A36136"</definedName>
    <definedName name="FDD_58_257" hidden="1">"A36143"</definedName>
    <definedName name="FDD_58_258" hidden="1">"A36150"</definedName>
    <definedName name="FDD_58_259" hidden="1">"A36157"</definedName>
    <definedName name="FDD_58_26" hidden="1">"A34526"</definedName>
    <definedName name="FDD_58_260" hidden="1">"A36164"</definedName>
    <definedName name="FDD_58_27" hidden="1">"A34533"</definedName>
    <definedName name="FDD_58_28" hidden="1">"A34540"</definedName>
    <definedName name="FDD_58_29" hidden="1">"A34547"</definedName>
    <definedName name="FDD_58_3" hidden="1">"A31777"</definedName>
    <definedName name="FDD_58_30" hidden="1">"A34554"</definedName>
    <definedName name="FDD_58_31" hidden="1">"A34561"</definedName>
    <definedName name="FDD_58_32" hidden="1">"A34568"</definedName>
    <definedName name="FDD_58_33" hidden="1">"A34575"</definedName>
    <definedName name="FDD_58_34" hidden="1">"A34582"</definedName>
    <definedName name="FDD_58_35" hidden="1">"A34589"</definedName>
    <definedName name="FDD_58_36" hidden="1">"A34596"</definedName>
    <definedName name="FDD_58_37" hidden="1">"A34603"</definedName>
    <definedName name="FDD_58_38" hidden="1">"A34610"</definedName>
    <definedName name="FDD_58_39" hidden="1">"A34617"</definedName>
    <definedName name="FDD_58_4" hidden="1">"A32142"</definedName>
    <definedName name="FDD_58_40" hidden="1">"A34624"</definedName>
    <definedName name="FDD_58_41" hidden="1">"A34631"</definedName>
    <definedName name="FDD_58_42" hidden="1">"A34638"</definedName>
    <definedName name="FDD_58_43" hidden="1">"A34645"</definedName>
    <definedName name="FDD_58_44" hidden="1">"A34652"</definedName>
    <definedName name="FDD_58_45" hidden="1">"A34659"</definedName>
    <definedName name="FDD_58_46" hidden="1">"A34666"</definedName>
    <definedName name="FDD_58_47" hidden="1">"A34673"</definedName>
    <definedName name="FDD_58_48" hidden="1">"A34680"</definedName>
    <definedName name="FDD_58_49" hidden="1">"A34687"</definedName>
    <definedName name="FDD_58_5" hidden="1">"A32508"</definedName>
    <definedName name="FDD_58_50" hidden="1">"A34694"</definedName>
    <definedName name="FDD_58_51" hidden="1">"A34701"</definedName>
    <definedName name="FDD_58_52" hidden="1">"A34708"</definedName>
    <definedName name="FDD_58_53" hidden="1">"A34715"</definedName>
    <definedName name="FDD_58_54" hidden="1">"A34722"</definedName>
    <definedName name="FDD_58_55" hidden="1">"A34729"</definedName>
    <definedName name="FDD_58_56" hidden="1">"A34736"</definedName>
    <definedName name="FDD_58_57" hidden="1">"A34743"</definedName>
    <definedName name="FDD_58_58" hidden="1">"A34750"</definedName>
    <definedName name="FDD_58_59" hidden="1">"A34757"</definedName>
    <definedName name="FDD_58_6" hidden="1">"A32873"</definedName>
    <definedName name="FDD_58_60" hidden="1">"A34764"</definedName>
    <definedName name="FDD_58_61" hidden="1">"A34771"</definedName>
    <definedName name="FDD_58_62" hidden="1">"A34778"</definedName>
    <definedName name="FDD_58_63" hidden="1">"A34785"</definedName>
    <definedName name="FDD_58_64" hidden="1">"A34792"</definedName>
    <definedName name="FDD_58_65" hidden="1">"A34799"</definedName>
    <definedName name="FDD_58_66" hidden="1">"A34806"</definedName>
    <definedName name="FDD_58_67" hidden="1">"A34813"</definedName>
    <definedName name="FDD_58_68" hidden="1">"A34820"</definedName>
    <definedName name="FDD_58_69" hidden="1">"A34827"</definedName>
    <definedName name="FDD_58_7" hidden="1">"A33238"</definedName>
    <definedName name="FDD_58_70" hidden="1">"A34834"</definedName>
    <definedName name="FDD_58_71" hidden="1">"A34841"</definedName>
    <definedName name="FDD_58_72" hidden="1">"A34848"</definedName>
    <definedName name="FDD_58_73" hidden="1">"A34855"</definedName>
    <definedName name="FDD_58_74" hidden="1">"A34862"</definedName>
    <definedName name="FDD_58_75" hidden="1">"A34869"</definedName>
    <definedName name="FDD_58_76" hidden="1">"A34876"</definedName>
    <definedName name="FDD_58_77" hidden="1">"A34883"</definedName>
    <definedName name="FDD_58_78" hidden="1">"A34890"</definedName>
    <definedName name="FDD_58_79" hidden="1">"A34897"</definedName>
    <definedName name="FDD_58_8" hidden="1">"A33603"</definedName>
    <definedName name="FDD_58_80" hidden="1">"A34904"</definedName>
    <definedName name="FDD_58_81" hidden="1">"A34911"</definedName>
    <definedName name="FDD_58_82" hidden="1">"A34918"</definedName>
    <definedName name="FDD_58_83" hidden="1">"A34925"</definedName>
    <definedName name="FDD_58_84" hidden="1">"A34932"</definedName>
    <definedName name="FDD_58_85" hidden="1">"A34939"</definedName>
    <definedName name="FDD_58_86" hidden="1">"A34946"</definedName>
    <definedName name="FDD_58_87" hidden="1">"A34953"</definedName>
    <definedName name="FDD_58_88" hidden="1">"A34960"</definedName>
    <definedName name="FDD_58_89" hidden="1">"A34967"</definedName>
    <definedName name="FDD_58_9" hidden="1">"A33969"</definedName>
    <definedName name="FDD_58_90" hidden="1">"A34974"</definedName>
    <definedName name="FDD_58_91" hidden="1">"A34981"</definedName>
    <definedName name="FDD_58_92" hidden="1">"A34988"</definedName>
    <definedName name="FDD_58_93" hidden="1">"A34995"</definedName>
    <definedName name="FDD_58_94" hidden="1">"A35002"</definedName>
    <definedName name="FDD_58_95" hidden="1">"A35009"</definedName>
    <definedName name="FDD_58_96" hidden="1">"A35016"</definedName>
    <definedName name="FDD_58_97" hidden="1">"A35023"</definedName>
    <definedName name="FDD_58_98" hidden="1">"A35030"</definedName>
    <definedName name="FDD_58_99" hidden="1">"A35037"</definedName>
    <definedName name="FDD_59_0" hidden="1">"A30681"</definedName>
    <definedName name="FDD_59_1" hidden="1">"A31047"</definedName>
    <definedName name="FDD_59_10" hidden="1">"A34334"</definedName>
    <definedName name="FDD_59_100" hidden="1">"A35044"</definedName>
    <definedName name="FDD_59_101" hidden="1">"A35051"</definedName>
    <definedName name="FDD_59_102" hidden="1">"A35059"</definedName>
    <definedName name="FDD_59_103" hidden="1">"A35065"</definedName>
    <definedName name="FDD_59_104" hidden="1">"A35072"</definedName>
    <definedName name="FDD_59_105" hidden="1">"A35079"</definedName>
    <definedName name="FDD_59_106" hidden="1">"A35086"</definedName>
    <definedName name="FDD_59_107" hidden="1">"A35093"</definedName>
    <definedName name="FDD_59_108" hidden="1">"A35100"</definedName>
    <definedName name="FDD_59_109" hidden="1">"A35107"</definedName>
    <definedName name="FDD_59_11" hidden="1">"A34699"</definedName>
    <definedName name="FDD_59_110" hidden="1">"A35114"</definedName>
    <definedName name="FDD_59_111" hidden="1">"A35121"</definedName>
    <definedName name="FDD_59_112" hidden="1">"A35128"</definedName>
    <definedName name="FDD_59_113" hidden="1">"A35135"</definedName>
    <definedName name="FDD_59_114" hidden="1">"A35141"</definedName>
    <definedName name="FDD_59_115" hidden="1">"A35149"</definedName>
    <definedName name="FDD_59_116" hidden="1">"A35156"</definedName>
    <definedName name="FDD_59_117" hidden="1">"A35163"</definedName>
    <definedName name="FDD_59_118" hidden="1">"A35170"</definedName>
    <definedName name="FDD_59_119" hidden="1">"A35177"</definedName>
    <definedName name="FDD_59_12" hidden="1">"A35064"</definedName>
    <definedName name="FDD_59_120" hidden="1">"A35184"</definedName>
    <definedName name="FDD_59_121" hidden="1">"A35192"</definedName>
    <definedName name="FDD_59_122" hidden="1">"A35198"</definedName>
    <definedName name="FDD_59_123" hidden="1">"A35205"</definedName>
    <definedName name="FDD_59_124" hidden="1">"A35213"</definedName>
    <definedName name="FDD_59_125" hidden="1">"A35219"</definedName>
    <definedName name="FDD_59_126" hidden="1">"A35226"</definedName>
    <definedName name="FDD_59_127" hidden="1">"A35233"</definedName>
    <definedName name="FDD_59_128" hidden="1">"A35240"</definedName>
    <definedName name="FDD_59_129" hidden="1">"A35247"</definedName>
    <definedName name="FDD_59_13" hidden="1">"A35430"</definedName>
    <definedName name="FDD_59_130" hidden="1">"A35254"</definedName>
    <definedName name="FDD_59_131" hidden="1">"A35261"</definedName>
    <definedName name="FDD_59_132" hidden="1">"A35268"</definedName>
    <definedName name="FDD_59_133" hidden="1">"A35275"</definedName>
    <definedName name="FDD_59_134" hidden="1">"A35282"</definedName>
    <definedName name="FDD_59_135" hidden="1">"A35289"</definedName>
    <definedName name="FDD_59_136" hidden="1">"A35296"</definedName>
    <definedName name="FDD_59_137" hidden="1">"A35303"</definedName>
    <definedName name="FDD_59_138" hidden="1">"A35310"</definedName>
    <definedName name="FDD_59_139" hidden="1">"A35317"</definedName>
    <definedName name="FDD_59_14" hidden="1">"A35795"</definedName>
    <definedName name="FDD_59_140" hidden="1">"A35324"</definedName>
    <definedName name="FDD_59_141" hidden="1">"A35331"</definedName>
    <definedName name="FDD_59_142" hidden="1">"A35338"</definedName>
    <definedName name="FDD_59_143" hidden="1">"A35345"</definedName>
    <definedName name="FDD_59_144" hidden="1">"A35352"</definedName>
    <definedName name="FDD_59_145" hidden="1">"A35359"</definedName>
    <definedName name="FDD_59_146" hidden="1">"A35366"</definedName>
    <definedName name="FDD_59_147" hidden="1">"A35373"</definedName>
    <definedName name="FDD_59_148" hidden="1">"A35380"</definedName>
    <definedName name="FDD_59_149" hidden="1">"A35387"</definedName>
    <definedName name="FDD_59_15" hidden="1">"A34449"</definedName>
    <definedName name="FDD_59_150" hidden="1">"A35394"</definedName>
    <definedName name="FDD_59_151" hidden="1">"A35401"</definedName>
    <definedName name="FDD_59_152" hidden="1">"A35408"</definedName>
    <definedName name="FDD_59_153" hidden="1">"A35415"</definedName>
    <definedName name="FDD_59_154" hidden="1">"A35422"</definedName>
    <definedName name="FDD_59_155" hidden="1">"A35429"</definedName>
    <definedName name="FDD_59_156" hidden="1">"A35436"</definedName>
    <definedName name="FDD_59_157" hidden="1">"A35443"</definedName>
    <definedName name="FDD_59_158" hidden="1">"A35450"</definedName>
    <definedName name="FDD_59_159" hidden="1">"A35457"</definedName>
    <definedName name="FDD_59_16" hidden="1">"A34457"</definedName>
    <definedName name="FDD_59_160" hidden="1">"A35464"</definedName>
    <definedName name="FDD_59_161" hidden="1">"A35471"</definedName>
    <definedName name="FDD_59_162" hidden="1">"A35478"</definedName>
    <definedName name="FDD_59_163" hidden="1">"A35485"</definedName>
    <definedName name="FDD_59_164" hidden="1">"A35492"</definedName>
    <definedName name="FDD_59_165" hidden="1">"A35499"</definedName>
    <definedName name="FDD_59_166" hidden="1">"A35506"</definedName>
    <definedName name="FDD_59_167" hidden="1">"A35513"</definedName>
    <definedName name="FDD_59_168" hidden="1">"A35521"</definedName>
    <definedName name="FDD_59_169" hidden="1">"A35527"</definedName>
    <definedName name="FDD_59_17" hidden="1">"A34463"</definedName>
    <definedName name="FDD_59_170" hidden="1">"A35534"</definedName>
    <definedName name="FDD_59_171" hidden="1">"A35541"</definedName>
    <definedName name="FDD_59_172" hidden="1">"A35548"</definedName>
    <definedName name="FDD_59_173" hidden="1">"A35556"</definedName>
    <definedName name="FDD_59_174" hidden="1">"A35562"</definedName>
    <definedName name="FDD_59_175" hidden="1">"A35569"</definedName>
    <definedName name="FDD_59_176" hidden="1">"A35577"</definedName>
    <definedName name="FDD_59_177" hidden="1">"A35583"</definedName>
    <definedName name="FDD_59_178" hidden="1">"A35590"</definedName>
    <definedName name="FDD_59_179" hidden="1">"A35597"</definedName>
    <definedName name="FDD_59_18" hidden="1">"A34470"</definedName>
    <definedName name="FDD_59_180" hidden="1">"A35604"</definedName>
    <definedName name="FDD_59_181" hidden="1">"A35611"</definedName>
    <definedName name="FDD_59_182" hidden="1">"A35618"</definedName>
    <definedName name="FDD_59_183" hidden="1">"A35625"</definedName>
    <definedName name="FDD_59_184" hidden="1">"A35632"</definedName>
    <definedName name="FDD_59_185" hidden="1">"A35639"</definedName>
    <definedName name="FDD_59_186" hidden="1">"A35646"</definedName>
    <definedName name="FDD_59_187" hidden="1">"A35653"</definedName>
    <definedName name="FDD_59_188" hidden="1">"A35660"</definedName>
    <definedName name="FDD_59_189" hidden="1">"A35668"</definedName>
    <definedName name="FDD_59_19" hidden="1">"A34477"</definedName>
    <definedName name="FDD_59_190" hidden="1">"A35674"</definedName>
    <definedName name="FDD_59_191" hidden="1">"A35681"</definedName>
    <definedName name="FDD_59_192" hidden="1">"A35688"</definedName>
    <definedName name="FDD_59_193" hidden="1">"A35695"</definedName>
    <definedName name="FDD_59_194" hidden="1">"A35702"</definedName>
    <definedName name="FDD_59_195" hidden="1">"A35709"</definedName>
    <definedName name="FDD_59_196" hidden="1">"A35716"</definedName>
    <definedName name="FDD_59_197" hidden="1">"A35723"</definedName>
    <definedName name="FDD_59_198" hidden="1">"A35730"</definedName>
    <definedName name="FDD_59_199" hidden="1">"A35737"</definedName>
    <definedName name="FDD_59_2" hidden="1">"A31412"</definedName>
    <definedName name="FDD_59_20" hidden="1">"A34485"</definedName>
    <definedName name="FDD_59_200" hidden="1">"A35744"</definedName>
    <definedName name="FDD_59_201" hidden="1">"A35751"</definedName>
    <definedName name="FDD_59_202" hidden="1">"A35758"</definedName>
    <definedName name="FDD_59_203" hidden="1">"A35765"</definedName>
    <definedName name="FDD_59_204" hidden="1">"A35772"</definedName>
    <definedName name="FDD_59_205" hidden="1">"A35779"</definedName>
    <definedName name="FDD_59_206" hidden="1">"A35786"</definedName>
    <definedName name="FDD_59_207" hidden="1">"A35793"</definedName>
    <definedName name="FDD_59_208" hidden="1">"A35800"</definedName>
    <definedName name="FDD_59_209" hidden="1">"A35807"</definedName>
    <definedName name="FDD_59_21" hidden="1">"A34491"</definedName>
    <definedName name="FDD_59_210" hidden="1">"A35814"</definedName>
    <definedName name="FDD_59_211" hidden="1">"A35821"</definedName>
    <definedName name="FDD_59_212" hidden="1">"A35828"</definedName>
    <definedName name="FDD_59_213" hidden="1">"A35835"</definedName>
    <definedName name="FDD_59_214" hidden="1">"A35842"</definedName>
    <definedName name="FDD_59_215" hidden="1">"A35849"</definedName>
    <definedName name="FDD_59_216" hidden="1">"A35856"</definedName>
    <definedName name="FDD_59_217" hidden="1">"A35863"</definedName>
    <definedName name="FDD_59_218" hidden="1">"A35870"</definedName>
    <definedName name="FDD_59_219" hidden="1">"A35877"</definedName>
    <definedName name="FDD_59_22" hidden="1">"A34498"</definedName>
    <definedName name="FDD_59_220" hidden="1">"A35884"</definedName>
    <definedName name="FDD_59_221" hidden="1">"A35891"</definedName>
    <definedName name="FDD_59_222" hidden="1">"A35899"</definedName>
    <definedName name="FDD_59_223" hidden="1">"A35905"</definedName>
    <definedName name="FDD_59_224" hidden="1">"A35912"</definedName>
    <definedName name="FDD_59_225" hidden="1">"A35919"</definedName>
    <definedName name="FDD_59_226" hidden="1">"A35926"</definedName>
    <definedName name="FDD_59_227" hidden="1">"A35933"</definedName>
    <definedName name="FDD_59_228" hidden="1">"A35941"</definedName>
    <definedName name="FDD_59_229" hidden="1">"A35947"</definedName>
    <definedName name="FDD_59_23" hidden="1">"A34505"</definedName>
    <definedName name="FDD_59_230" hidden="1">"A35954"</definedName>
    <definedName name="FDD_59_231" hidden="1">"A35961"</definedName>
    <definedName name="FDD_59_232" hidden="1">"A35968"</definedName>
    <definedName name="FDD_59_233" hidden="1">"A35975"</definedName>
    <definedName name="FDD_59_234" hidden="1">"A35982"</definedName>
    <definedName name="FDD_59_235" hidden="1">"A35989"</definedName>
    <definedName name="FDD_59_236" hidden="1">"A35996"</definedName>
    <definedName name="FDD_59_237" hidden="1">"A36003"</definedName>
    <definedName name="FDD_59_238" hidden="1">"A36010"</definedName>
    <definedName name="FDD_59_239" hidden="1">"A36017"</definedName>
    <definedName name="FDD_59_24" hidden="1">"A34512"</definedName>
    <definedName name="FDD_59_240" hidden="1">"A36024"</definedName>
    <definedName name="FDD_59_241" hidden="1">"A36031"</definedName>
    <definedName name="FDD_59_242" hidden="1">"A36039"</definedName>
    <definedName name="FDD_59_243" hidden="1">"A36045"</definedName>
    <definedName name="FDD_59_244" hidden="1">"A36052"</definedName>
    <definedName name="FDD_59_245" hidden="1">"A36059"</definedName>
    <definedName name="FDD_59_246" hidden="1">"A36066"</definedName>
    <definedName name="FDD_59_247" hidden="1">"A36073"</definedName>
    <definedName name="FDD_59_248" hidden="1">"A36080"</definedName>
    <definedName name="FDD_59_249" hidden="1">"A36087"</definedName>
    <definedName name="FDD_59_25" hidden="1">"A34519"</definedName>
    <definedName name="FDD_59_250" hidden="1">"A36094"</definedName>
    <definedName name="FDD_59_251" hidden="1">"A36101"</definedName>
    <definedName name="FDD_59_252" hidden="1">"A36108"</definedName>
    <definedName name="FDD_59_253" hidden="1">"A36116"</definedName>
    <definedName name="FDD_59_254" hidden="1">"A36122"</definedName>
    <definedName name="FDD_59_255" hidden="1">"A36129"</definedName>
    <definedName name="FDD_59_256" hidden="1">"A36136"</definedName>
    <definedName name="FDD_59_257" hidden="1">"A36143"</definedName>
    <definedName name="FDD_59_258" hidden="1">"A36150"</definedName>
    <definedName name="FDD_59_259" hidden="1">"A36157"</definedName>
    <definedName name="FDD_59_26" hidden="1">"A34526"</definedName>
    <definedName name="FDD_59_260" hidden="1">"A36164"</definedName>
    <definedName name="FDD_59_27" hidden="1">"A34533"</definedName>
    <definedName name="FDD_59_28" hidden="1">"A34540"</definedName>
    <definedName name="FDD_59_29" hidden="1">"A34547"</definedName>
    <definedName name="FDD_59_3" hidden="1">"A31777"</definedName>
    <definedName name="FDD_59_30" hidden="1">"A34554"</definedName>
    <definedName name="FDD_59_31" hidden="1">"A34561"</definedName>
    <definedName name="FDD_59_32" hidden="1">"A34568"</definedName>
    <definedName name="FDD_59_33" hidden="1">"A34576"</definedName>
    <definedName name="FDD_59_34" hidden="1">"A34582"</definedName>
    <definedName name="FDD_59_35" hidden="1">"A34589"</definedName>
    <definedName name="FDD_59_36" hidden="1">"A34596"</definedName>
    <definedName name="FDD_59_37" hidden="1">"A34603"</definedName>
    <definedName name="FDD_59_38" hidden="1">"A34610"</definedName>
    <definedName name="FDD_59_39" hidden="1">"A34617"</definedName>
    <definedName name="FDD_59_4" hidden="1">"A32142"</definedName>
    <definedName name="FDD_59_40" hidden="1">"A34624"</definedName>
    <definedName name="FDD_59_41" hidden="1">"A34631"</definedName>
    <definedName name="FDD_59_42" hidden="1">"A34638"</definedName>
    <definedName name="FDD_59_43" hidden="1">"A34645"</definedName>
    <definedName name="FDD_59_44" hidden="1">"A34652"</definedName>
    <definedName name="FDD_59_45" hidden="1">"A34659"</definedName>
    <definedName name="FDD_59_46" hidden="1">"A34666"</definedName>
    <definedName name="FDD_59_47" hidden="1">"A34673"</definedName>
    <definedName name="FDD_59_48" hidden="1">"A34680"</definedName>
    <definedName name="FDD_59_49" hidden="1">"A34687"</definedName>
    <definedName name="FDD_59_5" hidden="1">"A32508"</definedName>
    <definedName name="FDD_59_50" hidden="1">"A34696"</definedName>
    <definedName name="FDD_59_51" hidden="1">"A34702"</definedName>
    <definedName name="FDD_59_52" hidden="1">"A34708"</definedName>
    <definedName name="FDD_59_53" hidden="1">"A34715"</definedName>
    <definedName name="FDD_59_54" hidden="1">"A34722"</definedName>
    <definedName name="FDD_59_55" hidden="1">"A34729"</definedName>
    <definedName name="FDD_59_56" hidden="1">"A34736"</definedName>
    <definedName name="FDD_59_57" hidden="1">"A34743"</definedName>
    <definedName name="FDD_59_58" hidden="1">"A34750"</definedName>
    <definedName name="FDD_59_59" hidden="1">"A34757"</definedName>
    <definedName name="FDD_59_6" hidden="1">"A32873"</definedName>
    <definedName name="FDD_59_60" hidden="1">"A34764"</definedName>
    <definedName name="FDD_59_61" hidden="1">"A34771"</definedName>
    <definedName name="FDD_59_62" hidden="1">"A34778"</definedName>
    <definedName name="FDD_59_63" hidden="1">"A34785"</definedName>
    <definedName name="FDD_59_64" hidden="1">"A34792"</definedName>
    <definedName name="FDD_59_65" hidden="1">"A34799"</definedName>
    <definedName name="FDD_59_66" hidden="1">"A34807"</definedName>
    <definedName name="FDD_59_67" hidden="1">"A34813"</definedName>
    <definedName name="FDD_59_68" hidden="1">"A34820"</definedName>
    <definedName name="FDD_59_69" hidden="1">"A34828"</definedName>
    <definedName name="FDD_59_7" hidden="1">"A33238"</definedName>
    <definedName name="FDD_59_70" hidden="1">"A34834"</definedName>
    <definedName name="FDD_59_71" hidden="1">"A34841"</definedName>
    <definedName name="FDD_59_72" hidden="1">"A34848"</definedName>
    <definedName name="FDD_59_73" hidden="1">"A34855"</definedName>
    <definedName name="FDD_59_74" hidden="1">"A34862"</definedName>
    <definedName name="FDD_59_75" hidden="1">"A34870"</definedName>
    <definedName name="FDD_59_76" hidden="1">"A34876"</definedName>
    <definedName name="FDD_59_77" hidden="1">"A34883"</definedName>
    <definedName name="FDD_59_78" hidden="1">"A34891"</definedName>
    <definedName name="FDD_59_79" hidden="1">"A34897"</definedName>
    <definedName name="FDD_59_8" hidden="1">"A33603"</definedName>
    <definedName name="FDD_59_80" hidden="1">"A34904"</definedName>
    <definedName name="FDD_59_81" hidden="1">"A34911"</definedName>
    <definedName name="FDD_59_82" hidden="1">"A34918"</definedName>
    <definedName name="FDD_59_83" hidden="1">"A34925"</definedName>
    <definedName name="FDD_59_84" hidden="1">"A34932"</definedName>
    <definedName name="FDD_59_85" hidden="1">"A34940"</definedName>
    <definedName name="FDD_59_86" hidden="1">"A34946"</definedName>
    <definedName name="FDD_59_87" hidden="1">"A34953"</definedName>
    <definedName name="FDD_59_88" hidden="1">"A34960"</definedName>
    <definedName name="FDD_59_89" hidden="1">"A34967"</definedName>
    <definedName name="FDD_59_9" hidden="1">"A33969"</definedName>
    <definedName name="FDD_59_90" hidden="1">"A34974"</definedName>
    <definedName name="FDD_59_91" hidden="1">"A34981"</definedName>
    <definedName name="FDD_59_92" hidden="1">"A34988"</definedName>
    <definedName name="FDD_59_93" hidden="1">"A34995"</definedName>
    <definedName name="FDD_59_94" hidden="1">"A35002"</definedName>
    <definedName name="FDD_59_95" hidden="1">"A35009"</definedName>
    <definedName name="FDD_59_96" hidden="1">"A35016"</definedName>
    <definedName name="FDD_59_97" hidden="1">"A35023"</definedName>
    <definedName name="FDD_59_98" hidden="1">"A35030"</definedName>
    <definedName name="FDD_59_99" hidden="1">"A35037"</definedName>
    <definedName name="FDD_6_0" hidden="1">"A25569"</definedName>
    <definedName name="FDD_6_1" hidden="1">"A35795"</definedName>
    <definedName name="FDD_6_2" hidden="1">"E36160"</definedName>
    <definedName name="FDD_6_3" hidden="1">"E36525"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_1" hidden="1">"E35795"</definedName>
    <definedName name="FDD_7_2" hidden="1">"E36160"</definedName>
    <definedName name="FDD_7_3" hidden="1">"E36525"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_1" hidden="1">"E35795"</definedName>
    <definedName name="FDD_8_2" hidden="1">"E36160"</definedName>
    <definedName name="FDD_8_3" hidden="1">"E36525"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_1" hidden="1">"E35795"</definedName>
    <definedName name="FDD_9_2" hidden="1">"E36160"</definedName>
    <definedName name="FDD_9_3" hidden="1">"E36525"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dd" hidden="1">{#N/A,#N/A,FALSE,"Chart 2 by Prop Type"}</definedName>
    <definedName name="fdebt">#REF!</definedName>
    <definedName name="fDebtassum">#REF!</definedName>
    <definedName name="fdf" hidden="1">{"incomemth",#N/A,TRUE,"forecast00";"incomepercentmth",#N/A,TRUE,"forecast00";"balancemth",#N/A,TRUE,"forecast00";"cashmth",#N/A,TRUE,"forecast00";"covenantmth",#N/A,TRUE,"forecast00"}</definedName>
    <definedName name="fdfdfd" hidden="1">{#N/A,#N/A,FALSE,"CAPREIT"}</definedName>
    <definedName name="fdfdfdf" hidden="1">{#N/A,#N/A,FALSE,"CAPREIT"}</definedName>
    <definedName name="fdfghdf" hidden="1">{"inputs raw data",#N/A,TRUE,"INPUT"}</definedName>
    <definedName name="fdg" hidden="1">{"incomemth",#N/A,TRUE,"forecast00";"incomepercentmth",#N/A,TRUE,"forecast00";"balancemth",#N/A,TRUE,"forecast00";"cashmth",#N/A,TRUE,"forecast00";"covenantmth",#N/A,TRUE,"forecast00"}</definedName>
    <definedName name="fdgad" hidden="1">{"inputs raw data",#N/A,TRUE,"INPUT"}</definedName>
    <definedName name="fdgfdg" hidden="1">{"FCB_ALL",#N/A,FALSE,"FCB";"GREY_ALL",#N/A,FALSE,"GREY"}</definedName>
    <definedName name="fdgfdgfdg" hidden="1">{#N/A,#N/A,FALSE,"Title Page - Mgmt";#N/A,#N/A,FALSE,"Index - Mgmt";#N/A,#N/A,FALSE,"Stmt of Income";#N/A,#N/A,FALSE,"Balance Sheet";#N/A,#N/A,FALSE,"Stmt of Retained Earnings";#N/A,#N/A,FALSE,"Total Cash Flow";#N/A,#N/A,FALSE,"S.C.F.P.";#N/A,#N/A,FALSE,"Budget to Actual";#N/A,#N/A,FALSE,"Appraisal surplus";#N/A,#N/A,FALSE,"FMV";#N/A,#N/A,FALSE,"Ratios";#N/A,#N/A,FALSE,"Properties";#N/A,#N/A,FALSE,"Secured Debt";#N/A,#N/A,FALSE,"Bank Operating Lines";#N/A,#N/A,FALSE,"Share Capital";#N/A,#N/A,FALSE,"Rental Operating Results";#N/A,#N/A,FALSE,"G. &amp;  A.";#N/A,#N/A,FALSE,"Property Sales";#N/A,#N/A,FALSE,"Accounts receivable ";#N/A,#N/A,FALSE,"Accounts payable";#N/A,#N/A,FALSE,"Budget Analysis";#N/A,#N/A,FALSE,"Mezzanine"}</definedName>
    <definedName name="fdgfdsfdre" hidden="1">#REF!</definedName>
    <definedName name="fDispositions">#REF!</definedName>
    <definedName name="fDMRev">#REF!</definedName>
    <definedName name="fds" hidden="1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fdsafdfsa" hidden="1">{#N/A,#N/A,TRUE,"10 Yr Hold";#N/A,#N/A,TRUE,"7 Yr Hold";#N/A,#N/A,TRUE,"5 Yr Hold";#N/A,#N/A,TRUE,"3 Yr Hold"}</definedName>
    <definedName name="fdsafdsagsadgsa" hidden="1">{#N/A,#N/A,TRUE,"10 Yr Hold";#N/A,#N/A,TRUE,"7 Yr Hold";#N/A,#N/A,TRUE,"5 Yr Hold";#N/A,#N/A,TRUE,"3 Yr Hold"}</definedName>
    <definedName name="fdsafsad" hidden="1">{#N/A,#N/A,TRUE,"10 Yr Hold";#N/A,#N/A,TRUE,"7 Yr Hold";#N/A,#N/A,TRUE,"5 Yr Hold";#N/A,#N/A,TRUE,"3 Yr Hold"}</definedName>
    <definedName name="fdsag" hidden="1">{"FCB_ALL",#N/A,FALSE,"FCB"}</definedName>
    <definedName name="fdsakfjds" hidden="1">{"FCB_ALL",#N/A,FALSE,"FCB";"GREY_ALL",#N/A,FALSE,"GREY"}</definedName>
    <definedName name="fdsfsd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f" hidden="1">"3AZ7TPCT6F7CLWHBG4RBGUQ78"</definedName>
    <definedName name="fdsg" hidden="1">{"incomemth",#N/A,TRUE,"forecast00";"incomepercentmth",#N/A,TRUE,"forecast00";"balancemth",#N/A,TRUE,"forecast00";"cashmth",#N/A,TRUE,"forecast00";"covenantmth",#N/A,TRUE,"forecast00"}</definedName>
    <definedName name="fdsg1" hidden="1">{"incomemth",#N/A,TRUE,"forecast00";"incomepercentmth",#N/A,TRUE,"forecast00";"balancemth",#N/A,TRUE,"forecast00";"cashmth",#N/A,TRUE,"forecast00";"covenantmth",#N/A,TRUE,"forecast00"}</definedName>
    <definedName name="fdssfdhfdh" hidden="1">#REF!</definedName>
    <definedName name="Febr.">#REF!</definedName>
    <definedName name="FEET">#REF!</definedName>
    <definedName name="fefs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f" hidden="1">{#N/A,#N/A,TRUE,"Summary";"AnnualRentRoll",#N/A,TRUE,"RentRoll";#N/A,#N/A,TRUE,"ExitStratigy";#N/A,#N/A,TRUE,"OperatingAssumptions"}</definedName>
    <definedName name="ffe">#REF!</definedName>
    <definedName name="fferw" hidden="1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fff" hidden="1">{#N/A,#N/A,TRUE,"Summary";"AnnualRentRoll",#N/A,TRUE,"RentRoll";#N/A,#N/A,TRUE,"ExitStratigy";#N/A,#N/A,TRUE,"OperatingAssumptions"}</definedName>
    <definedName name="ffff" hidden="1">#REF!</definedName>
    <definedName name="ffffff" hidden="1">#REF!</definedName>
    <definedName name="ffffff.2" hidden="1">{#N/A,#N/A,FALSE,"Cashflow Analysis";#N/A,#N/A,FALSE,"Sensitivity Analysis";#N/A,#N/A,FALSE,"PV";#N/A,#N/A,FALSE,"Pro Forma"}</definedName>
    <definedName name="fffffff" hidden="1">{#N/A,#N/A,FALSE,"Title Page - Mgmt";#N/A,#N/A,FALSE,"Index - Mgmt";#N/A,#N/A,FALSE,"Stmt of Income";#N/A,#N/A,FALSE,"Balance Sheet";#N/A,#N/A,FALSE,"Stmt of Retained Earnings";#N/A,#N/A,FALSE,"Total Cash Flow";#N/A,#N/A,FALSE,"S.C.F.P.";#N/A,#N/A,FALSE,"Budget to Actual";#N/A,#N/A,FALSE,"Appraisal surplus";#N/A,#N/A,FALSE,"FMV";#N/A,#N/A,FALSE,"Ratios";#N/A,#N/A,FALSE,"Properties";#N/A,#N/A,FALSE,"Secured Debt";#N/A,#N/A,FALSE,"Bank Operating Lines";#N/A,#N/A,FALSE,"Share Capital";#N/A,#N/A,FALSE,"Rental Operating Results";#N/A,#N/A,FALSE,"G. &amp;  A.";#N/A,#N/A,FALSE,"Property Sales";#N/A,#N/A,FALSE,"Accounts receivable ";#N/A,#N/A,FALSE,"Accounts payable";#N/A,#N/A,FALSE,"Budget Analysis";#N/A,#N/A,FALSE,"Mezzanine"}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fl" hidden="1">#REF!</definedName>
    <definedName name="fFMV">#REF!</definedName>
    <definedName name="ffoaccretionanalysis100debt">#REF!</definedName>
    <definedName name="ffoaccretionanalysisdebtandequity">#REF!</definedName>
    <definedName name="ffoaccretionanalysisdevelopandsell">#REF!</definedName>
    <definedName name="ffvdfd" hidden="1">{#N/A,#N/A,FALSE,"Class A";#N/A,#N/A,FALSE,"Class B";#N/A,#N/A,FALSE,"Class C"}</definedName>
    <definedName name="fg" hidden="1">{"schedule1",#N/A,FALSE,"Sheet1";"schedule2",#N/A,FALSE,"Sheet1";"schedule3",#N/A,FALSE,"Sheet1";"schedule4",#N/A,FALSE,"Sheet1";"schedule5",#N/A,FALSE,"Sheet1";"schedule6",#N/A,FALSE,"Sheet1"}</definedName>
    <definedName name="FGAexp">#REF!</definedName>
    <definedName name="fgbdzf" hidden="1">{#N/A,#N/A,FALSE,"Cashflow Analysis";#N/A,#N/A,FALSE,"Sensitivity Analysis";#N/A,#N/A,FALSE,"PV";#N/A,#N/A,FALSE,"Pro Forma"}</definedName>
    <definedName name="fgdfs" hidden="1">{"FORMULAS",#N/A,FALSE,"ESTIMATE"}</definedName>
    <definedName name="fgfdg" hidden="1">{"FCB_ALL",#N/A,FALSE,"FCB";"GREY_ALL",#N/A,FALSE,"GREY"}</definedName>
    <definedName name="fgh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" hidden="1">#REF!</definedName>
    <definedName name="FileChart" hidden="1">#REF!</definedName>
    <definedName name="Fill" hidden="1">#REF!</definedName>
    <definedName name="FILL2" hidden="1">#REF!</definedName>
    <definedName name="filler" hidden="1">{"Annual Cash Flows",#N/A,FALSE,"Annual Summary"}</definedName>
    <definedName name="filler2" hidden="1">{"Assumptions",#N/A,FALSE,"Assumptions"}</definedName>
    <definedName name="filler3" hidden="1">{"Construction Costs",#N/A,FALSE,"Total Costs"}</definedName>
    <definedName name="final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al3" hidden="1">{"Construction_Short",#N/A,FALSE,"Construction"}</definedName>
    <definedName name="fine" hidden="1">{"CHART",#N/A,FALSE,"Arch Communications"}</definedName>
    <definedName name="finres" hidden="1">#REF!</definedName>
    <definedName name="FIRR">#REF!</definedName>
    <definedName name="First_payment_due">#REF!</definedName>
    <definedName name="FIRSTLIEN">#REF!</definedName>
    <definedName name="FirstLoanSchedule">#REF!</definedName>
    <definedName name="fixed_assets" hidden="1">{"Detailed",#N/A,FALSE,"Schedule4"}</definedName>
    <definedName name="fjl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ksajf" hidden="1">{#N/A,#N/A,FALSE,"SCHEDULE A";"MINIMUM RENT",#N/A,FALSE,"SCHEDULES B &amp; C";"PERCENTAGE RENT",#N/A,FALSE,"SCHEDULES B &amp; C"}</definedName>
    <definedName name="fl" hidden="1">#REF!</definedName>
    <definedName name="flandacq">#REF!</definedName>
    <definedName name="flandsale">#REF!</definedName>
    <definedName name="fldfjlsd" hidden="1">#REF!</definedName>
    <definedName name="fll" hidden="1">#REF!</definedName>
    <definedName name="flll" hidden="1">#REF!</definedName>
    <definedName name="Flx_Flor" hidden="1">#REF!</definedName>
    <definedName name="Flx_Trad" hidden="1">#REF!</definedName>
    <definedName name="fm" hidden="1">{"summary1",#N/A,TRUE,"Comps";"summary2",#N/A,TRUE,"Comps";"summary3",#N/A,TRUE,"Comps"}</definedName>
    <definedName name="fnex" hidden="1">#REF!</definedName>
    <definedName name="fopporpnew">#REF!</definedName>
    <definedName name="fOpprop">#REF!</definedName>
    <definedName name="FORECAST">#REF!</definedName>
    <definedName name="FP">FIND("|", [0]!cc)</definedName>
    <definedName name="fr" hidden="1">{"print STAY opening assumptions",#N/A,FALSE,"STAY Openings";"print STAY openings",#N/A,FALSE,"STAY Openings"}</definedName>
    <definedName name="FranFeeFandB">#REF!</definedName>
    <definedName name="FranFeeRoomRev">#REF!</definedName>
    <definedName name="FRED" hidden="1">{#N/A,#N/A,FALSE,"Summary";#N/A,#N/A,FALSE,"Sales";#N/A,#N/A,FALSE,"Costs";#N/A,#N/A,FALSE,"1996";#N/A,#N/A,FALSE,"1997";#N/A,#N/A,FALSE,"1998";#N/A,#N/A,FALSE,"1999";#N/A,#N/A,FALSE,"2000";#N/A,#N/A,FALSE,"2001";#N/A,#N/A,FALSE,"2002";#N/A,#N/A,FALSE,"2003";#N/A,#N/A,FALSE,"2004";#N/A,#N/A,FALSE,"2005";#N/A,#N/A,FALSE,"2006"}</definedName>
    <definedName name="FreeRent">#REF!</definedName>
    <definedName name="Frnt_Amort1">#REF!</definedName>
    <definedName name="Frnt_Amort2">#REF!</definedName>
    <definedName name="frtyu" hidden="1">{#N/A,#N/A,FALSE,"Chart 2 by Prop Type"}</definedName>
    <definedName name="fsddsfds" hidden="1">{#N/A,#N/A,FALSE,"Class A";#N/A,#N/A,FALSE,"Class B";#N/A,#N/A,FALSE,"Class C"}</definedName>
    <definedName name="fsdfd">#REF!</definedName>
    <definedName name="FSDFSDF" hidden="1">#REF!</definedName>
    <definedName name="fsdsfafd" hidden="1">{"CSheet",#N/A,FALSE,"C";"SmCap",#N/A,FALSE,"VAL1";"GulfCoast",#N/A,FALSE,"VAL1";"nav",#N/A,FALSE,"NAV";"Summary",#N/A,FALSE,"NAV"}</definedName>
    <definedName name="fsgdr" hidden="1">{"FCB_ALL",#N/A,FALSE,"FCB"}</definedName>
    <definedName name="fsr" hidden="1">{"FCB_ALL",#N/A,FALSE,"FCB"}</definedName>
    <definedName name="fstabilisations">#REF!</definedName>
    <definedName name="fstarts">#REF!</definedName>
    <definedName name="fsv" hidden="1">{"FCB_ALL",#N/A,FALSE,"FCB";"GREY_ALL",#N/A,FALSE,"GREY"}</definedName>
    <definedName name="ftgygy" hidden="1">{#N/A,#N/A,FALSE,"LP Exp";#N/A,#N/A,FALSE,"Salary";#N/A,#N/A,FALSE,"Admin Exp";#N/A,#N/A,FALSE,"QTS Bud";#N/A,#N/A,FALSE,"Marketing"}</definedName>
    <definedName name="ftyf" hidden="1">{"FCB_ALL",#N/A,FALSE,"FCB";"GREY_ALL",#N/A,FALSE,"GREY"}</definedName>
    <definedName name="fu" hidden="1">{0,0,0,0}</definedName>
    <definedName name="fuck" hidden="1">{"Financials",#N/A,FALSE,"Financials";"AVP",#N/A,FALSE,"AVP";"DCF",#N/A,FALSE,"DCF";"CSC",#N/A,FALSE,"CSC";"Deal_Comp",#N/A,FALSE,"DealComp"}</definedName>
    <definedName name="fuckface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fuk" hidden="1">{"1999",#N/A,FALSE,"1999"}</definedName>
    <definedName name="Full_Print">#REF!</definedName>
    <definedName name="Future_Funding">#REF!</definedName>
    <definedName name="FVLN">#REF!</definedName>
    <definedName name="FX_China">#REF!</definedName>
    <definedName name="FX_Euro">#REF!</definedName>
    <definedName name="FX_India">#REF!</definedName>
    <definedName name="FX_Mex">#REF!</definedName>
    <definedName name="FX_Mexico">#REF!</definedName>
    <definedName name="FX_MXN">#REF!</definedName>
    <definedName name="FX_Poland">#REF!</definedName>
    <definedName name="FX_Pound">#REF!</definedName>
    <definedName name="FX_USD">#REF!</definedName>
    <definedName name="FXChina">#REF!</definedName>
    <definedName name="fzgsdrygh" hidden="1">#REF!</definedName>
    <definedName name="g" hidden="1">{#N/A,#N/A,FALSE,"Chart 2 by Prop Type"}</definedName>
    <definedName name="g_1" hidden="1">{"Cover",#N/A,TRUE,"Sheet1";"Value",#N/A,TRUE,"Sheet1";"Sensitivity",#N/A,TRUE,"Sheet1";"Asset CF",#N/A,TRUE,"Sheet1";"Pship NCF",#N/A,TRUE,"Sheet1";"Pship Equity Value",#N/A,TRUE,"Sheet1";"Pship Distributions",#N/A,TRUE,"Sheet1";"JV Splits 1",#N/A,TRUE,"Sheet1";"JV Splits 2",#N/A,TRUE,"Sheet1";"MIR Split 1",#N/A,TRUE,"Sheet1";"Assumptions",#N/A,TRUE,"Sheet1"}</definedName>
    <definedName name="g_2" hidden="1">{"Cover",#N/A,TRUE,"Sheet1";"Value",#N/A,TRUE,"Sheet1";"Sensitivity",#N/A,TRUE,"Sheet1";"Asset CF",#N/A,TRUE,"Sheet1";"Pship NCF",#N/A,TRUE,"Sheet1";"Pship Equity Value",#N/A,TRUE,"Sheet1";"Pship Distributions",#N/A,TRUE,"Sheet1";"JV Splits 1",#N/A,TRUE,"Sheet1";"JV Splits 2",#N/A,TRUE,"Sheet1";"MIR Split 1",#N/A,TRUE,"Sheet1";"Assumptions",#N/A,TRUE,"Sheet1"}</definedName>
    <definedName name="g_3" hidden="1">{"Cover",#N/A,TRUE,"Sheet1";"Value",#N/A,TRUE,"Sheet1";"Sensitivity",#N/A,TRUE,"Sheet1";"Asset CF",#N/A,TRUE,"Sheet1";"Pship NCF",#N/A,TRUE,"Sheet1";"Pship Equity Value",#N/A,TRUE,"Sheet1";"Pship Distributions",#N/A,TRUE,"Sheet1";"JV Splits 1",#N/A,TRUE,"Sheet1";"JV Splits 2",#N/A,TRUE,"Sheet1";"MIR Split 1",#N/A,TRUE,"Sheet1";"Assumptions",#N/A,TRUE,"Sheet1"}</definedName>
    <definedName name="G_e_s_a_m_t">#REF!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laxy">#REF!</definedName>
    <definedName name="garage" hidden="1">{#N/A,#N/A,FALSE,"Garage Assumpt 1";#N/A,#N/A,FALSE,"Garage Op Proj";#N/A,#N/A,FALSE,"Hist I&amp;E";#N/A,#N/A,FALSE,"Garage Lease"}</definedName>
    <definedName name="gary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sco">#REF!</definedName>
    <definedName name="gawea" hidden="1">{"FCB_ALL",#N/A,FALSE,"FCB"}</definedName>
    <definedName name="gawen" hidden="1">{"FCB_ALL",#N/A,FALSE,"FCB"}</definedName>
    <definedName name="GC">#REF!</definedName>
    <definedName name="gcgc" hidden="1">{"Annual",#N/A,FALSE,"Sales &amp; Market";"Quarterly",#N/A,FALSE,"Sales &amp; Market"}</definedName>
    <definedName name="gcgc1" hidden="1">{"Annual",#N/A,FALSE,"Sales &amp; Market";"Quarterly",#N/A,FALSE,"Sales &amp; Market"}</definedName>
    <definedName name="gcjki" hidden="1">{#N/A,#N/A,TRUE,"Krycí list"}</definedName>
    <definedName name="gcjkii" hidden="1">{#N/A,#N/A,TRUE,"Krycí list"}</definedName>
    <definedName name="GCPS">#REF!</definedName>
    <definedName name="GCT">#REF!</definedName>
    <definedName name="gdfga" hidden="1">#REF!</definedName>
    <definedName name="gdxgxdz" hidden="1">{"View1",#N/A,FALSE,"Golf";"View2",#N/A,FALSE,"Golf";"View3",#N/A,FALSE,"Golf";"View4",#N/A,FALSE,"Golf";"View5",#N/A,FALSE,"Golf";"View6",#N/A,FALSE,"Golf";"View7",#N/A,FALSE,"Golf";"View8",#N/A,FALSE,"Golf";"View9",#N/A,FALSE,"Golf";"View10",#N/A,FALSE,"Golf";"View11",#N/A,FALSE,"Golf";"View12",#N/A,FALSE,"Golf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eograph_Pie_X_Labels" hidden="1">OFFSET(#REF!,0,0,COUNTA(#REF!)-1,1)</definedName>
    <definedName name="Geography_Pie_Data" hidden="1">OFFSET(#REF!,0,0,COUNTA(#REF!)-1,1)</definedName>
    <definedName name="gf" hidden="1">{#N/A,#N/A,FALSE,"ACQ";#N/A,#N/A,FALSE,"ASSUMP";#N/A,#N/A,FALSE,"CASH FLOW";#N/A,#N/A,FALSE,"SALE";#N/A,#N/A,FALSE,"TIS";#N/A,#N/A,FALSE,"RENT ROLL"}</definedName>
    <definedName name="gfasd" hidden="1">{"FCB_ALL",#N/A,FALSE,"FCB"}</definedName>
    <definedName name="gfd" hidden="1">{#N/A,#N/A,FALSE,"Cashflow Analysis";#N/A,#N/A,FALSE,"Sensitivity Analysis";#N/A,#N/A,FALSE,"PV";#N/A,#N/A,FALSE,"Pro Forma"}</definedName>
    <definedName name="gfgh" hidden="1">{"Assumptions",#N/A,FALSE,"Assumptions"}</definedName>
    <definedName name="gfh" hidden="1">{"CSheet",#N/A,FALSE,"C";"SmCap",#N/A,FALSE,"VAL1";"GulfCoast",#N/A,FALSE,"VAL1";"nav",#N/A,FALSE,"NAV";"Summary",#N/A,FALSE,"NAV"}</definedName>
    <definedName name="gfhs" hidden="1">{"summary1",#N/A,TRUE,"Comps";"summary2",#N/A,TRUE,"Comps";"summary3",#N/A,TRUE,"Comps"}</definedName>
    <definedName name="gfjfju" hidden="1">{"Downside",#N/A,FALSE,"Downside"}</definedName>
    <definedName name="gfsdn" hidden="1">{"FCB_ALL",#N/A,FALSE,"FCB";"GREY_ALL",#N/A,FALSE,"GREY"}</definedName>
    <definedName name="gg" hidden="1">{#N/A,#N/A,FALSE,"PropertyInfo"}</definedName>
    <definedName name="gg.2" hidden="1">{#N/A,#N/A,FALSE,"Cashflow Analysis";#N/A,#N/A,FALSE,"Sensitivity Analysis";#N/A,#N/A,FALSE,"PV";#N/A,#N/A,FALSE,"Pro Forma"}</definedName>
    <definedName name="ggg" hidden="1">{#N/A,#N/A,FALSE,"PropertyInfo"}</definedName>
    <definedName name="gggg" hidden="1">{"ODB",#N/A,FALSE,"Hold Scenario"}</definedName>
    <definedName name="gggggggg" hidden="1">{#N/A,#N/A,FALSE,"Fund-II"}</definedName>
    <definedName name="gggggggggg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ggh" hidden="1">#REF!</definedName>
    <definedName name="ghh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j" hidden="1">{"CSheet",#N/A,FALSE,"C";"SmCap",#N/A,FALSE,"VAL1";"GulfCoast",#N/A,FALSE,"VAL1";"nav",#N/A,FALSE,"NAV";"Summary",#N/A,FALSE,"NAV"}</definedName>
    <definedName name="ghjghjr" hidden="1">{"Bid",#N/A,FALSE,"Estimate";"Breakdowm",#N/A,FALSE,"Estimate"}</definedName>
    <definedName name="ghu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jio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laccts">#REF!</definedName>
    <definedName name="GLCode">#REF!</definedName>
    <definedName name="GLDesc">#REF!</definedName>
    <definedName name="GlideChartMarker" hidden="1">"Chart!A1"</definedName>
    <definedName name="GlideDataMarker" hidden="1">"Data!A1"</definedName>
    <definedName name="GlideHiddenMarker" hidden="1">"Costcurvedata!A1"</definedName>
    <definedName name="GlideMaxCharts" hidden="1">7</definedName>
    <definedName name="Global_CPI">#REF!</definedName>
    <definedName name="Global_Inflation">#REF!</definedName>
    <definedName name="gmail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gmcol" hidden="1">#REF!</definedName>
    <definedName name="GMHEQUITY">#REF!</definedName>
    <definedName name="GMHEQUITYA">#REF!</definedName>
    <definedName name="GoIn_Cap">#REF!</definedName>
    <definedName name="gr" hidden="1">{"three",#N/A,FALSE,"Capital";"four",#N/A,FALSE,"Capital"}</definedName>
    <definedName name="graph" hidden="1">#REF!</definedName>
    <definedName name="graph." hidden="1">{#N/A,#N/A,FALSE,"Yield Graph"}</definedName>
    <definedName name="graph123" hidden="1">#REF!</definedName>
    <definedName name="Graph1234" hidden="1">#REF!</definedName>
    <definedName name="Graph12345" hidden="1">#REF!</definedName>
    <definedName name="Graph123456" hidden="1">#REF!</definedName>
    <definedName name="Graph1234567" hidden="1">#REF!</definedName>
    <definedName name="graph2." hidden="1">{#N/A,#N/A,FALSE,"Yield Graph";#N/A,#N/A,FALSE,"Rent Roll";#N/A,#N/A,FALSE,"OE Yr1";#N/A,#N/A,FALSE,"Repl.Cst.+Ins."}</definedName>
    <definedName name="graph3." hidden="1">{#N/A,#N/A,FALSE,"Yield Graph"}</definedName>
    <definedName name="GROSS">#REF!</definedName>
    <definedName name="grossnetdebt" hidden="1">#REF!</definedName>
    <definedName name="grtr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undsteuer">#REF!</definedName>
    <definedName name="Grundsteuer_____25.">#REF!</definedName>
    <definedName name="Grundsteuer____25.">#REF!</definedName>
    <definedName name="gvk" hidden="1">{"Assumptions",#N/A,FALSE,"Assumptions"}</definedName>
    <definedName name="gyhui" hidden="1">{"CSheet",#N/A,FALSE,"C";"SmCap",#N/A,FALSE,"VAL1";"GulfCoast",#N/A,FALSE,"VAL1";"nav",#N/A,FALSE,"NAV";"Summary",#N/A,FALSE,"NAV"}</definedName>
    <definedName name="gyjh" hidden="1">{#N/A,#N/A,FALSE,"Cashflow Analysis";#N/A,#N/A,FALSE,"Sensitivity Analysis";#N/A,#N/A,FALSE,"PV";#N/A,#N/A,FALSE,"Pro Forma"}</definedName>
    <definedName name="h" hidden="1">{#N/A,#N/A,FALSE,"PropertyInfo"}</definedName>
    <definedName name="hallo" hidden="1">{#N/A,#N/A,FALSE,"Occ and Rate";#N/A,#N/A,FALSE,"PF Input";#N/A,#N/A,FALSE,"Capital Input";#N/A,#N/A,FALSE,"Proforma Five Yr";#N/A,#N/A,FALSE,"Calculations";#N/A,#N/A,FALSE,"Transaction Summary-DTW"}</definedName>
    <definedName name="HardinDistriOper">#REF!</definedName>
    <definedName name="HardinDistriSale">#REF!</definedName>
    <definedName name="HardinDistrOper">#REF!</definedName>
    <definedName name="HardinEntity">#REF!</definedName>
    <definedName name="HardinEq">#REF!</definedName>
    <definedName name="HardinOwn">#REF!</definedName>
    <definedName name="HardinPrefer">#REF!</definedName>
    <definedName name="Hausbeleuchtung">#REF!</definedName>
    <definedName name="Hausbeleuchtung__20.">#REF!</definedName>
    <definedName name="Hausmeisterservice">#REF!</definedName>
    <definedName name="Hausreinigung">#REF!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ader_Row">ROW(#REF!)</definedName>
    <definedName name="heading_2">#REF!</definedName>
    <definedName name="HealthInsurance">#REF!</definedName>
    <definedName name="Heizung_____zum_10.">#REF!</definedName>
    <definedName name="Heizung_____zum_15.">#REF!</definedName>
    <definedName name="Heizung_____zum_25.">#REF!</definedName>
    <definedName name="Heizung_____zum_5.">#REF!</definedName>
    <definedName name="Heizung_____zum_5._10.">#REF!</definedName>
    <definedName name="Hello">#REF!</definedName>
    <definedName name="Hello1" hidden="1">#REF!</definedName>
    <definedName name="help" hidden="1">{#N/A,#N/A,FALSE,"ZLDebtMaturity";#N/A,#N/A,FALSE,"FCDebtMaturity";#N/A,#N/A,FALSE,"ZM3DebtMaturity";#N/A,#N/A,FALSE,"ZM2DebtMaturity";#N/A,#N/A,FALSE,"zm1DebtMaturity";#N/A,#N/A,FALSE,"ConsZM123DebtMaturity"}</definedName>
    <definedName name="help1" hidden="1">{#N/A,#N/A,FALSE,"ZLDebtMaturity";#N/A,#N/A,FALSE,"FCDebtMaturity";#N/A,#N/A,FALSE,"ZM3DebtMaturity";#N/A,#N/A,FALSE,"ZM2DebtMaturity";#N/A,#N/A,FALSE,"zm1DebtMaturity";#N/A,#N/A,FALSE,"ConsZM123DebtMaturity"}</definedName>
    <definedName name="Hey">#REF!</definedName>
    <definedName name="hfd" hidden="1">{"FCB_ALL",#N/A,FALSE,"FCB";"GREY_ALL",#N/A,FALSE,"GREY"}</definedName>
    <definedName name="hfgh" hidden="1">{"sheet a",#N/A,FALSE,"A";"sheet b 1",#N/A,FALSE,"B";"sheet b 2",#N/A,FALSE,"B"}</definedName>
    <definedName name="HFH" hidden="1">{"print annual inc. statement",#N/A,FALSE,"Summary";"print annual stats",#N/A,FALSE,"Summary";"print quarterly inc. statement",#N/A,FALSE,"Summary";"print quarterly stats",#N/A,FALSE,"Summary"}</definedName>
    <definedName name="hfydf" hidden="1">{"FCB_ALL",#N/A,FALSE,"FCB"}</definedName>
    <definedName name="hgfgh" hidden="1">{"Zone1",#N/A,FALSE,"Parameters";"Zone2",#N/A,FALSE,"Parameters"}</definedName>
    <definedName name="hgfhgf" hidden="1">#REF!</definedName>
    <definedName name="hghg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kdj" hidden="1">{"AnnualRentRoll",#N/A,FALSE,"RentRoll"}</definedName>
    <definedName name="hgsrt" hidden="1">{"FCB_ALL",#N/A,FALSE,"FCB";"GREY_ALL",#N/A,FALSE,"GREY"}</definedName>
    <definedName name="hh" hidden="1">{#N/A,#N/A,FALSE,"Summary"}</definedName>
    <definedName name="hhh" hidden="1">{#N/A,#N/A,FALSE,"Summary"}</definedName>
    <definedName name="hhhh" hidden="1">{"'Lennar U.S. Partners'!$A$1:$N$53"}</definedName>
    <definedName name="hhhhhhhhhhhh" hidden="1">{#N/A,#N/A,FALSE,"CCC ACC Budget";#N/A,#N/A,FALSE,"Variance";#N/A,#N/A,FALSE,"CCC Rent Detail";#N/A,#N/A,FALSE,"COMMON AREA";#N/A,#N/A,FALSE,"CCC Electric Inclusion";#N/A,#N/A,FALSE,"CCC Opex Detail";#N/A,#N/A,FALSE,"CCC RE Tax Detail";#N/A,#N/A,FALSE,"CCC Chilled Wtr Inclusion";#N/A,#N/A,FALSE,"CCC OTHVAC ";#N/A,#N/A,FALSE,"CCC INPUT"}</definedName>
    <definedName name="HI" hidden="1">#REF!</definedName>
    <definedName name="HiddenRows" hidden="1">#REF!</definedName>
    <definedName name="HideHLightInput">0</definedName>
    <definedName name="HistoricalCF">#REF!</definedName>
    <definedName name="hjdg" hidden="1">{#N/A,#N/A,FALSE,"PropertyInfo"}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jhj" hidden="1">{"PROFORMA",#N/A,FALSE,"A";"BIGGER 1",#N/A,FALSE,"B";"BIGGER 2",#N/A,FALSE,"B";"BIGGER 3",#N/A,FALSE,"B";"SMALL CF 1",#N/A,FALSE,"C"}</definedName>
    <definedName name="hjkl" hidden="1">{"Zone1",#N/A,FALSE,"Parameters";"Zone2",#N/A,FALSE,"Parameters"}</definedName>
    <definedName name="hlhldh" hidden="1">{"Annual Cash Flows",#N/A,FALSE,"Annual Summary"}</definedName>
    <definedName name="HMLkUp" hidden="1">#REF!</definedName>
    <definedName name="HMSeek" hidden="1">#REF!</definedName>
    <definedName name="hn._I006" hidden="1">#REF!</definedName>
    <definedName name="hn._I018" hidden="1">#REF!</definedName>
    <definedName name="hn._I024" hidden="1">#REF!</definedName>
    <definedName name="hn._I028" hidden="1">#REF!</definedName>
    <definedName name="hn._I029" hidden="1">#REF!</definedName>
    <definedName name="hn._I030" hidden="1">#REF!</definedName>
    <definedName name="hn._I031" hidden="1">#REF!</definedName>
    <definedName name="hn._I044" hidden="1">#REF!</definedName>
    <definedName name="hn._I051" hidden="1">#REF!</definedName>
    <definedName name="hn._I059" hidden="1">#REF!</definedName>
    <definedName name="hn._I062" hidden="1">#REF!</definedName>
    <definedName name="hn._I070" hidden="1">#REF!</definedName>
    <definedName name="hn._I071" hidden="1">#REF!</definedName>
    <definedName name="hn._I075" hidden="1">#REF!</definedName>
    <definedName name="hn._I077" hidden="1">#REF!</definedName>
    <definedName name="hn._I083" hidden="1">#REF!</definedName>
    <definedName name="hn._I085" hidden="1">#REF!</definedName>
    <definedName name="hn._P001" hidden="1">#REF!</definedName>
    <definedName name="hn._P002" hidden="1">#REF!</definedName>
    <definedName name="hn._P004" hidden="1">#REF!</definedName>
    <definedName name="hn._P014" hidden="1">#REF!</definedName>
    <definedName name="hn._P016" hidden="1">#REF!</definedName>
    <definedName name="hn._P017" hidden="1">#REF!</definedName>
    <definedName name="hn._P017g" hidden="1">#REF!</definedName>
    <definedName name="hn._P021" hidden="1">#REF!</definedName>
    <definedName name="hn._P024" hidden="1">#REF!</definedName>
    <definedName name="hn.Add015" hidden="1">#REF!</definedName>
    <definedName name="hn.ConvertVal1" hidden="1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CopyforPR" hidden="1">#REF!</definedName>
    <definedName name="hn.Delete015" hidden="1">#REF!,#REF!,#REF!,#REF!,#REF!</definedName>
    <definedName name="hn.domestic" hidden="1">#REF!</definedName>
    <definedName name="hn.DZ_MultByFXRates" hidden="1">#REF!,#REF!,#REF!,#REF!</definedName>
    <definedName name="hn.ExtDb" hidden="1">FALSE</definedName>
    <definedName name="hn.FromMain" hidden="1">#REF!</definedName>
    <definedName name="hn.FromMain1" hidden="1">#REF!</definedName>
    <definedName name="hn.FromMain2" hidden="1">#REF!</definedName>
    <definedName name="hn.FromMain3" hidden="1">#REF!</definedName>
    <definedName name="hn.FromMain4" hidden="1">#REF!</definedName>
    <definedName name="hn.FromMain5" hidden="1">#REF!</definedName>
    <definedName name="hn.Global" hidden="1">#REF!</definedName>
    <definedName name="hn.LTM_MultByFXRates" hidden="1">#REF!,#REF!,#REF!,#REF!,#REF!,#REF!,#REF!</definedName>
    <definedName name="hn.LTMData" hidden="1">#REF!</definedName>
    <definedName name="hn.ModelType" hidden="1">"DEAL"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ParityCheck" hidden="1">#REF!</definedName>
    <definedName name="hn.PrivateLTMYear" hidden="1">#REF!</definedName>
    <definedName name="hn.RolledForward" hidden="1">FALSE</definedName>
    <definedName name="hn.USLast" hidden="1">#REF!</definedName>
    <definedName name="hn.YearLabel" hidden="1">#REF!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ld">#REF!</definedName>
    <definedName name="Hold_1">#REF!</definedName>
    <definedName name="Hold_1500">#REF!</definedName>
    <definedName name="Hold_2">#REF!</definedName>
    <definedName name="Hold_3">#REF!</definedName>
    <definedName name="Hold_Period">#REF!</definedName>
    <definedName name="Hold1_OR">#REF!</definedName>
    <definedName name="Hold2_OR">#REF!</definedName>
    <definedName name="Hold3_OR">#REF!</definedName>
    <definedName name="hon" hidden="1">{"Full Gross to Net",#N/A,TRUE,"GtoN";"R_I Accepted from Group Coys",#N/A,TRUE,"GtoN";"R_I Ceded to Group Coys",#N/A,TRUE,"GtoN";"Closing Loss Reserves and Gross Claims Incurred",#N/A,TRUE,"GtoN"}</definedName>
    <definedName name="hope" hidden="1">{#N/A,#N/A,FALSE,"LP Exp";#N/A,#N/A,FALSE,"Salary";#N/A,#N/A,FALSE,"Admin Exp";#N/A,#N/A,FALSE,"QTS Bud";#N/A,#N/A,FALSE,"Marketing"}</definedName>
    <definedName name="hope_condo" hidden="1">{#N/A,#N/A,FALSE,"LP Exp";#N/A,#N/A,FALSE,"Salary";#N/A,#N/A,FALSE,"Admin Exp";#N/A,#N/A,FALSE,"QTS Bud";#N/A,#N/A,FALSE,"Marketing"}</definedName>
    <definedName name="HotelEquity">#REF!</definedName>
    <definedName name="houy" hidden="1">{#N/A,#N/A,FALSE,"AD_Purchase";#N/A,#N/A,FALSE,"Credit";#N/A,#N/A,FALSE,"PF Acquisition";#N/A,#N/A,FALSE,"PF Offering"}</definedName>
    <definedName name="HRADJ2" hidden="1">{"2007",#N/A,FALSE,"SUMMARY";"2007",#N/A,FALSE,"RET ON CAP";"2007",#N/A,FALSE,"PROFORMA";"2007",#N/A,FALSE,"Assumptions";"2007",#N/A,FALSE,"Sales &amp; Marketing";"2007",#N/A,FALSE,"Overhead";"2007",#N/A,FALSE,"General Project";"2007",#N/A,FALSE,"Development"}</definedName>
    <definedName name="hsfdhs" hidden="1">#REF!</definedName>
    <definedName name="html" hidden="1">{"'Assump'!$F$6:$J$6"}</definedName>
    <definedName name="HTML_CodePage" hidden="1">1252</definedName>
    <definedName name="HTML_Control" hidden="1">{"'Table of Contents'!$A$1"}</definedName>
    <definedName name="HTML_Control1" hidden="1">{"'B-2 QSER Jun 98 4-27-98 cor'!$A$1:$F$57"}</definedName>
    <definedName name="HTML_Control2" hidden="1">{"'Cash Requirements 5F '!$A$1:$AC$48"}</definedName>
    <definedName name="HTML_Control5" hidden="1">{"'B-2 QSER Jun 98 4-27-98 cor'!$A$1:$F$57"}</definedName>
    <definedName name="HTML_Ctrl" hidden="1">{"'Expirations'!$A$1:$L$65"}</definedName>
    <definedName name="HTML_Description" hidden="1">""</definedName>
    <definedName name="HTML_Email" hidden="1">""</definedName>
    <definedName name="HTML_Header" hidden="1">"Table of Contents"</definedName>
    <definedName name="HTML_LastUpdate" hidden="1">"6/5/01"</definedName>
    <definedName name="HTML_LineAfter" hidden="1">FALSE</definedName>
    <definedName name="HTML_LineBefore" hidden="1">FALSE</definedName>
    <definedName name="HTML_Name" hidden="1">"Samuel Lyustikman"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"E:\temp\MyHTML.htm"</definedName>
    <definedName name="HTML_PathTemplate" hidden="1">"C:\Quaterly Reports\MyHTML.htm"</definedName>
    <definedName name="HTML_Title" hidden="1">"MTK_template_2_1"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2_10" hidden="1">""</definedName>
    <definedName name="HTML2_11" hidden="1">-4146</definedName>
    <definedName name="HTML2_12" hidden="1">"C:\My Documents\Intranet\profit plan\HTML\GERMANY.htm"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1</definedName>
    <definedName name="HTML2_7" hidden="1">1</definedName>
    <definedName name="HTML2_8" hidden="1">""</definedName>
    <definedName name="HTML2_9" hidden="1">""</definedName>
    <definedName name="HTMLCount" hidden="1">1</definedName>
    <definedName name="htmlnew" hidden="1">{"'Assump'!$F$6:$J$6"}</definedName>
    <definedName name="hu" hidden="1">{"Total",#N/A,FALSE,"Six Fields";"PDP",#N/A,FALSE,"Six Fields";"PNP",#N/A,FALSE,"Six Fields";"PUD",#N/A,FALSE,"Six Fields";"Prob",#N/A,FALSE,"Six Fields"}</definedName>
    <definedName name="huh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hui" hidden="1">{"Sum1",#N/A,FALSE,"Reserve Report";"Sum2",#N/A,FALSE,"Reserve Report";"Sum3",#N/A,FALSE,"Reserve Report";"Sum4",#N/A,FALSE,"Reserve Report"}</definedName>
    <definedName name="HUNTPRINT">#REF!</definedName>
    <definedName name="HUNTSPLIT">#REF!</definedName>
    <definedName name="HURDLE">#REF!</definedName>
    <definedName name="i" hidden="1">{#N/A,#N/A,FALSE,"Chart 2 by Prop Type"}</definedName>
    <definedName name="ien" hidden="1">{"P_L Account",#N/A,FALSE,"Prime";"Assets",#N/A,FALSE,"Prime";"Liabilities",#N/A,FALSE,"Prime";"Capital and Reserves",#N/A,FALSE,"Prime";"Rec. of S_Holders Funds",#N/A,FALSE,"Prime";"Rec. of Pre and Post Tax Result",#N/A,FALSE,"Prime"}</definedName>
    <definedName name="IGLookUp">#REF!</definedName>
    <definedName name="ignore" hidden="1">{#N/A,#N/A,FALSE,"WATCHDSC";#N/A,#N/A,FALSE,"2LOSSMOD";#N/A,#N/A,FALSE,"2LOSS";#N/A,#N/A,FALSE,"DSC";#N/A,#N/A,FALSE,"OPERAT";#N/A,#N/A,FALSE,"ADJUST";#N/A,#N/A,FALSE,"LEASE EXPIRE"}</definedName>
    <definedName name="IHMConsultant" hidden="1">#REF!</definedName>
    <definedName name="IHMFirstProjected" hidden="1">#REF!</definedName>
    <definedName name="IHMLastHistoric" hidden="1">#REF!</definedName>
    <definedName name="IHMLocation" hidden="1">#REF!</definedName>
    <definedName name="IHMModelVersion" hidden="1">#REF!</definedName>
    <definedName name="IHMNumRooms" hidden="1">#REF!</definedName>
    <definedName name="IHMPrintCF1" hidden="1">#REF!</definedName>
    <definedName name="IHMPrintMR1" hidden="1">#REF!</definedName>
    <definedName name="IHMPrintMR2" hidden="1">#REF!</definedName>
    <definedName name="IHMPrintPO1" hidden="1">#REF!</definedName>
    <definedName name="IHMPrintPO2" hidden="1">#REF!</definedName>
    <definedName name="IHMPrintPO3" hidden="1">#REF!</definedName>
    <definedName name="IHMPrintPR1" hidden="1">#REF!</definedName>
    <definedName name="IHMPrintVAL1" hidden="1">#REF!</definedName>
    <definedName name="IHMPrintVAL2" hidden="1">#REF!</definedName>
    <definedName name="IHMProjectCity" hidden="1">#REF!</definedName>
    <definedName name="IHMProjectName" hidden="1">#REF!</definedName>
    <definedName name="IHMProjectState" hidden="1">#REF!</definedName>
    <definedName name="IHMPropertyLocation" hidden="1">#REF!</definedName>
    <definedName name="IHMReviewer" hidden="1">#REF!</definedName>
    <definedName name="III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iiii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ik" hidden="1">{#N/A,#N/A,FALSE,"Chart 2 by Prop Type"}</definedName>
    <definedName name="ilghd" hidden="1">{"Investor",#N/A,FALSE,"Model";"Property",#N/A,FALSE,"Model";"Incentive Taxes",#N/A,FALSE,"Model"}</definedName>
    <definedName name="immediate" hidden="1">{"sheet a",#N/A,FALSE,"A";"2 9 casflow",#N/A,FALSE,"B"}</definedName>
    <definedName name="inc">#REF!</definedName>
    <definedName name="INC00">#REF!</definedName>
    <definedName name="IncentFee">#REF!</definedName>
    <definedName name="income">#REF!</definedName>
    <definedName name="index2" hidden="1">{#N/A,#N/A,FALSE,"Class A";#N/A,#N/A,FALSE,"Class B";#N/A,#N/A,FALSE,"Class C"}</definedName>
    <definedName name="Indianapolis" hidden="1">{"Primarily Competition",#N/A,FALSE,"Comp.&amp; Market Penet."}</definedName>
    <definedName name="inf">#REF!</definedName>
    <definedName name="Inf.G_Flor" hidden="1">#REF!</definedName>
    <definedName name="Inf.G_Trad" hidden="1">#REF!</definedName>
    <definedName name="Inflation">#REF!</definedName>
    <definedName name="inflationrate">#REF!</definedName>
    <definedName name="INFLRATE">#REF!</definedName>
    <definedName name="info">#REF!</definedName>
    <definedName name="Initial_CC_Escal_Mo">#REF!</definedName>
    <definedName name="Initial_CC_Escalation_Year">#REF!</definedName>
    <definedName name="Initial_Funding">#REF!</definedName>
    <definedName name="Initial_Reg_Escal_Mo">#REF!</definedName>
    <definedName name="Initial_Reg_Escalation_Yr">#REF!</definedName>
    <definedName name="Inplace_NOI">#REF!</definedName>
    <definedName name="InplaceNetRentPSF">#REF!</definedName>
    <definedName name="InplacePSF">#REF!</definedName>
    <definedName name="InplaceRentPSF">#REF!</definedName>
    <definedName name="INPUT">#REF!</definedName>
    <definedName name="Input_rentpsf">#REF!</definedName>
    <definedName name="inputpage">#REF!</definedName>
    <definedName name="Inst._klein_pausch">#REF!</definedName>
    <definedName name="Int">#REF!</definedName>
    <definedName name="int_ext_sel" hidden="1">2</definedName>
    <definedName name="INTEREST">#REF!</definedName>
    <definedName name="Interest_cost">#REF!</definedName>
    <definedName name="Interest_Rate">#REF!</definedName>
    <definedName name="INTEREST1">#REF!</definedName>
    <definedName name="INTEREST2">#REF!</definedName>
    <definedName name="INTEREST3">#REF!</definedName>
    <definedName name="INTMARGIN">#REF!</definedName>
    <definedName name="IntOnlyYrs">#REF!</definedName>
    <definedName name="IntRate">#REF!</definedName>
    <definedName name="IntRate2">#REF!</definedName>
    <definedName name="INTROP" hidden="1">#REF!</definedName>
    <definedName name="IntroPrintArea" hidden="1">#REF!</definedName>
    <definedName name="IntroPrintArea_b" hidden="1">#REF!</definedName>
    <definedName name="invcap" hidden="1">#REF!</definedName>
    <definedName name="invcap2" hidden="1">#REF!</definedName>
    <definedName name="Investor">#REF!</definedName>
    <definedName name="InvestorDistriOper">#REF!</definedName>
    <definedName name="InvestorDistriSale">#REF!</definedName>
    <definedName name="InvestorEq">#REF!</definedName>
    <definedName name="InvestorOwn">#REF!</definedName>
    <definedName name="InvestorPrefer">#REF!</definedName>
    <definedName name="iouu" hidden="1">{"Total",#N/A,FALSE,"Total Proved + Probable";"PDP",#N/A,FALSE,"Total Proved + Probable";"PNP",#N/A,FALSE,"Total Proved + Probable";"PUD",#N/A,FALSE,"Total Proved + Probable";"Prob",#N/A,FALSE,"Total Proved + Probable"}</definedName>
    <definedName name="IPO_spot">#REF!</definedName>
    <definedName name="IQ_1_4_CONSTRUCTION_GROSS_LOANS_FFIEC">"c13402"</definedName>
    <definedName name="IQ_1_4_CONSTRUCTION_LL_REC_DOM_FFIEC">"c12899"</definedName>
    <definedName name="IQ_1_4_CONSTRUCTION_LOAN_COMMITMENTS_UNUSED_FFIEC">"c13244"</definedName>
    <definedName name="IQ_1_4_CONSTRUCTION_LOANS_DUE_30_89_FFIEC">"c13257"</definedName>
    <definedName name="IQ_1_4_CONSTRUCTION_LOANS_DUE_90_FFIEC">"c13285"</definedName>
    <definedName name="IQ_1_4_CONSTRUCTION_LOANS_NON_ACCRUAL_FFIEC">"c13311"</definedName>
    <definedName name="IQ_1_4_CONSTRUCTION_RISK_BASED_FFIEC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FS_AMORT_COST_FFIEC" hidden="1">"c20499"</definedName>
    <definedName name="IQ_ABS_AFS_FAIR_VAL_FFIEC" hidden="1">"c20464"</definedName>
    <definedName name="IQ_ABS_AVAIL_SALE_FFIEC">"c12802"</definedName>
    <definedName name="IQ_ABS_FFIEC">"c12788"</definedName>
    <definedName name="IQ_ABS_HTM_AMORT_COST_FFIEC" hidden="1">"c20447"</definedName>
    <definedName name="IQ_ABS_HTM_FAIR_VAL_FFIEC" hidden="1">"c20482"</definedName>
    <definedName name="IQ_ABS_INVEST_SECURITIES_FFIEC">"c13461"</definedName>
    <definedName name="IQ_ABS_PERIOD">"c13823"</definedName>
    <definedName name="IQ_ABS_PERIOD_EST" hidden="1">"c16122"</definedName>
    <definedName name="IQ_ACCEPTANCES_OTHER_FOREIGN_BANKS_LL_REC_FFIEC">"c15293"</definedName>
    <definedName name="IQ_ACCEPTANCES_OTHER_US_BANKS_LL_REC_FFIEC">"c15292"</definedName>
    <definedName name="IQ_ACCOUNT_CHANGE" hidden="1">"c1449"</definedName>
    <definedName name="IQ_ACCOUNT_CODE_INTEREST_PENALTIES">"c15741"</definedName>
    <definedName name="IQ_Account_delta" hidden="1">"c413"</definedName>
    <definedName name="IQ_ACCOUNTING_FFIEC">"c13054"</definedName>
    <definedName name="IQ_ACCOUNTING_STANDARD" hidden="1">"c4539"</definedName>
    <definedName name="IQ_ACCOUNTING_STANDARD_CIQ_COL" hidden="1">"c11739"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AMORT_GW" hidden="1">"c17749"</definedName>
    <definedName name="IQ_ACCUM_AMORT_INTAN_ASSETS" hidden="1">"c17747"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_WIRELESS_SUB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COST_SUB">"c15807"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_TAX_POSITIONS_CURRENT_YR">"c15733"</definedName>
    <definedName name="IQ_ADD_TAX_POSITIONS_PRIOR_YRS">"c15735"</definedName>
    <definedName name="IQ_ADDIN" hidden="1">"AUTO"</definedName>
    <definedName name="IQ_ADDITIONAL_NON_INT_INC_FDIC" hidden="1">"c6574"</definedName>
    <definedName name="IQ_ADDITIONS_NON_ACCRUAL_ASSET_DURING_QTR_FFIEC">"c15349"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DILUTED">"c16188"</definedName>
    <definedName name="IQ_AFFO_PER_SHARE_BASIC" hidden="1">"c8869"</definedName>
    <definedName name="IQ_AFFO_PER_SHARE_DILUTED" hidden="1">"c8870"</definedName>
    <definedName name="IQ_AFS_INVEST_SECURITIES_FFIEC">"c13456"</definedName>
    <definedName name="IQ_AFS_SECURITIES_TIER_1_FFIEC">"c13343"</definedName>
    <definedName name="IQ_AFTER_TAX_INCOME_FDIC" hidden="1">"c6583"</definedName>
    <definedName name="IQ_AG_PROD_FARM_LOANS_DOM_QUARTERLY_AVG_FFIEC">"c15477"</definedName>
    <definedName name="IQ_AGENCY" hidden="1">"c8960"</definedName>
    <definedName name="IQ_AGENCY_INVEST_SECURITIES_FFIEC">"c13458"</definedName>
    <definedName name="IQ_AGG_CORPORATE_SHARES">"c13781"</definedName>
    <definedName name="IQ_AGG_CORPORATE_VALUE">"c13774"</definedName>
    <definedName name="IQ_AGG_ESOP_SHARES">"c13782"</definedName>
    <definedName name="IQ_AGG_ESOP_VALUE">"c13775"</definedName>
    <definedName name="IQ_AGG_FOUNDATION_SHARES">"c13783"</definedName>
    <definedName name="IQ_AGG_FOUNDATION_VALUE">"c13776"</definedName>
    <definedName name="IQ_AGG_HEDGEFUND_SHARES">"c13785"</definedName>
    <definedName name="IQ_AGG_HEDGEFUND_VALUE">"c13778"</definedName>
    <definedName name="IQ_AGG_INSIDER_SHARES">"c13780"</definedName>
    <definedName name="IQ_AGG_INSIDER_VALUE">"c13773"</definedName>
    <definedName name="IQ_AGG_INSTITUTIONAL_SHARES">"c13779"</definedName>
    <definedName name="IQ_AGG_INSTITUTIONAL_VALUE">"c13772"</definedName>
    <definedName name="IQ_AGG_OTHER_SHARES">"c13784"</definedName>
    <definedName name="IQ_AGG_OTHER_VALUE">"c13777"</definedName>
    <definedName name="IQ_AGRICULTURAL_GROSS_LOANS_FFIEC">"c13413"</definedName>
    <definedName name="IQ_AGRICULTURAL_LOANS_FOREIGN_FFIEC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DEPOSITS_FOREIGN_DEP_FFIEC">"c15347"</definedName>
    <definedName name="IQ_ALL_OTHER_INVEST_UNCONSOL_SUBS_FFIEC">"c15275"</definedName>
    <definedName name="IQ_ALL_OTHER_LEASES_CHARGE_OFFS_FFIEC">"c13185"</definedName>
    <definedName name="IQ_ALL_OTHER_LEASES_RECOV_FFIEC">"c13207"</definedName>
    <definedName name="IQ_ALL_OTHER_LOANS_CHARGE_OFFS_FFIEC">"c13183"</definedName>
    <definedName name="IQ_ALL_OTHER_LOANS_RECOV_FFIEC">"c13205"</definedName>
    <definedName name="IQ_ALL_OTHER_TRADING_LIABILITIES_DOM_FFIEC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>"c12810"</definedName>
    <definedName name="IQ_ALLOWABLE_T2_CAPITAL_FFIEC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>"c12871"</definedName>
    <definedName name="IQ_ALLOWANCE_LL_LOSSES_T2_FFIEC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>"c13026"</definedName>
    <definedName name="IQ_AMORT_EXPENSE_FDIC" hidden="1">"c6677"</definedName>
    <definedName name="IQ_AMORTIZATION" hidden="1">"c1591"</definedName>
    <definedName name="IQ_AMORTIZED_COST_FDIC" hidden="1">"c6426"</definedName>
    <definedName name="IQ_AMOUNT_FINANCIAL_LOC_CONVEYED_FFIEC">"c13250"</definedName>
    <definedName name="IQ_AMOUNT_PERFORMANCE_LOC_CONVEYED_FFIEC">"c13252"</definedName>
    <definedName name="IQ_AMT_OUT" hidden="1">"c2145"</definedName>
    <definedName name="IQ_ANALYST_DET_EST" hidden="1">"c12043"</definedName>
    <definedName name="IQ_ANALYST_DET_EST_THOM" hidden="1">"c12071"</definedName>
    <definedName name="IQ_ANALYST_EMAIL">"c13738"</definedName>
    <definedName name="IQ_ANALYST_NAME">"c13736"</definedName>
    <definedName name="IQ_ANALYST_NON_PER_DET_EST" hidden="1">"c12755"</definedName>
    <definedName name="IQ_ANALYST_NON_PER_DET_EST_THOM" hidden="1">"c12759"</definedName>
    <definedName name="IQ_ANALYST_PHONE">"c13737"</definedName>
    <definedName name="IQ_ANALYST_START_DATE">"c13740"</definedName>
    <definedName name="IQ_ANNU_DISTRIBUTION_UNIT" hidden="1">"c3004"</definedName>
    <definedName name="IQ_ANNUAL_DIVIDEND" hidden="1">"c229"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RPU_ANALOG_CABLE">"c2864"</definedName>
    <definedName name="IQ_ARPU_BASIC_CABLE">"c2866"</definedName>
    <definedName name="IQ_ARPU_BBAND">"c2867"</definedName>
    <definedName name="IQ_ARPU_DIG_CABLE">"c2865"</definedName>
    <definedName name="IQ_ARPU_PHONE">"c2868"</definedName>
    <definedName name="IQ_ARPU_POSTPAID_WIRELESS">"c15758"</definedName>
    <definedName name="IQ_ARPU_PREPAID_WIRELESS">"c15759"</definedName>
    <definedName name="IQ_ARPU_RETAIL_WIRELESS">"c15760"</definedName>
    <definedName name="IQ_ARPU_SATELLITE">"c15790"</definedName>
    <definedName name="IQ_ARPU_TOTAL">"c2869"</definedName>
    <definedName name="IQ_ARPU_WHOLESALE_WIRELESS">"c15761"</definedName>
    <definedName name="IQ_ARPU_WIRELESS">"c2126"</definedName>
    <definedName name="IQ_ASKPRICE" hidden="1">"c13927"</definedName>
    <definedName name="IQ_ASSET_BACKED_FDIC" hidden="1">"c6301"</definedName>
    <definedName name="IQ_ASSET_MANAGED_GROWTH_RATE" hidden="1">"c20434"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>"c13843"</definedName>
    <definedName name="IQ_ASSETS_HELD_FDIC" hidden="1">"c6305"</definedName>
    <definedName name="IQ_ASSETS_LEVEL_1">"c13839"</definedName>
    <definedName name="IQ_ASSETS_LEVEL_2">"c13840"</definedName>
    <definedName name="IQ_ASSETS_LEVEL_3">"c13841"</definedName>
    <definedName name="IQ_ASSETS_NAME_AP" hidden="1">"c8921"</definedName>
    <definedName name="IQ_ASSETS_NAME_AP_ABS" hidden="1">"c8940"</definedName>
    <definedName name="IQ_ASSETS_NETTING_OTHER_ADJUSTMENTS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ETS_UNDER_ADMINISTRATION" hidden="1">"c20432"</definedName>
    <definedName name="IQ_ASSIGNED_RESERVES_COAL">"c15912"</definedName>
    <definedName name="IQ_ASSIGNED_RESERVES_TO_TOTAL_RESERVES_COAL">"c15955"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LOSSES">"c15870"</definedName>
    <definedName name="IQ_ASSUMED_PC_EARNED" hidden="1">"c2746"</definedName>
    <definedName name="IQ_ASSUMED_PREMIUMS_EARNED_GROSS_PREMIUMS_EARNED">"c15886"</definedName>
    <definedName name="IQ_ASSUMED_PREMIUMS_WRITTEN_GROSS_PREMIUMS_WRITTEN">"c15884"</definedName>
    <definedName name="IQ_ASSUMED_WRITTEN" hidden="1">"c2725"</definedName>
    <definedName name="IQ_ATM_FEES_FFIEC">"c13042"</definedName>
    <definedName name="IQ_ATM_INTERCHANGE_EXPENSES_FFIEC">"c13056"</definedName>
    <definedName name="IQ_AUDITOR_NAME" hidden="1">"c1539"</definedName>
    <definedName name="IQ_AUDITOR_OPINION" hidden="1">"c1540"</definedName>
    <definedName name="IQ_AUM" hidden="1">"c10043"</definedName>
    <definedName name="IQ_AUM_ACQUISITIONS_TRANSFERS" hidden="1">"c20415"</definedName>
    <definedName name="IQ_AUM_AVERAGE" hidden="1">"c20418"</definedName>
    <definedName name="IQ_AUM_BOP" hidden="1">"c20409"</definedName>
    <definedName name="IQ_AUM_CASH_FLOWS_DIVIDENDS" hidden="1">"c20413"</definedName>
    <definedName name="IQ_AUM_DOMESTIC" hidden="1">"c20400"</definedName>
    <definedName name="IQ_AUM_EOP" hidden="1">"c20417"</definedName>
    <definedName name="IQ_AUM_EQUITY_FUNDS" hidden="1">"c10039"</definedName>
    <definedName name="IQ_AUM_FEE_EARNING" hidden="1">"c20402"</definedName>
    <definedName name="IQ_AUM_FIXED_INCOME_FUNDS" hidden="1">"c10040"</definedName>
    <definedName name="IQ_AUM_FOREIGN" hidden="1">"c20401"</definedName>
    <definedName name="IQ_AUM_HIGH_NET_WORTH" hidden="1">"c20398"</definedName>
    <definedName name="IQ_AUM_INFLOWS" hidden="1">"c20410"</definedName>
    <definedName name="IQ_AUM_INSTITUTIONAL" hidden="1">"c20396"</definedName>
    <definedName name="IQ_AUM_INSTITUTIONAL_CUSTOMERS" hidden="1">"c20405"</definedName>
    <definedName name="IQ_AUM_MARKET_APPRECIATION_DEPRECIATION" hidden="1">"c20414"</definedName>
    <definedName name="IQ_AUM_MONEY_MARKET_FUNDS" hidden="1">"c10041"</definedName>
    <definedName name="IQ_AUM_NET_CHANGE" hidden="1">"c20419"</definedName>
    <definedName name="IQ_AUM_NET_INFLOWS_OUTFLOWS" hidden="1">"c20412"</definedName>
    <definedName name="IQ_AUM_NON_FEE_EARNING" hidden="1">"c20403"</definedName>
    <definedName name="IQ_AUM_OTHER" hidden="1">"c10042"</definedName>
    <definedName name="IQ_AUM_OTHER_ADJUSTMENTS" hidden="1">"c20416"</definedName>
    <definedName name="IQ_AUM_OTHER_CLIENTS" hidden="1">"c20399"</definedName>
    <definedName name="IQ_AUM_OTHER_CUSTOMERS" hidden="1">"c20407"</definedName>
    <definedName name="IQ_AUM_OUTFLOWS" hidden="1">"c20411"</definedName>
    <definedName name="IQ_AUM_PRIVATE_EQUITY" hidden="1">"c20394"</definedName>
    <definedName name="IQ_AUM_REAL_ESTATE" hidden="1">"c20395"</definedName>
    <definedName name="IQ_AUM_RETAIL" hidden="1">"c20397"</definedName>
    <definedName name="IQ_AUM_RETAIL_CUSTOMERS" hidden="1">"c20404"</definedName>
    <definedName name="IQ_AUM_SME_CUSTOMERS" hidden="1">"c20406"</definedName>
    <definedName name="IQ_AUM_TOTAL_CUSTOMERS" hidden="1">"c20408"</definedName>
    <definedName name="IQ_AUTO_LOANS_TOTAL_LOANS">"c15713"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_FOR_SALE_FAIR_VALUE_TOT_FFIEC">"c15399"</definedName>
    <definedName name="IQ_AVAIL_FOR_SALE_LEVEL_1_FFIEC">"c15421"</definedName>
    <definedName name="IQ_AVAIL_FOR_SALE_LEVEL_2_FFIEC">"c15434"</definedName>
    <definedName name="IQ_AVAIL_FOR_SALE_LEVEL_3_FFIEC">"c15447"</definedName>
    <definedName name="IQ_AVAILABLE_FOR_SALE_FDIC" hidden="1">"c6409"</definedName>
    <definedName name="IQ_AVAILABLE_SALE_SEC_FFIEC">"c12791"</definedName>
    <definedName name="IQ_AVERAGE_ASSETS_FDIC" hidden="1">"c6362"</definedName>
    <definedName name="IQ_AVERAGE_ASSETS_QUART_FDIC" hidden="1">"c6363"</definedName>
    <definedName name="IQ_AVERAGE_DEPOSITS">"c15256"</definedName>
    <definedName name="IQ_AVERAGE_EARNING_ASSETS_FDIC" hidden="1">"c6748"</definedName>
    <definedName name="IQ_AVERAGE_EQUITY_FDIC" hidden="1">"c6749"</definedName>
    <definedName name="IQ_AVERAGE_INTEREST_BEARING_DEPOSITS">"c15254"</definedName>
    <definedName name="IQ_AVERAGE_LOANS_FDIC" hidden="1">"c6750"</definedName>
    <definedName name="IQ_AVERAGE_LOANS_HFI">"c15251"</definedName>
    <definedName name="IQ_AVERAGE_LOANS_HFS">"c15252"</definedName>
    <definedName name="IQ_AVERAGE_NON_INTEREST_BEARING_DEPOSITS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CIQ_COL" hidden="1">"c11631"</definedName>
    <definedName name="IQ_AVG_INDUSTRY_REC_NO" hidden="1">"c4454"</definedName>
    <definedName name="IQ_AVG_INDUSTRY_REC_NO_CIQ_COL" hidden="1">"c11630"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INV_HOMEBUILDING">"c15812"</definedName>
    <definedName name="IQ_AVG_INV_HOMES">"c15810"</definedName>
    <definedName name="IQ_AVG_INV_LAND_LOTS">"c15811"</definedName>
    <definedName name="IQ_AVG_MKTCAP" hidden="1">"c80"</definedName>
    <definedName name="IQ_AVG_PORTFOLIO_DURATION" hidden="1">"c17693"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REV_PER_TRADE" hidden="1">"c20431"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>"c13159"</definedName>
    <definedName name="IQ_AVG_TOTAL_ASSETS_LEVERAGE_RATIO_FFIEC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>"c13386"</definedName>
    <definedName name="IQ_BANKS_FOREIGN_COUNTRIES_NON_TRANS_ACCTS_FFIEC">"c15326"</definedName>
    <definedName name="IQ_BANKS_FOREIGN_COUNTRIES_TOTAL_DEPOSITS_FDIC" hidden="1">"c6475"</definedName>
    <definedName name="IQ_BANKS_FOREIGN_COUNTRIES_TRANS_ACCTS_FFIEC">"c15318"</definedName>
    <definedName name="IQ_BASE_RENT">"c16017"</definedName>
    <definedName name="IQ_BASE_RENT_OPERATING_LEASE_EXPIRING_AFTER_FIVE">"c16107"</definedName>
    <definedName name="IQ_BASE_RENT_OPERATING_LEASE_EXPIRING_CY">"c16101"</definedName>
    <definedName name="IQ_BASE_RENT_OPERATING_LEASE_EXPIRING_CY1">"c16102"</definedName>
    <definedName name="IQ_BASE_RENT_OPERATING_LEASE_EXPIRING_CY2">"c16103"</definedName>
    <definedName name="IQ_BASE_RENT_OPERATING_LEASE_EXPIRING_CY3">"c16104"</definedName>
    <definedName name="IQ_BASE_RENT_OPERATING_LEASE_EXPIRING_CY4">"c16105"</definedName>
    <definedName name="IQ_BASE_RENT_OPERATING_LEASE_EXPIRING_NEXT_FIVE">"c16106"</definedName>
    <definedName name="IQ_BASE_RENT_OPERATING_LEASE_EXPIRING_TOTAL">"c16108"</definedName>
    <definedName name="IQ_BASE_RENT_RENTAL_REVENUE">"c16062"</definedName>
    <definedName name="IQ_BASIC_EPS_EXCL" hidden="1">"c85"</definedName>
    <definedName name="IQ_BASIC_EPS_INCL" hidden="1">"c86"</definedName>
    <definedName name="IQ_BASIC_NAV_SHARES">"c16012"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DPRICE" hidden="1">"c13926"</definedName>
    <definedName name="IQ_BIG_INT_BEAR_CD" hidden="1">"c11749"</definedName>
    <definedName name="IQ_BOARD_MEMBER" hidden="1">"c96"</definedName>
    <definedName name="IQ_BOARD_MEMBER_ALL_OTHER_COMP">"c18992"</definedName>
    <definedName name="IQ_BOARD_MEMBER_ANNUAL_CASH_COMP">"c18993"</definedName>
    <definedName name="IQ_BOARD_MEMBER_AS_REPORTED_COMP">"c18997"</definedName>
    <definedName name="IQ_BOARD_MEMBER_AS_REPORTED_DIRECTOR_COMP">"c19009"</definedName>
    <definedName name="IQ_BOARD_MEMBER_ASSISTANT_EMAIL">"c15179"</definedName>
    <definedName name="IQ_BOARD_MEMBER_ASSISTANT_FAX">"c15181"</definedName>
    <definedName name="IQ_BOARD_MEMBER_ASSISTANT_NAME">"c15178"</definedName>
    <definedName name="IQ_BOARD_MEMBER_ASSISTANT_PHONE">"c15180"</definedName>
    <definedName name="IQ_BOARD_MEMBER_BACKGROUND" hidden="1">"c2101"</definedName>
    <definedName name="IQ_BOARD_MEMBER_BONUS">"c18988"</definedName>
    <definedName name="IQ_BOARD_MEMBER_CALCULATED_COMP">"c18995"</definedName>
    <definedName name="IQ_BOARD_MEMBER_CHANGE_PENSION">"c19010"</definedName>
    <definedName name="IQ_BOARD_MEMBER_DIRECT_FAX">"c15176"</definedName>
    <definedName name="IQ_BOARD_MEMBER_DIRECT_PHONE">"c15175"</definedName>
    <definedName name="IQ_BOARD_MEMBER_DIRECTOR_BONUS">"c19004"</definedName>
    <definedName name="IQ_BOARD_MEMBER_DIRECTOR_CHANGE_PENSION">"c19005"</definedName>
    <definedName name="IQ_BOARD_MEMBER_DIRECTOR_FEE">"c19001"</definedName>
    <definedName name="IQ_BOARD_MEMBER_DIRECTOR_NON_EQUITY_COMP">"c19006"</definedName>
    <definedName name="IQ_BOARD_MEMBER_DIRECTOR_OPTION_AWARDS">"c19002"</definedName>
    <definedName name="IQ_BOARD_MEMBER_DIRECTOR_OTHER">"c19003"</definedName>
    <definedName name="IQ_BOARD_MEMBER_DIRECTOR_STOCK_AWARDS">"c19007"</definedName>
    <definedName name="IQ_BOARD_MEMBER_DIRECTOR_STOCK_GRANTS">"c19034"</definedName>
    <definedName name="IQ_BOARD_MEMBER_DIRECTOR_STOCK_OPTIONS">"c19008"</definedName>
    <definedName name="IQ_BOARD_MEMBER_EMAIL">"c15177"</definedName>
    <definedName name="IQ_BOARD_MEMBER_EQUITY_INCENTIVE">"c19030"</definedName>
    <definedName name="IQ_BOARD_MEMBER_EST_PAYMENTS_CHANGE_CONTROL">"c18999"</definedName>
    <definedName name="IQ_BOARD_MEMBER_EST_PAYMENTS_TERMINATION">"c19011"</definedName>
    <definedName name="IQ_BOARD_MEMBER_EXERCISABLE_OPTIONS">"c19014"</definedName>
    <definedName name="IQ_BOARD_MEMBER_EXERCISABLE_VALUES">"c19015"</definedName>
    <definedName name="IQ_BOARD_MEMBER_EXERCISED_OPTIONS">"c19012"</definedName>
    <definedName name="IQ_BOARD_MEMBER_EXERCISED_VALUES">"c19013"</definedName>
    <definedName name="IQ_BOARD_MEMBER_ID">"c13756"</definedName>
    <definedName name="IQ_BOARD_MEMBER_LT_INCENTIVE">"c18991"</definedName>
    <definedName name="IQ_BOARD_MEMBER_MAIN_FAX">"c15174"</definedName>
    <definedName name="IQ_BOARD_MEMBER_MAIN_PHONE">"c15173"</definedName>
    <definedName name="IQ_BOARD_MEMBER_MARKET_VALUE_SHARES_NOT_VESTED">"c19029"</definedName>
    <definedName name="IQ_BOARD_MEMBER_NON_EQUITY_INCENTIVE">"c19000"</definedName>
    <definedName name="IQ_BOARD_MEMBER_NUM_SHARED_NOT_VESTED">"c19028"</definedName>
    <definedName name="IQ_BOARD_MEMBER_NUM_SHARES_ACQUIRED">"c19026"</definedName>
    <definedName name="IQ_BOARD_MEMBER_OFFICE_ADDRESS">"c15172"</definedName>
    <definedName name="IQ_BOARD_MEMBER_OPTION_AWARDS">"c18996"</definedName>
    <definedName name="IQ_BOARD_MEMBER_OPTION_MARKET_PRICE">"c19025"</definedName>
    <definedName name="IQ_BOARD_MEMBER_OPTION_PRICE">"c19024"</definedName>
    <definedName name="IQ_BOARD_MEMBER_OTHER_ANNUAL_COMP">"c18989"</definedName>
    <definedName name="IQ_BOARD_MEMBER_OTHER_COMP">"c18998"</definedName>
    <definedName name="IQ_BOARD_MEMBER_RESTRICTED_STOCK_COMP">"c18990"</definedName>
    <definedName name="IQ_BOARD_MEMBER_SALARY">"c18987"</definedName>
    <definedName name="IQ_BOARD_MEMBER_ST_COMP">"c18994"</definedName>
    <definedName name="IQ_BOARD_MEMBER_TITLE" hidden="1">"c97"</definedName>
    <definedName name="IQ_BOARD_MEMBER_TOTAL_NUM_STOCK_AWARDS">"c19033"</definedName>
    <definedName name="IQ_BOARD_MEMBER_TOTAL_OPTIONS">"c19022"</definedName>
    <definedName name="IQ_BOARD_MEMBER_TOTAL_STOCK_VALUE">"c19032"</definedName>
    <definedName name="IQ_BOARD_MEMBER_TOTAL_VALUE_OPTIONS">"c19023"</definedName>
    <definedName name="IQ_BOARD_MEMBER_UNCLASSIFIED_OPTIONS">"c19018"</definedName>
    <definedName name="IQ_BOARD_MEMBER_UNCLASSIFIED_OPTIONS_VALUE">"c19019"</definedName>
    <definedName name="IQ_BOARD_MEMBER_UNEARNED_STOCK_VALUE">"c19031"</definedName>
    <definedName name="IQ_BOARD_MEMBER_UNEXERCISABLE_OPTIONS">"c19016"</definedName>
    <definedName name="IQ_BOARD_MEMBER_UNEXERCISABLE_VALUES">"c19017"</definedName>
    <definedName name="IQ_BOARD_MEMBER_UNEXERCISED_UNEARNED_OPTIONS">"c19020"</definedName>
    <definedName name="IQ_BOARD_MEMBER_UNEXERCISED_UNEARNED_OPTIONS_VALUE">"c19021"</definedName>
    <definedName name="IQ_BOARD_MEMBER_VALUE_VESTING">"c19027"</definedName>
    <definedName name="IQ_BOND_COUPON" hidden="1">"c2183"</definedName>
    <definedName name="IQ_BOND_COUPON_TYPE" hidden="1">"c2184"</definedName>
    <definedName name="IQ_BOND_LIST">"c13505"</definedName>
    <definedName name="IQ_BOND_PRICE" hidden="1">"c2162"</definedName>
    <definedName name="IQ_BONDRATING_FITCH" hidden="1">"c223"</definedName>
    <definedName name="IQ_BONDRATING_FITCH_DATE" hidden="1">"c241"</definedName>
    <definedName name="IQ_BONDRATING_SP" hidden="1">"c224"</definedName>
    <definedName name="IQ_BONDRATING_SP_DATE" hidden="1">"c242"</definedName>
    <definedName name="IQ_BOOK_VALUE" hidden="1">"c68"</definedName>
    <definedName name="IQ_BORROWED_MONEY_QUARTERLY_AVG_FFIEC">"c13091"</definedName>
    <definedName name="IQ_BORROWINGS_LESS_1YR_ASSETS_TOT_FFIEC">"c13450"</definedName>
    <definedName name="IQ_BR_FILING_DATE">"c16223"</definedName>
    <definedName name="IQ_BR_FILING_TYPE">"c16224"</definedName>
    <definedName name="IQ_BR_PLAN_APPROVE_DATE">"c16226"</definedName>
    <definedName name="IQ_BR_PLAN_CONFIRM">"c16225"</definedName>
    <definedName name="IQ_BROK_COMISSION" hidden="1">"c98"</definedName>
    <definedName name="IQ_BROK_COMMISSION" hidden="1">"c3514"</definedName>
    <definedName name="IQ_BROKER_DEPOSIT_LESS_THAN_100000_1_YR_LESS_FFIEC">"c15307"</definedName>
    <definedName name="IQ_BROKER_DEPOSIT_LESS_THAN_100000_1_YR_MORE_FFIEC">"c15308"</definedName>
    <definedName name="IQ_BROKER_DEPOSIT_LESS_THAN_100000_FFIEC">"c15306"</definedName>
    <definedName name="IQ_BROKER_DEPOSIT_MORE_THAN_100000_1_YR_LESS_FFIEC">"c15310"</definedName>
    <definedName name="IQ_BROKER_DEPOSIT_MORE_THAN_100000_1_YR_MORE_FFIEC">"c15311"</definedName>
    <definedName name="IQ_BROKER_DEPOSIT_MORE_THAN_100000_FFIEC">"c15309"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DESCRIPTION">"c15589"</definedName>
    <definedName name="IQ_BUS_SEG_DESCRIPTION_ABS">"c15577"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IC">"c15588"</definedName>
    <definedName name="IQ_BUS_SEG_NAIC_ABS">"c15576"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>"c15584"</definedName>
    <definedName name="IQ_BUS_SEG_PRIMARY_GIC_ABS">"c15572"</definedName>
    <definedName name="IQ_BUS_SEG_PRIMARY_SIC">"c15586"</definedName>
    <definedName name="IQ_BUS_SEG_PRIMARY_SIC_ABS">"c15574"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>"c15585"</definedName>
    <definedName name="IQ_BUS_SEG_SECONDARY_GIC_ABS">"c15573"</definedName>
    <definedName name="IQ_BUS_SEG_SECONDARY_SIC">"c15587"</definedName>
    <definedName name="IQ_BUS_SEG_SECONDARY_SIC_ABS">"c15575"</definedName>
    <definedName name="IQ_BUSINESS_COMBINATIONS_FFIEC">"c12967"</definedName>
    <definedName name="IQ_BUSINESS_DESCRIPTION" hidden="1">"c322"</definedName>
    <definedName name="IQ_BV_ACT_OR_EST_CIQ" hidden="1">"c5068"</definedName>
    <definedName name="IQ_BV_ACT_OR_EST_CIQ_COL" hidden="1">"c11715"</definedName>
    <definedName name="IQ_BV_ACT_OR_EST_REUT" hidden="1">"c5471"</definedName>
    <definedName name="IQ_BV_ACT_OR_EST_THOM" hidden="1">"c5308"</definedName>
    <definedName name="IQ_BV_EST" hidden="1">"c5624"</definedName>
    <definedName name="IQ_BV_EST_REUT" hidden="1">"c5403"</definedName>
    <definedName name="IQ_BV_EST_THOM" hidden="1">"c5147"</definedName>
    <definedName name="IQ_BV_HIGH_EST" hidden="1">"c5626"</definedName>
    <definedName name="IQ_BV_HIGH_EST_REUT" hidden="1">"c5405"</definedName>
    <definedName name="IQ_BV_HIGH_EST_THOM" hidden="1">"c5149"</definedName>
    <definedName name="IQ_BV_LOW_EST" hidden="1">"c5627"</definedName>
    <definedName name="IQ_BV_LOW_EST_REUT" hidden="1">"c5406"</definedName>
    <definedName name="IQ_BV_LOW_EST_THOM" hidden="1">"c5150"</definedName>
    <definedName name="IQ_BV_MEDIAN_EST" hidden="1">"c5625"</definedName>
    <definedName name="IQ_BV_MEDIAN_EST_REUT" hidden="1">"c5404"</definedName>
    <definedName name="IQ_BV_MEDIAN_EST_THOM" hidden="1">"c5148"</definedName>
    <definedName name="IQ_BV_NUM_EST" hidden="1">"c5628"</definedName>
    <definedName name="IQ_BV_NUM_EST_REUT" hidden="1">"c5407"</definedName>
    <definedName name="IQ_BV_NUM_EST_THOM" hidden="1">"c5151"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CIQ_COL" hidden="1">"c11719"</definedName>
    <definedName name="IQ_BV_SHARE_ACT_OR_EST_REUT" hidden="1">"c5477"</definedName>
    <definedName name="IQ_BV_SHARE_ACT_OR_EST_THOM" hidden="1">"c5312"</definedName>
    <definedName name="IQ_BV_SHARE_DET_EST" hidden="1">"c12047"</definedName>
    <definedName name="IQ_BV_SHARE_DET_EST_CURRENCY" hidden="1">"c12456"</definedName>
    <definedName name="IQ_BV_SHARE_DET_EST_CURRENCY_THOM" hidden="1">"c12476"</definedName>
    <definedName name="IQ_BV_SHARE_DET_EST_DATE" hidden="1">"c12200"</definedName>
    <definedName name="IQ_BV_SHARE_DET_EST_DATE_THOM" hidden="1">"c12225"</definedName>
    <definedName name="IQ_BV_SHARE_DET_EST_INCL" hidden="1">"c12339"</definedName>
    <definedName name="IQ_BV_SHARE_DET_EST_INCL_THOM" hidden="1">"c12359"</definedName>
    <definedName name="IQ_BV_SHARE_DET_EST_ORIGIN" hidden="1">"c12573"</definedName>
    <definedName name="IQ_BV_SHARE_DET_EST_ORIGIN_THOM" hidden="1">"c12595"</definedName>
    <definedName name="IQ_BV_SHARE_DET_EST_THOM" hidden="1">"c12075"</definedName>
    <definedName name="IQ_BV_SHARE_EST" hidden="1">"c3541"</definedName>
    <definedName name="IQ_BV_SHARE_EST_REUT" hidden="1">"c5439"</definedName>
    <definedName name="IQ_BV_SHARE_EST_THOM" hidden="1">"c4020"</definedName>
    <definedName name="IQ_BV_SHARE_HIGH_EST" hidden="1">"c3542"</definedName>
    <definedName name="IQ_BV_SHARE_HIGH_EST_REUT" hidden="1">"c5441"</definedName>
    <definedName name="IQ_BV_SHARE_HIGH_EST_THOM" hidden="1">"c4022"</definedName>
    <definedName name="IQ_BV_SHARE_LOW_EST" hidden="1">"c3543"</definedName>
    <definedName name="IQ_BV_SHARE_LOW_EST_REUT" hidden="1">"c5442"</definedName>
    <definedName name="IQ_BV_SHARE_LOW_EST_THOM" hidden="1">"c4023"</definedName>
    <definedName name="IQ_BV_SHARE_MEDIAN_EST" hidden="1">"c3544"</definedName>
    <definedName name="IQ_BV_SHARE_MEDIAN_EST_REUT" hidden="1">"c5440"</definedName>
    <definedName name="IQ_BV_SHARE_MEDIAN_EST_THOM" hidden="1">"c4021"</definedName>
    <definedName name="IQ_BV_SHARE_NUM_EST" hidden="1">"c3539"</definedName>
    <definedName name="IQ_BV_SHARE_NUM_EST_REUT" hidden="1">"c5443"</definedName>
    <definedName name="IQ_BV_SHARE_NUM_EST_THOM" hidden="1">"c4024"</definedName>
    <definedName name="IQ_BV_SHARE_STDDEV_EST" hidden="1">"c3540"</definedName>
    <definedName name="IQ_BV_SHARE_STDDEV_EST_REUT" hidden="1">"c5444"</definedName>
    <definedName name="IQ_BV_SHARE_STDDEV_EST_THOM" hidden="1">"c4025"</definedName>
    <definedName name="IQ_BV_STDDEV_EST" hidden="1">"c5629"</definedName>
    <definedName name="IQ_BV_STDDEV_EST_REUT" hidden="1">"c5408"</definedName>
    <definedName name="IQ_BV_STDDEV_EST_THOM" hidden="1">"c5152"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BUS_PHONE">"c15773"</definedName>
    <definedName name="IQ_CABLE_SUBS_DIG" hidden="1">"c2856"</definedName>
    <definedName name="IQ_CABLE_SUBS_LONG_DIST_PHONE">"c15775"</definedName>
    <definedName name="IQ_CABLE_SUBS_NON_VIDEO" hidden="1">"c2860"</definedName>
    <definedName name="IQ_CABLE_SUBS_PHONE" hidden="1">"c2859"</definedName>
    <definedName name="IQ_CABLE_SUBS_RES_PHONE">"c15772"</definedName>
    <definedName name="IQ_CABLE_SUBS_SATELITE">"c15771"</definedName>
    <definedName name="IQ_CABLE_SUBS_TOTAL" hidden="1">"c2862"</definedName>
    <definedName name="IQ_CABLE_SUBS_WHOLE_PHONE">"c15774"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CIQ_COL" hidden="1">"c11743"</definedName>
    <definedName name="IQ_CAL_Q_EST_REUT" hidden="1">"c6800"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CIQ_COL" hidden="1">"c11744"</definedName>
    <definedName name="IQ_CAL_Y_EST_REUT" hidden="1">"c6801"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INVEST_CABLE">"c15794"</definedName>
    <definedName name="IQ_CAP_INVEST_COMMERCIAL">"c15800"</definedName>
    <definedName name="IQ_CAP_INVEST_CUST_PREMISE_EQUIP">"c15795"</definedName>
    <definedName name="IQ_CAP_INVEST_LINE_EXTENSIONS">"c15797"</definedName>
    <definedName name="IQ_CAP_INVEST_SCALABLE_INFRASTRUCTURE">"c15796"</definedName>
    <definedName name="IQ_CAP_INVEST_SUPPORT">"c15799"</definedName>
    <definedName name="IQ_CAP_INVEST_UPGRADE_REBUILD">"c15798"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CIQ_COL" hidden="1">"c11718"</definedName>
    <definedName name="IQ_CAPEX_ACT_OR_EST_REUT" hidden="1">"c5474"</definedName>
    <definedName name="IQ_CAPEX_ACT_OR_EST_THOM" hidden="1">"c5546"</definedName>
    <definedName name="IQ_CAPEX_BNK" hidden="1">"c110"</definedName>
    <definedName name="IQ_CAPEX_BR" hidden="1">"c111"</definedName>
    <definedName name="IQ_CAPEX_DET_EST" hidden="1">"c12048"</definedName>
    <definedName name="IQ_CAPEX_DET_EST_CURRENCY" hidden="1">"c12457"</definedName>
    <definedName name="IQ_CAPEX_DET_EST_CURRENCY_THOM" hidden="1">"c12477"</definedName>
    <definedName name="IQ_CAPEX_DET_EST_DATE" hidden="1">"c12201"</definedName>
    <definedName name="IQ_CAPEX_DET_EST_DATE_THOM" hidden="1">"c12226"</definedName>
    <definedName name="IQ_CAPEX_DET_EST_INCL" hidden="1">"c12340"</definedName>
    <definedName name="IQ_CAPEX_DET_EST_INCL_THOM" hidden="1">"c12360"</definedName>
    <definedName name="IQ_CAPEX_DET_EST_ORIGIN" hidden="1">"c12765"</definedName>
    <definedName name="IQ_CAPEX_DET_EST_ORIGIN_THOM" hidden="1">"c12596"</definedName>
    <definedName name="IQ_CAPEX_DET_EST_THOM" hidden="1">"c12076"</definedName>
    <definedName name="IQ_CAPEX_EST" hidden="1">"c3523"</definedName>
    <definedName name="IQ_CAPEX_EST_REUT" hidden="1">"c3969"</definedName>
    <definedName name="IQ_CAPEX_EST_THOM" hidden="1">"c5502"</definedName>
    <definedName name="IQ_CAPEX_FIN" hidden="1">"c112"</definedName>
    <definedName name="IQ_CAPEX_GUIDANCE" hidden="1">"c4150"</definedName>
    <definedName name="IQ_CAPEX_GUIDANCE_CIQ">"c4562"</definedName>
    <definedName name="IQ_CAPEX_GUIDANCE_CIQ_COL">"c11211"</definedName>
    <definedName name="IQ_CAPEX_HIGH_EST" hidden="1">"c3524"</definedName>
    <definedName name="IQ_CAPEX_HIGH_EST_REUT" hidden="1">"c3971"</definedName>
    <definedName name="IQ_CAPEX_HIGH_EST_THOM" hidden="1">"c5504"</definedName>
    <definedName name="IQ_CAPEX_HIGH_GUIDANCE" hidden="1">"c4180"</definedName>
    <definedName name="IQ_CAPEX_HIGH_GUIDANCE_CIQ">"c4592"</definedName>
    <definedName name="IQ_CAPEX_HIGH_GUIDANCE_CIQ_COL">"c11241"</definedName>
    <definedName name="IQ_CAPEX_INS" hidden="1">"c113"</definedName>
    <definedName name="IQ_CAPEX_LOW_EST" hidden="1">"c3525"</definedName>
    <definedName name="IQ_CAPEX_LOW_EST_REUT" hidden="1">"c3972"</definedName>
    <definedName name="IQ_CAPEX_LOW_EST_THOM" hidden="1">"c5505"</definedName>
    <definedName name="IQ_CAPEX_LOW_GUIDANCE" hidden="1">"c4220"</definedName>
    <definedName name="IQ_CAPEX_LOW_GUIDANCE_CIQ">"c4632"</definedName>
    <definedName name="IQ_CAPEX_LOW_GUIDANCE_CIQ_COL">"c11281"</definedName>
    <definedName name="IQ_CAPEX_MEDIAN_EST" hidden="1">"c3526"</definedName>
    <definedName name="IQ_CAPEX_MEDIAN_EST_REUT" hidden="1">"c3970"</definedName>
    <definedName name="IQ_CAPEX_MEDIAN_EST_THOM" hidden="1">"c5503"</definedName>
    <definedName name="IQ_CAPEX_NUM_EST" hidden="1">"c3521"</definedName>
    <definedName name="IQ_CAPEX_NUM_EST_REUT" hidden="1">"c3973"</definedName>
    <definedName name="IQ_CAPEX_NUM_EST_THOM" hidden="1">"c5506"</definedName>
    <definedName name="IQ_CAPEX_PCT_REV">"c19144"</definedName>
    <definedName name="IQ_CAPEX_STDDEV_EST" hidden="1">"c3522"</definedName>
    <definedName name="IQ_CAPEX_STDDEV_EST_REUT" hidden="1">"c3974"</definedName>
    <definedName name="IQ_CAPEX_STDDEV_EST_THOM" hidden="1">"c5507"</definedName>
    <definedName name="IQ_CAPEX_UTI" hidden="1">"c114"</definedName>
    <definedName name="IQ_CAPITAL_ALLOCATION_ADJUSTMENT_FOREIGN_FFIEC">"c15389"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_UNDER_MANAGE">"c18929"</definedName>
    <definedName name="IQ_CAPITAL_UNDER_MANAGE_CURRENCY">"c19171"</definedName>
    <definedName name="IQ_CAPITAL_UNDER_MANAGE_DATE">"c18930"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BALANCES_DUE_FFIEC">"c12773"</definedName>
    <definedName name="IQ_CASH_BANKS_FOREIGN_COUNTRIES_DOM_FFIEC">"c15289"</definedName>
    <definedName name="IQ_CASH_COLLECTION_UNPOSTED_DEBITS_CURRENCY_FFIEC">"c15279"</definedName>
    <definedName name="IQ_CASH_COLLECTION_UNPOSTED_DEBITS_DOM_FFIEC">"c15286"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ER_SUB">"c15763"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EPOSITORY_INSTIT_US_DOM_FFIEC">"c15288"</definedName>
    <definedName name="IQ_CASH_DIVIDENDS_NET_INCOME_FDIC" hidden="1">"c6738"</definedName>
    <definedName name="IQ_CASH_DUE_BANKS" hidden="1">"c1351"</definedName>
    <definedName name="IQ_CASH_DUE_OTHER_FED_RESERVE_BANKS_DOM_FFIEC">"c15290"</definedName>
    <definedName name="IQ_CASH_DUE_OTHER_FED_RESERVE_BANKS_FFIEC">"c15284"</definedName>
    <definedName name="IQ_CASH_DUE_US_BRANCH_FOREIGN_BANK_FFIEC">"c15280"</definedName>
    <definedName name="IQ_CASH_EPS_ACT_OR_EST" hidden="1">"c5638"</definedName>
    <definedName name="IQ_CASH_EPS_ACT_OR_EST_THOM" hidden="1">"c5646"</definedName>
    <definedName name="IQ_CASH_EPS_DET_EST_CURRENCY_THOM" hidden="1">"c12478"</definedName>
    <definedName name="IQ_CASH_EPS_DET_EST_DATE_THOM" hidden="1">"c12227"</definedName>
    <definedName name="IQ_CASH_EPS_DET_EST_INCL_THOM" hidden="1">"c12361"</definedName>
    <definedName name="IQ_CASH_EPS_DET_EST_ORIGIN_THOM" hidden="1">"c12597"</definedName>
    <definedName name="IQ_CASH_EPS_DET_EST_THOM" hidden="1">"c12077"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ACT_OR_EST_CIQ_COL" hidden="1">"c11215"</definedName>
    <definedName name="IQ_CASH_FLOW_EST" hidden="1">"c4153"</definedName>
    <definedName name="IQ_CASH_FLOW_GUIDANCE" hidden="1">"c4155"</definedName>
    <definedName name="IQ_CASH_FLOW_GUIDANCE_CIQ">"c4567"</definedName>
    <definedName name="IQ_CASH_FLOW_GUIDANCE_CIQ_COL">"c11216"</definedName>
    <definedName name="IQ_CASH_FLOW_HIGH_EST" hidden="1">"c4156"</definedName>
    <definedName name="IQ_CASH_FLOW_HIGH_GUIDANCE" hidden="1">"c4201"</definedName>
    <definedName name="IQ_CASH_FLOW_HIGH_GUIDANCE_CIQ">"c4613"</definedName>
    <definedName name="IQ_CASH_FLOW_HIGH_GUIDANCE_CIQ_COL">"c11262"</definedName>
    <definedName name="IQ_CASH_FLOW_LOW_EST" hidden="1">"c4157"</definedName>
    <definedName name="IQ_CASH_FLOW_LOW_GUIDANCE" hidden="1">"c4241"</definedName>
    <definedName name="IQ_CASH_FLOW_LOW_GUIDANCE_CIQ">"c4653"</definedName>
    <definedName name="IQ_CASH_FLOW_LOW_GUIDANCE_CIQ_COL">"c11302"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FOREIGN_BRANCH_OTHER_US_BANKS_FFIEC">"c15282"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CT_OR_EST_CIQ_COL" hidden="1">"c11225"</definedName>
    <definedName name="IQ_CASH_OPER_AP" hidden="1">"c8888"</definedName>
    <definedName name="IQ_CASH_OPER_AP_ABS" hidden="1">"c8907"</definedName>
    <definedName name="IQ_CASH_OPER_EST" hidden="1">"c4163"</definedName>
    <definedName name="IQ_CASH_OPER_GUIDANCE" hidden="1">"c4165"</definedName>
    <definedName name="IQ_CASH_OPER_GUIDANCE_CIQ">"c4577"</definedName>
    <definedName name="IQ_CASH_OPER_GUIDANCE_CIQ_COL">"c11226"</definedName>
    <definedName name="IQ_CASH_OPER_HIGH_EST" hidden="1">"c4166"</definedName>
    <definedName name="IQ_CASH_OPER_HIGH_GUIDANCE" hidden="1">"c4185"</definedName>
    <definedName name="IQ_CASH_OPER_HIGH_GUIDANCE_CIQ">"c4597"</definedName>
    <definedName name="IQ_CASH_OPER_HIGH_GUIDANCE_CIQ_COL">"c11246"</definedName>
    <definedName name="IQ_CASH_OPER_LOW_EST" hidden="1">"c4244"</definedName>
    <definedName name="IQ_CASH_OPER_LOW_GUIDANCE" hidden="1">"c4225"</definedName>
    <definedName name="IQ_CASH_OPER_LOW_GUIDANCE_CIQ">"c4637"</definedName>
    <definedName name="IQ_CASH_OPER_LOW_GUIDANCE_CIQ_COL">"c11286"</definedName>
    <definedName name="IQ_CASH_OPER_MEDIAN_EST" hidden="1">"c4245"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STDDEV_EST" hidden="1">"c4247"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OTHER_BANKS_FOREIGN_COUNTRIES_FFIEC">"c15283"</definedName>
    <definedName name="IQ_CASH_OTHER_US_COMM_BANK_DEP_INSTIT_FFIEC">"c15281"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GUIDANCE_CIQ">"c4776"</definedName>
    <definedName name="IQ_CASH_ST_INVEST_GUIDANCE_CIQ_COL">"c11423"</definedName>
    <definedName name="IQ_CASH_ST_INVEST_HIGH_EST" hidden="1">"c4251"</definedName>
    <definedName name="IQ_CASH_ST_INVEST_HIGH_GUIDANCE" hidden="1">"c4195"</definedName>
    <definedName name="IQ_CASH_ST_INVEST_HIGH_GUIDANCE_CIQ">"c4607"</definedName>
    <definedName name="IQ_CASH_ST_INVEST_HIGH_GUIDANCE_CIQ_COL">"c11256"</definedName>
    <definedName name="IQ_CASH_ST_INVEST_LOW_EST" hidden="1">"c4252"</definedName>
    <definedName name="IQ_CASH_ST_INVEST_LOW_GUIDANCE" hidden="1">"c4235"</definedName>
    <definedName name="IQ_CASH_ST_INVEST_LOW_GUIDANCE_CIQ">"c4647"</definedName>
    <definedName name="IQ_CASH_ST_INVEST_LOW_GUIDANCE_CIQ_COL">"c11296"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STRUCTURED_PRODUCTS_AFS_AMORT_COST_FFIEC" hidden="1">"c20500"</definedName>
    <definedName name="IQ_CASH_STRUCTURED_PRODUCTS_AFS_FAIR_VAL_FFIEC" hidden="1">"c20465"</definedName>
    <definedName name="IQ_CASH_STRUCTURED_PRODUCTS_AVAIL_SALE_FFIEC">"c15263"</definedName>
    <definedName name="IQ_CASH_STRUCTURED_PRODUCTS_FFIEC">"c15260"</definedName>
    <definedName name="IQ_CASH_STRUCTURED_PRODUCTS_HTM_AMORT_COST_FFIEC" hidden="1">"c20448"</definedName>
    <definedName name="IQ_CASH_STRUCTURED_PRODUCTS_HTM_FAIR_VAL_FFIEC" hidden="1">"c20483"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ATASTROPHIC_LOSS_RATIO">"c15881"</definedName>
    <definedName name="IQ_CATASTROPHIC_LOSSES" hidden="1">"c17694"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OUPON">"c15234"</definedName>
    <definedName name="IQ_CDS_CURRENCY" hidden="1">"c6031"</definedName>
    <definedName name="IQ_CDS_DERIVATIVES_BENEFICIARY_FFIEC">"c13119"</definedName>
    <definedName name="IQ_CDS_DERIVATIVES_GUARANTOR_FFIEC">"c13112"</definedName>
    <definedName name="IQ_CDS_EVAL_DATE" hidden="1">"c6029"</definedName>
    <definedName name="IQ_CDS_LIST">"c13510"</definedName>
    <definedName name="IQ_CDS_LOAN_LIST">"c13518"</definedName>
    <definedName name="IQ_CDS_MID" hidden="1">"c6028"</definedName>
    <definedName name="IQ_CDS_NAME" hidden="1">"c6034"</definedName>
    <definedName name="IQ_CDS_NEXT_SERIES_ID">"c15231"</definedName>
    <definedName name="IQ_CDS_PREV_SERIES_ID">"c15232"</definedName>
    <definedName name="IQ_CDS_PRICE_TYPE">"c15233"</definedName>
    <definedName name="IQ_CDS_SENIOR_LIST">"c13508"</definedName>
    <definedName name="IQ_CDS_SUB_LIST">"c13509"</definedName>
    <definedName name="IQ_CDS_TERM" hidden="1">"c6030"</definedName>
    <definedName name="IQ_CDS_TYPE" hidden="1">"c6025"</definedName>
    <definedName name="IQ_CEDED_AH_EARNED" hidden="1">"c2743"</definedName>
    <definedName name="IQ_CEDED_CLAIM_ADJ_EXP_RESERVE_BOP">"c15875"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LOSSES">"c15872"</definedName>
    <definedName name="IQ_CEDED_PC_EARNED" hidden="1">"c2748"</definedName>
    <definedName name="IQ_CEDED_PREMIUMS_EARNED_GROSS_PREMIUMS_EARNED">"c15887"</definedName>
    <definedName name="IQ_CEDED_PREMIUMS_WRITTEN_GROSS_PREMIUMS_WRITTEN">"c15885"</definedName>
    <definedName name="IQ_CEDED_WRITTEN" hidden="1">"c2727"</definedName>
    <definedName name="IQ_CEO_ID">"c15210"</definedName>
    <definedName name="IQ_CEO_NAME">"c15209"</definedName>
    <definedName name="IQ_CERTIFIED_OFFICIAL_CHECKS_TRANS_ACCTS_FFIEC">"c15320"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O_ID">"c15212"</definedName>
    <definedName name="IQ_CFO_NAME">"c15211"</definedName>
    <definedName name="IQ_CFPS_ACT_OR_EST" hidden="1">"c2217"</definedName>
    <definedName name="IQ_CFPS_ACT_OR_EST_CIQ_COL" hidden="1">"c11708"</definedName>
    <definedName name="IQ_CFPS_ACT_OR_EST_REUT" hidden="1">"c5463"</definedName>
    <definedName name="IQ_CFPS_ACT_OR_EST_THOM" hidden="1">"c5301"</definedName>
    <definedName name="IQ_CFPS_DET_EST" hidden="1">"c12049"</definedName>
    <definedName name="IQ_CFPS_DET_EST_CURRENCY" hidden="1">"c12458"</definedName>
    <definedName name="IQ_CFPS_DET_EST_CURRENCY_THOM" hidden="1">"c12479"</definedName>
    <definedName name="IQ_CFPS_DET_EST_DATE" hidden="1">"c12202"</definedName>
    <definedName name="IQ_CFPS_DET_EST_DATE_THOM" hidden="1">"c12228"</definedName>
    <definedName name="IQ_CFPS_DET_EST_INCL" hidden="1">"c12341"</definedName>
    <definedName name="IQ_CFPS_DET_EST_INCL_THOM" hidden="1">"c12362"</definedName>
    <definedName name="IQ_CFPS_DET_EST_ORIGIN" hidden="1">"c12575"</definedName>
    <definedName name="IQ_CFPS_DET_EST_ORIGIN_THOM" hidden="1">"c12598"</definedName>
    <definedName name="IQ_CFPS_DET_EST_THOM" hidden="1">"c12078"</definedName>
    <definedName name="IQ_CFPS_EST" hidden="1">"c1667"</definedName>
    <definedName name="IQ_CFPS_EST_REUT" hidden="1">"c3844"</definedName>
    <definedName name="IQ_CFPS_EST_THOM" hidden="1">"c4006"</definedName>
    <definedName name="IQ_CFPS_GUIDANCE" hidden="1">"c4256"</definedName>
    <definedName name="IQ_CFPS_GUIDANCE_CIQ">"c4782"</definedName>
    <definedName name="IQ_CFPS_GUIDANCE_CIQ_COL">"c11429"</definedName>
    <definedName name="IQ_CFPS_HIGH_EST" hidden="1">"c1669"</definedName>
    <definedName name="IQ_CFPS_HIGH_EST_REUT" hidden="1">"c3846"</definedName>
    <definedName name="IQ_CFPS_HIGH_EST_THOM" hidden="1">"c4008"</definedName>
    <definedName name="IQ_CFPS_HIGH_GUIDANCE" hidden="1">"c4167"</definedName>
    <definedName name="IQ_CFPS_HIGH_GUIDANCE_CIQ">"c4579"</definedName>
    <definedName name="IQ_CFPS_HIGH_GUIDANCE_CIQ_COL">"c11228"</definedName>
    <definedName name="IQ_CFPS_LOW_EST" hidden="1">"c1670"</definedName>
    <definedName name="IQ_CFPS_LOW_EST_REUT" hidden="1">"c3847"</definedName>
    <definedName name="IQ_CFPS_LOW_EST_THOM" hidden="1">"c4009"</definedName>
    <definedName name="IQ_CFPS_LOW_GUIDANCE" hidden="1">"c4207"</definedName>
    <definedName name="IQ_CFPS_LOW_GUIDANCE_CIQ">"c4619"</definedName>
    <definedName name="IQ_CFPS_LOW_GUIDANCE_CIQ_COL">"c11268"</definedName>
    <definedName name="IQ_CFPS_MEDIAN_EST" hidden="1">"c1668"</definedName>
    <definedName name="IQ_CFPS_MEDIAN_EST_REUT" hidden="1">"c3845"</definedName>
    <definedName name="IQ_CFPS_MEDIAN_EST_THOM" hidden="1">"c4007"</definedName>
    <definedName name="IQ_CFPS_NUM_EST" hidden="1">"c1671"</definedName>
    <definedName name="IQ_CFPS_NUM_EST_REUT" hidden="1">"c3848"</definedName>
    <definedName name="IQ_CFPS_NUM_EST_THOM" hidden="1">"c4010"</definedName>
    <definedName name="IQ_CFPS_STDDEV_EST" hidden="1">"c1672"</definedName>
    <definedName name="IQ_CFPS_STDDEV_EST_REUT" hidden="1">"c3849"</definedName>
    <definedName name="IQ_CFPS_STDDEV_EST_THOM" hidden="1">"c4011"</definedName>
    <definedName name="IQ_CH">110000</definedName>
    <definedName name="IQ_CHAIRMAN_ID">"c15218"</definedName>
    <definedName name="IQ_CHAIRMAN_NAME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>"c15557"</definedName>
    <definedName name="IQ_CHANGE_DEPOSIT_ACCT" hidden="1">"c148"</definedName>
    <definedName name="IQ_CHANGE_FAIR_VALUE_FINANCIAL_LIAB_T1_FFIEC">"c13138"</definedName>
    <definedName name="IQ_CHANGE_FAIR_VALUE_OPTIONS_FFIEC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UNRECOG_TAX_BENEFIT_1_YR_MAX">"c15747"</definedName>
    <definedName name="IQ_CHANGE_UNRECOG_TAX_BENEFIT_1_YR_MIN">"c15746"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HURN_BASIC_CABLE">"c2871"</definedName>
    <definedName name="IQ_CHURN_BBAND">"c2872"</definedName>
    <definedName name="IQ_CHURN_DIG_CABLE">"c2870"</definedName>
    <definedName name="IQ_CHURN_PHONE">"c2873"</definedName>
    <definedName name="IQ_CHURN_POSTPAID_WIRELESS">"c2121"</definedName>
    <definedName name="IQ_CHURN_PREPAID_WIRELESS">"c2120"</definedName>
    <definedName name="IQ_CHURN_SATELLITE">"c15791"</definedName>
    <definedName name="IQ_CHURN_TOTAL">"c2874"</definedName>
    <definedName name="IQ_CHURN_TOTAL_WIRELESS">"c2122"</definedName>
    <definedName name="IQ_CIK" hidden="1">"c20384"</definedName>
    <definedName name="IQ_CIP" hidden="1">"c17551"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>"c13100"</definedName>
    <definedName name="IQ_CLASS_MARKETCAP">"c13512"</definedName>
    <definedName name="IQ_CLASS_SHARESOUTSTANDING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D_END_1_4_FAM_LOANS_TOT_LOANS_FFIEC">"c13866"</definedName>
    <definedName name="IQ_CLOSED_END_1_4_FIRST_LIENS_TRADING_DOM_FFIEC">"c12928"</definedName>
    <definedName name="IQ_CLOSED_END_1_4_JR_LIENS_LL_REC_DOM_FFIEC">"c12904"</definedName>
    <definedName name="IQ_CLOSED_END_1_4_JUNIOR_LIENS_TRADING_DOM_FFIEC">"c12929"</definedName>
    <definedName name="IQ_CLOSED_END_SEC_1_4_1ST_LIENS_CHARGE_OFFS_FFIEC">"c13169"</definedName>
    <definedName name="IQ_CLOSED_END_SEC_1_4_1ST_LIENS_DUE_30_89_FFIEC">"c13261"</definedName>
    <definedName name="IQ_CLOSED_END_SEC_1_4_1ST_LIENS_DUE_90_FFIEC">"c13289"</definedName>
    <definedName name="IQ_CLOSED_END_SEC_1_4_1ST_LIENS_NON_ACCRUAL_FFIEC">"c13315"</definedName>
    <definedName name="IQ_CLOSED_END_SEC_1_4_1ST_LIENS_RECOV_FFIEC">"c13191"</definedName>
    <definedName name="IQ_CLOSED_END_SEC_1_4_JR_LIENS_CHARGE_OFFS_FFIEC">"c13170"</definedName>
    <definedName name="IQ_CLOSED_END_SEC_1_4_JR_LIENS_DUE_30_89_FFIEC">"c13262"</definedName>
    <definedName name="IQ_CLOSED_END_SEC_1_4_JR_LIENS_DUE_90_FFIEC">"c13290"</definedName>
    <definedName name="IQ_CLOSED_END_SEC_1_4_JR_LIENS_NON_ACCRUAL_FFIEC">"c13316"</definedName>
    <definedName name="IQ_CLOSED_END_SEC_1_4_JR_LIENS_RECOV_FFIEC">"c13192"</definedName>
    <definedName name="IQ_CLOSED_END_SEC_1_4_RESIDENT_CHARGE_OFFS_FFIEC">"c15397"</definedName>
    <definedName name="IQ_CLOSED_END_SEC_1_4_RESIDENT_DUE_30_89_FFIEC">"c15413"</definedName>
    <definedName name="IQ_CLOSED_END_SEC_1_4_RESIDENT_DUE_90_FFIEC">"c15417"</definedName>
    <definedName name="IQ_CLOSED_END_SEC_1_4_RESIDENT_NON_ACCRUAL_FFIEC">"c15460"</definedName>
    <definedName name="IQ_CLOSED_END_SEC_1_4_RESIDENT_RECOV_FFIEC">"c15398"</definedName>
    <definedName name="IQ_CLOSED_END_SECURED_1_4_FIRST_LIENS_LL_REC_DOM_FFIEC">"c12903"</definedName>
    <definedName name="IQ_CLOSED_LOANS_GROSS_LOANS_FFIEC">"c13399"</definedName>
    <definedName name="IQ_CLOSED_LOANS_RISK_BASED_FFIEC">"c13420"</definedName>
    <definedName name="IQ_CLOSEPRICE" hidden="1">"c174"</definedName>
    <definedName name="IQ_CLOSEPRICE_ADJ" hidden="1">"c2115"</definedName>
    <definedName name="IQ_CLOSEPRICE_RT">"CLOSE"</definedName>
    <definedName name="IQ_CMBS_ISSUED_AFS_AMORT_COST_FFIEC" hidden="1">"c20497"</definedName>
    <definedName name="IQ_CMBS_ISSUED_AFS_FAIR_VAL_FFIEC" hidden="1">"c20462"</definedName>
    <definedName name="IQ_CMBS_ISSUED_AVAIL_SALE_FFIEC">"c12800"</definedName>
    <definedName name="IQ_CMBS_ISSUED_FFIEC">"c12786"</definedName>
    <definedName name="IQ_CMBS_ISSUED_HTM_AMORT_COST_FFIEC" hidden="1">"c20445"</definedName>
    <definedName name="IQ_CMBS_ISSUED_HTM_FAIR_VAL_FFIEC" hidden="1">"c20480"</definedName>
    <definedName name="IQ_CMO_FDIC" hidden="1">"c6406"</definedName>
    <definedName name="IQ_CO_INVESTORS">"c18910"</definedName>
    <definedName name="IQ_CO_INVESTORS_ID">"c18911"</definedName>
    <definedName name="IQ_CO_INVESTORS_INVESTMENT">"c19113"</definedName>
    <definedName name="IQ_CO_INVESTORS_NUM_INVESTMENTS">"c19170"</definedName>
    <definedName name="IQ_COAL_SALES_TO_OPERATING_REVENUE_COAL">"c15954"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BANKS_OTHER_DEP_INST_US_TRANS_ACCTS_FFIEC">"c15317"</definedName>
    <definedName name="IQ_COMM_BANKS_OTHER_INST_US_NON_TRANS_ACCTS_FFIEC">"c15325"</definedName>
    <definedName name="IQ_COMM_IND_LOANS_TOT_LOANS_FFIEC">"c13874"</definedName>
    <definedName name="IQ_COMM_INDUSTRIAL_LL_REC_FFIEC">"c18880"</definedName>
    <definedName name="IQ_COMM_INDUSTRIAL_LOANS_FFIEC">"c12821"</definedName>
    <definedName name="IQ_COMM_INDUSTRIAL_NON_US_LL_REC_FFIEC">"c12888"</definedName>
    <definedName name="IQ_COMM_INDUSTRIAL_US_LL_REC_FFIEC">"c12887"</definedName>
    <definedName name="IQ_COMM_RE_FARM_LOANS_TOT_LOANS_FFIEC">"c13872"</definedName>
    <definedName name="IQ_COMM_RE_NONFARM_NONRES_TOT_LOANS_FFIEC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>"c15478"</definedName>
    <definedName name="IQ_COMMERCIAL_INDUSTRIAL_GROSS_LOANS_FFIEC">"c13410"</definedName>
    <definedName name="IQ_COMMERCIAL_INDUSTRIAL_LOANS_DUE_30_89_FFIEC">"c13271"</definedName>
    <definedName name="IQ_COMMERCIAL_INDUSTRIAL_LOANS_DUE_90_FFIEC">"c13297"</definedName>
    <definedName name="IQ_COMMERCIAL_INDUSTRIAL_LOANS_LL_REC_DOM_FFIEC">"c12910"</definedName>
    <definedName name="IQ_COMMERCIAL_INDUSTRIAL_LOANS_NET_FDIC" hidden="1">"c6317"</definedName>
    <definedName name="IQ_COMMERCIAL_INDUSTRIAL_LOANS_NON_ACCRUAL_FFIEC">"c13323"</definedName>
    <definedName name="IQ_COMMERCIAL_INDUSTRIAL_NET_CHARGE_OFFS_FDIC" hidden="1">"c6636"</definedName>
    <definedName name="IQ_COMMERCIAL_INDUSTRIAL_NON_US_CHARGE_OFFS_FFIEC">"c13179"</definedName>
    <definedName name="IQ_COMMERCIAL_INDUSTRIAL_NON_US_DUE_30_89_FFIEC">"c15415"</definedName>
    <definedName name="IQ_COMMERCIAL_INDUSTRIAL_NON_US_DUE_90_FFIEC">"c15419"</definedName>
    <definedName name="IQ_COMMERCIAL_INDUSTRIAL_NON_US_NON_ACCRUAL_FFIEC">"c15464"</definedName>
    <definedName name="IQ_COMMERCIAL_INDUSTRIAL_NON_US_RECOV_FFIEC">"c13201"</definedName>
    <definedName name="IQ_COMMERCIAL_INDUSTRIAL_RECOVERIES_FDIC" hidden="1">"c6617"</definedName>
    <definedName name="IQ_COMMERCIAL_INDUSTRIAL_RISK_BASED_FFIEC">"c13431"</definedName>
    <definedName name="IQ_COMMERCIAL_INDUSTRIAL_TOTAL_LOANS_FOREIGN_FDIC" hidden="1">"c6451"</definedName>
    <definedName name="IQ_COMMERCIAL_INDUSTRIAL_TRADING_DOM_FFIEC">"c12932"</definedName>
    <definedName name="IQ_COMMERCIAL_INDUSTRIAL_US_CHARGE_OFFS_FFIEC">"c13178"</definedName>
    <definedName name="IQ_COMMERCIAL_INDUSTRIAL_US_DUE_30_89_FFIEC">"c15414"</definedName>
    <definedName name="IQ_COMMERCIAL_INDUSTRIAL_US_DUE_90_FFIEC">"c15418"</definedName>
    <definedName name="IQ_COMMERCIAL_INDUSTRIAL_US_NON_ACCRUAL_FFIEC">"c15463"</definedName>
    <definedName name="IQ_COMMERCIAL_INDUSTRIAL_US_RECOV_FFIEC">"c13200"</definedName>
    <definedName name="IQ_COMMERCIAL_INVEST_CABLE_INVEST">"c15806"</definedName>
    <definedName name="IQ_COMMERCIAL_LOANS_TOTAL_LOANS">"c15709"</definedName>
    <definedName name="IQ_COMMERCIAL_MORT" hidden="1">"c179"</definedName>
    <definedName name="IQ_COMMERCIAL_OTHER_LOC_FFIEC">"c13253"</definedName>
    <definedName name="IQ_COMMERCIAL_PAPER_ASSETS_TOT_FFIEC">"c13449"</definedName>
    <definedName name="IQ_COMMERCIAL_PAPER_FFIEC">"c12863"</definedName>
    <definedName name="IQ_COMMERCIAL_RE_CONSTRUCTION_LAND_DEV_FDIC" hidden="1">"c6526"</definedName>
    <definedName name="IQ_COMMERCIAL_RE_GROSS_LOANS_FFIEC">"c13400"</definedName>
    <definedName name="IQ_COMMERCIAL_RE_LOANS_FDIC" hidden="1">"c6312"</definedName>
    <definedName name="IQ_COMMERCIAL_RE_LOANS_TOTAL_LOANS">"c15710"</definedName>
    <definedName name="IQ_COMMERCIAL_RE_RISK_BASED_FFIEC">"c13421"</definedName>
    <definedName name="IQ_COMMISS_FEES" hidden="1">"c180"</definedName>
    <definedName name="IQ_COMMISSION_DEF" hidden="1">"c181"</definedName>
    <definedName name="IQ_COMMITMENTS_BUY_SEC_OTHER_OFF_BS_FFIEC">"c13128"</definedName>
    <definedName name="IQ_COMMITMENTS_COMMERCIAL_RE_UNUSED_FFIEC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>"c13129"</definedName>
    <definedName name="IQ_COMMODITY_EXPOSURE_FFIEC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>"c12876"</definedName>
    <definedName name="IQ_COMP_BENEFITS" hidden="1">"c213"</definedName>
    <definedName name="IQ_COMPANY_ADDRESS" hidden="1">"c214"</definedName>
    <definedName name="IQ_COMPANY_ID" hidden="1">"c3513"</definedName>
    <definedName name="IQ_COMPANY_ID_QUICK_MATCH" hidden="1">"c16227"</definedName>
    <definedName name="IQ_COMPANY_NAME" hidden="1">"c215"</definedName>
    <definedName name="IQ_COMPANY_NAME_LONG" hidden="1">"c1585"</definedName>
    <definedName name="IQ_COMPANY_NAME_QUICK_MATCH" hidden="1">"c16228"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>"c15490"</definedName>
    <definedName name="IQ_COMPANY_TYPE" hidden="1">"c2096"</definedName>
    <definedName name="IQ_COMPANY_WEBSITE" hidden="1">"c220"</definedName>
    <definedName name="IQ_COMPANY_ZIP" hidden="1">"c221"</definedName>
    <definedName name="IQ_COMPETITOR_ALL">"c13754"</definedName>
    <definedName name="IQ_COMPETITOR_NAMED_BY_COMPANY">"c13751"</definedName>
    <definedName name="IQ_COMPETITOR_NAMED_BY_COMPETITOR">"c13752"</definedName>
    <definedName name="IQ_COMPETITOR_NAMED_BY_THIRDPARTY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>"c13087"</definedName>
    <definedName name="IQ_CONSOLIDATED_NI_FOREIGN_FFIEC">"c15396"</definedName>
    <definedName name="IQ_CONST_LAND_DEV_LOANS_TOT_LOANS_FFIEC">"c13865"</definedName>
    <definedName name="IQ_CONST_LAND_DEVELOP_OTHER_DOM_CHARGE_OFFS_FFIEC">"c13628"</definedName>
    <definedName name="IQ_CONST_LAND_DEVELOP_OTHER_DOM_RECOV_FFIEC">"c13632"</definedName>
    <definedName name="IQ_CONSTITUENTS">"c19169"</definedName>
    <definedName name="IQ_CONSTITUENTS_NAME" hidden="1">"c19192"</definedName>
    <definedName name="IQ_CONSTRUCTION_DEV_LOANS_FDIC" hidden="1">"c6313"</definedName>
    <definedName name="IQ_CONSTRUCTION_LAND_DEV_DOM_FFIEC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>"c12900"</definedName>
    <definedName name="IQ_CONSTRUCTION_LOANS" hidden="1">"c222"</definedName>
    <definedName name="IQ_CONSTRUCTION_LOANS_DOM_DUE_30_89_FFIEC">"c13256"</definedName>
    <definedName name="IQ_CONSTRUCTION_LOANS_DOM_DUE_90_FFIEC">"c13284"</definedName>
    <definedName name="IQ_CONSTRUCTION_LOANS_DOM_NON_ACCRUAL_FFIEC">"c13310"</definedName>
    <definedName name="IQ_CONSTRUCTION_LOANS_GROSS_LOANS_FFIEC">"c13401"</definedName>
    <definedName name="IQ_CONSTRUCTION_LOANS_TOTAL_LOANS">"c15711"</definedName>
    <definedName name="IQ_CONSTRUCTION_RISK_BASED_FFIEC">"c13422"</definedName>
    <definedName name="IQ_CONSULTING_FFIEC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>"c12911"</definedName>
    <definedName name="IQ_CONSUMER_LOANS_TOT_LOANS_FFIEC">"c13875"</definedName>
    <definedName name="IQ_CONSUMER_LOANS_TOTAL_LOANS">"c15712"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INGENT_LIABILITIES">"c18873"</definedName>
    <definedName name="IQ_CONTINGENT_RENTAL" hidden="1">"c17746"</definedName>
    <definedName name="IQ_CONTRACT_AMOUNT" hidden="1">"c13933"</definedName>
    <definedName name="IQ_CONTRACT_DETAILS" hidden="1">"c15555"</definedName>
    <definedName name="IQ_CONTRACT_MONTH" hidden="1">"c13934"</definedName>
    <definedName name="IQ_CONTRACT_OBLIGATION_AFTER_FIVE">"c15691"</definedName>
    <definedName name="IQ_CONTRACT_OBLIGATION_CY">"c15685"</definedName>
    <definedName name="IQ_CONTRACT_OBLIGATION_CY1">"c15686"</definedName>
    <definedName name="IQ_CONTRACT_OBLIGATION_CY2">"c15687"</definedName>
    <definedName name="IQ_CONTRACT_OBLIGATION_CY3">"c15688"</definedName>
    <definedName name="IQ_CONTRACT_OBLIGATION_CY4">"c15689"</definedName>
    <definedName name="IQ_CONTRACT_OBLIGATION_NEXT_FIVE">"c15690"</definedName>
    <definedName name="IQ_CONTRACT_OBLIGATION_TOTAL">"c15692"</definedName>
    <definedName name="IQ_CONTRACT_UNIT" hidden="1">"c13932"</definedName>
    <definedName name="IQ_CONTRACT_YEAR" hidden="1">"c13935"</definedName>
    <definedName name="IQ_CONTRACTS_OTHER_COMMODITIES_EQUITIES_FDIC" hidden="1">"c6522"</definedName>
    <definedName name="IQ_CONTRACTS_OTHER_COMMODITIES_EQUITIES._FDIC" hidden="1">"c6522"</definedName>
    <definedName name="IQ_CONTRIB_ID_DET_EST" hidden="1">"c12045"</definedName>
    <definedName name="IQ_CONTRIB_ID_DET_EST_THOM" hidden="1">"c12073"</definedName>
    <definedName name="IQ_CONTRIB_ID_NON_PER_DET_EST" hidden="1">"c13824"</definedName>
    <definedName name="IQ_CONTRIB_ID_NON_PER_DET_EST_THOM" hidden="1">"c13826"</definedName>
    <definedName name="IQ_CONTRIB_NAME_DET_EST" hidden="1">"c12046"</definedName>
    <definedName name="IQ_CONTRIB_NAME_DET_EST_THOM" hidden="1">"c12074"</definedName>
    <definedName name="IQ_CONTRIB_NAME_NON_PER_DET_EST" hidden="1">"c12760"</definedName>
    <definedName name="IQ_CONTRIB_NAME_NON_PER_DET_EST_THOM" hidden="1">"c12764"</definedName>
    <definedName name="IQ_CONTRIB_REC_DET_EST" hidden="1">"c12051"</definedName>
    <definedName name="IQ_CONTRIB_REC_DET_EST_DATE" hidden="1">"c12204"</definedName>
    <definedName name="IQ_CONTRIB_REC_DET_EST_DATE_THOM" hidden="1">"c12230"</definedName>
    <definedName name="IQ_CONTRIB_REC_DET_EST_ORIGIN" hidden="1">"c12577"</definedName>
    <definedName name="IQ_CONTRIB_REC_DET_EST_ORIGIN_THOM" hidden="1">"c12600"</definedName>
    <definedName name="IQ_CONTRIB_REC_DET_EST_THOM" hidden="1">"c12080"</definedName>
    <definedName name="IQ_CONTRIBUTOR_CIQID">"c13742"</definedName>
    <definedName name="IQ_CONTRIBUTOR_NAME">"c13735"</definedName>
    <definedName name="IQ_CONTRIBUTOR_START_DATE">"c13741"</definedName>
    <definedName name="IQ_CONV_DATE" hidden="1">"c2191"</definedName>
    <definedName name="IQ_CONV_EXP_DATE" hidden="1">"c3043"</definedName>
    <definedName name="IQ_CONV_PARITY">"c16197"</definedName>
    <definedName name="IQ_CONV_PREMIUM" hidden="1">"c2195"</definedName>
    <definedName name="IQ_CONV_PRICE" hidden="1">"c2193"</definedName>
    <definedName name="IQ_CONV_PRICE_ISSUE">"c16195"</definedName>
    <definedName name="IQ_CONV_PRICE_PREM_ISSUE">"c16196"</definedName>
    <definedName name="IQ_CONV_PRICE_PREMIUM">"c16198"</definedName>
    <definedName name="IQ_CONV_PT_PREMIUM">"c16199"</definedName>
    <definedName name="IQ_CONV_PT_PREMIUM_PCT">"c16200"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>"c12964"</definedName>
    <definedName name="IQ_CONVERSION_PREF_FFIEC">"c12962"</definedName>
    <definedName name="IQ_CONVERT" hidden="1">"c2536"</definedName>
    <definedName name="IQ_CONVERT_DEBT" hidden="1">"c224"</definedName>
    <definedName name="IQ_CONVERT_PCT" hidden="1">"c2537"</definedName>
    <definedName name="IQ_CONVEXITY" hidden="1">"c2182"</definedName>
    <definedName name="IQ_CONVEYED_TO_OTHERS_FDIC" hidden="1">"c6534"</definedName>
    <definedName name="IQ_COO_ID">"c15222"</definedName>
    <definedName name="IQ_COO_NAME">"c15221"</definedName>
    <definedName name="IQ_CORE_CAPITAL_RATIO_FDIC" hidden="1">"c6745"</definedName>
    <definedName name="IQ_CORE_DEPOSITS_ASSETS_TOT_FFIEC">"c13442"</definedName>
    <definedName name="IQ_CORE_DEPOSITS_FFIEC">"c13862"</definedName>
    <definedName name="IQ_CORE_DEPOSITS_TOT_DEPOSITS_FFIEC">"c13911"</definedName>
    <definedName name="IQ_CORE_TIER_ONE_CAPITAL">"c15244"</definedName>
    <definedName name="IQ_CORE_TIER_ONE_CAPITAL_RATIO">"c15240"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>"c13767"</definedName>
    <definedName name="IQ_COST_BORROWED_FUNDS_FFIEC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>"c13490"</definedName>
    <definedName name="IQ_COST_FUNDS">"c15726"</definedName>
    <definedName name="IQ_COST_FUNDS_PURCHASED_FFIEC">"c13491"</definedName>
    <definedName name="IQ_COST_INT_DEPOSITS_FFIEC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LES_COAL">"c15933"</definedName>
    <definedName name="IQ_COST_SALES_PER_UNIT_SOLD_COAL">"c15944"</definedName>
    <definedName name="IQ_COST_SALES_TO_SALES_COAL">"c15951"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AGE_RATIO">"c15243"</definedName>
    <definedName name="IQ_COVERED_POPS" hidden="1">"c2124"</definedName>
    <definedName name="IQ_COVERED_WIRELESS_POPS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GROSS_LOANS_FFIEC">"c13412"</definedName>
    <definedName name="IQ_CREDIT_CARD_INTERCHANGE_FEES_FFIEC">"c13046"</definedName>
    <definedName name="IQ_CREDIT_CARD_LINES_FDIC" hidden="1">"c6525"</definedName>
    <definedName name="IQ_CREDIT_CARD_LINES_UNUSED_FFIEC">"c13242"</definedName>
    <definedName name="IQ_CREDIT_CARD_LOANS_CHARGE_OFFS_FFIEC">"c13180"</definedName>
    <definedName name="IQ_CREDIT_CARD_LOANS_DOM_QUARTERLY_AVG_FFIEC">"c15480"</definedName>
    <definedName name="IQ_CREDIT_CARD_LOANS_DUE_30_89_FFIEC">"c13272"</definedName>
    <definedName name="IQ_CREDIT_CARD_LOANS_DUE_90_FFIEC">"c13298"</definedName>
    <definedName name="IQ_CREDIT_CARD_LOANS_FDIC" hidden="1">"c6319"</definedName>
    <definedName name="IQ_CREDIT_CARD_LOANS_NON_ACCRUAL_FFIEC">"c13324"</definedName>
    <definedName name="IQ_CREDIT_CARD_LOANS_RECOV_FFIEC">"c13202"</definedName>
    <definedName name="IQ_CREDIT_CARD_NET_CHARGE_OFFS_FDIC" hidden="1">"c6654"</definedName>
    <definedName name="IQ_CREDIT_CARD_RECOVERIES_FDIC" hidden="1">"c6653"</definedName>
    <definedName name="IQ_CREDIT_CARD_RISK_BASED_FFIEC">"c13433"</definedName>
    <definedName name="IQ_CREDIT_CARDS_CONSUMER_LOANS_FFIEC">"c12822"</definedName>
    <definedName name="IQ_CREDIT_CARDS_LL_REC_FFIEC">"c12889"</definedName>
    <definedName name="IQ_CREDIT_CARDS_LOANS_TRADING_DOM_FFIEC">"c12933"</definedName>
    <definedName name="IQ_CREDIT_EXPOSURE" hidden="1">"c10038"</definedName>
    <definedName name="IQ_CREDIT_EXPOSURE_FFIEC">"c13062"</definedName>
    <definedName name="IQ_CREDIT_LOSS_CF" hidden="1">"c232"</definedName>
    <definedName name="IQ_CREDIT_LOSS_PROVISION_NET_CHARGE_OFFS_FDIC" hidden="1">"c6734"</definedName>
    <definedName name="IQ_CREDIT_LOSSES_DERIVATIVES_FFIEC">"c13068"</definedName>
    <definedName name="IQ_CREDIT_OPTIONS_DERIVATIVES_BENEFICIARY_FFIEC">"c13121"</definedName>
    <definedName name="IQ_CREDIT_OPTIONS_DERIVATIVES_GUARANTOR_FFIEC">"c13114"</definedName>
    <definedName name="IQ_CUMULATIVE_PREFERREDS_T2_FFIEC">"c13145"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_TAXES">"c19141"</definedName>
    <definedName name="IQ_CURRENCY_COIN_DOM_FFIEC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DERIVATIVES" hidden="1">"c17742"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_PREMISE_EQUIP_CABLE_INVEST">"c15801"</definedName>
    <definedName name="IQ_CUSTOMER_LIAB_ACCEPTANCES_OUT_FFIEC">"c12835"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RT" hidden="1">"c20427"</definedName>
    <definedName name="IQ_DATA_PROCESSING_EXP_FFIEC">"c13047"</definedName>
    <definedName name="IQ_DATA_SET" hidden="1">"c19244"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>"c13465"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BT_LESS_1YR_INVEST_SECURITIES_FFIEC">"c13464"</definedName>
    <definedName name="IQ_DEBT_MATURING_MORE_THAN_ONE_YEAR_FFIEC">"c13164"</definedName>
    <definedName name="IQ_DEBT_MATURING_WITHIN_ONE_YEAR_FFIEC">"c13163"</definedName>
    <definedName name="IQ_DEBT_SEC_OVER_5YR_INVEST_SECURITIES_FFIEC">"c13466"</definedName>
    <definedName name="IQ_DEBT_SECURITIES_FOREIGN_FFIEC">"c13484"</definedName>
    <definedName name="IQ_DEBT_SECURITIES_OTHER_ASSETS_DUE_30_89_FFIEC">"c13279"</definedName>
    <definedName name="IQ_DEBT_SECURITIES_OTHER_ASSETS_DUE_90_FFIEC">"c13305"</definedName>
    <definedName name="IQ_DEBT_SECURITIES_OTHER_ASSETS_NON_ACCRUAL_FFIEC">"c13331"</definedName>
    <definedName name="IQ_DECREASE_INT_EXPENSE_FFIEC">"c13064"</definedName>
    <definedName name="IQ_DEDUCTIONS_TOTAL_RISK_BASED_CAPITAL_FFIEC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AULT_DATE">"c16220"</definedName>
    <definedName name="IQ_DEFAULT_TYPE">"c16219"</definedName>
    <definedName name="IQ_DEFERRED_CONTINGENT_RENT">"c16181"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>"c12843"</definedName>
    <definedName name="IQ_DEFERRED_TAX_ASSETS_T1_FFIEC">"c13141"</definedName>
    <definedName name="IQ_DEFERRED_TAX_LIAB_FFIEC">"c12870"</definedName>
    <definedName name="IQ_DEFERRED_TAX_NAV">"c16003"</definedName>
    <definedName name="IQ_DEFERRED_TAX_NNAV">"c16008"</definedName>
    <definedName name="IQ_DEFERRED_TAXES" hidden="1">"c1356"</definedName>
    <definedName name="IQ_DEFERRED_TAXES_TOTAL">"c19142"</definedName>
    <definedName name="IQ_DELIVERED_HOMES_NEW_ORDERS">"c15821"</definedName>
    <definedName name="IQ_DELIVERED_HOMES_PRICE_NEW_ORDER_PRICE">"c15822"</definedName>
    <definedName name="IQ_DEMAND_DEP" hidden="1">"c320"</definedName>
    <definedName name="IQ_DEMAND_DEPOSITS_COMMERCIAL_BANK_SUBS_FFIEC">"c12945"</definedName>
    <definedName name="IQ_DEMAND_DEPOSITS_FDIC" hidden="1">"c6489"</definedName>
    <definedName name="IQ_DEMAND_DEPOSITS_TOT_DEPOSITS_FFIEC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>"c12908"</definedName>
    <definedName name="IQ_DEPOSITORY_INST_GROSS_LOANS_FFIEC">"c13409"</definedName>
    <definedName name="IQ_DEPOSITORY_INST_RISK_BASED_FFIEC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>"c13444"</definedName>
    <definedName name="IQ_DEPOSITS_DOM_FFIEC">"c12850"</definedName>
    <definedName name="IQ_DEPOSITS_FAIR_VALUE_TOT_FFIEC">"c13213"</definedName>
    <definedName name="IQ_DEPOSITS_FIN" hidden="1">"c321"</definedName>
    <definedName name="IQ_DEPOSITS_FOREIGN_BANKS_FOREIGN_AGENCIES_FFIEC">"c15344"</definedName>
    <definedName name="IQ_DEPOSITS_FOREIGN_FFIEC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>"c13221"</definedName>
    <definedName name="IQ_DEPOSITS_LEVEL_2_FFIEC">"c13229"</definedName>
    <definedName name="IQ_DEPOSITS_LEVEL_3_FFIEC">"c13237"</definedName>
    <definedName name="IQ_DEPOSITS_MORE_100K_COMMERCIAL_BANK_SUBS_FFIEC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_ASSETS_CURRENT" hidden="1">"c17744"</definedName>
    <definedName name="IQ_DERIVATIVE_ASSETS_FAIR_VALUE_TOT_FFIEC">"c15403"</definedName>
    <definedName name="IQ_DERIVATIVE_ASSETS_LEVEL_1_FFIEC">"c15425"</definedName>
    <definedName name="IQ_DERIVATIVE_ASSETS_LEVEL_2_FFIEC">"c15438"</definedName>
    <definedName name="IQ_DERIVATIVE_ASSETS_LEVEL_3_FFIEC">"c15451"</definedName>
    <definedName name="IQ_DERIVATIVE_ASSETS_LT" hidden="1">"c17745"</definedName>
    <definedName name="IQ_DERIVATIVE_LIABILITIES_FAIR_VALUE_TOT_FFIEC">"c15407"</definedName>
    <definedName name="IQ_DERIVATIVE_LIABILITIES_LEVEL_1_FFIEC">"c15429"</definedName>
    <definedName name="IQ_DERIVATIVE_LIABILITIES_LEVEL_2_FFIEC">"c15442"</definedName>
    <definedName name="IQ_DERIVATIVE_LIABILITIES_LEVEL_3_FFIEC">"c15455"</definedName>
    <definedName name="IQ_DERIVATIVES_FDIC" hidden="1">"c6523"</definedName>
    <definedName name="IQ_DERIVATIVES_NEGATIVE_FAIR_VALUE_DOM_FFIEC">"c12943"</definedName>
    <definedName name="IQ_DERIVATIVES_NEGATIVE_VALUE_FFIEC">"c12861"</definedName>
    <definedName name="IQ_DERIVATIVES_POS_FAIR_VALUE_FFIEC">"c12827"</definedName>
    <definedName name="IQ_DERIVATIVES_POSITIVE_FAIR_VALUE_TRADING_DOM_FFIEC">"c12938"</definedName>
    <definedName name="IQ_DESCRIPTION_LONG" hidden="1">"c1520"</definedName>
    <definedName name="IQ_DEVELOP_LAND" hidden="1">"c323"</definedName>
    <definedName name="IQ_DEVELOPMENT_EXPENSE">"c16040"</definedName>
    <definedName name="IQ_DEVELOPMENT_REVENUE">"c16024"</definedName>
    <definedName name="IQ_DIC">"c13834"</definedName>
    <definedName name="IQ_DIFF_LASTCLOSE_TARGET_PRICE" hidden="1">"c1854"</definedName>
    <definedName name="IQ_DIFF_LASTCLOSE_TARGET_PRICE_CIQ" hidden="1">"c4767"</definedName>
    <definedName name="IQ_DIFF_LASTCLOSE_TARGET_PRICE_REUT" hidden="1">"c5436"</definedName>
    <definedName name="IQ_DIFF_LASTCLOSE_TARGET_PRICE_THOM" hidden="1">"c5278"</definedName>
    <definedName name="IQ_DIG_SUB_BASIC_SUB">"c16202"</definedName>
    <definedName name="IQ_DIG_SUB_VIDEO_SUB">"c15788"</definedName>
    <definedName name="IQ_DIGITAL_SUB_TOTAL_HOMES_PASSED">"c15769"</definedName>
    <definedName name="IQ_DIGITAL_VIDEO_PENETRATION">"c15768"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LUTED_EPRA_NAV">"c16005"</definedName>
    <definedName name="IQ_DILUTED_EPRA_NAV_SHARE_RE">"c16014"</definedName>
    <definedName name="IQ_DILUTED_EPRA_NNAV">"c16010"</definedName>
    <definedName name="IQ_DILUTED_EPRA_NNAV_SHARE_RE">"c16015"</definedName>
    <definedName name="IQ_DILUTED_NAV_RE">"c15998"</definedName>
    <definedName name="IQ_DILUTED_NAV_SHARE_RE">"c16013"</definedName>
    <definedName name="IQ_DILUTED_NAV_SHARES">"c16016"</definedName>
    <definedName name="IQ_DILUTION_EFFECT_NAV">"c15997"</definedName>
    <definedName name="IQ_DIRECT_AH_EARNED" hidden="1">"c2740"</definedName>
    <definedName name="IQ_DIRECT_EARNED" hidden="1">"c2730"</definedName>
    <definedName name="IQ_DIRECT_INDIRECT_RE_VENTURES_FFIEC">"c15266"</definedName>
    <definedName name="IQ_DIRECT_INDIRECT_RE_VENTURES_UNCONSOL_FFIEC">"c15274"</definedName>
    <definedName name="IQ_DIRECT_LIFE_EARNED" hidden="1">"c2735"</definedName>
    <definedName name="IQ_DIRECT_LIFE_IN_FORCE" hidden="1">"c2765"</definedName>
    <definedName name="IQ_DIRECT_LOSSES">"c15869"</definedName>
    <definedName name="IQ_DIRECT_PC_EARNED" hidden="1">"c2745"</definedName>
    <definedName name="IQ_DIRECT_WRITTEN" hidden="1">"c2724"</definedName>
    <definedName name="IQ_DIRECTORS_FEES_FFIEC">"c13049"</definedName>
    <definedName name="IQ_DISALLOWED_DEFERRED_TAX_ASSETS_FFIEC">"c13157"</definedName>
    <definedName name="IQ_DISALLOWED_GOODWILL_INTANGIBLE_ASSETS_FFIEC">"c13155"</definedName>
    <definedName name="IQ_DISALLOWED_GOODWILL_INTANGIBLES_T1_FFIEC">"c13137"</definedName>
    <definedName name="IQ_DISALLOWED_SERVICING_ASSETS_FFIEC">"c13156"</definedName>
    <definedName name="IQ_DISALLOWED_SERVICING_ASSETS_T1_FFIEC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CRETIONARY_CAPEX">"c16183"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ACT_OR_EST_CIQ_COL" hidden="1">"c11450"</definedName>
    <definedName name="IQ_DISTRIBUTABLE_CASH_EST" hidden="1">"c4277"</definedName>
    <definedName name="IQ_DISTRIBUTABLE_CASH_EST_CIQ" hidden="1">"c4802"</definedName>
    <definedName name="IQ_DISTRIBUTABLE_CASH_GUIDANCE" hidden="1">"c4279"</definedName>
    <definedName name="IQ_DISTRIBUTABLE_CASH_GUIDANCE_CIQ">"c4804"</definedName>
    <definedName name="IQ_DISTRIBUTABLE_CASH_GUIDANCE_CIQ_COL">"c11451"</definedName>
    <definedName name="IQ_DISTRIBUTABLE_CASH_HIGH_EST" hidden="1">"c4280"</definedName>
    <definedName name="IQ_DISTRIBUTABLE_CASH_HIGH_EST_CIQ" hidden="1">"c4805"</definedName>
    <definedName name="IQ_DISTRIBUTABLE_CASH_HIGH_GUIDANCE" hidden="1">"c4198"</definedName>
    <definedName name="IQ_DISTRIBUTABLE_CASH_HIGH_GUIDANCE_CIQ">"c4610"</definedName>
    <definedName name="IQ_DISTRIBUTABLE_CASH_HIGH_GUIDANCE_CIQ_COL">"c11259"</definedName>
    <definedName name="IQ_DISTRIBUTABLE_CASH_LOW_EST" hidden="1">"c4281"</definedName>
    <definedName name="IQ_DISTRIBUTABLE_CASH_LOW_EST_CIQ" hidden="1">"c4806"</definedName>
    <definedName name="IQ_DISTRIBUTABLE_CASH_LOW_GUIDANCE" hidden="1">"c4238"</definedName>
    <definedName name="IQ_DISTRIBUTABLE_CASH_LOW_GUIDANCE_CIQ">"c4650"</definedName>
    <definedName name="IQ_DISTRIBUTABLE_CASH_LOW_GUIDANCE_CIQ_COL">"c11299"</definedName>
    <definedName name="IQ_DISTRIBUTABLE_CASH_MEDIAN_EST" hidden="1">"c4282"</definedName>
    <definedName name="IQ_DISTRIBUTABLE_CASH_MEDIAN_EST_CIQ" hidden="1">"c4807"</definedName>
    <definedName name="IQ_DISTRIBUTABLE_CASH_NUM_EST" hidden="1">"c4283"</definedName>
    <definedName name="IQ_DISTRIBUTABLE_CASH_NUM_EST_CIQ" hidden="1">"c4808"</definedName>
    <definedName name="IQ_DISTRIBUTABLE_CASH_PAYOUT" hidden="1">"c3005"</definedName>
    <definedName name="IQ_DISTRIBUTABLE_CASH_PER_SHARE_DILUTED">"c16191"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ACT_OR_EST_CIQ_COL" hidden="1">"c11458"</definedName>
    <definedName name="IQ_DISTRIBUTABLE_CASH_SHARE_EST" hidden="1">"c4285"</definedName>
    <definedName name="IQ_DISTRIBUTABLE_CASH_SHARE_EST_CIQ" hidden="1">"c4810"</definedName>
    <definedName name="IQ_DISTRIBUTABLE_CASH_SHARE_GUIDANCE" hidden="1">"c4287"</definedName>
    <definedName name="IQ_DISTRIBUTABLE_CASH_SHARE_GUIDANCE_CIQ">"c4812"</definedName>
    <definedName name="IQ_DISTRIBUTABLE_CASH_SHARE_GUIDANCE_CIQ_COL">"c11459"</definedName>
    <definedName name="IQ_DISTRIBUTABLE_CASH_SHARE_HIGH_EST" hidden="1">"c4288"</definedName>
    <definedName name="IQ_DISTRIBUTABLE_CASH_SHARE_HIGH_EST_CIQ" hidden="1">"c4813"</definedName>
    <definedName name="IQ_DISTRIBUTABLE_CASH_SHARE_HIGH_GUIDANCE" hidden="1">"c4199"</definedName>
    <definedName name="IQ_DISTRIBUTABLE_CASH_SHARE_HIGH_GUIDANCE_CIQ">"c4611"</definedName>
    <definedName name="IQ_DISTRIBUTABLE_CASH_SHARE_HIGH_GUIDANCE_CIQ_COL">"c11260"</definedName>
    <definedName name="IQ_DISTRIBUTABLE_CASH_SHARE_LOW_EST" hidden="1">"c4289"</definedName>
    <definedName name="IQ_DISTRIBUTABLE_CASH_SHARE_LOW_EST_CIQ" hidden="1">"c4814"</definedName>
    <definedName name="IQ_DISTRIBUTABLE_CASH_SHARE_LOW_GUIDANCE" hidden="1">"c4239"</definedName>
    <definedName name="IQ_DISTRIBUTABLE_CASH_SHARE_LOW_GUIDANCE_CIQ">"c4651"</definedName>
    <definedName name="IQ_DISTRIBUTABLE_CASH_SHARE_LOW_GUIDANCE_CIQ_COL">"c11300"</definedName>
    <definedName name="IQ_DISTRIBUTABLE_CASH_SHARE_MEDIAN_EST" hidden="1">"c4290"</definedName>
    <definedName name="IQ_DISTRIBUTABLE_CASH_SHARE_MEDIAN_EST_CIQ" hidden="1">"c4815"</definedName>
    <definedName name="IQ_DISTRIBUTABLE_CASH_SHARE_NUM_EST" hidden="1">"c4291"</definedName>
    <definedName name="IQ_DISTRIBUTABLE_CASH_SHARE_NUM_EST_CIQ" hidden="1">"c4816"</definedName>
    <definedName name="IQ_DISTRIBUTABLE_CASH_SHARE_STDDEV_EST" hidden="1">"c4292"</definedName>
    <definedName name="IQ_DISTRIBUTABLE_CASH_SHARE_STDDEV_EST_CIQ" hidden="1">"c4817"</definedName>
    <definedName name="IQ_DISTRIBUTABLE_CASH_SHARES_BASIC">"c16189"</definedName>
    <definedName name="IQ_DISTRIBUTABLE_CASH_SHARES_DILUTED">"c16190"</definedName>
    <definedName name="IQ_DISTRIBUTABLE_CASH_STANDARDIZED" hidden="1">"c20435"</definedName>
    <definedName name="IQ_DISTRIBUTABLE_CASH_STDDEV_EST" hidden="1">"c4294"</definedName>
    <definedName name="IQ_DISTRIBUTABLE_CASH_STDDEV_EST_CIQ" hidden="1">"c4819"</definedName>
    <definedName name="IQ_DIV_AMOUNT" hidden="1">"c3041"</definedName>
    <definedName name="IQ_DIV_AMOUNT_LIST" hidden="1">"c17417"</definedName>
    <definedName name="IQ_DIV_PAYMENT_DATE" hidden="1">"c2205"</definedName>
    <definedName name="IQ_DIV_PAYMENT_DATE_LIST" hidden="1">"c17418"</definedName>
    <definedName name="IQ_DIV_PAYMENT_TYPE" hidden="1">"c12752"</definedName>
    <definedName name="IQ_DIV_PAYMENT_TYPE_LIST" hidden="1">"c17419"</definedName>
    <definedName name="IQ_DIV_RECORD_DATE" hidden="1">"c2204"</definedName>
    <definedName name="IQ_DIV_RECORD_DATE_LIST" hidden="1">"c17420"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IVIDENDS_DECLARED_COMMON_FDIC" hidden="1">"c6659"</definedName>
    <definedName name="IQ_DIVIDENDS_DECLARED_COMMON_FFIEC">"c12969"</definedName>
    <definedName name="IQ_DIVIDENDS_DECLARED_PREFERRED_FDIC" hidden="1">"c6658"</definedName>
    <definedName name="IQ_DIVIDENDS_DECLARED_PREFERRED_FFIEC">"c12968"</definedName>
    <definedName name="IQ_DIVIDENDS_FDIC" hidden="1">"c6660"</definedName>
    <definedName name="IQ_DIVIDENDS_NET_INCOME_FFIEC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>"c13910"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CIQ_COL" hidden="1">"c11709"</definedName>
    <definedName name="IQ_DPS_ACT_OR_EST_REUT" hidden="1">"c5464"</definedName>
    <definedName name="IQ_DPS_ACT_OR_EST_THOM" hidden="1">"c5302"</definedName>
    <definedName name="IQ_DPS_DET_EST" hidden="1">"c12052"</definedName>
    <definedName name="IQ_DPS_DET_EST_CURRENCY" hidden="1">"c12459"</definedName>
    <definedName name="IQ_DPS_DET_EST_CURRENCY_THOM" hidden="1">"c12480"</definedName>
    <definedName name="IQ_DPS_DET_EST_DATE" hidden="1">"c12205"</definedName>
    <definedName name="IQ_DPS_DET_EST_DATE_THOM" hidden="1">"c12231"</definedName>
    <definedName name="IQ_DPS_DET_EST_INCL" hidden="1">"c12342"</definedName>
    <definedName name="IQ_DPS_DET_EST_INCL_THOM" hidden="1">"c12363"</definedName>
    <definedName name="IQ_DPS_DET_EST_ORIGIN" hidden="1">"c12578"</definedName>
    <definedName name="IQ_DPS_DET_EST_ORIGIN_THOM" hidden="1">"c12601"</definedName>
    <definedName name="IQ_DPS_DET_EST_THOM" hidden="1">"c12081"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EST_THOM" hidden="1">"c4013"</definedName>
    <definedName name="IQ_DPS_GUIDANCE" hidden="1">"c4302"</definedName>
    <definedName name="IQ_DPS_GUIDANCE_CIQ">"c4827"</definedName>
    <definedName name="IQ_DPS_GUIDANCE_CIQ_COL">"c11474"</definedName>
    <definedName name="IQ_DPS_HIGH_EST" hidden="1">"c1676"</definedName>
    <definedName name="IQ_DPS_HIGH_EST_REUT" hidden="1">"c3853"</definedName>
    <definedName name="IQ_DPS_HIGH_EST_THOM" hidden="1">"c4015"</definedName>
    <definedName name="IQ_DPS_HIGH_GUIDANCE" hidden="1">"c4168"</definedName>
    <definedName name="IQ_DPS_HIGH_GUIDANCE_CIQ">"c4580"</definedName>
    <definedName name="IQ_DPS_HIGH_GUIDANCE_CIQ_COL">"c11229"</definedName>
    <definedName name="IQ_DPS_LOW_EST" hidden="1">"c1677"</definedName>
    <definedName name="IQ_DPS_LOW_EST_REUT" hidden="1">"c3854"</definedName>
    <definedName name="IQ_DPS_LOW_EST_THOM" hidden="1">"c4016"</definedName>
    <definedName name="IQ_DPS_LOW_GUIDANCE" hidden="1">"c4208"</definedName>
    <definedName name="IQ_DPS_LOW_GUIDANCE_CIQ">"c4620"</definedName>
    <definedName name="IQ_DPS_LOW_GUIDANCE_CIQ_COL">"c11269"</definedName>
    <definedName name="IQ_DPS_MEDIAN_EST" hidden="1">"c1675"</definedName>
    <definedName name="IQ_DPS_MEDIAN_EST_REUT" hidden="1">"c3852"</definedName>
    <definedName name="IQ_DPS_MEDIAN_EST_THOM" hidden="1">"c4014"</definedName>
    <definedName name="IQ_DPS_NUM_EST" hidden="1">"c1678"</definedName>
    <definedName name="IQ_DPS_NUM_EST_REUT" hidden="1">"c3855"</definedName>
    <definedName name="IQ_DPS_NUM_EST_THOM" hidden="1">"c4017"</definedName>
    <definedName name="IQ_DPS_STDDEV_EST" hidden="1">"c1679"</definedName>
    <definedName name="IQ_DPS_STDDEV_EST_REUT" hidden="1">"c3856"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INT_BEAR_LIABILITIES">"c15703"</definedName>
    <definedName name="IQ_EARNING_ASSET_YIELD" hidden="1">"c343"</definedName>
    <definedName name="IQ_EARNING_ASSETS_AVG_ASSETS_FFIEC">"c13354"</definedName>
    <definedName name="IQ_EARNING_ASSETS_FDIC" hidden="1">"c6360"</definedName>
    <definedName name="IQ_EARNING_ASSETS_QUARTERLY_AVG_FFIEC">"c13086"</definedName>
    <definedName name="IQ_EARNING_ASSETS_REPRICE_ASSETS_TOT_FFIEC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ANNOUNCE_DATE_THOM" hidden="1">"c5093"</definedName>
    <definedName name="IQ_EARNINGS_CO_FFIEC">"c13032"</definedName>
    <definedName name="IQ_EARNINGS_CONT_OPS_HOMEBUILDING_SALES">"c15817"</definedName>
    <definedName name="IQ_EARNINGS_COVERAGE_LOSSES_FFIEC">"c13351"</definedName>
    <definedName name="IQ_EARNINGS_COVERAGE_NET_CHARGE_OFFS_FDIC" hidden="1">"c6735"</definedName>
    <definedName name="IQ_EARNINGS_LIFE_INSURANCE_FFIEC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CIQ_COL" hidden="1">"c11710"</definedName>
    <definedName name="IQ_EBIT_ACT_OR_EST_REUT" hidden="1">"c5465"</definedName>
    <definedName name="IQ_EBIT_ACT_OR_EST_THOM" hidden="1">"c5303"</definedName>
    <definedName name="IQ_EBIT_DET_EST" hidden="1">"c12053"</definedName>
    <definedName name="IQ_EBIT_DET_EST_CURRENCY" hidden="1">"c12460"</definedName>
    <definedName name="IQ_EBIT_DET_EST_CURRENCY_THOM" hidden="1">"c12481"</definedName>
    <definedName name="IQ_EBIT_DET_EST_DATE" hidden="1">"c12206"</definedName>
    <definedName name="IQ_EBIT_DET_EST_DATE_THOM" hidden="1">"c12232"</definedName>
    <definedName name="IQ_EBIT_DET_EST_INCL" hidden="1">"c12343"</definedName>
    <definedName name="IQ_EBIT_DET_EST_INCL_THOM" hidden="1">"c12364"</definedName>
    <definedName name="IQ_EBIT_DET_EST_ORIGIN" hidden="1">"c12579"</definedName>
    <definedName name="IQ_EBIT_DET_EST_ORIGIN_THOM" hidden="1">"c12602"</definedName>
    <definedName name="IQ_EBIT_DET_EST_THOM" hidden="1">"c12082"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ST_THOM" hidden="1">"c5105"</definedName>
    <definedName name="IQ_EBIT_EXCL_SBC" hidden="1">"c3082"</definedName>
    <definedName name="IQ_EBIT_GROWTH_1" hidden="1">"c157"</definedName>
    <definedName name="IQ_EBIT_GROWTH_2" hidden="1">"c161"</definedName>
    <definedName name="IQ_EBIT_GUIDANCE" hidden="1">"c4303"</definedName>
    <definedName name="IQ_EBIT_GUIDANCE_CIQ">"c4828"</definedName>
    <definedName name="IQ_EBIT_GUIDANCE_CIQ_COL">"c11475"</definedName>
    <definedName name="IQ_EBIT_GW_ACT_OR_EST" hidden="1">"c4306"</definedName>
    <definedName name="IQ_EBIT_GW_ACT_OR_EST_CIQ_COL" hidden="1">"c11478"</definedName>
    <definedName name="IQ_EBIT_GW_EST" hidden="1">"c4305"</definedName>
    <definedName name="IQ_EBIT_GW_GUIDANCE" hidden="1">"c4307"</definedName>
    <definedName name="IQ_EBIT_GW_GUIDANCE_CIQ">"c4832"</definedName>
    <definedName name="IQ_EBIT_GW_GUIDANCE_CIQ_COL">"c11479"</definedName>
    <definedName name="IQ_EBIT_GW_HIGH_EST" hidden="1">"c4308"</definedName>
    <definedName name="IQ_EBIT_GW_HIGH_GUIDANCE" hidden="1">"c4171"</definedName>
    <definedName name="IQ_EBIT_GW_HIGH_GUIDANCE_CIQ">"c4583"</definedName>
    <definedName name="IQ_EBIT_GW_HIGH_GUIDANCE_CIQ_COL">"c11232"</definedName>
    <definedName name="IQ_EBIT_GW_LOW_EST" hidden="1">"c4309"</definedName>
    <definedName name="IQ_EBIT_GW_LOW_GUIDANCE" hidden="1">"c4211"</definedName>
    <definedName name="IQ_EBIT_GW_LOW_GUIDANCE_CIQ">"c4623"</definedName>
    <definedName name="IQ_EBIT_GW_LOW_GUIDANCE_CIQ_COL">"c11272"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EST_THOM" hidden="1">"c5107"</definedName>
    <definedName name="IQ_EBIT_HIGH_GUIDANCE" hidden="1">"c4172"</definedName>
    <definedName name="IQ_EBIT_HIGH_GUIDANCE_CIQ">"c4584"</definedName>
    <definedName name="IQ_EBIT_HIGH_GUIDANCE_CIQ_COL">"c11233"</definedName>
    <definedName name="IQ_EBIT_HOMEBUILDING_SALES">"c15815"</definedName>
    <definedName name="IQ_EBIT_INT" hidden="1">"c360"</definedName>
    <definedName name="IQ_EBIT_LOW_EST" hidden="1">"c1684"</definedName>
    <definedName name="IQ_EBIT_LOW_EST_REUT" hidden="1">"c5336"</definedName>
    <definedName name="IQ_EBIT_LOW_EST_THOM" hidden="1">"c5108"</definedName>
    <definedName name="IQ_EBIT_LOW_GUIDANCE" hidden="1">"c4212"</definedName>
    <definedName name="IQ_EBIT_LOW_GUIDANCE_CIQ">"c4624"</definedName>
    <definedName name="IQ_EBIT_LOW_GUIDANCE_CIQ_COL">"c11273"</definedName>
    <definedName name="IQ_EBIT_MARGIN" hidden="1">"c359"</definedName>
    <definedName name="IQ_EBIT_MEDIAN_EST" hidden="1">"c1682"</definedName>
    <definedName name="IQ_EBIT_MEDIAN_EST_REUT" hidden="1">"c5334"</definedName>
    <definedName name="IQ_EBIT_MEDIAN_EST_THOM" hidden="1">"c5106"</definedName>
    <definedName name="IQ_EBIT_NUM_EST" hidden="1">"c1685"</definedName>
    <definedName name="IQ_EBIT_NUM_EST_REUT" hidden="1">"c5337"</definedName>
    <definedName name="IQ_EBIT_NUM_EST_THOM" hidden="1">"c5109"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ACT_OR_EST_CIQ_COL" hidden="1">"c11488"</definedName>
    <definedName name="IQ_EBIT_SBC_EST" hidden="1">"c4315"</definedName>
    <definedName name="IQ_EBIT_SBC_GUIDANCE" hidden="1">"c4317"</definedName>
    <definedName name="IQ_EBIT_SBC_GUIDANCE_CIQ">"c4842"</definedName>
    <definedName name="IQ_EBIT_SBC_GUIDANCE_CIQ_COL">"c11489"</definedName>
    <definedName name="IQ_EBIT_SBC_GW_ACT_OR_EST" hidden="1">"c4320"</definedName>
    <definedName name="IQ_EBIT_SBC_GW_ACT_OR_EST_CIQ" hidden="1">"c4845"</definedName>
    <definedName name="IQ_EBIT_SBC_GW_ACT_OR_EST_CIQ_COL" hidden="1">"c11492"</definedName>
    <definedName name="IQ_EBIT_SBC_GW_EST" hidden="1">"c4319"</definedName>
    <definedName name="IQ_EBIT_SBC_GW_GUIDANCE" hidden="1">"c4321"</definedName>
    <definedName name="IQ_EBIT_SBC_GW_GUIDANCE_CIQ">"c4846"</definedName>
    <definedName name="IQ_EBIT_SBC_GW_GUIDANCE_CIQ_COL">"c11493"</definedName>
    <definedName name="IQ_EBIT_SBC_GW_HIGH_EST" hidden="1">"c4322"</definedName>
    <definedName name="IQ_EBIT_SBC_GW_HIGH_GUIDANCE" hidden="1">"c4193"</definedName>
    <definedName name="IQ_EBIT_SBC_GW_HIGH_GUIDANCE_CIQ">"c4605"</definedName>
    <definedName name="IQ_EBIT_SBC_GW_HIGH_GUIDANCE_CIQ_COL">"c11254"</definedName>
    <definedName name="IQ_EBIT_SBC_GW_LOW_EST" hidden="1">"c4323"</definedName>
    <definedName name="IQ_EBIT_SBC_GW_LOW_GUIDANCE" hidden="1">"c4233"</definedName>
    <definedName name="IQ_EBIT_SBC_GW_LOW_GUIDANCE_CIQ">"c4645"</definedName>
    <definedName name="IQ_EBIT_SBC_GW_LOW_GUIDANCE_CIQ_COL">"c11294"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HIGH_GUIDANCE_CIQ">"c4604"</definedName>
    <definedName name="IQ_EBIT_SBC_HIGH_GUIDANCE_CIQ_COL">"c11253"</definedName>
    <definedName name="IQ_EBIT_SBC_LOW_EST" hidden="1">"c4329"</definedName>
    <definedName name="IQ_EBIT_SBC_LOW_GUIDANCE" hidden="1">"c4232"</definedName>
    <definedName name="IQ_EBIT_SBC_LOW_GUIDANCE_CIQ">"c4644"</definedName>
    <definedName name="IQ_EBIT_SBC_LOW_GUIDANCE_CIQ_COL">"c11293"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CIQ_COL" hidden="1">"c11707"</definedName>
    <definedName name="IQ_EBITDA_ACT_OR_EST_REUT" hidden="1">"c5462"</definedName>
    <definedName name="IQ_EBITDA_ACT_OR_EST_THOM" hidden="1">"c5300"</definedName>
    <definedName name="IQ_EBITDA_CAPEX">"c19143"</definedName>
    <definedName name="IQ_EBITDA_CAPEX_INT" hidden="1">"c368"</definedName>
    <definedName name="IQ_EBITDA_CAPEX_OVER_TOTAL_IE" hidden="1">"c1370"</definedName>
    <definedName name="IQ_EBITDA_DET_EST" hidden="1">"c12054"</definedName>
    <definedName name="IQ_EBITDA_DET_EST_CURRENCY" hidden="1">"c12461"</definedName>
    <definedName name="IQ_EBITDA_DET_EST_CURRENCY_THOM" hidden="1">"c12482"</definedName>
    <definedName name="IQ_EBITDA_DET_EST_DATE" hidden="1">"c12207"</definedName>
    <definedName name="IQ_EBITDA_DET_EST_DATE_THOM" hidden="1">"c12233"</definedName>
    <definedName name="IQ_EBITDA_DET_EST_INCL" hidden="1">"c12344"</definedName>
    <definedName name="IQ_EBITDA_DET_EST_INCL_THOM" hidden="1">"c12365"</definedName>
    <definedName name="IQ_EBITDA_DET_EST_ORIGIN" hidden="1">"c12580"</definedName>
    <definedName name="IQ_EBITDA_DET_EST_ORIGIN_THOM" hidden="1">"c12603"</definedName>
    <definedName name="IQ_EBITDA_DET_EST_THOM" hidden="1">"c12083"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DOWN_2MONTH" hidden="1">"c16297"</definedName>
    <definedName name="IQ_EBITDA_EST_DOWN_2MONTH_CIQ" hidden="1">"c16621"</definedName>
    <definedName name="IQ_EBITDA_EST_DOWN_3MONTH" hidden="1">"c16301"</definedName>
    <definedName name="IQ_EBITDA_EST_DOWN_3MONTH_CIQ" hidden="1">"c16625"</definedName>
    <definedName name="IQ_EBITDA_EST_DOWN_MONTH" hidden="1">"c16293"</definedName>
    <definedName name="IQ_EBITDA_EST_DOWN_MONTH_CIQ" hidden="1">"c16617"</definedName>
    <definedName name="IQ_EBITDA_EST_NOTE" hidden="1">"c17503"</definedName>
    <definedName name="IQ_EBITDA_EST_NOTE_CIQ" hidden="1">"c17456"</definedName>
    <definedName name="IQ_EBITDA_EST_NUM_ANALYSTS_2MONTH" hidden="1">"c16295"</definedName>
    <definedName name="IQ_EBITDA_EST_NUM_ANALYSTS_2MONTH_CIQ" hidden="1">"c16619"</definedName>
    <definedName name="IQ_EBITDA_EST_NUM_ANALYSTS_3MONTH" hidden="1">"c16299"</definedName>
    <definedName name="IQ_EBITDA_EST_NUM_ANALYSTS_3MONTH_CIQ" hidden="1">"c16623"</definedName>
    <definedName name="IQ_EBITDA_EST_NUM_ANALYSTS_MONTH" hidden="1">"c16291"</definedName>
    <definedName name="IQ_EBITDA_EST_NUM_ANALYSTS_MONTH_CIQ" hidden="1">"c16615"</definedName>
    <definedName name="IQ_EBITDA_EST_REUT" hidden="1">"c3640"</definedName>
    <definedName name="IQ_EBITDA_EST_THOM" hidden="1">"c3658"</definedName>
    <definedName name="IQ_EBITDA_EST_TOTAL_REVISED_2MONTH" hidden="1">"c16298"</definedName>
    <definedName name="IQ_EBITDA_EST_TOTAL_REVISED_2MONTH_CIQ" hidden="1">"c16622"</definedName>
    <definedName name="IQ_EBITDA_EST_TOTAL_REVISED_3MONTH" hidden="1">"c16302"</definedName>
    <definedName name="IQ_EBITDA_EST_TOTAL_REVISED_3MONTH_CIQ" hidden="1">"c16626"</definedName>
    <definedName name="IQ_EBITDA_EST_TOTAL_REVISED_MONTH" hidden="1">"c16294"</definedName>
    <definedName name="IQ_EBITDA_EST_TOTAL_REVISED_MONTH_CIQ" hidden="1">"c16618"</definedName>
    <definedName name="IQ_EBITDA_EST_UP_2MONTH" hidden="1">"c16296"</definedName>
    <definedName name="IQ_EBITDA_EST_UP_2MONTH_CIQ" hidden="1">"c16620"</definedName>
    <definedName name="IQ_EBITDA_EST_UP_3MONTH" hidden="1">"c16300"</definedName>
    <definedName name="IQ_EBITDA_EST_UP_3MONTH_CIQ" hidden="1">"c16624"</definedName>
    <definedName name="IQ_EBITDA_EST_UP_MONTH" hidden="1">"c16292"</definedName>
    <definedName name="IQ_EBITDA_EST_UP_MONTH_CIQ" hidden="1">"c16616"</definedName>
    <definedName name="IQ_EBITDA_EXCL_SBC" hidden="1">"c3081"</definedName>
    <definedName name="IQ_EBITDA_GROWTH_1" hidden="1">"c156"</definedName>
    <definedName name="IQ_EBITDA_GROWTH_2" hidden="1">"c160"</definedName>
    <definedName name="IQ_EBITDA_GUIDANCE" hidden="1">"c4334"</definedName>
    <definedName name="IQ_EBITDA_GUIDANCE_CIQ">"c4859"</definedName>
    <definedName name="IQ_EBITDA_GUIDANCE_CIQ_COL">"c11506"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EST_THOM" hidden="1">"c3660"</definedName>
    <definedName name="IQ_EBITDA_HIGH_GUIDANCE" hidden="1">"c4170"</definedName>
    <definedName name="IQ_EBITDA_HIGH_GUIDANCE_CIQ">"c4582"</definedName>
    <definedName name="IQ_EBITDA_HIGH_GUIDANCE_CIQ_COL">"c11231"</definedName>
    <definedName name="IQ_EBITDA_HOMEBUILDING_SALES">"c15814"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EST_THOM" hidden="1">"c3661"</definedName>
    <definedName name="IQ_EBITDA_LOW_GUIDANCE" hidden="1">"c4210"</definedName>
    <definedName name="IQ_EBITDA_LOW_GUIDANCE_CIQ">"c4622"</definedName>
    <definedName name="IQ_EBITDA_LOW_GUIDANCE_CIQ_COL">"c11271"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MEDIAN_EST_THOM" hidden="1">"c3659"</definedName>
    <definedName name="IQ_EBITDA_NO_EST" hidden="1">"c267"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NUM_EST_THOM" hidden="1">"c3662"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BC_ACT_OR_EST_CIQ_COL" hidden="1">"c11509"</definedName>
    <definedName name="IQ_EBITDA_SBC_EST" hidden="1">"c4336"</definedName>
    <definedName name="IQ_EBITDA_SBC_GUIDANCE" hidden="1">"c4338"</definedName>
    <definedName name="IQ_EBITDA_SBC_GUIDANCE_CIQ">"c4863"</definedName>
    <definedName name="IQ_EBITDA_SBC_GUIDANCE_CIQ_COL">"c11510"</definedName>
    <definedName name="IQ_EBITDA_SBC_HIGH_EST" hidden="1">"c4339"</definedName>
    <definedName name="IQ_EBITDA_SBC_HIGH_GUIDANCE" hidden="1">"c4194"</definedName>
    <definedName name="IQ_EBITDA_SBC_HIGH_GUIDANCE_CIQ">"c4606"</definedName>
    <definedName name="IQ_EBITDA_SBC_HIGH_GUIDANCE_CIQ_COL">"c11255"</definedName>
    <definedName name="IQ_EBITDA_SBC_LOW_EST" hidden="1">"c4340"</definedName>
    <definedName name="IQ_EBITDA_SBC_LOW_GUIDANCE" hidden="1">"c4234"</definedName>
    <definedName name="IQ_EBITDA_SBC_LOW_GUIDANCE_CIQ">"c4646"</definedName>
    <definedName name="IQ_EBITDA_SBC_LOW_GUIDANCE_CIQ_COL">"c11295"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>"c13029"</definedName>
    <definedName name="IQ_EBT_FIN" hidden="1">"c386"</definedName>
    <definedName name="IQ_EBT_FTE_FFIEC">"c13037"</definedName>
    <definedName name="IQ_EBT_GAAP_GUIDANCE" hidden="1">"c4345"</definedName>
    <definedName name="IQ_EBT_GAAP_GUIDANCE_CIQ">"c4870"</definedName>
    <definedName name="IQ_EBT_GAAP_GUIDANCE_CIQ_COL">"c11517"</definedName>
    <definedName name="IQ_EBT_GAAP_HIGH_GUIDANCE" hidden="1">"c4174"</definedName>
    <definedName name="IQ_EBT_GAAP_HIGH_GUIDANCE_CIQ">"c4586"</definedName>
    <definedName name="IQ_EBT_GAAP_HIGH_GUIDANCE_CIQ_COL">"c11235"</definedName>
    <definedName name="IQ_EBT_GAAP_LOW_GUIDANCE" hidden="1">"c4214"</definedName>
    <definedName name="IQ_EBT_GAAP_LOW_GUIDANCE_CIQ">"c4626"</definedName>
    <definedName name="IQ_EBT_GAAP_LOW_GUIDANCE_CIQ_COL">"c11275"</definedName>
    <definedName name="IQ_EBT_GUIDANCE" hidden="1">"c4346"</definedName>
    <definedName name="IQ_EBT_GUIDANCE_CIQ">"c4871"</definedName>
    <definedName name="IQ_EBT_GUIDANCE_CIQ_COL">"c11518"</definedName>
    <definedName name="IQ_EBT_GW_GUIDANCE" hidden="1">"c4347"</definedName>
    <definedName name="IQ_EBT_GW_GUIDANCE_CIQ">"c4872"</definedName>
    <definedName name="IQ_EBT_GW_GUIDANCE_CIQ_COL">"c11519"</definedName>
    <definedName name="IQ_EBT_GW_HIGH_GUIDANCE" hidden="1">"c4175"</definedName>
    <definedName name="IQ_EBT_GW_HIGH_GUIDANCE_CIQ">"c4587"</definedName>
    <definedName name="IQ_EBT_GW_HIGH_GUIDANCE_CIQ_COL">"c11236"</definedName>
    <definedName name="IQ_EBT_GW_LOW_GUIDANCE" hidden="1">"c4215"</definedName>
    <definedName name="IQ_EBT_GW_LOW_GUIDANCE_CIQ">"c4627"</definedName>
    <definedName name="IQ_EBT_GW_LOW_GUIDANCE_CIQ_COL">"c11276"</definedName>
    <definedName name="IQ_EBT_HIGH_GUIDANCE" hidden="1">"c4173"</definedName>
    <definedName name="IQ_EBT_HIGH_GUIDANCE_CIQ">"c4585"</definedName>
    <definedName name="IQ_EBT_HIGH_GUIDANCE_CIQ_COL">"c11234"</definedName>
    <definedName name="IQ_EBT_HOMEBUILDING_SALES">"c15816"</definedName>
    <definedName name="IQ_EBT_INCL_MARGIN" hidden="1">"c387"</definedName>
    <definedName name="IQ_EBT_INS" hidden="1">"c388"</definedName>
    <definedName name="IQ_EBT_LOW_GUIDANCE" hidden="1">"c4213"</definedName>
    <definedName name="IQ_EBT_LOW_GUIDANCE_CIQ">"c4625"</definedName>
    <definedName name="IQ_EBT_LOW_GUIDANCE_CIQ_COL">"c11274"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ACT_OR_EST_CIQ_COL" hidden="1">"c11522"</definedName>
    <definedName name="IQ_EBT_SBC_EST" hidden="1">"c4349"</definedName>
    <definedName name="IQ_EBT_SBC_GUIDANCE" hidden="1">"c4351"</definedName>
    <definedName name="IQ_EBT_SBC_GUIDANCE_CIQ">"c4876"</definedName>
    <definedName name="IQ_EBT_SBC_GUIDANCE_CIQ_COL">"c11523"</definedName>
    <definedName name="IQ_EBT_SBC_GW_ACT_OR_EST" hidden="1">"c4354"</definedName>
    <definedName name="IQ_EBT_SBC_GW_ACT_OR_EST_CIQ" hidden="1">"c4879"</definedName>
    <definedName name="IQ_EBT_SBC_GW_ACT_OR_EST_CIQ_COL" hidden="1">"c11526"</definedName>
    <definedName name="IQ_EBT_SBC_GW_EST" hidden="1">"c4353"</definedName>
    <definedName name="IQ_EBT_SBC_GW_GUIDANCE" hidden="1">"c4355"</definedName>
    <definedName name="IQ_EBT_SBC_GW_GUIDANCE_CIQ">"c4880"</definedName>
    <definedName name="IQ_EBT_SBC_GW_GUIDANCE_CIQ_COL">"c11527"</definedName>
    <definedName name="IQ_EBT_SBC_GW_HIGH_EST" hidden="1">"c4356"</definedName>
    <definedName name="IQ_EBT_SBC_GW_HIGH_GUIDANCE" hidden="1">"c4191"</definedName>
    <definedName name="IQ_EBT_SBC_GW_HIGH_GUIDANCE_CIQ">"c4603"</definedName>
    <definedName name="IQ_EBT_SBC_GW_HIGH_GUIDANCE_CIQ_COL">"c11252"</definedName>
    <definedName name="IQ_EBT_SBC_GW_LOW_EST" hidden="1">"c4357"</definedName>
    <definedName name="IQ_EBT_SBC_GW_LOW_GUIDANCE" hidden="1">"c4231"</definedName>
    <definedName name="IQ_EBT_SBC_GW_LOW_GUIDANCE_CIQ">"c4643"</definedName>
    <definedName name="IQ_EBT_SBC_GW_LOW_GUIDANCE_CIQ_COL">"c11292"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HIGH_GUIDANCE_CIQ">"c4602"</definedName>
    <definedName name="IQ_EBT_SBC_HIGH_GUIDANCE_CIQ_COL">"c11251"</definedName>
    <definedName name="IQ_EBT_SBC_LOW_EST" hidden="1">"c4363"</definedName>
    <definedName name="IQ_EBT_SBC_LOW_GUIDANCE" hidden="1">"c4230"</definedName>
    <definedName name="IQ_EBT_SBC_LOW_GUIDANCE_CIQ">"c4642"</definedName>
    <definedName name="IQ_EBT_SBC_LOW_GUIDANCE_CIQ_COL">"c11291"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AUTHORIZED_SHARES_OTHER">"c15613"</definedName>
    <definedName name="IQ_ECS_AUTHORIZED_SHARES_OTHER_ABS">"c15630"</definedName>
    <definedName name="IQ_ECS_CONVERT_FACTOR" hidden="1">"c5581"</definedName>
    <definedName name="IQ_ECS_CONVERT_FACTOR_ABS" hidden="1">"c5595"</definedName>
    <definedName name="IQ_ECS_CONVERT_FACTOR_OTHER">"c15611"</definedName>
    <definedName name="IQ_ECS_CONVERT_FACTOR_OTHER_ABS">"c15628"</definedName>
    <definedName name="IQ_ECS_CONVERT_INTO" hidden="1">"c5580"</definedName>
    <definedName name="IQ_ECS_CONVERT_INTO_ABS" hidden="1">"c5594"</definedName>
    <definedName name="IQ_ECS_CONVERT_INTO_OTHER">"c15610"</definedName>
    <definedName name="IQ_ECS_CONVERT_INTO_OTHER_ABS">"c15627"</definedName>
    <definedName name="IQ_ECS_CONVERT_PRIMARY_FACTOR">"c15592"</definedName>
    <definedName name="IQ_ECS_CONVERT_PRIMARY_FACTOR_ABS">"c15596"</definedName>
    <definedName name="IQ_ECS_CONVERT_TYPE" hidden="1">"c5579"</definedName>
    <definedName name="IQ_ECS_CONVERT_TYPE_ABS" hidden="1">"c5593"</definedName>
    <definedName name="IQ_ECS_CONVERT_TYPE_OTHER">"c15609"</definedName>
    <definedName name="IQ_ECS_CONVERT_TYPE_OTHER_ABS">"c15626"</definedName>
    <definedName name="IQ_ECS_INACTIVE_DATE" hidden="1">"c5576"</definedName>
    <definedName name="IQ_ECS_INACTIVE_DATE_ABS" hidden="1">"c5590"</definedName>
    <definedName name="IQ_ECS_INACTIVE_DATE_OTHER">"c15606"</definedName>
    <definedName name="IQ_ECS_INACTIVE_DATE_OTHER_ABS">"c15623"</definedName>
    <definedName name="IQ_ECS_NAME" hidden="1">"c5571"</definedName>
    <definedName name="IQ_ECS_NAME_ABS" hidden="1">"c5585"</definedName>
    <definedName name="IQ_ECS_NAME_OTHER">"c15599"</definedName>
    <definedName name="IQ_ECS_NAME_OTHER_ABS">"c15616"</definedName>
    <definedName name="IQ_ECS_NUM_SHAREHOLDERS" hidden="1">"c5584"</definedName>
    <definedName name="IQ_ECS_NUM_SHAREHOLDERS_ABS" hidden="1">"c5598"</definedName>
    <definedName name="IQ_ECS_NUM_SHAREHOLDERS_BENEFICIAL_BS_DATE" hidden="1">"c16234"</definedName>
    <definedName name="IQ_ECS_NUM_SHAREHOLDERS_BENEFICIAL_BS_DATE_ABS" hidden="1">"c16235"</definedName>
    <definedName name="IQ_ECS_NUM_SHAREHOLDERS_BENEFICIAL_BS_DATE_OTHER" hidden="1">"c16236"</definedName>
    <definedName name="IQ_ECS_NUM_SHAREHOLDERS_BENEFICIAL_BS_DATE_OTHER_ABS" hidden="1">"c16237"</definedName>
    <definedName name="IQ_ECS_NUM_SHAREHOLDERS_BENEFICIAL_FILING_DATE" hidden="1">"c16230"</definedName>
    <definedName name="IQ_ECS_NUM_SHAREHOLDERS_BENEFICIAL_FILING_DATE_ABS" hidden="1">"c16231"</definedName>
    <definedName name="IQ_ECS_NUM_SHAREHOLDERS_BENEFICIAL_FILING_DATE_OTHER" hidden="1">"c16232"</definedName>
    <definedName name="IQ_ECS_NUM_SHAREHOLDERS_BENEFICIAL_FILING_DATE_OTHER_ABS" hidden="1">"c16233"</definedName>
    <definedName name="IQ_ECS_NUM_SHAREHOLDERS_BS_DATE" hidden="1">"c16238"</definedName>
    <definedName name="IQ_ECS_NUM_SHAREHOLDERS_BS_DATE_ABS" hidden="1">"c16239"</definedName>
    <definedName name="IQ_ECS_NUM_SHAREHOLDERS_BS_DATE_OTHER" hidden="1">"c16240"</definedName>
    <definedName name="IQ_ECS_NUM_SHAREHOLDERS_BS_DATE_OTHER_ABS" hidden="1">"c16241"</definedName>
    <definedName name="IQ_ECS_NUM_SHAREHOLDERS_FILING_DATE" hidden="1">"c5584"</definedName>
    <definedName name="IQ_ECS_NUM_SHAREHOLDERS_FILING_DATE_ABS" hidden="1">"c5598"</definedName>
    <definedName name="IQ_ECS_NUM_SHAREHOLDERS_FILING_DATE_OTHER" hidden="1">"c15615"</definedName>
    <definedName name="IQ_ECS_NUM_SHAREHOLDERS_FILING_DATE_OTHER_ABS" hidden="1">"c15632"</definedName>
    <definedName name="IQ_ECS_NUM_SHAREHOLDERS_OTHER">"c15615"</definedName>
    <definedName name="IQ_ECS_NUM_SHAREHOLDERS_OTHER_ABS">"c15632"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PAR_VALUE_CURRENCY_OTHER">"c15608"</definedName>
    <definedName name="IQ_ECS_PAR_VALUE_CURRENCY_OTHER_ABS">"c15625"</definedName>
    <definedName name="IQ_ECS_PAR_VALUE_OTHER">"c15607"</definedName>
    <definedName name="IQ_ECS_PAR_VALUE_OTHER_ABS">"c15624"</definedName>
    <definedName name="IQ_ECS_PARTICIPATE_FLAG">"c15591"</definedName>
    <definedName name="IQ_ECS_PARTICIPATE_FLAG_ABS">"c15595"</definedName>
    <definedName name="IQ_ECS_PARTICIPATE_FLAG_OTHER">"c15614"</definedName>
    <definedName name="IQ_ECS_PARTICIPATE_FLAG_OTHER_ABS">"c15631"</definedName>
    <definedName name="IQ_ECS_SHARES_OUT_BS_DATE" hidden="1">"c5572"</definedName>
    <definedName name="IQ_ECS_SHARES_OUT_BS_DATE_ABS" hidden="1">"c5586"</definedName>
    <definedName name="IQ_ECS_SHARES_OUT_BS_DATE_OTHER">"c15600"</definedName>
    <definedName name="IQ_ECS_SHARES_OUT_BS_DATE_OTHER_ABS">"c15617"</definedName>
    <definedName name="IQ_ECS_SHARES_OUT_FILING_DATE" hidden="1">"c5573"</definedName>
    <definedName name="IQ_ECS_SHARES_OUT_FILING_DATE_ABS" hidden="1">"c5587"</definedName>
    <definedName name="IQ_ECS_SHARES_OUT_FILING_DATE_OTHER">"c15601"</definedName>
    <definedName name="IQ_ECS_SHARES_OUT_FILING_DATE_OTHER_ABS">"c15618"</definedName>
    <definedName name="IQ_ECS_START_DATE" hidden="1">"c5575"</definedName>
    <definedName name="IQ_ECS_START_DATE_ABS" hidden="1">"c5589"</definedName>
    <definedName name="IQ_ECS_START_DATE_OTHER">"c15605"</definedName>
    <definedName name="IQ_ECS_START_DATE_OTHER_ABS">"c15622"</definedName>
    <definedName name="IQ_ECS_TICKER">"c15594"</definedName>
    <definedName name="IQ_ECS_TICKER_ABS">"c15598"</definedName>
    <definedName name="IQ_ECS_TICKER_OTHER">"c15603"</definedName>
    <definedName name="IQ_ECS_TICKER_OTHER_ABS">"c15620"</definedName>
    <definedName name="IQ_ECS_TRADING_ITEM_CIQID">"c15593"</definedName>
    <definedName name="IQ_ECS_TRADING_ITEM_CIQID_ABS">"c15597"</definedName>
    <definedName name="IQ_ECS_TRADING_ITEM_CIQID_OTHER">"c15602"</definedName>
    <definedName name="IQ_ECS_TRADING_ITEM_CIQID_OTHER_ABS">"c15619"</definedName>
    <definedName name="IQ_ECS_TYPE" hidden="1">"c5574"</definedName>
    <definedName name="IQ_ECS_TYPE_ABS" hidden="1">"c5588"</definedName>
    <definedName name="IQ_ECS_TYPE_OTHER">"c15604"</definedName>
    <definedName name="IQ_ECS_TYPE_OTHER_ABS">"c15621"</definedName>
    <definedName name="IQ_ECS_VOTING" hidden="1">"c5582"</definedName>
    <definedName name="IQ_ECS_VOTING_ABS" hidden="1">"c5596"</definedName>
    <definedName name="IQ_ECS_VOTING_OTHER">"c15612"</definedName>
    <definedName name="IQ_ECS_VOTING_OTHER_ABS">"c15629"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LIMINATIONS_CONSOL_OFFICES_FOREIGN_FFIEC">"c15395"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>"c13035"</definedName>
    <definedName name="IQ_EMPLOYEES_UNDER_UNION_CONTRACTS">"c16109"</definedName>
    <definedName name="IQ_ENTERPRISE_VALUE" hidden="1">"c1348"</definedName>
    <definedName name="IQ_ENTITLEMENT_DET_EST" hidden="1">"c12044"</definedName>
    <definedName name="IQ_ENTITLEMENT_DET_EST_THOM" hidden="1">"c12072"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CIQ_COL" hidden="1">"c11705"</definedName>
    <definedName name="IQ_EPS_ACT_OR_EST_REUT" hidden="1">"c5460"</definedName>
    <definedName name="IQ_EPS_ACT_OR_EST_THOM" hidden="1">"c5298"</definedName>
    <definedName name="IQ_EPS_AP" hidden="1">"c8880"</definedName>
    <definedName name="IQ_EPS_AP_ABS" hidden="1">"c8899"</definedName>
    <definedName name="IQ_EPS_DET_EST" hidden="1">"c13571"</definedName>
    <definedName name="IQ_EPS_DET_EST_CURRENCY" hidden="1">"c13583"</definedName>
    <definedName name="IQ_EPS_DET_EST_CURRENCY_THOM" hidden="1">"c12484"</definedName>
    <definedName name="IQ_EPS_DET_EST_DATE" hidden="1">"c13575"</definedName>
    <definedName name="IQ_EPS_DET_EST_DATE_THOM" hidden="1">"c12235"</definedName>
    <definedName name="IQ_EPS_DET_EST_INCL" hidden="1">"c13587"</definedName>
    <definedName name="IQ_EPS_DET_EST_INCL_THOM" hidden="1">"c12367"</definedName>
    <definedName name="IQ_EPS_DET_EST_ORIGIN" hidden="1">"c13579"</definedName>
    <definedName name="IQ_EPS_DET_EST_ORIGIN_THOM" hidden="1">"c12605"</definedName>
    <definedName name="IQ_EPS_DET_EST_THOM" hidden="1">"c12085"</definedName>
    <definedName name="IQ_EPS_EST" hidden="1">"c399"</definedName>
    <definedName name="IQ_EPS_EST_1" hidden="1">"c189"</definedName>
    <definedName name="IQ_EPS_EST_BOTTOM_UP" hidden="1">"c5489"</definedName>
    <definedName name="IQ_EPS_EST_BOTTOM_UP_CIQ" hidden="1">"c12026"</definedName>
    <definedName name="IQ_EPS_EST_BOTTOM_UP_REUT" hidden="1">"c5497"</definedName>
    <definedName name="IQ_EPS_EST_BOTTOM_UP_THOM" hidden="1">"c5647"</definedName>
    <definedName name="IQ_EPS_EST_CIQ" hidden="1">"c4994"</definedName>
    <definedName name="IQ_EPS_EST_DOWN_2MONTH" hidden="1">"c16309"</definedName>
    <definedName name="IQ_EPS_EST_DOWN_2MONTH_CIQ" hidden="1">"c16633"</definedName>
    <definedName name="IQ_EPS_EST_DOWN_3MONTH" hidden="1">"c16313"</definedName>
    <definedName name="IQ_EPS_EST_DOWN_3MONTH_CIQ" hidden="1">"c16637"</definedName>
    <definedName name="IQ_EPS_EST_DOWN_MONTH" hidden="1">"c16305"</definedName>
    <definedName name="IQ_EPS_EST_DOWN_MONTH_CIQ" hidden="1">"c16629"</definedName>
    <definedName name="IQ_EPS_EST_NOTE" hidden="1">"c17504"</definedName>
    <definedName name="IQ_EPS_EST_NOTE_CIQ" hidden="1">"c17457"</definedName>
    <definedName name="IQ_EPS_EST_NUM_ANALYSTS_2MONTH" hidden="1">"c16307"</definedName>
    <definedName name="IQ_EPS_EST_NUM_ANALYSTS_2MONTH_CIQ" hidden="1">"c16631"</definedName>
    <definedName name="IQ_EPS_EST_NUM_ANALYSTS_3MONTH" hidden="1">"c16311"</definedName>
    <definedName name="IQ_EPS_EST_NUM_ANALYSTS_3MONTH_CIQ" hidden="1">"c16635"</definedName>
    <definedName name="IQ_EPS_EST_NUM_ANALYSTS_MONTH" hidden="1">"c16303"</definedName>
    <definedName name="IQ_EPS_EST_NUM_ANALYSTS_MONTH_CIQ" hidden="1">"c16627"</definedName>
    <definedName name="IQ_EPS_EST_REUT" hidden="1">"c5453"</definedName>
    <definedName name="IQ_EPS_EST_THOM" hidden="1">"c5290"</definedName>
    <definedName name="IQ_EPS_EST_TOTAL_REVISED_2MONTH" hidden="1">"c16310"</definedName>
    <definedName name="IQ_EPS_EST_TOTAL_REVISED_2MONTH_CIQ" hidden="1">"c16634"</definedName>
    <definedName name="IQ_EPS_EST_TOTAL_REVISED_3MONTH" hidden="1">"c16314"</definedName>
    <definedName name="IQ_EPS_EST_TOTAL_REVISED_3MONTH_CIQ" hidden="1">"c16638"</definedName>
    <definedName name="IQ_EPS_EST_TOTAL_REVISED_MONTH" hidden="1">"c16306"</definedName>
    <definedName name="IQ_EPS_EST_TOTAL_REVISED_MONTH_CIQ" hidden="1">"c16630"</definedName>
    <definedName name="IQ_EPS_EST_UP_2MONTH" hidden="1">"c16308"</definedName>
    <definedName name="IQ_EPS_EST_UP_2MONTH_CIQ" hidden="1">"c16632"</definedName>
    <definedName name="IQ_EPS_EST_UP_3MONTH" hidden="1">"c16312"</definedName>
    <definedName name="IQ_EPS_EST_UP_3MONTH_CIQ" hidden="1">"c16636"</definedName>
    <definedName name="IQ_EPS_EST_UP_MONTH" hidden="1">"c16304"</definedName>
    <definedName name="IQ_EPS_EST_UP_MONTH_CIQ" hidden="1">"c16628"</definedName>
    <definedName name="IQ_EPS_EXCL_GUIDANCE" hidden="1">"c4368"</definedName>
    <definedName name="IQ_EPS_EXCL_GUIDANCE_CIQ">"c4893"</definedName>
    <definedName name="IQ_EPS_EXCL_GUIDANCE_CIQ_COL">"c11540"</definedName>
    <definedName name="IQ_EPS_EXCL_HIGH_GUIDANCE" hidden="1">"c4369"</definedName>
    <definedName name="IQ_EPS_EXCL_HIGH_GUIDANCE_CIQ">"c4894"</definedName>
    <definedName name="IQ_EPS_EXCL_HIGH_GUIDANCE_CIQ_COL">"c11541"</definedName>
    <definedName name="IQ_EPS_EXCL_LOW_GUIDANCE" hidden="1">"c4204"</definedName>
    <definedName name="IQ_EPS_EXCL_LOW_GUIDANCE_CIQ">"c4616"</definedName>
    <definedName name="IQ_EPS_EXCL_LOW_GUIDANCE_CIQ_COL">"c11265"</definedName>
    <definedName name="IQ_EPS_GAAP_GUIDANCE" hidden="1">"c4370"</definedName>
    <definedName name="IQ_EPS_GAAP_GUIDANCE_CIQ">"c4895"</definedName>
    <definedName name="IQ_EPS_GAAP_GUIDANCE_CIQ_COL">"c11542"</definedName>
    <definedName name="IQ_EPS_GAAP_HIGH_GUIDANCE" hidden="1">"c4371"</definedName>
    <definedName name="IQ_EPS_GAAP_HIGH_GUIDANCE_CIQ">"c4896"</definedName>
    <definedName name="IQ_EPS_GAAP_HIGH_GUIDANCE_CIQ_COL">"c11543"</definedName>
    <definedName name="IQ_EPS_GAAP_LOW_GUIDANCE" hidden="1">"c4205"</definedName>
    <definedName name="IQ_EPS_GAAP_LOW_GUIDANCE_CIQ">"c4617"</definedName>
    <definedName name="IQ_EPS_GAAP_LOW_GUIDANCE_CIQ_COL">"c11266"</definedName>
    <definedName name="IQ_EPS_GROWTH_GUIDANCE_CIQ">"c32283"</definedName>
    <definedName name="IQ_EPS_GROWTH_GUIDANCE_CIQ_COL">"c32286"</definedName>
    <definedName name="IQ_EPS_GROWTH_HIGH_GUIDANCE_CIQ">"c32284"</definedName>
    <definedName name="IQ_EPS_GROWTH_HIGH_GUIDANCE_CIQ_COL">"c32287"</definedName>
    <definedName name="IQ_EPS_GROWTH_LOW_GUIDANCE_CIQ">"c32285"</definedName>
    <definedName name="IQ_EPS_GROWTH_LOW_GUIDANCE_CIQ_COL">"c32288"</definedName>
    <definedName name="IQ_EPS_GW_ACT_OR_EST" hidden="1">"c2223"</definedName>
    <definedName name="IQ_EPS_GW_ACT_OR_EST_CIQ" hidden="1">"c5066"</definedName>
    <definedName name="IQ_EPS_GW_ACT_OR_EST_REUT" hidden="1">"c5469"</definedName>
    <definedName name="IQ_EPS_GW_DET_EST" hidden="1">"c12056"</definedName>
    <definedName name="IQ_EPS_GW_DET_EST_CURRENCY" hidden="1">"c12463"</definedName>
    <definedName name="IQ_EPS_GW_DET_EST_CURRENCY_THOM" hidden="1">"c12485"</definedName>
    <definedName name="IQ_EPS_GW_DET_EST_DATE" hidden="1">"c12209"</definedName>
    <definedName name="IQ_EPS_GW_DET_EST_DATE_THOM" hidden="1">"c12236"</definedName>
    <definedName name="IQ_EPS_GW_DET_EST_INCL" hidden="1">"c12346"</definedName>
    <definedName name="IQ_EPS_GW_DET_EST_INCL_THOM" hidden="1">"c12368"</definedName>
    <definedName name="IQ_EPS_GW_DET_EST_ORIGIN" hidden="1">"c12582"</definedName>
    <definedName name="IQ_EPS_GW_DET_EST_ORIGIN_THOM" hidden="1">"c12606"</definedName>
    <definedName name="IQ_EPS_GW_DET_EST_THOM" hidden="1">"c12086"</definedName>
    <definedName name="IQ_EPS_GW_EST" hidden="1">"c1737"</definedName>
    <definedName name="IQ_EPS_GW_EST_BOTTOM_UP" hidden="1">"c5491"</definedName>
    <definedName name="IQ_EPS_GW_EST_BOTTOM_UP_CIQ" hidden="1">"c12028"</definedName>
    <definedName name="IQ_EPS_GW_EST_BOTTOM_UP_REUT" hidden="1">"c5499"</definedName>
    <definedName name="IQ_EPS_GW_EST_CIQ" hidden="1">"c4723"</definedName>
    <definedName name="IQ_EPS_GW_EST_DOWN_2MONTH" hidden="1">"c16465"</definedName>
    <definedName name="IQ_EPS_GW_EST_DOWN_2MONTH_CIQ" hidden="1">"c16753"</definedName>
    <definedName name="IQ_EPS_GW_EST_DOWN_3MONTH" hidden="1">"c16469"</definedName>
    <definedName name="IQ_EPS_GW_EST_DOWN_3MONTH_CIQ" hidden="1">"c16757"</definedName>
    <definedName name="IQ_EPS_GW_EST_DOWN_MONTH" hidden="1">"c16461"</definedName>
    <definedName name="IQ_EPS_GW_EST_DOWN_MONTH_CIQ" hidden="1">"c16749"</definedName>
    <definedName name="IQ_EPS_GW_EST_NOTE" hidden="1">"c17524"</definedName>
    <definedName name="IQ_EPS_GW_EST_NOTE_CIQ" hidden="1">"c17477"</definedName>
    <definedName name="IQ_EPS_GW_EST_NUM_ANALYSTS_2MONTH" hidden="1">"c16463"</definedName>
    <definedName name="IQ_EPS_GW_EST_NUM_ANALYSTS_2MONTH_CIQ" hidden="1">"c16751"</definedName>
    <definedName name="IQ_EPS_GW_EST_NUM_ANALYSTS_3MONTH" hidden="1">"c16467"</definedName>
    <definedName name="IQ_EPS_GW_EST_NUM_ANALYSTS_3MONTH_CIQ" hidden="1">"c16755"</definedName>
    <definedName name="IQ_EPS_GW_EST_NUM_ANALYSTS_MONTH" hidden="1">"c16459"</definedName>
    <definedName name="IQ_EPS_GW_EST_NUM_ANALYSTS_MONTH_CIQ" hidden="1">"c16747"</definedName>
    <definedName name="IQ_EPS_GW_EST_REUT" hidden="1">"c5389"</definedName>
    <definedName name="IQ_EPS_GW_EST_THOM" hidden="1">"c5133"</definedName>
    <definedName name="IQ_EPS_GW_EST_TOTAL_REVISED_2MONTH" hidden="1">"c16466"</definedName>
    <definedName name="IQ_EPS_GW_EST_TOTAL_REVISED_2MONTH_CIQ" hidden="1">"c16754"</definedName>
    <definedName name="IQ_EPS_GW_EST_TOTAL_REVISED_3MONTH" hidden="1">"c16470"</definedName>
    <definedName name="IQ_EPS_GW_EST_TOTAL_REVISED_3MONTH_CIQ" hidden="1">"c16758"</definedName>
    <definedName name="IQ_EPS_GW_EST_TOTAL_REVISED_MONTH" hidden="1">"c16462"</definedName>
    <definedName name="IQ_EPS_GW_EST_TOTAL_REVISED_MONTH_CIQ" hidden="1">"c16750"</definedName>
    <definedName name="IQ_EPS_GW_EST_UP_2MONTH" hidden="1">"c16464"</definedName>
    <definedName name="IQ_EPS_GW_EST_UP_2MONTH_CIQ" hidden="1">"c16752"</definedName>
    <definedName name="IQ_EPS_GW_EST_UP_3MONTH" hidden="1">"c16468"</definedName>
    <definedName name="IQ_EPS_GW_EST_UP_3MONTH_CIQ" hidden="1">"c16756"</definedName>
    <definedName name="IQ_EPS_GW_EST_UP_MONTH" hidden="1">"c16460"</definedName>
    <definedName name="IQ_EPS_GW_EST_UP_MONTH_CIQ" hidden="1">"c16748"</definedName>
    <definedName name="IQ_EPS_GW_GUIDANCE" hidden="1">"c4372"</definedName>
    <definedName name="IQ_EPS_GW_GUIDANCE_CIQ">"c4897"</definedName>
    <definedName name="IQ_EPS_GW_GUIDANCE_CIQ_COL">"c11544"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EST_THOM" hidden="1">"c5135"</definedName>
    <definedName name="IQ_EPS_GW_HIGH_GUIDANCE" hidden="1">"c4373"</definedName>
    <definedName name="IQ_EPS_GW_HIGH_GUIDANCE_CIQ">"c4898"</definedName>
    <definedName name="IQ_EPS_GW_HIGH_GUIDANCE_CIQ_COL">"c11545"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EST_THOM" hidden="1">"c5136"</definedName>
    <definedName name="IQ_EPS_GW_LOW_GUIDANCE" hidden="1">"c4206"</definedName>
    <definedName name="IQ_EPS_GW_LOW_GUIDANCE_CIQ">"c4618"</definedName>
    <definedName name="IQ_EPS_GW_LOW_GUIDANCE_CIQ_COL">"c11267"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REUT" hidden="1">"c5454"</definedName>
    <definedName name="IQ_EPS_HIGH_EST_THOM" hidden="1">"c5291"</definedName>
    <definedName name="IQ_EPS_LOW_EST" hidden="1">"c401"</definedName>
    <definedName name="IQ_EPS_LOW_EST_CIQ" hidden="1">"c4996"</definedName>
    <definedName name="IQ_EPS_LOW_EST_REUT" hidden="1">"c5455"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MEDIAN_EST_THOM" hidden="1">"c5293"</definedName>
    <definedName name="IQ_EPS_NAME_AP" hidden="1">"c8918"</definedName>
    <definedName name="IQ_EPS_NAME_AP_ABS" hidden="1">"c8937"</definedName>
    <definedName name="IQ_EPS_NO_EST" hidden="1">"c271"</definedName>
    <definedName name="IQ_EPS_NORM" hidden="1">"c1902"</definedName>
    <definedName name="IQ_EPS_NORM_DET_EST" hidden="1">"c12058"</definedName>
    <definedName name="IQ_EPS_NORM_DET_EST_CURRENCY" hidden="1">"c12465"</definedName>
    <definedName name="IQ_EPS_NORM_DET_EST_DATE" hidden="1">"c12211"</definedName>
    <definedName name="IQ_EPS_NORM_DET_EST_INCL" hidden="1">"c12348"</definedName>
    <definedName name="IQ_EPS_NORM_DET_EST_ORIGIN" hidden="1">"c12583"</definedName>
    <definedName name="IQ_EPS_NORM_DET_EST_ORIGIN_THOM" hidden="1">"c12607"</definedName>
    <definedName name="IQ_EPS_NORM_EST" hidden="1">"c2226"</definedName>
    <definedName name="IQ_EPS_NORM_EST_BOTTOM_UP" hidden="1">"c5490"</definedName>
    <definedName name="IQ_EPS_NORM_EST_BOTTOM_UP_CIQ" hidden="1">"c12027"</definedName>
    <definedName name="IQ_EPS_NORM_EST_BOTTOM_UP_REUT" hidden="1">"c5498"</definedName>
    <definedName name="IQ_EPS_NORM_EST_CIQ" hidden="1">"c4667"</definedName>
    <definedName name="IQ_EPS_NORM_EST_DOWN_2MONTH" hidden="1">"c16597"</definedName>
    <definedName name="IQ_EPS_NORM_EST_DOWN_2MONTH_CIQ" hidden="1">"c16861"</definedName>
    <definedName name="IQ_EPS_NORM_EST_DOWN_3MONTH" hidden="1">"c16601"</definedName>
    <definedName name="IQ_EPS_NORM_EST_DOWN_3MONTH_CIQ" hidden="1">"c16865"</definedName>
    <definedName name="IQ_EPS_NORM_EST_DOWN_MONTH" hidden="1">"c16593"</definedName>
    <definedName name="IQ_EPS_NORM_EST_DOWN_MONTH_CIQ" hidden="1">"c16857"</definedName>
    <definedName name="IQ_EPS_NORM_EST_NOTE" hidden="1">"c17505"</definedName>
    <definedName name="IQ_EPS_NORM_EST_NOTE_CIQ" hidden="1">"c17458"</definedName>
    <definedName name="IQ_EPS_NORM_EST_NUM_ANALYSTS_2MONTH" hidden="1">"c16595"</definedName>
    <definedName name="IQ_EPS_NORM_EST_NUM_ANALYSTS_2MONTH_CIQ" hidden="1">"c16859"</definedName>
    <definedName name="IQ_EPS_NORM_EST_NUM_ANALYSTS_3MONTH" hidden="1">"c16599"</definedName>
    <definedName name="IQ_EPS_NORM_EST_NUM_ANALYSTS_3MONTH_CIQ" hidden="1">"c16863"</definedName>
    <definedName name="IQ_EPS_NORM_EST_NUM_ANALYSTS_MONTH" hidden="1">"c16591"</definedName>
    <definedName name="IQ_EPS_NORM_EST_NUM_ANALYSTS_MONTH_CIQ" hidden="1">"c16855"</definedName>
    <definedName name="IQ_EPS_NORM_EST_REUT" hidden="1">"c5326"</definedName>
    <definedName name="IQ_EPS_NORM_EST_TOTAL_REVISED_2MONTH" hidden="1">"c16598"</definedName>
    <definedName name="IQ_EPS_NORM_EST_TOTAL_REVISED_2MONTH_CIQ" hidden="1">"c16862"</definedName>
    <definedName name="IQ_EPS_NORM_EST_TOTAL_REVISED_3MONTH" hidden="1">"c16602"</definedName>
    <definedName name="IQ_EPS_NORM_EST_TOTAL_REVISED_3MONTH_CIQ" hidden="1">"c16866"</definedName>
    <definedName name="IQ_EPS_NORM_EST_TOTAL_REVISED_MONTH" hidden="1">"c16594"</definedName>
    <definedName name="IQ_EPS_NORM_EST_TOTAL_REVISED_MONTH_CIQ" hidden="1">"c16858"</definedName>
    <definedName name="IQ_EPS_NORM_EST_UP_2MONTH" hidden="1">"c16596"</definedName>
    <definedName name="IQ_EPS_NORM_EST_UP_2MONTH_CIQ" hidden="1">"c16860"</definedName>
    <definedName name="IQ_EPS_NORM_EST_UP_3MONTH" hidden="1">"c16600"</definedName>
    <definedName name="IQ_EPS_NORM_EST_UP_3MONTH_CIQ" hidden="1">"c16864"</definedName>
    <definedName name="IQ_EPS_NORM_EST_UP_MONTH" hidden="1">"c16592"</definedName>
    <definedName name="IQ_EPS_NORM_EST_UP_MONTH_CIQ" hidden="1">"c16856"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NUM_EST_THOM" hidden="1">"c5288"</definedName>
    <definedName name="IQ_EPS_REPORT_ACT_OR_EST" hidden="1">"c2224"</definedName>
    <definedName name="IQ_EPS_REPORT_ACT_OR_EST_CIQ" hidden="1">"c5067"</definedName>
    <definedName name="IQ_EPS_REPORT_ACT_OR_EST_REUT" hidden="1">"c5470"</definedName>
    <definedName name="IQ_EPS_REPORT_ACT_OR_EST_THOM" hidden="1">"c5307"</definedName>
    <definedName name="IQ_EPS_REPORTED_DET_EST" hidden="1">"c12057"</definedName>
    <definedName name="IQ_EPS_REPORTED_DET_EST_CURRENCY" hidden="1">"c12464"</definedName>
    <definedName name="IQ_EPS_REPORTED_DET_EST_CURRENCY_THOM" hidden="1">"c12486"</definedName>
    <definedName name="IQ_EPS_REPORTED_DET_EST_DATE" hidden="1">"c12210"</definedName>
    <definedName name="IQ_EPS_REPORTED_DET_EST_DATE_THOM" hidden="1">"c12237"</definedName>
    <definedName name="IQ_EPS_REPORTED_DET_EST_INCL" hidden="1">"c12347"</definedName>
    <definedName name="IQ_EPS_REPORTED_DET_EST_INCL_THOM" hidden="1">"c12369"</definedName>
    <definedName name="IQ_EPS_REPORTED_DET_EST_ORIGIN" hidden="1">"c12772"</definedName>
    <definedName name="IQ_EPS_REPORTED_DET_EST_ORIGIN_THOM" hidden="1">"c13511"</definedName>
    <definedName name="IQ_EPS_REPORTED_DET_EST_THOM" hidden="1">"c12087"</definedName>
    <definedName name="IQ_EPS_REPORTED_EST" hidden="1">"c1744"</definedName>
    <definedName name="IQ_EPS_REPORTED_EST_BOTTOM_UP" hidden="1">"c5492"</definedName>
    <definedName name="IQ_EPS_REPORTED_EST_BOTTOM_UP_CIQ" hidden="1">"c12029"</definedName>
    <definedName name="IQ_EPS_REPORTED_EST_BOTTOM_UP_REUT" hidden="1">"c5500"</definedName>
    <definedName name="IQ_EPS_REPORTED_EST_CIQ" hidden="1">"c4730"</definedName>
    <definedName name="IQ_EPS_REPORTED_EST_DOWN_2MONTH" hidden="1">"c16477"</definedName>
    <definedName name="IQ_EPS_REPORTED_EST_DOWN_2MONTH_CIQ" hidden="1">"c16765"</definedName>
    <definedName name="IQ_EPS_REPORTED_EST_DOWN_3MONTH" hidden="1">"c16481"</definedName>
    <definedName name="IQ_EPS_REPORTED_EST_DOWN_3MONTH_CIQ" hidden="1">"c16769"</definedName>
    <definedName name="IQ_EPS_REPORTED_EST_DOWN_MONTH" hidden="1">"c16473"</definedName>
    <definedName name="IQ_EPS_REPORTED_EST_DOWN_MONTH_CIQ" hidden="1">"c16761"</definedName>
    <definedName name="IQ_EPS_REPORTED_EST_NOTE" hidden="1">"c17517"</definedName>
    <definedName name="IQ_EPS_REPORTED_EST_NOTE_CIQ" hidden="1">"c17470"</definedName>
    <definedName name="IQ_EPS_REPORTED_EST_NUM_ANALYSTS_2MONTH" hidden="1">"c16475"</definedName>
    <definedName name="IQ_EPS_REPORTED_EST_NUM_ANALYSTS_2MONTH_CIQ" hidden="1">"c16763"</definedName>
    <definedName name="IQ_EPS_REPORTED_EST_NUM_ANALYSTS_3MONTH" hidden="1">"c16479"</definedName>
    <definedName name="IQ_EPS_REPORTED_EST_NUM_ANALYSTS_3MONTH_CIQ" hidden="1">"c16767"</definedName>
    <definedName name="IQ_EPS_REPORTED_EST_NUM_ANALYSTS_MONTH" hidden="1">"c16471"</definedName>
    <definedName name="IQ_EPS_REPORTED_EST_NUM_ANALYSTS_MONTH_CIQ" hidden="1">"c16759"</definedName>
    <definedName name="IQ_EPS_REPORTED_EST_REUT" hidden="1">"c5396"</definedName>
    <definedName name="IQ_EPS_REPORTED_EST_THOM" hidden="1">"c5140"</definedName>
    <definedName name="IQ_EPS_REPORTED_EST_TOTAL_REVISED_2MONTH" hidden="1">"c16478"</definedName>
    <definedName name="IQ_EPS_REPORTED_EST_TOTAL_REVISED_2MONTH_CIQ" hidden="1">"c16766"</definedName>
    <definedName name="IQ_EPS_REPORTED_EST_TOTAL_REVISED_3MONTH" hidden="1">"c16482"</definedName>
    <definedName name="IQ_EPS_REPORTED_EST_TOTAL_REVISED_3MONTH_CIQ" hidden="1">"c16770"</definedName>
    <definedName name="IQ_EPS_REPORTED_EST_TOTAL_REVISED_MONTH" hidden="1">"c16474"</definedName>
    <definedName name="IQ_EPS_REPORTED_EST_TOTAL_REVISED_MONTH_CIQ" hidden="1">"c16762"</definedName>
    <definedName name="IQ_EPS_REPORTED_EST_UP_2MONTH" hidden="1">"c16476"</definedName>
    <definedName name="IQ_EPS_REPORTED_EST_UP_2MONTH_CIQ" hidden="1">"c16764"</definedName>
    <definedName name="IQ_EPS_REPORTED_EST_UP_3MONTH" hidden="1">"c16480"</definedName>
    <definedName name="IQ_EPS_REPORTED_EST_UP_3MONTH_CIQ" hidden="1">"c16768"</definedName>
    <definedName name="IQ_EPS_REPORTED_EST_UP_MONTH" hidden="1">"c16472"</definedName>
    <definedName name="IQ_EPS_REPORTED_EST_UP_MONTH_CIQ" hidden="1">"c16760"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ACT_OR_EST_CIQ_COL" hidden="1">"c11548"</definedName>
    <definedName name="IQ_EPS_SBC_EST" hidden="1">"c4375"</definedName>
    <definedName name="IQ_EPS_SBC_GUIDANCE" hidden="1">"c4377"</definedName>
    <definedName name="IQ_EPS_SBC_GUIDANCE_CIQ">"c4902"</definedName>
    <definedName name="IQ_EPS_SBC_GUIDANCE_CIQ_COL">"c11549"</definedName>
    <definedName name="IQ_EPS_SBC_GW_ACT_OR_EST" hidden="1">"c4380"</definedName>
    <definedName name="IQ_EPS_SBC_GW_ACT_OR_EST_CIQ" hidden="1">"c4905"</definedName>
    <definedName name="IQ_EPS_SBC_GW_ACT_OR_EST_CIQ_COL" hidden="1">"c11552"</definedName>
    <definedName name="IQ_EPS_SBC_GW_EST" hidden="1">"c4379"</definedName>
    <definedName name="IQ_EPS_SBC_GW_GUIDANCE" hidden="1">"c4381"</definedName>
    <definedName name="IQ_EPS_SBC_GW_GUIDANCE_CIQ">"c4906"</definedName>
    <definedName name="IQ_EPS_SBC_GW_GUIDANCE_CIQ_COL">"c11553"</definedName>
    <definedName name="IQ_EPS_SBC_GW_HIGH_EST" hidden="1">"c4382"</definedName>
    <definedName name="IQ_EPS_SBC_GW_HIGH_GUIDANCE" hidden="1">"c4189"</definedName>
    <definedName name="IQ_EPS_SBC_GW_HIGH_GUIDANCE_CIQ">"c4601"</definedName>
    <definedName name="IQ_EPS_SBC_GW_HIGH_GUIDANCE_CIQ_COL">"c11250"</definedName>
    <definedName name="IQ_EPS_SBC_GW_LOW_EST" hidden="1">"c4383"</definedName>
    <definedName name="IQ_EPS_SBC_GW_LOW_GUIDANCE" hidden="1">"c4229"</definedName>
    <definedName name="IQ_EPS_SBC_GW_LOW_GUIDANCE_CIQ">"c4641"</definedName>
    <definedName name="IQ_EPS_SBC_GW_LOW_GUIDANCE_CIQ_COL">"c11290"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HIGH_GUIDANCE_CIQ">"c4600"</definedName>
    <definedName name="IQ_EPS_SBC_HIGH_GUIDANCE_CIQ_COL">"c11249"</definedName>
    <definedName name="IQ_EPS_SBC_LOW_EST" hidden="1">"c4389"</definedName>
    <definedName name="IQ_EPS_SBC_LOW_GUIDANCE" hidden="1">"c4228"</definedName>
    <definedName name="IQ_EPS_SBC_LOW_GUIDANCE_CIQ">"c4640"</definedName>
    <definedName name="IQ_EPS_SBC_LOW_GUIDANCE_CIQ_COL">"c11289"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CIQ" hidden="1">"c4993"</definedName>
    <definedName name="IQ_EPS_STDDEV_EST_REUT" hidden="1">"c5452"</definedName>
    <definedName name="IQ_EPS_STDDEV_EST_THOM" hidden="1">"c5289"</definedName>
    <definedName name="IQ_EQUITY_AFFIL" hidden="1">"c1451"</definedName>
    <definedName name="IQ_EQUITY_AP" hidden="1">"c8887"</definedName>
    <definedName name="IQ_EQUITY_AP_ABS" hidden="1">"c8906"</definedName>
    <definedName name="IQ_EQUITY_ASKPRICE" hidden="1">"c17798"</definedName>
    <definedName name="IQ_EQUITY_ASSETS_TOT_FFIEC">"c13436"</definedName>
    <definedName name="IQ_EQUITY_BEG_EXCL_FFIEC">"c12957"</definedName>
    <definedName name="IQ_EQUITY_BEG_FFIEC">"c12959"</definedName>
    <definedName name="IQ_EQUITY_BIDPRICE" hidden="1">"c17797"</definedName>
    <definedName name="IQ_EQUITY_CAPITAL_ASSETS_FDIC" hidden="1">"c6744"</definedName>
    <definedName name="IQ_EQUITY_CAPITAL_QUARTERLY_AVG_FFIEC">"c13092"</definedName>
    <definedName name="IQ_EQUITY_ENDING_FFIEC">"c12973"</definedName>
    <definedName name="IQ_EQUITY_FDIC" hidden="1">"c6353"</definedName>
    <definedName name="IQ_EQUITY_INDEX_EXPOSURE_FFIEC">"c13060"</definedName>
    <definedName name="IQ_EQUITY_LIST">"c15158"</definedName>
    <definedName name="IQ_EQUITY_METHOD" hidden="1">"c404"</definedName>
    <definedName name="IQ_EQUITY_MIDPRICE" hidden="1">"c17799"</definedName>
    <definedName name="IQ_EQUITY_NAME_AP" hidden="1">"c8925"</definedName>
    <definedName name="IQ_EQUITY_NAME_AP_ABS" hidden="1">"c8944"</definedName>
    <definedName name="IQ_EQUITY_SEC_FAIR_VALUE_AFS_AMORT_COST_FFIEC" hidden="1">"c20505"</definedName>
    <definedName name="IQ_EQUITY_SEC_FAIR_VALUE_AFS_FAIR_VAL_FFIEC" hidden="1">"c20470"</definedName>
    <definedName name="IQ_EQUITY_SEC_FAIR_VALUE_FFIEC">"c12805"</definedName>
    <definedName name="IQ_EQUITY_SEC_INVEST_SECURITIES_FFIEC">"c13463"</definedName>
    <definedName name="IQ_EQUITY_SECURITIES_FDIC" hidden="1">"c6304"</definedName>
    <definedName name="IQ_EQUITY_SECURITIES_QUARTERLY_AVG_FFIEC">"c15474"</definedName>
    <definedName name="IQ_EQUITY_SECURITIES_WITHOUT_FAIR_VALUES_FFIEC">"c12846"</definedName>
    <definedName name="IQ_EQUITY_SECURITY_EXPOSURES_FDIC" hidden="1">"c6664"</definedName>
    <definedName name="IQ_EQUITY_TIER_ONE_CAPITAL">"c15246"</definedName>
    <definedName name="IQ_EQUITY_TIER_ONE_CAPITAL_RATIO">"c15242"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>"c12971"</definedName>
    <definedName name="IQ_ESOP_OVER_TOTAL">"c13768"</definedName>
    <definedName name="IQ_EST_ACT_BV" hidden="1">"c5630"</definedName>
    <definedName name="IQ_EST_ACT_BV_REUT" hidden="1">"c5409"</definedName>
    <definedName name="IQ_EST_ACT_BV_SHARE" hidden="1">"c3549"</definedName>
    <definedName name="IQ_EST_ACT_BV_SHARE_REUT" hidden="1">"c5445"</definedName>
    <definedName name="IQ_EST_ACT_BV_SHARE_THOM" hidden="1">"c4026"</definedName>
    <definedName name="IQ_EST_ACT_BV_THOM" hidden="1">"c5153"</definedName>
    <definedName name="IQ_EST_ACT_CAPEX" hidden="1">"c3546"</definedName>
    <definedName name="IQ_EST_ACT_CAPEX_REUT" hidden="1">"c3975"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CFPS_THOM" hidden="1">"c4012"</definedName>
    <definedName name="IQ_EST_ACT_DISTRIBUTABLE_CASH" hidden="1">"c4396"</definedName>
    <definedName name="IQ_EST_ACT_DISTRIBUTABLE_CASH_CIQ_COL" hidden="1">"c11568"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DPS_THOM" hidden="1">"c4019"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_THOM" hidden="1">"c5111"</definedName>
    <definedName name="IQ_EST_ACT_EBITDA" hidden="1">"c1664"</definedName>
    <definedName name="IQ_EST_ACT_EBITDA_CIQ" hidden="1">"c3667"</definedName>
    <definedName name="IQ_EST_ACT_EBITDA_REUT" hidden="1">"c3836"</definedName>
    <definedName name="IQ_EST_ACT_EBITDA_SBC" hidden="1">"c4401"</definedName>
    <definedName name="IQ_EST_ACT_EBITDA_THOM" hidden="1">"c3998"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PORTED_THOM" hidden="1">"c5146"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EPS_THOM" hidden="1">"c5294"</definedName>
    <definedName name="IQ_EST_ACT_FFO" hidden="1">"c1666"</definedName>
    <definedName name="IQ_EST_ACT_FFO_ADJ" hidden="1">"c4406"</definedName>
    <definedName name="IQ_EST_ACT_FFO_CIQ_COL" hidden="1">"c11579"</definedName>
    <definedName name="IQ_EST_ACT_FFO_REUT" hidden="1">"c3843"</definedName>
    <definedName name="IQ_EST_ACT_FFO_SHARE" hidden="1">"c4407"</definedName>
    <definedName name="IQ_EST_ACT_FFO_SHARE_SHARE_REUT" hidden="1">"c3843"</definedName>
    <definedName name="IQ_EST_ACT_FFO_SHARE_SHARE_THOM" hidden="1">"c4005"</definedName>
    <definedName name="IQ_EST_ACT_FFO_SHARE_THOM" hidden="1">"c4005"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SHARE_REUT" hidden="1">"c5616"</definedName>
    <definedName name="IQ_EST_ACT_NAV_THOM" hidden="1">"c5600"</definedName>
    <definedName name="IQ_EST_ACT_NET_DEBT" hidden="1">"c3545"</definedName>
    <definedName name="IQ_EST_ACT_NET_DEBT_REUT" hidden="1">"c5446"</definedName>
    <definedName name="IQ_EST_ACT_NET_DEBT_THOM" hidden="1">"c4033"</definedName>
    <definedName name="IQ_EST_ACT_NI" hidden="1">"c1722"</definedName>
    <definedName name="IQ_EST_ACT_NI_GW" hidden="1">"c1729"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NI_THOM" hidden="1">"c5132"</definedName>
    <definedName name="IQ_EST_ACT_OPER_INC" hidden="1">"c1694"</definedName>
    <definedName name="IQ_EST_ACT_OPER_INC_REUT" hidden="1">"c5346"</definedName>
    <definedName name="IQ_EST_ACT_OPER_INC_THOM" hidden="1">"c5118"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INC_THOM" hidden="1">"c5125"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ASSETS_THOM" hidden="1">"c4040"</definedName>
    <definedName name="IQ_EST_ACT_RETURN_EQUITY" hidden="1">"c3548"</definedName>
    <definedName name="IQ_EST_ACT_RETURN_EQUITY_REUT" hidden="1">"c3989"</definedName>
    <definedName name="IQ_EST_ACT_RETURN_EQUITY_THOM" hidden="1">"c5287"</definedName>
    <definedName name="IQ_EST_ACT_REV" hidden="1">"c2113"</definedName>
    <definedName name="IQ_EST_ACT_REV_CIQ" hidden="1">"c3666"</definedName>
    <definedName name="IQ_EST_ACT_REV_REUT" hidden="1">"c3835"</definedName>
    <definedName name="IQ_EST_ACT_REV_THOM" hidden="1">"c3997"</definedName>
    <definedName name="IQ_EST_BV_DIFF_REUT" hidden="1">"c5433"</definedName>
    <definedName name="IQ_EST_BV_DIFF_THOM" hidden="1">"c5204"</definedName>
    <definedName name="IQ_EST_BV_SHARE_DIFF" hidden="1">"c4147"</definedName>
    <definedName name="IQ_EST_BV_SHARE_SURPRISE_PERCENT" hidden="1">"c4148"</definedName>
    <definedName name="IQ_EST_BV_SURPRISE_PERCENT_REUT" hidden="1">"c5434"</definedName>
    <definedName name="IQ_EST_BV_SURPRISE_PERCENT_THOM" hidden="1">"c5205"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1YR_THOM" hidden="1">"c5542"</definedName>
    <definedName name="IQ_EST_CAPEX_GROWTH_2YR" hidden="1">"c3589"</definedName>
    <definedName name="IQ_EST_CAPEX_GROWTH_2YR_REUT" hidden="1">"c5448"</definedName>
    <definedName name="IQ_EST_CAPEX_GROWTH_2YR_THOM" hidden="1">"c5543"</definedName>
    <definedName name="IQ_EST_CAPEX_GROWTH_Q_1YR" hidden="1">"c3590"</definedName>
    <definedName name="IQ_EST_CAPEX_GROWTH_Q_1YR_REUT" hidden="1">"c5449"</definedName>
    <definedName name="IQ_EST_CAPEX_GROWTH_Q_1YR_THOM" hidden="1">"c5544"</definedName>
    <definedName name="IQ_EST_CAPEX_SEQ_GROWTH_Q" hidden="1">"c3591"</definedName>
    <definedName name="IQ_EST_CAPEX_SEQ_GROWTH_Q_REUT" hidden="1">"c5450"</definedName>
    <definedName name="IQ_EST_CAPEX_SEQ_GROWTH_Q_THOM" hidden="1">"c5545"</definedName>
    <definedName name="IQ_EST_CAPEX_SURPRISE_PERCENT" hidden="1">"c4151"</definedName>
    <definedName name="IQ_EST_CASH_FLOW_DIFF" hidden="1">"c4152"</definedName>
    <definedName name="IQ_EST_CASH_FLOW_DIFF_CIQ_COL" hidden="1">"c11213"</definedName>
    <definedName name="IQ_EST_CASH_FLOW_SURPRISE_PERCENT" hidden="1">"c4161"</definedName>
    <definedName name="IQ_EST_CASH_FLOW_SURPRISE_PERCENT_CIQ_COL" hidden="1">"c11222"</definedName>
    <definedName name="IQ_EST_CASH_OPER_DIFF" hidden="1">"c4162"</definedName>
    <definedName name="IQ_EST_CASH_OPER_DIFF_CIQ_COL" hidden="1">"c11223"</definedName>
    <definedName name="IQ_EST_CASH_OPER_SURPRISE_PERCENT" hidden="1">"c4248"</definedName>
    <definedName name="IQ_EST_CASH_OPER_SURPRISE_PERCENT_CIQ_COL" hidden="1">"c11421"</definedName>
    <definedName name="IQ_EST_CFPS_DIFF" hidden="1">"c1871"</definedName>
    <definedName name="IQ_EST_CFPS_DIFF_REUT" hidden="1">"c3892"</definedName>
    <definedName name="IQ_EST_CFPS_DIFF_THOM" hidden="1">"c5188"</definedName>
    <definedName name="IQ_EST_CFPS_GROWTH_1YR" hidden="1">"c1774"</definedName>
    <definedName name="IQ_EST_CFPS_GROWTH_1YR_REUT" hidden="1">"c3878"</definedName>
    <definedName name="IQ_EST_CFPS_GROWTH_1YR_THOM" hidden="1">"c5174"</definedName>
    <definedName name="IQ_EST_CFPS_GROWTH_2YR" hidden="1">"c1775"</definedName>
    <definedName name="IQ_EST_CFPS_GROWTH_2YR_REUT" hidden="1">"c3879"</definedName>
    <definedName name="IQ_EST_CFPS_GROWTH_2YR_THOM" hidden="1">"c5175"</definedName>
    <definedName name="IQ_EST_CFPS_GROWTH_Q_1YR" hidden="1">"c1776"</definedName>
    <definedName name="IQ_EST_CFPS_GROWTH_Q_1YR_REUT" hidden="1">"c3880"</definedName>
    <definedName name="IQ_EST_CFPS_GROWTH_Q_1YR_THOM" hidden="1">"c5176"</definedName>
    <definedName name="IQ_EST_CFPS_SEQ_GROWTH_Q" hidden="1">"c1777"</definedName>
    <definedName name="IQ_EST_CFPS_SEQ_GROWTH_Q_REUT" hidden="1">"c3881"</definedName>
    <definedName name="IQ_EST_CFPS_SEQ_GROWTH_Q_THOM" hidden="1">"c5177"</definedName>
    <definedName name="IQ_EST_CFPS_SURPRISE_PERCENT" hidden="1">"c1872"</definedName>
    <definedName name="IQ_EST_CFPS_SURPRISE_PERCENT_REUT" hidden="1">"c3893"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REUT" hidden="1">"c5437"</definedName>
    <definedName name="IQ_EST_CURRENCY_THOM" hidden="1">"c5280"</definedName>
    <definedName name="IQ_EST_DATE" hidden="1">"c1634"</definedName>
    <definedName name="IQ_EST_DATE_CIQ" hidden="1">"c4770"</definedName>
    <definedName name="IQ_EST_DATE_REUT" hidden="1">"c5438"</definedName>
    <definedName name="IQ_EST_DATE_THOM" hidden="1">"c5281"</definedName>
    <definedName name="IQ_EST_DISTRIBUTABLE_CASH_DIFF" hidden="1">"c4276"</definedName>
    <definedName name="IQ_EST_DISTRIBUTABLE_CASH_DIFF_CIQ_COL" hidden="1">"c11448"</definedName>
    <definedName name="IQ_EST_DISTRIBUTABLE_CASH_GROWTH_1YR" hidden="1">"c4413"</definedName>
    <definedName name="IQ_EST_DISTRIBUTABLE_CASH_GROWTH_1YR_CIQ_COL" hidden="1">"c11585"</definedName>
    <definedName name="IQ_EST_DISTRIBUTABLE_CASH_GROWTH_2YR" hidden="1">"c4414"</definedName>
    <definedName name="IQ_EST_DISTRIBUTABLE_CASH_GROWTH_2YR_CIQ_COL" hidden="1">"c11586"</definedName>
    <definedName name="IQ_EST_DISTRIBUTABLE_CASH_GROWTH_Q_1YR" hidden="1">"c4415"</definedName>
    <definedName name="IQ_EST_DISTRIBUTABLE_CASH_GROWTH_Q_1YR_CIQ_COL" hidden="1">"c11587"</definedName>
    <definedName name="IQ_EST_DISTRIBUTABLE_CASH_SEQ_GROWTH_Q" hidden="1">"c4416"</definedName>
    <definedName name="IQ_EST_DISTRIBUTABLE_CASH_SEQ_GROWTH_Q_CIQ_COL" hidden="1">"c11588"</definedName>
    <definedName name="IQ_EST_DISTRIBUTABLE_CASH_SHARE_DIFF" hidden="1">"c4284"</definedName>
    <definedName name="IQ_EST_DISTRIBUTABLE_CASH_SHARE_DIFF_CIQ_COL" hidden="1">"c11456"</definedName>
    <definedName name="IQ_EST_DISTRIBUTABLE_CASH_SHARE_GROWTH_1YR" hidden="1">"c4417"</definedName>
    <definedName name="IQ_EST_DISTRIBUTABLE_CASH_SHARE_GROWTH_1YR_CIQ_COL" hidden="1">"c11589"</definedName>
    <definedName name="IQ_EST_DISTRIBUTABLE_CASH_SHARE_GROWTH_2YR" hidden="1">"c4418"</definedName>
    <definedName name="IQ_EST_DISTRIBUTABLE_CASH_SHARE_GROWTH_2YR_CIQ_COL" hidden="1">"c11590"</definedName>
    <definedName name="IQ_EST_DISTRIBUTABLE_CASH_SHARE_GROWTH_Q_1YR" hidden="1">"c4419"</definedName>
    <definedName name="IQ_EST_DISTRIBUTABLE_CASH_SHARE_GROWTH_Q_1YR_CIQ_COL" hidden="1">"c11591"</definedName>
    <definedName name="IQ_EST_DISTRIBUTABLE_CASH_SHARE_SEQ_GROWTH_Q" hidden="1">"c4420"</definedName>
    <definedName name="IQ_EST_DISTRIBUTABLE_CASH_SHARE_SEQ_GROWTH_Q_CIQ_COL" hidden="1">"c11592"</definedName>
    <definedName name="IQ_EST_DISTRIBUTABLE_CASH_SHARE_SURPRISE_PERCENT" hidden="1">"c4293"</definedName>
    <definedName name="IQ_EST_DISTRIBUTABLE_CASH_SHARE_SURPRISE_PERCENT_CIQ_COL" hidden="1">"c11465"</definedName>
    <definedName name="IQ_EST_DISTRIBUTABLE_CASH_SURPRISE_PERCENT" hidden="1">"c4295"</definedName>
    <definedName name="IQ_EST_DISTRIBUTABLE_CASH_SURPRISE_PERCENT_CIQ_COL" hidden="1">"c11467"</definedName>
    <definedName name="IQ_EST_DPS_DIFF" hidden="1">"c1873"</definedName>
    <definedName name="IQ_EST_DPS_DIFF_REUT" hidden="1">"c3894"</definedName>
    <definedName name="IQ_EST_DPS_DIFF_THOM" hidden="1">"c5190"</definedName>
    <definedName name="IQ_EST_DPS_GROWTH_1YR" hidden="1">"c1778"</definedName>
    <definedName name="IQ_EST_DPS_GROWTH_1YR_REUT" hidden="1">"c3882"</definedName>
    <definedName name="IQ_EST_DPS_GROWTH_1YR_THOM" hidden="1">"c5178"</definedName>
    <definedName name="IQ_EST_DPS_GROWTH_2YR" hidden="1">"c1779"</definedName>
    <definedName name="IQ_EST_DPS_GROWTH_2YR_REUT" hidden="1">"c3883"</definedName>
    <definedName name="IQ_EST_DPS_GROWTH_2YR_THOM" hidden="1">"c5179"</definedName>
    <definedName name="IQ_EST_DPS_GROWTH_Q_1YR" hidden="1">"c1780"</definedName>
    <definedName name="IQ_EST_DPS_GROWTH_Q_1YR_REUT" hidden="1">"c3884"</definedName>
    <definedName name="IQ_EST_DPS_GROWTH_Q_1YR_THOM" hidden="1">"c5180"</definedName>
    <definedName name="IQ_EST_DPS_SEQ_GROWTH_Q" hidden="1">"c1781"</definedName>
    <definedName name="IQ_EST_DPS_SEQ_GROWTH_Q_REUT" hidden="1">"c3885"</definedName>
    <definedName name="IQ_EST_DPS_SEQ_GROWTH_Q_THOM" hidden="1">"c5181"</definedName>
    <definedName name="IQ_EST_DPS_SURPRISE_PERCENT" hidden="1">"c1874"</definedName>
    <definedName name="IQ_EST_DPS_SURPRISE_PERCENT_REUT" hidden="1">"c3895"</definedName>
    <definedName name="IQ_EST_DPS_SURPRISE_PERCENT_THOM" hidden="1">"c5191"</definedName>
    <definedName name="IQ_EST_EBIT_DIFF" hidden="1">"c1875"</definedName>
    <definedName name="IQ_EST_EBIT_DIFF_REUT" hidden="1">"c5413"</definedName>
    <definedName name="IQ_EST_EBIT_DIFF_THOM" hidden="1">"c5192"</definedName>
    <definedName name="IQ_EST_EBIT_GW_DIFF" hidden="1">"c4304"</definedName>
    <definedName name="IQ_EST_EBIT_GW_DIFF_CIQ_COL" hidden="1">"c11476"</definedName>
    <definedName name="IQ_EST_EBIT_GW_SURPRISE_PERCENT" hidden="1">"c4313"</definedName>
    <definedName name="IQ_EST_EBIT_GW_SURPRISE_PERCENT_CIQ_COL" hidden="1">"c11485"</definedName>
    <definedName name="IQ_EST_EBIT_SBC_DIFF" hidden="1">"c4314"</definedName>
    <definedName name="IQ_EST_EBIT_SBC_DIFF_CIQ_COL" hidden="1">"c11486"</definedName>
    <definedName name="IQ_EST_EBIT_SBC_GW_DIFF" hidden="1">"c4318"</definedName>
    <definedName name="IQ_EST_EBIT_SBC_GW_DIFF_CIQ_COL" hidden="1">"c11490"</definedName>
    <definedName name="IQ_EST_EBIT_SBC_GW_SURPRISE_PERCENT" hidden="1">"c4327"</definedName>
    <definedName name="IQ_EST_EBIT_SBC_GW_SURPRISE_PERCENT_CIQ_COL" hidden="1">"c11499"</definedName>
    <definedName name="IQ_EST_EBIT_SBC_SURPRISE_PERCENT" hidden="1">"c4333"</definedName>
    <definedName name="IQ_EST_EBIT_SBC_SURPRISE_PERCENT_CIQ_COL" hidden="1">"c11505"</definedName>
    <definedName name="IQ_EST_EBIT_SURPRISE_PERCENT" hidden="1">"c1876"</definedName>
    <definedName name="IQ_EST_EBIT_SURPRISE_PERCENT_REUT" hidden="1">"c5414"</definedName>
    <definedName name="IQ_EST_EBIT_SURPRISE_PERCENT_THOM" hidden="1">"c5193"</definedName>
    <definedName name="IQ_EST_EBITDA_DIFF" hidden="1">"c1867"</definedName>
    <definedName name="IQ_EST_EBITDA_DIFF_CIQ" hidden="1">"c3719"</definedName>
    <definedName name="IQ_EST_EBITDA_DIFF_REUT" hidden="1">"c3888"</definedName>
    <definedName name="IQ_EST_EBITDA_DIFF_THOM" hidden="1">"c5184"</definedName>
    <definedName name="IQ_EST_EBITDA_GROWTH_1YR" hidden="1">"c1766"</definedName>
    <definedName name="IQ_EST_EBITDA_GROWTH_1YR_CIQ" hidden="1">"c3695"</definedName>
    <definedName name="IQ_EST_EBITDA_GROWTH_1YR_REUT" hidden="1">"c3864"</definedName>
    <definedName name="IQ_EST_EBITDA_GROWTH_1YR_THOM" hidden="1">"c5161"</definedName>
    <definedName name="IQ_EST_EBITDA_GROWTH_2YR" hidden="1">"c1767"</definedName>
    <definedName name="IQ_EST_EBITDA_GROWTH_2YR_CIQ" hidden="1">"c3696"</definedName>
    <definedName name="IQ_EST_EBITDA_GROWTH_2YR_REUT" hidden="1">"c3865"</definedName>
    <definedName name="IQ_EST_EBITDA_GROWTH_2YR_THOM" hidden="1">"c5162"</definedName>
    <definedName name="IQ_EST_EBITDA_GROWTH_Q_1YR" hidden="1">"c1768"</definedName>
    <definedName name="IQ_EST_EBITDA_GROWTH_Q_1YR_CIQ" hidden="1">"c3697"</definedName>
    <definedName name="IQ_EST_EBITDA_GROWTH_Q_1YR_REUT" hidden="1">"c3866"</definedName>
    <definedName name="IQ_EST_EBITDA_GROWTH_Q_1YR_THOM" hidden="1">"c5163"</definedName>
    <definedName name="IQ_EST_EBITDA_SBC_DIFF" hidden="1">"c4335"</definedName>
    <definedName name="IQ_EST_EBITDA_SBC_DIFF_CIQ_COL" hidden="1">"c11507"</definedName>
    <definedName name="IQ_EST_EBITDA_SBC_SURPRISE_PERCENT" hidden="1">"c4344"</definedName>
    <definedName name="IQ_EST_EBITDA_SBC_SURPRISE_PERCENT_CIQ_COL" hidden="1">"c11516"</definedName>
    <definedName name="IQ_EST_EBITDA_SEQ_GROWTH_Q" hidden="1">"c1769"</definedName>
    <definedName name="IQ_EST_EBITDA_SEQ_GROWTH_Q_CIQ" hidden="1">"c3698"</definedName>
    <definedName name="IQ_EST_EBITDA_SEQ_GROWTH_Q_REUT" hidden="1">"c3867"</definedName>
    <definedName name="IQ_EST_EBITDA_SEQ_GROWTH_Q_THOM" hidden="1">"c5164"</definedName>
    <definedName name="IQ_EST_EBITDA_SURPRISE_PERCENT" hidden="1">"c1868"</definedName>
    <definedName name="IQ_EST_EBITDA_SURPRISE_PERCENT_CIQ" hidden="1">"c3720"</definedName>
    <definedName name="IQ_EST_EBITDA_SURPRISE_PERCENT_REUT" hidden="1">"c3889"</definedName>
    <definedName name="IQ_EST_EBITDA_SURPRISE_PERCENT_THOM" hidden="1">"c5185"</definedName>
    <definedName name="IQ_EST_EBT_SBC_DIFF" hidden="1">"c4348"</definedName>
    <definedName name="IQ_EST_EBT_SBC_DIFF_CIQ_COL" hidden="1">"c11520"</definedName>
    <definedName name="IQ_EST_EBT_SBC_GW_DIFF" hidden="1">"c4352"</definedName>
    <definedName name="IQ_EST_EBT_SBC_GW_DIFF_CIQ_COL" hidden="1">"c11524"</definedName>
    <definedName name="IQ_EST_EBT_SBC_GW_SURPRISE_PERCENT" hidden="1">"c4361"</definedName>
    <definedName name="IQ_EST_EBT_SBC_GW_SURPRISE_PERCENT_CIQ_COL" hidden="1">"c11533"</definedName>
    <definedName name="IQ_EST_EBT_SBC_SURPRISE_PERCENT" hidden="1">"c4367"</definedName>
    <definedName name="IQ_EST_EBT_SBC_SURPRISE_PERCENT_CIQ_COL" hidden="1">"c11539"</definedName>
    <definedName name="IQ_EST_EPS_DIFF" hidden="1">"c1864"</definedName>
    <definedName name="IQ_EST_EPS_DIFF_CIQ" hidden="1">"c4999"</definedName>
    <definedName name="IQ_EST_EPS_DIFF_REUT" hidden="1">"c5458"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1YR_THOM" hidden="1">"c3664"</definedName>
    <definedName name="IQ_EST_EPS_GROWTH_2YR" hidden="1">"c1637"</definedName>
    <definedName name="IQ_EST_EPS_GROWTH_2YR_CIQ" hidden="1">"c3689"</definedName>
    <definedName name="IQ_EST_EPS_GROWTH_2YR_REUT" hidden="1">"c3858"</definedName>
    <definedName name="IQ_EST_EPS_GROWTH_2YR_THOM" hidden="1">"c5154"</definedName>
    <definedName name="IQ_EST_EPS_GROWTH_5YR" hidden="1">"c1655"</definedName>
    <definedName name="IQ_EST_EPS_GROWTH_5YR_BOTTOM_UP" hidden="1">"c5487"</definedName>
    <definedName name="IQ_EST_EPS_GROWTH_5YR_BOTTOM_UP_CIQ" hidden="1">"c12024"</definedName>
    <definedName name="IQ_EST_EPS_GROWTH_5YR_BOTTOM_UP_REUT" hidden="1">"c5495"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REUT" hidden="1">"c5322"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REUT" hidden="1">"c5323"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REUT" hidden="1">"c5321"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REUT" hidden="1">"c5324"</definedName>
    <definedName name="IQ_EST_EPS_GROWTH_5YR_NUM_THOM" hidden="1">"c5103"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REUT" hidden="1">"c5325"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REPORT_SURPRISE_PERCENT_THOM" hidden="1">"c5203"</definedName>
    <definedName name="IQ_EST_EPS_SBC_DIFF" hidden="1">"c4374"</definedName>
    <definedName name="IQ_EST_EPS_SBC_DIFF_CIQ_COL" hidden="1">"c11546"</definedName>
    <definedName name="IQ_EST_EPS_SBC_GW_DIFF" hidden="1">"c4378"</definedName>
    <definedName name="IQ_EST_EPS_SBC_GW_DIFF_CIQ_COL" hidden="1">"c11550"</definedName>
    <definedName name="IQ_EST_EPS_SBC_GW_SURPRISE_PERCENT" hidden="1">"c4387"</definedName>
    <definedName name="IQ_EST_EPS_SBC_GW_SURPRISE_PERCENT_CIQ_COL" hidden="1">"c11559"</definedName>
    <definedName name="IQ_EST_EPS_SBC_SURPRISE_PERCENT" hidden="1">"c4393"</definedName>
    <definedName name="IQ_EST_EPS_SBC_SURPRISE_PERCENT_CIQ_COL" hidden="1">"c11565"</definedName>
    <definedName name="IQ_EST_EPS_SEQ_GROWTH_Q" hidden="1">"c1764"</definedName>
    <definedName name="IQ_EST_EPS_SEQ_GROWTH_Q_CIQ" hidden="1">"c3690"</definedName>
    <definedName name="IQ_EST_EPS_SEQ_GROWTH_Q_REUT" hidden="1">"c3859"</definedName>
    <definedName name="IQ_EST_EPS_SEQ_GROWTH_Q_THOM" hidden="1">"c5156"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EPS_SURPRISE_PERCENT_REUT" hidden="1">"c5459"</definedName>
    <definedName name="IQ_EST_EPS_SURPRISE_PERCENT_THOM" hidden="1">"c5296"</definedName>
    <definedName name="IQ_EST_FAIR_VALUE_MORT_SERVICING_ASSETS_FFIEC">"c12956"</definedName>
    <definedName name="IQ_EST_FFO_ADJ_DIFF" hidden="1">"c4433"</definedName>
    <definedName name="IQ_EST_FFO_ADJ_DIFF_CIQ_COL" hidden="1">"c11605"</definedName>
    <definedName name="IQ_EST_FFO_ADJ_GROWTH_1YR" hidden="1">"c4421"</definedName>
    <definedName name="IQ_EST_FFO_ADJ_GROWTH_1YR_CIQ_COL" hidden="1">"c11593"</definedName>
    <definedName name="IQ_EST_FFO_ADJ_GROWTH_2YR" hidden="1">"c4422"</definedName>
    <definedName name="IQ_EST_FFO_ADJ_GROWTH_2YR_CIQ_COL" hidden="1">"c11594"</definedName>
    <definedName name="IQ_EST_FFO_ADJ_GROWTH_Q_1YR" hidden="1">"c4423"</definedName>
    <definedName name="IQ_EST_FFO_ADJ_GROWTH_Q_1YR_CIQ_COL" hidden="1">"c11595"</definedName>
    <definedName name="IQ_EST_FFO_ADJ_SEQ_GROWTH_Q" hidden="1">"c4424"</definedName>
    <definedName name="IQ_EST_FFO_ADJ_SEQ_GROWTH_Q_CIQ_COL" hidden="1">"c11596"</definedName>
    <definedName name="IQ_EST_FFO_ADJ_SURPRISE_PERCENT" hidden="1">"c4442"</definedName>
    <definedName name="IQ_EST_FFO_ADJ_SURPRISE_PERCENT_CIQ_COL" hidden="1">"c11614"</definedName>
    <definedName name="IQ_EST_FFO_DIFF" hidden="1">"c1869"</definedName>
    <definedName name="IQ_EST_FFO_DIFF_CIQ_COL" hidden="1">"c11616"</definedName>
    <definedName name="IQ_EST_FFO_DIFF_REUT" hidden="1">"c3890"</definedName>
    <definedName name="IQ_EST_FFO_DIFF_THOM" hidden="1">"c5186"</definedName>
    <definedName name="IQ_EST_FFO_GROWTH_1YR" hidden="1">"c1770"</definedName>
    <definedName name="IQ_EST_FFO_GROWTH_1YR_CIQ_COL" hidden="1">"c11597"</definedName>
    <definedName name="IQ_EST_FFO_GROWTH_1YR_REUT" hidden="1">"c3874"</definedName>
    <definedName name="IQ_EST_FFO_GROWTH_1YR_THOM" hidden="1">"c5170"</definedName>
    <definedName name="IQ_EST_FFO_GROWTH_2YR" hidden="1">"c1771"</definedName>
    <definedName name="IQ_EST_FFO_GROWTH_2YR_CIQ_COL" hidden="1">"c11598"</definedName>
    <definedName name="IQ_EST_FFO_GROWTH_2YR_REUT" hidden="1">"c3875"</definedName>
    <definedName name="IQ_EST_FFO_GROWTH_2YR_THOM" hidden="1">"c5171"</definedName>
    <definedName name="IQ_EST_FFO_GROWTH_Q_1YR" hidden="1">"c1772"</definedName>
    <definedName name="IQ_EST_FFO_GROWTH_Q_1YR_CIQ_COL" hidden="1">"c11599"</definedName>
    <definedName name="IQ_EST_FFO_GROWTH_Q_1YR_REUT" hidden="1">"c3876"</definedName>
    <definedName name="IQ_EST_FFO_GROWTH_Q_1YR_THOM" hidden="1">"c5172"</definedName>
    <definedName name="IQ_EST_FFO_SEQ_GROWTH_Q" hidden="1">"c1773"</definedName>
    <definedName name="IQ_EST_FFO_SEQ_GROWTH_Q_CIQ_COL" hidden="1">"c11600"</definedName>
    <definedName name="IQ_EST_FFO_SEQ_GROWTH_Q_REUT" hidden="1">"c3877"</definedName>
    <definedName name="IQ_EST_FFO_SEQ_GROWTH_Q_THOM" hidden="1">"c5173"</definedName>
    <definedName name="IQ_EST_FFO_SHARE_DIFF" hidden="1">"c4444"</definedName>
    <definedName name="IQ_EST_FFO_SHARE_DIFF_THOM" hidden="1">"c5186"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HARE_DIFF_REUT" hidden="1">"c3890"</definedName>
    <definedName name="IQ_EST_FFO_SHARE_SHARE_DIFF_THOM" hidden="1">"c5186"</definedName>
    <definedName name="IQ_EST_FFO_SHARE_SHARE_SURPRISE_PERCENT_REUT" hidden="1">"c3891"</definedName>
    <definedName name="IQ_EST_FFO_SHARE_SHARE_SURPRISE_PERCENT_THOM" hidden="1">"c5187"</definedName>
    <definedName name="IQ_EST_FFO_SHARE_SURPRISE_PERCENT" hidden="1">"c4453"</definedName>
    <definedName name="IQ_EST_FFO_SHARE_SURPRISE_PERCENT_THOM" hidden="1">"c5187"</definedName>
    <definedName name="IQ_EST_FFO_SURPRISE_PERCENT" hidden="1">"c1870"</definedName>
    <definedName name="IQ_EST_FFO_SURPRISE_PERCENT_CIQ_COL" hidden="1">"c11629"</definedName>
    <definedName name="IQ_EST_FFO_SURPRISE_PERCENT_REUT" hidden="1">"c3891"</definedName>
    <definedName name="IQ_EST_FFO_SURPRISE_PERCENT_THOM" hidden="1">"c5187"</definedName>
    <definedName name="IQ_EST_FOOTNOTE" hidden="1">"c4540"</definedName>
    <definedName name="IQ_EST_FOOTNOTE_CIQ" hidden="1">"c12022"</definedName>
    <definedName name="IQ_EST_FOOTNOTE_REUT" hidden="1">"c5478"</definedName>
    <definedName name="IQ_EST_FOOTNOTE_THOM" hidden="1">"c5313"</definedName>
    <definedName name="IQ_EST_MAINT_CAPEX_DIFF" hidden="1">"c4456"</definedName>
    <definedName name="IQ_EST_MAINT_CAPEX_DIFF_CIQ_COL" hidden="1">"c11632"</definedName>
    <definedName name="IQ_EST_MAINT_CAPEX_GROWTH_1YR" hidden="1">"c4429"</definedName>
    <definedName name="IQ_EST_MAINT_CAPEX_GROWTH_1YR_CIQ_COL" hidden="1">"c11601"</definedName>
    <definedName name="IQ_EST_MAINT_CAPEX_GROWTH_2YR" hidden="1">"c4430"</definedName>
    <definedName name="IQ_EST_MAINT_CAPEX_GROWTH_2YR_CIQ_COL" hidden="1">"c11602"</definedName>
    <definedName name="IQ_EST_MAINT_CAPEX_GROWTH_Q_1YR" hidden="1">"c4431"</definedName>
    <definedName name="IQ_EST_MAINT_CAPEX_GROWTH_Q_1YR_CIQ_COL" hidden="1">"c11603"</definedName>
    <definedName name="IQ_EST_MAINT_CAPEX_SEQ_GROWTH_Q" hidden="1">"c4432"</definedName>
    <definedName name="IQ_EST_MAINT_CAPEX_SEQ_GROWTH_Q_CIQ_COL" hidden="1">"c11604"</definedName>
    <definedName name="IQ_EST_MAINT_CAPEX_SURPRISE_PERCENT" hidden="1">"c4465"</definedName>
    <definedName name="IQ_EST_MAINT_CAPEX_SURPRISE_PERCENT_CIQ_COL" hidden="1">"c11650"</definedName>
    <definedName name="IQ_EST_NAV_DIFF" hidden="1">"c1895"</definedName>
    <definedName name="IQ_EST_NAV_SHARE_SURPRISE_PERCENT" hidden="1">"c1896"</definedName>
    <definedName name="IQ_EST_NAV_SURPRISE_PERCENT" hidden="1">"c1896"</definedName>
    <definedName name="IQ_EST_NET_DEBT_DIFF" hidden="1">"c4466"</definedName>
    <definedName name="IQ_EST_NET_DEBT_SURPRISE_PERCENT" hidden="1">"c4468"</definedName>
    <definedName name="IQ_EST_NEXT_EARNINGS_DATE">"c13591"</definedName>
    <definedName name="IQ_EST_NI_DIFF" hidden="1">"c1885"</definedName>
    <definedName name="IQ_EST_NI_DIFF_REUT" hidden="1">"c5423"</definedName>
    <definedName name="IQ_EST_NI_DIFF_THOM" hidden="1">"c5198"</definedName>
    <definedName name="IQ_EST_NI_GW_DIFF" hidden="1">"c1887"</definedName>
    <definedName name="IQ_EST_NI_GW_DIFF_REUT" hidden="1">"c5425"</definedName>
    <definedName name="IQ_EST_NI_GW_SURPRISE_PERCENT" hidden="1">"c1888"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DIFF_CIQ_COL" hidden="1">"c11657"</definedName>
    <definedName name="IQ_EST_NI_SBC_GW_DIFF" hidden="1">"c4476"</definedName>
    <definedName name="IQ_EST_NI_SBC_GW_DIFF_CIQ_COL" hidden="1">"c11661"</definedName>
    <definedName name="IQ_EST_NI_SBC_GW_SURPRISE_PERCENT" hidden="1">"c4485"</definedName>
    <definedName name="IQ_EST_NI_SBC_GW_SURPRISE_PERCENT_CIQ_COL" hidden="1">"c11670"</definedName>
    <definedName name="IQ_EST_NI_SBC_SURPRISE_PERCENT" hidden="1">"c4491"</definedName>
    <definedName name="IQ_EST_NI_SBC_SURPRISE_PERCENT_CIQ_COL" hidden="1">"c11676"</definedName>
    <definedName name="IQ_EST_NI_SURPRISE_PERCENT" hidden="1">"c1886"</definedName>
    <definedName name="IQ_EST_NI_SURPRISE_PERCENT_REUT" hidden="1">"c5424"</definedName>
    <definedName name="IQ_EST_NI_SURPRISE_PERCENT_THOM" hidden="1">"c5199"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" hidden="1">"c5649"</definedName>
    <definedName name="IQ_EST_NUM_HIGH_REC_CIQ" hidden="1">"c3701"</definedName>
    <definedName name="IQ_EST_NUM_HIGH_REC_REUT" hidden="1">"c3870"</definedName>
    <definedName name="IQ_EST_NUM_HIGH_REC_THOM" hidden="1">"c5166"</definedName>
    <definedName name="IQ_EST_NUM_HIGHEST_REC" hidden="1">"c5648"</definedName>
    <definedName name="IQ_EST_NUM_HIGHEST_REC_CIQ" hidden="1">"c3700"</definedName>
    <definedName name="IQ_EST_NUM_HIGHEST_REC_REUT" hidden="1">"c3869"</definedName>
    <definedName name="IQ_EST_NUM_HIGHEST_REC_THOM" hidden="1">"c5165"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" hidden="1">"c5651"</definedName>
    <definedName name="IQ_EST_NUM_LOW_REC_CIQ" hidden="1">"c3703"</definedName>
    <definedName name="IQ_EST_NUM_LOW_REC_REUT" hidden="1">"c3872"</definedName>
    <definedName name="IQ_EST_NUM_LOW_REC_THOM" hidden="1">"c5168"</definedName>
    <definedName name="IQ_EST_NUM_LOWEST_REC" hidden="1">"c5652"</definedName>
    <definedName name="IQ_EST_NUM_LOWEST_REC_CIQ" hidden="1">"c3704"</definedName>
    <definedName name="IQ_EST_NUM_LOWEST_REC_REUT" hidden="1">"c3873"</definedName>
    <definedName name="IQ_EST_NUM_LOWEST_REC_THOM" hidden="1">"c5169"</definedName>
    <definedName name="IQ_EST_NUM_NEUTRAL_REC" hidden="1">"c5650"</definedName>
    <definedName name="IQ_EST_NUM_NEUTRAL_REC_CIQ" hidden="1">"c3702"</definedName>
    <definedName name="IQ_EST_NUM_NEUTRAL_REC_REUT" hidden="1">"c3871"</definedName>
    <definedName name="IQ_EST_NUM_NEUTRAL_REC_THOM" hidden="1">"c5167"</definedName>
    <definedName name="IQ_EST_NUM_NO_OPINION" hidden="1">"c1758"</definedName>
    <definedName name="IQ_EST_NUM_NO_OPINION_CIQ" hidden="1">"c3699"</definedName>
    <definedName name="IQ_EST_NUM_NO_OPINION_REUT" hidden="1">"c3868"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DIFF_REUT" hidden="1">"c5415"</definedName>
    <definedName name="IQ_EST_OPER_INC_DIFF_THOM" hidden="1">"c5194"</definedName>
    <definedName name="IQ_EST_OPER_INC_SURPRISE_PERCENT" hidden="1">"c1878"</definedName>
    <definedName name="IQ_EST_OPER_INC_SURPRISE_PERCENT_REUT" hidden="1">"c5416"</definedName>
    <definedName name="IQ_EST_OPER_INC_SURPRISE_PERCENT_THOM" hidden="1">"c5195"</definedName>
    <definedName name="IQ_EST_PERIOD_ID">"c13923"</definedName>
    <definedName name="IQ_EST_PRE_TAX_DIFF" hidden="1">"c1879"</definedName>
    <definedName name="IQ_EST_PRE_TAX_DIFF_REUT" hidden="1">"c5417"</definedName>
    <definedName name="IQ_EST_PRE_TAX_DIFF_THOM" hidden="1">"c5196"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PRE_TAX_SURPRISE_PERCENT_THOM" hidden="1">"c5197"</definedName>
    <definedName name="IQ_EST_RECURRING_PROFIT_SHARE_DIFF" hidden="1">"c4505"</definedName>
    <definedName name="IQ_EST_RECURRING_PROFIT_SHARE_DIFF_CIQ_COL" hidden="1">"c11690"</definedName>
    <definedName name="IQ_EST_RECURRING_PROFIT_SHARE_SURPRISE_PERCENT" hidden="1">"c4515"</definedName>
    <definedName name="IQ_EST_RECURRING_PROFIT_SHARE_SURPRISE_PERCENT_CIQ_COL" hidden="1">"c11700"</definedName>
    <definedName name="IQ_EST_REV_DIFF" hidden="1">"c1865"</definedName>
    <definedName name="IQ_EST_REV_DIFF_CIQ" hidden="1">"c3717"</definedName>
    <definedName name="IQ_EST_REV_DIFF_REUT" hidden="1">"c3886"</definedName>
    <definedName name="IQ_EST_REV_DIFF_THOM" hidden="1">"c5182"</definedName>
    <definedName name="IQ_EST_REV_GROWTH_1YR" hidden="1">"c1638"</definedName>
    <definedName name="IQ_EST_REV_GROWTH_1YR_CIQ" hidden="1">"c3691"</definedName>
    <definedName name="IQ_EST_REV_GROWTH_1YR_REUT" hidden="1">"c3860"</definedName>
    <definedName name="IQ_EST_REV_GROWTH_1YR_THOM" hidden="1">"c5157"</definedName>
    <definedName name="IQ_EST_REV_GROWTH_2YR" hidden="1">"c1639"</definedName>
    <definedName name="IQ_EST_REV_GROWTH_2YR_CIQ" hidden="1">"c3692"</definedName>
    <definedName name="IQ_EST_REV_GROWTH_2YR_REUT" hidden="1">"c3861"</definedName>
    <definedName name="IQ_EST_REV_GROWTH_2YR_THOM" hidden="1">"c5158"</definedName>
    <definedName name="IQ_EST_REV_GROWTH_Q_1YR" hidden="1">"c1640"</definedName>
    <definedName name="IQ_EST_REV_GROWTH_Q_1YR_CIQ" hidden="1">"c3693"</definedName>
    <definedName name="IQ_EST_REV_GROWTH_Q_1YR_REUT" hidden="1">"c3862"</definedName>
    <definedName name="IQ_EST_REV_GROWTH_Q_1YR_THOM" hidden="1">"c5159"</definedName>
    <definedName name="IQ_EST_REV_SEQ_GROWTH_Q" hidden="1">"c1765"</definedName>
    <definedName name="IQ_EST_REV_SEQ_GROWTH_Q_CIQ" hidden="1">"c3694"</definedName>
    <definedName name="IQ_EST_REV_SEQ_GROWTH_Q_REUT" hidden="1">"c3863"</definedName>
    <definedName name="IQ_EST_REV_SEQ_GROWTH_Q_THOM" hidden="1">"c5160"</definedName>
    <definedName name="IQ_EST_REV_SURPRISE_PERCENT" hidden="1">"c1866"</definedName>
    <definedName name="IQ_EST_REV_SURPRISE_PERCENT_CIQ" hidden="1">"c3718"</definedName>
    <definedName name="IQ_EST_REV_SURPRISE_PERCENT_REUT" hidden="1">"c3887"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"c165"</definedName>
    <definedName name="IQ_EV_OVER_REVENUE_EST_1" hidden="1">"c166"</definedName>
    <definedName name="IQ_EVAL_DATE" hidden="1">"c2180"</definedName>
    <definedName name="IQ_EVENT_ADDRESS">"c19167"</definedName>
    <definedName name="IQ_EVENT_ADVISORS">"c19147"</definedName>
    <definedName name="IQ_EVENT_AGENDA">"c19168"</definedName>
    <definedName name="IQ_EVENT_CALL_DESCRIPTION">"c19154"</definedName>
    <definedName name="IQ_EVENT_CONTACT">"c19160"</definedName>
    <definedName name="IQ_EVENT_DATE">"c13819"</definedName>
    <definedName name="IQ_EVENT_EMAIL">"c19162"</definedName>
    <definedName name="IQ_EVENT_ID">"c13818"</definedName>
    <definedName name="IQ_EVENT_LIVE_AUDIO_DETAILS_WEBCAST_URL">"c19153"</definedName>
    <definedName name="IQ_EVENT_LIVE_OTHER_PASSCODE">"c19152"</definedName>
    <definedName name="IQ_EVENT_LIVE_OTHER_PHONE_NUMBER">"c19151"</definedName>
    <definedName name="IQ_EVENT_LIVE_PASSCODE">"c19150"</definedName>
    <definedName name="IQ_EVENT_LIVE_PHONE_NUMBER">"c19149"</definedName>
    <definedName name="IQ_EVENT_MARKETINDICATOR">"c19166"</definedName>
    <definedName name="IQ_EVENT_OTHER_CONTACT">"c19163"</definedName>
    <definedName name="IQ_EVENT_OTHER_CONTACT_EMAIL">"c19165"</definedName>
    <definedName name="IQ_EVENT_OTHER_CONTACT_PHONE">"c19164"</definedName>
    <definedName name="IQ_EVENT_PHONE">"c19161"</definedName>
    <definedName name="IQ_EVENT_REPLAY_AUDIO_DETAILS_WEBCAST_URL">"c19159"</definedName>
    <definedName name="IQ_EVENT_REPLAY_BEGINS">"c19157"</definedName>
    <definedName name="IQ_EVENT_REPLAY_ENDS">"c19158"</definedName>
    <definedName name="IQ_EVENT_REPLAY_PASSCODE">"c19156"</definedName>
    <definedName name="IQ_EVENT_REPLAY_PHONE_NUMBER">"c19155"</definedName>
    <definedName name="IQ_EVENT_SITUATION">"c19148"</definedName>
    <definedName name="IQ_EVENT_SOURCE">"c19146"</definedName>
    <definedName name="IQ_EVENT_TIME">"c13820"</definedName>
    <definedName name="IQ_EVENT_TYPE">"c13821"</definedName>
    <definedName name="IQ_EXCEL_DATA_METHOD" hidden="1">"c16229"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IMBURSE_RENTAL_REVENUE">"c16064"</definedName>
    <definedName name="IQ_EXP_RETURN_PENSION_DOMESTIC" hidden="1">"c407"</definedName>
    <definedName name="IQ_EXP_RETURN_PENSION_FOREIGN" hidden="1">"c408"</definedName>
    <definedName name="IQ_EXPENSE_REIMBURSEMENTS">"c16020"</definedName>
    <definedName name="IQ_EXPENSES_AP" hidden="1">"c8875"</definedName>
    <definedName name="IQ_EXPENSES_AP_ABS" hidden="1">"c8894"</definedName>
    <definedName name="IQ_EXPENSES_FIXED_ASSETS_FFIEC">"c13024"</definedName>
    <definedName name="IQ_EXPENSES_NAME_AP" hidden="1">"c8913"</definedName>
    <definedName name="IQ_EXPENSES_NAME_AP_ABS" hidden="1">"c8932"</definedName>
    <definedName name="IQ_EXPIRATION_DATE" hidden="1">"c13930"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>"c13369"</definedName>
    <definedName name="IQ_EXTRA_ITEMS" hidden="1">"c1459"</definedName>
    <definedName name="IQ_EXTRA_ITEMS_OTHER_ADJUSTMENTS_FOREIGN_FFIEC">"c15392"</definedName>
    <definedName name="IQ_EXTRAORDINARY_GAINS_FDIC" hidden="1">"c6586"</definedName>
    <definedName name="IQ_EXTRAORDINARY_ITEMS_FFIEC">"c13033"</definedName>
    <definedName name="IQ_FAD" hidden="1">"c8757"</definedName>
    <definedName name="IQ_FAD_PAYOUT_RATIO" hidden="1">"c8872"</definedName>
    <definedName name="IQ_FAIR_VALUE_CHANGE_INCL_EARNINGS">"c13849"</definedName>
    <definedName name="IQ_FAIR_VALUE_DEBT">"c16007"</definedName>
    <definedName name="IQ_FAIR_VALUE_FDIC" hidden="1">"c6427"</definedName>
    <definedName name="IQ_FAIR_VALUE_FIN_INSTRUMENTS_NAV">"c16002"</definedName>
    <definedName name="IQ_FAIR_VALUE_FIN_INSTRUMENTS_NNAV">"c16006"</definedName>
    <definedName name="IQ_FAIR_VALUE_TRADING_PROP">"c16001"</definedName>
    <definedName name="IQ_FARM_LOANS_NET_FDIC" hidden="1">"c6316"</definedName>
    <definedName name="IQ_FARM_LOANS_TOT_LOANS_FFIEC">"c13870"</definedName>
    <definedName name="IQ_FARM_LOANS_TOTAL_LOANS_FOREIGN_FDIC" hidden="1">"c6450"</definedName>
    <definedName name="IQ_FARMLAND_DOM_FFIEC">"c15268"</definedName>
    <definedName name="IQ_FARMLAND_LOANS_FDIC" hidden="1">"c6314"</definedName>
    <definedName name="IQ_FDIC" hidden="1">"c417"</definedName>
    <definedName name="IQ_FDIC_CERT_NUMBER_FFIEC" hidden="1">"c20507"</definedName>
    <definedName name="IQ_FDIC_DEPOSIT_INSURANCE_FFIEC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_PURCHASED_SEC_SOLD_REPURCHASE_FFIEC">"c15489"</definedName>
    <definedName name="IQ_FED_FUND_SOLD_SEC_PURCHASED_RESELL_FFIEC">"c15488"</definedName>
    <definedName name="IQ_FED_FUNDS_AVAIL">"c2523"</definedName>
    <definedName name="IQ_FED_FUNDS_PURCH_SEC_SOLD_FAIR_VALUE_TOT_FFIEC">"c15406"</definedName>
    <definedName name="IQ_FED_FUNDS_PURCH_SEC_SOLD_LEVEL_1_FFIEC">"c15428"</definedName>
    <definedName name="IQ_FED_FUNDS_PURCH_SEC_SOLD_LEVEL_2_FFIEC">"c15441"</definedName>
    <definedName name="IQ_FED_FUNDS_PURCH_SEC_SOLD_LEVEL_3_FFIEC">"c15454"</definedName>
    <definedName name="IQ_FED_FUNDS_PURCHASED_DOM_FFIEC">"c12856"</definedName>
    <definedName name="IQ_FED_FUNDS_PURCHASED_FDIC" hidden="1">"c6343"</definedName>
    <definedName name="IQ_FED_FUNDS_PURCHASED_QUARTERLY_AVG_FFIEC">"c13090"</definedName>
    <definedName name="IQ_FED_FUNDS_SOLD_DOM_FFIEC">"c12806"</definedName>
    <definedName name="IQ_FED_FUNDS_SOLD_FDIC" hidden="1">"c6307"</definedName>
    <definedName name="IQ_FED_FUNDS_SOLD_QUARTERLY_AVG_FFIEC">"c13080"</definedName>
    <definedName name="IQ_FED_FUNDS_SOLD_SEC_PURCH_FAIR_VALUE_TOT_FFIEC">"c15402"</definedName>
    <definedName name="IQ_FED_FUNDS_SOLD_SEC_PURCH_LEVEL_1_FFIEC">"c15424"</definedName>
    <definedName name="IQ_FED_FUNDS_SOLD_SEC_PURCH_LEVEL_2_FFIEC">"c15437"</definedName>
    <definedName name="IQ_FED_FUNDS_SOLD_SEC_PURCH_LEVEL_3_FFIEC">"c15450"</definedName>
    <definedName name="IQ_FEDFUNDS_PURCHASED_RELATED">"c19132"</definedName>
    <definedName name="IQ_FEDFUNDS_SOLD" hidden="1">"c2256"</definedName>
    <definedName name="IQ_FEDFUNDS_SOLD_RELATED">"c19130"</definedName>
    <definedName name="IQ_FEES_COMMISSIONS_BROKERAGE_FFIEC">"c13005"</definedName>
    <definedName name="IQ_FEES_OTHER_INCOME">"c15257"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ACT_OR_EST_CIQ_COL" hidden="1">"c11607"</definedName>
    <definedName name="IQ_FFO_ADJ_EST" hidden="1">"c4434"</definedName>
    <definedName name="IQ_FFO_ADJ_EST_CIQ" hidden="1">"c4959"</definedName>
    <definedName name="IQ_FFO_ADJ_GUIDANCE" hidden="1">"c4436"</definedName>
    <definedName name="IQ_FFO_ADJ_GUIDANCE_CIQ">"c4961"</definedName>
    <definedName name="IQ_FFO_ADJ_GUIDANCE_CIQ_COL">"c11608"</definedName>
    <definedName name="IQ_FFO_ADJ_HIGH_EST" hidden="1">"c4437"</definedName>
    <definedName name="IQ_FFO_ADJ_HIGH_EST_CIQ" hidden="1">"c4962"</definedName>
    <definedName name="IQ_FFO_ADJ_HIGH_GUIDANCE" hidden="1">"c4202"</definedName>
    <definedName name="IQ_FFO_ADJ_HIGH_GUIDANCE_CIQ">"c4614"</definedName>
    <definedName name="IQ_FFO_ADJ_HIGH_GUIDANCE_CIQ_COL">"c11263"</definedName>
    <definedName name="IQ_FFO_ADJ_LOW_EST" hidden="1">"c4438"</definedName>
    <definedName name="IQ_FFO_ADJ_LOW_EST_CIQ" hidden="1">"c4963"</definedName>
    <definedName name="IQ_FFO_ADJ_LOW_GUIDANCE" hidden="1">"c4242"</definedName>
    <definedName name="IQ_FFO_ADJ_LOW_GUIDANCE_CIQ">"c4654"</definedName>
    <definedName name="IQ_FFO_ADJ_LOW_GUIDANCE_CIQ_COL">"c11303"</definedName>
    <definedName name="IQ_FFO_ADJ_MEDIAN_EST" hidden="1">"c4439"</definedName>
    <definedName name="IQ_FFO_ADJ_MEDIAN_EST_CIQ" hidden="1">"c4964"</definedName>
    <definedName name="IQ_FFO_ADJ_NUM_EST" hidden="1">"c4440"</definedName>
    <definedName name="IQ_FFO_ADJ_NUM_EST_CIQ" hidden="1">"c4965"</definedName>
    <definedName name="IQ_FFO_ADJ_STDDEV_EST" hidden="1">"c4441"</definedName>
    <definedName name="IQ_FFO_ADJ_STDDEV_EST_CIQ" hidden="1">"c4966"</definedName>
    <definedName name="IQ_FFO_DILUTED">"c16186"</definedName>
    <definedName name="IQ_FFO_EST" hidden="1">"c418"</definedName>
    <definedName name="IQ_FFO_EST_CIQ" hidden="1">"c4970"</definedName>
    <definedName name="IQ_FFO_EST_CIQ_COL" hidden="1">"c11617"</definedName>
    <definedName name="IQ_FFO_EST_DET_EST" hidden="1">"c12059"</definedName>
    <definedName name="IQ_FFO_EST_DET_EST_CURRENCY" hidden="1">"c12466"</definedName>
    <definedName name="IQ_FFO_EST_DET_EST_CURRENCY_REUT" hidden="1">"c12536"</definedName>
    <definedName name="IQ_FFO_EST_DET_EST_CURRENCY_THOM" hidden="1">"c12487"</definedName>
    <definedName name="IQ_FFO_EST_DET_EST_DATE" hidden="1">"c12212"</definedName>
    <definedName name="IQ_FFO_EST_DET_EST_DATE_REUT" hidden="1">"c12295"</definedName>
    <definedName name="IQ_FFO_EST_DET_EST_DATE_THOM" hidden="1">"c12238"</definedName>
    <definedName name="IQ_FFO_EST_DET_EST_INCL" hidden="1">"c12349"</definedName>
    <definedName name="IQ_FFO_EST_DET_EST_INCL_REUT" hidden="1">"c12419"</definedName>
    <definedName name="IQ_FFO_EST_DET_EST_INCL_THOM" hidden="1">"c12370"</definedName>
    <definedName name="IQ_FFO_EST_DET_EST_ORIGIN" hidden="1">"c12722"</definedName>
    <definedName name="IQ_FFO_EST_DET_EST_ORIGIN_REUT" hidden="1">"c12724"</definedName>
    <definedName name="IQ_FFO_EST_DET_EST_ORIGIN_THOM" hidden="1">"c12608"</definedName>
    <definedName name="IQ_FFO_EST_DET_EST_REUT" hidden="1">"c12153"</definedName>
    <definedName name="IQ_FFO_EST_DET_EST_THOM" hidden="1">"c12088"</definedName>
    <definedName name="IQ_FFO_EST_REUT" hidden="1">"c3837"</definedName>
    <definedName name="IQ_FFO_EST_THOM" hidden="1">"c3999"</definedName>
    <definedName name="IQ_FFO_GUIDANCE" hidden="1">"c4443"</definedName>
    <definedName name="IQ_FFO_GUIDANCE_CIQ">"c4968"</definedName>
    <definedName name="IQ_FFO_GUIDANCE_CIQ_COL">"c11615"</definedName>
    <definedName name="IQ_FFO_HIGH_EST" hidden="1">"c419"</definedName>
    <definedName name="IQ_FFO_HIGH_EST_CIQ" hidden="1">"c4977"</definedName>
    <definedName name="IQ_FFO_HIGH_EST_CIQ_COL" hidden="1">"c11624"</definedName>
    <definedName name="IQ_FFO_HIGH_EST_REUT" hidden="1">"c3839"</definedName>
    <definedName name="IQ_FFO_HIGH_EST_THOM" hidden="1">"c4001"</definedName>
    <definedName name="IQ_FFO_HIGH_GUIDANCE" hidden="1">"c4184"</definedName>
    <definedName name="IQ_FFO_HIGH_GUIDANCE_CIQ">"c4596"</definedName>
    <definedName name="IQ_FFO_HIGH_GUIDANCE_CIQ_COL">"c11245"</definedName>
    <definedName name="IQ_FFO_LOW_EST" hidden="1">"c420"</definedName>
    <definedName name="IQ_FFO_LOW_EST_CIQ" hidden="1">"c4978"</definedName>
    <definedName name="IQ_FFO_LOW_EST_CIQ_COL" hidden="1">"c11625"</definedName>
    <definedName name="IQ_FFO_LOW_EST_REUT" hidden="1">"c3840"</definedName>
    <definedName name="IQ_FFO_LOW_EST_THOM" hidden="1">"c4002"</definedName>
    <definedName name="IQ_FFO_LOW_GUIDANCE" hidden="1">"c4224"</definedName>
    <definedName name="IQ_FFO_LOW_GUIDANCE_CIQ">"c4636"</definedName>
    <definedName name="IQ_FFO_LOW_GUIDANCE_CIQ_COL">"c11285"</definedName>
    <definedName name="IQ_FFO_MEDIAN_EST" hidden="1">"c1665"</definedName>
    <definedName name="IQ_FFO_MEDIAN_EST_CIQ" hidden="1">"c4979"</definedName>
    <definedName name="IQ_FFO_MEDIAN_EST_CIQ_COL" hidden="1">"c11626"</definedName>
    <definedName name="IQ_FFO_MEDIAN_EST_REUT" hidden="1">"c3838"</definedName>
    <definedName name="IQ_FFO_MEDIAN_EST_THOM" hidden="1">"c4000"</definedName>
    <definedName name="IQ_FFO_NO_EST" hidden="1">"c276"</definedName>
    <definedName name="IQ_FFO_NUM_EST" hidden="1">"c421"</definedName>
    <definedName name="IQ_FFO_NUM_EST_CIQ" hidden="1">"c4980"</definedName>
    <definedName name="IQ_FFO_NUM_EST_CIQ_COL" hidden="1">"c11627"</definedName>
    <definedName name="IQ_FFO_NUM_EST_REUT" hidden="1">"c3841"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HARE_ACT_OR_EST_CIQ_COL" hidden="1">"c11618"</definedName>
    <definedName name="IQ_FFO_SHARE_EST" hidden="1">"c4445"</definedName>
    <definedName name="IQ_FFO_SHARE_EST_DET_EST" hidden="1">"c12059"</definedName>
    <definedName name="IQ_FFO_SHARE_EST_DET_EST_CURRENCY" hidden="1">"c12466"</definedName>
    <definedName name="IQ_FFO_SHARE_EST_DET_EST_CURRENCY_THOM" hidden="1">"c12487"</definedName>
    <definedName name="IQ_FFO_SHARE_EST_DET_EST_DATE" hidden="1">"c12212"</definedName>
    <definedName name="IQ_FFO_SHARE_EST_DET_EST_DATE_THOM" hidden="1">"c12238"</definedName>
    <definedName name="IQ_FFO_SHARE_EST_DET_EST_INCL" hidden="1">"c12349"</definedName>
    <definedName name="IQ_FFO_SHARE_EST_DET_EST_INCL_THOM" hidden="1">"c12370"</definedName>
    <definedName name="IQ_FFO_SHARE_EST_DET_EST_ORIGIN" hidden="1">"c12722"</definedName>
    <definedName name="IQ_FFO_SHARE_EST_DET_EST_ORIGIN_THOM" hidden="1">"c12608"</definedName>
    <definedName name="IQ_FFO_SHARE_EST_DET_EST_THOM" hidden="1">"c12088"</definedName>
    <definedName name="IQ_FFO_SHARE_EST_THOM" hidden="1">"c3999"</definedName>
    <definedName name="IQ_FFO_SHARE_GUIDANCE" hidden="1">"c4447"</definedName>
    <definedName name="IQ_FFO_SHARE_GUIDANCE_CIQ">"c4976"</definedName>
    <definedName name="IQ_FFO_SHARE_GUIDANCE_CIQ_COL">"c11623"</definedName>
    <definedName name="IQ_FFO_SHARE_HIGH_EST" hidden="1">"c4448"</definedName>
    <definedName name="IQ_FFO_SHARE_HIGH_EST_THOM" hidden="1">"c4001"</definedName>
    <definedName name="IQ_FFO_SHARE_HIGH_GUIDANCE" hidden="1">"c4203"</definedName>
    <definedName name="IQ_FFO_SHARE_HIGH_GUIDANCE_CIQ">"c4615"</definedName>
    <definedName name="IQ_FFO_SHARE_HIGH_GUIDANCE_CIQ_COL">"c11264"</definedName>
    <definedName name="IQ_FFO_SHARE_LOW_EST" hidden="1">"c4449"</definedName>
    <definedName name="IQ_FFO_SHARE_LOW_EST_THOM" hidden="1">"c4002"</definedName>
    <definedName name="IQ_FFO_SHARE_LOW_GUIDANCE" hidden="1">"c4243"</definedName>
    <definedName name="IQ_FFO_SHARE_LOW_GUIDANCE_CIQ">"c4655"</definedName>
    <definedName name="IQ_FFO_SHARE_LOW_GUIDANCE_CIQ_COL">"c11304"</definedName>
    <definedName name="IQ_FFO_SHARE_MEDIAN_EST" hidden="1">"c4450"</definedName>
    <definedName name="IQ_FFO_SHARE_MEDIAN_EST_THOM" hidden="1">"c4000"</definedName>
    <definedName name="IQ_FFO_SHARE_NUM_EST" hidden="1">"c4451"</definedName>
    <definedName name="IQ_FFO_SHARE_NUM_EST_THOM" hidden="1">"c4003"</definedName>
    <definedName name="IQ_FFO_SHARE_SHARE_EST_DET_EST" hidden="1">"c12059"</definedName>
    <definedName name="IQ_FFO_SHARE_SHARE_EST_DET_EST_CURRENCY" hidden="1">"c12466"</definedName>
    <definedName name="IQ_FFO_SHARE_SHARE_EST_DET_EST_CURRENCY_THOM" hidden="1">"c12487"</definedName>
    <definedName name="IQ_FFO_SHARE_SHARE_EST_DET_EST_DATE" hidden="1">"c12212"</definedName>
    <definedName name="IQ_FFO_SHARE_SHARE_EST_DET_EST_DATE_THOM" hidden="1">"c12238"</definedName>
    <definedName name="IQ_FFO_SHARE_SHARE_EST_DET_EST_INCL" hidden="1">"c12349"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REUT" hidden="1">"c3837"</definedName>
    <definedName name="IQ_FFO_SHARE_SHARE_EST_THOM" hidden="1">"c3999"</definedName>
    <definedName name="IQ_FFO_SHARE_SHARE_HIGH_EST_REUT" hidden="1">"c3839"</definedName>
    <definedName name="IQ_FFO_SHARE_SHARE_HIGH_EST_THOM" hidden="1">"c4001"</definedName>
    <definedName name="IQ_FFO_SHARE_SHARE_LOW_EST_REUT" hidden="1">"c3840"</definedName>
    <definedName name="IQ_FFO_SHARE_SHARE_LOW_EST_THOM" hidden="1">"c4002"</definedName>
    <definedName name="IQ_FFO_SHARE_SHARE_MEDIAN_EST_REUT" hidden="1">"c3838"</definedName>
    <definedName name="IQ_FFO_SHARE_SHARE_MEDIAN_EST_THOM" hidden="1">"c4000"</definedName>
    <definedName name="IQ_FFO_SHARE_SHARE_NUM_EST_REUT" hidden="1">"c3841"</definedName>
    <definedName name="IQ_FFO_SHARE_SHARE_NUM_EST_THOM" hidden="1">"c4003"</definedName>
    <definedName name="IQ_FFO_SHARE_SHARE_STDDEV_EST_REUT" hidden="1">"c3842"</definedName>
    <definedName name="IQ_FFO_SHARE_SHARE_STDDEV_EST_THOM" hidden="1">"c4004"</definedName>
    <definedName name="IQ_FFO_SHARE_STDDEV_EST" hidden="1">"c4452"</definedName>
    <definedName name="IQ_FFO_SHARE_STDDEV_EST_THOM" hidden="1">"c4004"</definedName>
    <definedName name="IQ_FFO_SHARES_BASIC">"c16185"</definedName>
    <definedName name="IQ_FFO_SHARES_DILUTED">"c16187"</definedName>
    <definedName name="IQ_FFO_STDDEV_EST" hidden="1">"c422"</definedName>
    <definedName name="IQ_FFO_STDDEV_EST_CIQ" hidden="1">"c4981"</definedName>
    <definedName name="IQ_FFO_STDDEV_EST_CIQ_COL" hidden="1">"c11628"</definedName>
    <definedName name="IQ_FFO_STDDEV_EST_REUT" hidden="1">"c3842"</definedName>
    <definedName name="IQ_FFO_STDDEV_EST_THOM" hidden="1">"c4004"</definedName>
    <definedName name="IQ_FFO_TOTAL_REVENUE">"c16060"</definedName>
    <definedName name="IQ_FH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ARCHITECTURE" hidden="1">"c20386"</definedName>
    <definedName name="IQ_FIN_COLLECTION_ID">"c13922"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_INSTANCE_ID">"c13921"</definedName>
    <definedName name="IQ_FIN_PERIOD_ID">"c13920"</definedName>
    <definedName name="IQ_FINANCIAL_LOC_FOREIGN_GUARANTEES_FFIEC">"c13249"</definedName>
    <definedName name="IQ_FINANCIAL_SERVICING_ASSETS_FAIR_VALUE_TOT_FFIEC">"c13212"</definedName>
    <definedName name="IQ_FINANCIAL_SERVICING_ASSETS_LEVEL_1_FFIEC">"c13220"</definedName>
    <definedName name="IQ_FINANCIAL_SERVICING_ASSETS_LEVEL_2_FFIEC">"c13228"</definedName>
    <definedName name="IQ_FINANCIAL_SERVICING_ASSETS_LEVEL_3_FFIEC">"c13236"</definedName>
    <definedName name="IQ_FINANCIAL_SERVICING_LIAB_FAIR_VALUE_TOT_FFIEC">"c13215"</definedName>
    <definedName name="IQ_FINANCIAL_SERVICING_LIAB_LEVEL_1_FFIEC">"c13223"</definedName>
    <definedName name="IQ_FINANCIAL_SERVICING_LIAB_LEVEL_2_FFIEC">"c13231"</definedName>
    <definedName name="IQ_FINANCIAL_SERVICING_LIAB_LEVEL_3_FFIEC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CIQ_COL" hidden="1">"c11741"</definedName>
    <definedName name="IQ_FISCAL_Q_EST_REUT" hidden="1">"c6798"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CIQ_COL" hidden="1">"c11742"</definedName>
    <definedName name="IQ_FISCAL_Y_EST_REUT" hidden="1">"c6799"</definedName>
    <definedName name="IQ_FISCAL_Y_EST_THOM" hidden="1">"c6803"</definedName>
    <definedName name="IQ_FIVE_PERCENT_AMOUNT" hidden="1">"c240"</definedName>
    <definedName name="IQ_FIVE_PERCENT_CIQID">"c19094"</definedName>
    <definedName name="IQ_FIVE_PERCENT_DERIVATIVES">"c19096"</definedName>
    <definedName name="IQ_FIVE_PERCENT_NAME">"c19093"</definedName>
    <definedName name="IQ_FIVE_PERCENT_OWNER" hidden="1">"c442"</definedName>
    <definedName name="IQ_FIVE_PERCENT_PERCENT">"c19097"</definedName>
    <definedName name="IQ_FIVE_PERCENT_POSITION_DATE">"c19099"</definedName>
    <definedName name="IQ_FIVE_PERCENT_SHARES">"c19095"</definedName>
    <definedName name="IQ_FIVE_PERCENT_VALUE">"c19098"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" hidden="1">"c17421"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>"c13269"</definedName>
    <definedName name="IQ_FOREIGN_BANKS_DUE_90_FFIEC">"c13295"</definedName>
    <definedName name="IQ_FOREIGN_BANKS_LOAN_CHARG_OFFS_FDIC" hidden="1">"c6645"</definedName>
    <definedName name="IQ_FOREIGN_BANKS_NET_CHARGE_OFFS_FDIC" hidden="1">"c6647"</definedName>
    <definedName name="IQ_FOREIGN_BANKS_NON_ACCRUAL_FFIEC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>"c13445"</definedName>
    <definedName name="IQ_FOREIGN_DEPOSITS_NONTRANSACTION_ACCOUNTS_FDIC" hidden="1">"c6549"</definedName>
    <definedName name="IQ_FOREIGN_DEPOSITS_TOT_FFIEC">"c13486"</definedName>
    <definedName name="IQ_FOREIGN_DEPOSITS_TOTAL_DEPOSITS">"c15719"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>"c15345"</definedName>
    <definedName name="IQ_FOREIGN_GOVT_OFFICIAL_INST_NON_TRANS_ACCTS_FFIEC">"c15327"</definedName>
    <definedName name="IQ_FOREIGN_GOVT_OFFICIAL_INST_TRANS_ACCTS_FFIEC">"c15319"</definedName>
    <definedName name="IQ_FOREIGN_LL_REC_FFIEC">"c12892"</definedName>
    <definedName name="IQ_FOREIGN_LOANS" hidden="1">"c448"</definedName>
    <definedName name="IQ_FOREIGN_LOANS_LEASES_FOREIGN_FFIEC">"c13478"</definedName>
    <definedName name="IQ_FOREIGN_LOANS_TOTAL_LOANS">"c15714"</definedName>
    <definedName name="IQ_FOUNDATION_OVER_TOTAL">"c13769"</definedName>
    <definedName name="IQ_FQ">500</definedName>
    <definedName name="IQ_FTOOL_CAPEX">"c16212"</definedName>
    <definedName name="IQ_FTOOL_CASH">"c16213"</definedName>
    <definedName name="IQ_FTOOL_CASH_INVEST">"c16214"</definedName>
    <definedName name="IQ_FTOOL_EBT">"c16215"</definedName>
    <definedName name="IQ_FTOOL_NI">"c16216"</definedName>
    <definedName name="IQ_FTOOL_NI_CF">"c16206"</definedName>
    <definedName name="IQ_FTOOL_NUMBER_SHAREHOLDERS">"c16207"</definedName>
    <definedName name="IQ_FTOOL_SHARES_PER_DR">"c16208"</definedName>
    <definedName name="IQ_FTOOL_TOTAL_ASSETS">"c16209"</definedName>
    <definedName name="IQ_FTOOL_TOTAL_LIAB_EQUITY">"c16210"</definedName>
    <definedName name="IQ_FTOOL_TOTAL_REV">"c16211"</definedName>
    <definedName name="IQ_FUEL" hidden="1">"c449"</definedName>
    <definedName name="IQ_FULL_TIME" hidden="1">"c450"</definedName>
    <definedName name="IQ_FULLY_INSURED_BROKERED_DEPOSITS_FFIEC">"c15305"</definedName>
    <definedName name="IQ_FULLY_INSURED_DEPOSITS_FDIC" hidden="1">"c6487"</definedName>
    <definedName name="IQ_FUND_ANALYSIS" hidden="1">"c19198"</definedName>
    <definedName name="IQ_FUND_AUTHORIZED_SALE" hidden="1">"c19199"</definedName>
    <definedName name="IQ_FUND_BENCHMARK" hidden="1">"c19200"</definedName>
    <definedName name="IQ_FUND_BENCHMARK_ID" hidden="1">"c19201"</definedName>
    <definedName name="IQ_FUND_DISCOUNT_OR_PREMIUM" hidden="1">"c19242"</definedName>
    <definedName name="IQ_FUND_FEE_INC_NON_INT_INC_FFIEC">"c13493"</definedName>
    <definedName name="IQ_FUND_GEOGRAPHIC_MANDATE" hidden="1">"c19195"</definedName>
    <definedName name="IQ_FUND_MARKET_CAP_EMPHASIS" hidden="1">"c19197"</definedName>
    <definedName name="IQ_FUND_NAV">"c15225"</definedName>
    <definedName name="IQ_FUND_PRIMARY_ADVISOR">"c19091"</definedName>
    <definedName name="IQ_FUND_SECTOR_EMPHASIS" hidden="1">"c19196"</definedName>
    <definedName name="IQ_FUND_VEHICLE_TYPE" hidden="1">"c19194"</definedName>
    <definedName name="IQ_FUNDING_DEPENDENCE_FFIEC">"c13336"</definedName>
    <definedName name="IQ_FUNDING_DEPENDENCE_ST_FFIEC">"c13337"</definedName>
    <definedName name="IQ_FUNDS_PURCHASED_ASSETS_TOT_FFIEC">"c13446"</definedName>
    <definedName name="IQ_FUTURES_CONTRACT_LIST" hidden="1">"c17682"</definedName>
    <definedName name="IQ_FUTURES_FORWARD_CONTRACTS_NOTIONAL_AMOUNT_FDIC" hidden="1">"c6518"</definedName>
    <definedName name="IQ_FUTURES_FORWARD_CONTRACTS_RATE_RISK_FDIC" hidden="1">"c6508"</definedName>
    <definedName name="IQ_FUTURES_NAME" hidden="1">"c13936"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FFIEC">"c13125"</definedName>
    <definedName name="IQ_FX_CONTRACTS_SPOT_FDIC" hidden="1">"c6356"</definedName>
    <definedName name="IQ_FX_EXPOSURE_FFIEC">"c13059"</definedName>
    <definedName name="IQ_FY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COMBINED_RATIO" hidden="1">"c2781"</definedName>
    <definedName name="IQ_GAAP_COMBINED_RATIO_EXCL_CL" hidden="1">"c2782"</definedName>
    <definedName name="IQ_GAAP_EST_CIQ" hidden="1">"c13924"</definedName>
    <definedName name="IQ_GAAP_EXPENSE_RATIO" hidden="1">"c2780"</definedName>
    <definedName name="IQ_GAAP_IS" hidden="1">"c6194"</definedName>
    <definedName name="IQ_GAAP_LOSS" hidden="1">"c2779"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>"c13066"</definedName>
    <definedName name="IQ_GAIN_CREDIT_DERIVATIVES_NON_TRADING_FFIEC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C_BNK" hidden="1">"c488"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>"c15384"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>"c13364"</definedName>
    <definedName name="IQ_GAINS_ASSETS_TOT_FFIEC">"c13073"</definedName>
    <definedName name="IQ_GAINS_AVAIL_SALE_EQUITY_SEC_T2_FFIEC">"c13147"</definedName>
    <definedName name="IQ_GAINS_AVAIL_SALE_SEC_T1_FFIEC">"c13131"</definedName>
    <definedName name="IQ_GAINS_CASH_FLOW_HEDGES_T1_FFIEC">"c13133"</definedName>
    <definedName name="IQ_GAINS_HTM_AVG_ASSETS_FFIEC">"c13363"</definedName>
    <definedName name="IQ_GAINS_INSTRUMENT_SPECIFIC_CREDIT_RISK_LIAB_FFIEC">"c13076"</definedName>
    <definedName name="IQ_GAINS_INSTRUMENT_SPECIFIC_RISK_FFIEC">"c13074"</definedName>
    <definedName name="IQ_GAINS_INSURANCE_ACTIVITIES_FFIEC">"c13072"</definedName>
    <definedName name="IQ_GAINS_LIABILITIES_FFIEC">"c13075"</definedName>
    <definedName name="IQ_GAINS_SALE_ASSETS_FDIC" hidden="1">"c6675"</definedName>
    <definedName name="IQ_GAINS_SALE_LOANS_LEASES_FFIEC">"c13013"</definedName>
    <definedName name="IQ_GAINS_SALE_OTHER_ASSETS_FFIEC">"c13015"</definedName>
    <definedName name="IQ_GAINS_SALE_OTHER_RE_OWNED_FFIEC">"c13014"</definedName>
    <definedName name="IQ_GAINS_SECURITIZATION_OPERATING_INC_FFIEC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NERAL_ALLOWANCE">"c15248"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ICS_CODE">"c16201"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>"c12836"</definedName>
    <definedName name="IQ_GOODWILL_IMPAIRMENT_FDIC" hidden="1">"c6678"</definedName>
    <definedName name="IQ_GOODWILL_IMPAIRMENT_FFIEC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DD_BASIC">"c15776"</definedName>
    <definedName name="IQ_GROSS_ADD_BBAND">"c15779"</definedName>
    <definedName name="IQ_GROSS_ADD_DIG">"c15777"</definedName>
    <definedName name="IQ_GROSS_ADD_PHONE">"c15780"</definedName>
    <definedName name="IQ_GROSS_ADD_POSTPAID_WIRELESS">"c15750"</definedName>
    <definedName name="IQ_GROSS_ADD_PREPAID_WIRELESS">"c15751"</definedName>
    <definedName name="IQ_GROSS_ADD_RESELL_WHOLESALE_WIRELESS">"c15752"</definedName>
    <definedName name="IQ_GROSS_ADD_RGU">"c15781"</definedName>
    <definedName name="IQ_GROSS_ADD_SATELLITE">"c15778"</definedName>
    <definedName name="IQ_GROSS_ADD_TOTAL_WIRELESS">"c15753"</definedName>
    <definedName name="IQ_GROSS_AH_EARNED" hidden="1">"c2742"</definedName>
    <definedName name="IQ_GROSS_CLAIM_ADJ_EXP_RESERVE_BOP">"c15874"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GW" hidden="1">"c17750"</definedName>
    <definedName name="IQ_GROSS_INTAN" hidden="1">"c520"</definedName>
    <definedName name="IQ_GROSS_INTAN_ASSETS" hidden="1">"c17748"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">"c15871"</definedName>
    <definedName name="IQ_GROSS_LOSSES_AVG_LOANS_FFIEC">"c13475"</definedName>
    <definedName name="IQ_GROSS_MARGIN" hidden="1">"c529"</definedName>
    <definedName name="IQ_GROSS_MARGIN_ACT_OR_EST" hidden="1">"c5554"</definedName>
    <definedName name="IQ_GROSS_MARGIN_ACT_OR_EST_THOM" hidden="1">"c5562"</definedName>
    <definedName name="IQ_GROSS_MARGIN_DET_EST_DATE_THOM" hidden="1">"c12239"</definedName>
    <definedName name="IQ_GROSS_MARGIN_DET_EST_INCL_THOM" hidden="1">"c12371"</definedName>
    <definedName name="IQ_GROSS_MARGIN_DET_EST_ORIGIN_THOM" hidden="1">"c12609"</definedName>
    <definedName name="IQ_GROSS_MARGIN_DET_EST_THOM" hidden="1">"c12089"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EMIUMS_WRITTEN_AVG_ASSETS">"c15893"</definedName>
    <definedName name="IQ_GROSS_PREMIUMS_WRITTEN_AVG_EQUITY">"c15892"</definedName>
    <definedName name="IQ_GROSS_PREMIUMS_WRITTEN_AVG_STATUTORY_SURPLUS">"c15894"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VKEY">"c15590"</definedName>
    <definedName name="IQ_GVKEY_OTHER">"c15633"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">"c19145"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_EXP_DIRECT_OPERATING_EXP">"c15981"</definedName>
    <definedName name="IQ_HG_CASINO_GROSS_PROFIT">"c15974"</definedName>
    <definedName name="IQ_HG_CASINO_MARGIN">"c15976"</definedName>
    <definedName name="IQ_HG_CASINO_OPERATING_MARGIN">"c15977"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CONFERENCE_SPACE">"c15971"</definedName>
    <definedName name="IQ_HG_EXP_CASINO" hidden="1">"c8733"</definedName>
    <definedName name="IQ_HG_EXP_DEVELOPMENT" hidden="1">"c8738"</definedName>
    <definedName name="IQ_HG_EXP_DIRECT_CASINO_GAMING">"c15994"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DIRECT_HOTEL_MOTEL">"c15995"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BEV_EXP_DIRECT_OPERATING_EXP">"c15980"</definedName>
    <definedName name="IQ_HG_FOOD_BEV_REV_TOTAL_REV">"c15983"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NUMBER_SUITES">"c15970"</definedName>
    <definedName name="IQ_HG_NUMBER_TABLES_AVG">"c15973"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PROMO_ALLOW_GROSS_OPERATING_REV">"c15979"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GROSS_OPERATING">"c15993"</definedName>
    <definedName name="IQ_HG_REV_INCENTIVE_MANAGEMENT_FEES" hidden="1">"c8727"</definedName>
    <definedName name="IQ_HG_REV_MANAGEMENT_FEES" hidden="1">"c8718"</definedName>
    <definedName name="IQ_HG_REV_OTHER_CASINO">"c15992"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SLOT_MACHINE">"c15990"</definedName>
    <definedName name="IQ_HG_REV_TABLE">"c15991"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EXP_DIRECT_OPERATING_EXP">"c15982"</definedName>
    <definedName name="IQ_HG_ROOM_GROSS_PROFIT">"c15975"</definedName>
    <definedName name="IQ_HG_ROOM_MARGIN">"c15978"</definedName>
    <definedName name="IQ_HG_ROOM_PROM_COSTS" hidden="1">"c8745"</definedName>
    <definedName name="IQ_HG_ROOM_REV_TOTAL_REV">"c15984"</definedName>
    <definedName name="IQ_HG_ROOMS_BEG" hidden="1">"c8600"</definedName>
    <definedName name="IQ_HG_SAME_PROPERTIES_CASINO_REV_CHANGE">"c15987"</definedName>
    <definedName name="IQ_HG_SAME_PROPERTIES_FOOD_BEV_REV_CHANGE">"c15989"</definedName>
    <definedName name="IQ_HG_SAME_PROPERTIES_ROOM_REV_CHANGE">"c15988"</definedName>
    <definedName name="IQ_HG_SAME_PROPERTIES_SLOT_MACHINE_REV_CHANGE">"c15985"</definedName>
    <definedName name="IQ_HG_SAME_PROPERTIES_TABLE_REV_CHANGE">"c15986"</definedName>
    <definedName name="IQ_HG_SLOT_MACHINES_AVG">"c15972"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ABLES_JV">"c8643"</definedName>
    <definedName name="IQ_HG_TABLES_MANAGED">"c8644"</definedName>
    <definedName name="IQ_HG_TABLES_OWNED">"c8642"</definedName>
    <definedName name="IQ_HG_TABLES_TOTAL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>"c1204"</definedName>
    <definedName name="IQ_HIGH_SULFUR_CONTENT_RESERVES_COAL">"c15928"</definedName>
    <definedName name="IQ_HIGH_SULFURE_RESERVES_TO_TOTAL_RESERVES_COAL">"c15963"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_TARGET_PRICE_THOM" hidden="1">"c5096"</definedName>
    <definedName name="IQ_HIGHPRICE" hidden="1">"c545"</definedName>
    <definedName name="IQ_HOLDER_CIQID">"c13787"</definedName>
    <definedName name="IQ_HOLDER_CIQID_SECURITY">"c13794"</definedName>
    <definedName name="IQ_HOLDER_DERIVATIVES">"c13789"</definedName>
    <definedName name="IQ_HOLDER_DERIVATIVES_SECURITY">"c13796"</definedName>
    <definedName name="IQ_HOLDER_FUND_CIQID">"c19084"</definedName>
    <definedName name="IQ_HOLDER_FUND_DERIVATIVES">"c19115"</definedName>
    <definedName name="IQ_HOLDER_FUND_NAME">"c19083"</definedName>
    <definedName name="IQ_HOLDER_FUND_NUMBER">"c19090"</definedName>
    <definedName name="IQ_HOLDER_FUND_PERCENT">"c19085"</definedName>
    <definedName name="IQ_HOLDER_FUND_POSITION_DATE">"c19088"</definedName>
    <definedName name="IQ_HOLDER_FUND_PRIMARY_ADVISOR">"c19089"</definedName>
    <definedName name="IQ_HOLDER_FUND_SHARES">"c19086"</definedName>
    <definedName name="IQ_HOLDER_FUND_VALUE">"c19087"</definedName>
    <definedName name="IQ_HOLDER_NAME">"c13786"</definedName>
    <definedName name="IQ_HOLDER_NAME_SECURITY">"c13793"</definedName>
    <definedName name="IQ_HOLDER_PERCENT">"c13790"</definedName>
    <definedName name="IQ_HOLDER_PERCENT_SECURITY">"c13831"</definedName>
    <definedName name="IQ_HOLDER_POSITION_DATE">"c13792"</definedName>
    <definedName name="IQ_HOLDER_POSITION_DATE_SECURITY">"c13798"</definedName>
    <definedName name="IQ_HOLDER_SHARES">"c13788"</definedName>
    <definedName name="IQ_HOLDER_SHARES_SECURITY">"c13795"</definedName>
    <definedName name="IQ_HOLDER_VALUE">"c13791"</definedName>
    <definedName name="IQ_HOLDER_VALUE_SECURITY">"c13797"</definedName>
    <definedName name="IQ_HOLDING_CIQID">"c13802"</definedName>
    <definedName name="IQ_HOLDING_NAME">"c13799"</definedName>
    <definedName name="IQ_HOLDING_PERCENT">"c13805"</definedName>
    <definedName name="IQ_HOLDING_PERCENT_PORTFOLIO">"c13806"</definedName>
    <definedName name="IQ_HOLDING_POSITION_DATE">"c13808"</definedName>
    <definedName name="IQ_HOLDING_SECURITY_TYPE">"c13803"</definedName>
    <definedName name="IQ_HOLDING_SHARES">"c13804"</definedName>
    <definedName name="IQ_HOLDING_TICKER">"c13800"</definedName>
    <definedName name="IQ_HOLDING_TRADING_ITEM_CIQID">"c13801"</definedName>
    <definedName name="IQ_HOLDING_VALUE">"c13807"</definedName>
    <definedName name="IQ_HOLDINGS_AFRICA_MIDEAST_PERCENT" hidden="1">"c19235"</definedName>
    <definedName name="IQ_HOLDINGS_AFRICA_MIDEAST_VALUE" hidden="1">"c19234"</definedName>
    <definedName name="IQ_HOLDINGS_ASIA_PERCENT" hidden="1">"c19233"</definedName>
    <definedName name="IQ_HOLDINGS_ASIA_VALUE" hidden="1">"c19232"</definedName>
    <definedName name="IQ_HOLDINGS_CONSUMER_DISCRETIONARY_PERCENT" hidden="1">"c19213"</definedName>
    <definedName name="IQ_HOLDINGS_CONSUMER_DISCRETIONARY_VALUE" hidden="1">"c19212"</definedName>
    <definedName name="IQ_HOLDINGS_CONSUMER_STAPLES_PERCENT" hidden="1">"c19219"</definedName>
    <definedName name="IQ_HOLDINGS_CONSUMER_STAPLES_VALUE" hidden="1">"c19218"</definedName>
    <definedName name="IQ_HOLDINGS_ENERGY_PERCENT" hidden="1">"c19215"</definedName>
    <definedName name="IQ_HOLDINGS_ENERGY_VALUE" hidden="1">"c19214"</definedName>
    <definedName name="IQ_HOLDINGS_EUROPE_PERCENT" hidden="1">"c19229"</definedName>
    <definedName name="IQ_HOLDINGS_EUROPE_VALUE" hidden="1">"c19228"</definedName>
    <definedName name="IQ_HOLDINGS_FINANCIALS_PERCENT" hidden="1">"c19209"</definedName>
    <definedName name="IQ_HOLDINGS_FINANCIALS_VALUE" hidden="1">"c19208"</definedName>
    <definedName name="IQ_HOLDINGS_HEALTHCARE_PERCENT" hidden="1">"c19211"</definedName>
    <definedName name="IQ_HOLDINGS_HEALTHCARE_VALUE" hidden="1">"c19210"</definedName>
    <definedName name="IQ_HOLDINGS_INDUSTRIALS_PERCENT" hidden="1">"c19217"</definedName>
    <definedName name="IQ_HOLDINGS_INDUSTRIALS_VALUE" hidden="1">"c19216"</definedName>
    <definedName name="IQ_HOLDINGS_IT_PERCENT" hidden="1">"c19207"</definedName>
    <definedName name="IQ_HOLDINGS_IT_VALUE" hidden="1">"c19206"</definedName>
    <definedName name="IQ_HOLDINGS_LATIN_CARIBBEAN_PERCENT" hidden="1">"c19231"</definedName>
    <definedName name="IQ_HOLDINGS_LATIN_CARIBBEAN_VALUE" hidden="1">"c19230"</definedName>
    <definedName name="IQ_HOLDINGS_MATERIALS_PERCENT" hidden="1">"c19223"</definedName>
    <definedName name="IQ_HOLDINGS_MATERIALS_VALUE" hidden="1">"c19222"</definedName>
    <definedName name="IQ_HOLDINGS_TELECOMM_PERCENT" hidden="1">"c19221"</definedName>
    <definedName name="IQ_HOLDINGS_TELECOMM_VALUE" hidden="1">"c19220"</definedName>
    <definedName name="IQ_HOLDINGS_US_CANADA_PERCENT" hidden="1">"c19227"</definedName>
    <definedName name="IQ_HOLDINGS_US_CANADA_VALUE" hidden="1">"c19226"</definedName>
    <definedName name="IQ_HOLDINGS_UTILITIES_PERCENT" hidden="1">"c19225"</definedName>
    <definedName name="IQ_HOLDINGS_UTILITIES_VALUE" hidden="1">"c19224"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ANCELLATION_RATE">"c16192"</definedName>
    <definedName name="IQ_HOME_CANCELLATION_RATE_INCL_JV">"c16194"</definedName>
    <definedName name="IQ_HOME_CANCELLATION_RATE_JV">"c16193"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BUILDING_COGS_SALES">"c15813"</definedName>
    <definedName name="IQ_HOMEBUILDING_INV_TURN">"c15819"</definedName>
    <definedName name="IQ_HOMEBUILDING_TURN">"c15820"</definedName>
    <definedName name="IQ_HOMEOWNERS_WRITTEN" hidden="1">"c546"</definedName>
    <definedName name="IQ_HOTEL_OPERATING_EXPENSE">"c16042"</definedName>
    <definedName name="IQ_HOTEL_OPERATING_REVENUE">"c16026"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>"c13455"</definedName>
    <definedName name="IQ_HTM_SECURITIES_TIER_1_FFIEC">"c13342"</definedName>
    <definedName name="IQ_HYBRID_CAPITAL">"c15245"</definedName>
    <definedName name="IQ_HYBRID_STRUCTURED_PRODUCTS_AFS_AMORT_COST_FFIEC" hidden="1">"c20502"</definedName>
    <definedName name="IQ_HYBRID_STRUCTURED_PRODUCTS_AFS_FAIR_VAL_FFIEC" hidden="1">"c20467"</definedName>
    <definedName name="IQ_HYBRID_STRUCTURED_PRODUCTS_AVAIL_SALE_FFIEC">"c15265"</definedName>
    <definedName name="IQ_HYBRID_STRUCTURED_PRODUCTS_FFIEC">"c15262"</definedName>
    <definedName name="IQ_HYBRID_STRUCTURED_PRODUCTS_HTM_AMORT_COST_FFIEC" hidden="1">"c20450"</definedName>
    <definedName name="IQ_HYBRID_STRUCTURED_PRODUCTS_HTM_FAIR_VAL_FFIEC" hidden="1">"c20485"</definedName>
    <definedName name="IQ_IB_ADVISORY_UNDERWRITING_FEES_FOREIGN_FFIEC">"c15378"</definedName>
    <definedName name="IQ_IBF_COMM_INDUST_LOANS_FFIEC">"c15298"</definedName>
    <definedName name="IQ_IBF_DEPOSIT_LIABILITIES_DUE_TO_BANKS_FFIEC">"c15300"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CT_UNRECOG_TAX_BENEFIT_EFFECTIVE_TAX">"c15748"</definedName>
    <definedName name="IQ_IMPAIR_OIL" hidden="1">"c547"</definedName>
    <definedName name="IQ_IMPAIRED_LOANS">"c15250"</definedName>
    <definedName name="IQ_IMPAIRMENT_GW" hidden="1">"c548"</definedName>
    <definedName name="IQ_IMPAIRMENT_GW_SUPPLE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>"c13040"</definedName>
    <definedName name="IQ_INCOME_EARNED_FDIC" hidden="1">"c6359"</definedName>
    <definedName name="IQ_INCOME_FIDUCIARY_ACTIVITIES_FFIEC">"c13002"</definedName>
    <definedName name="IQ_INCOME_LEASE_FINANCING_REC_FFIEC">"c12980"</definedName>
    <definedName name="IQ_INCOME_LOANS_LEASES_TAX_EXEMPT_FFIEC">"c13038"</definedName>
    <definedName name="IQ_INCOME_OTHER_INSURANCE_ACTIVITIES_FFIEC">"c13009"</definedName>
    <definedName name="IQ_INCOME_SALE_MUTUAL_FUNDS_DOM_FFIEC">"c13069"</definedName>
    <definedName name="IQ_INCOME_SECURITIES_TAX_EXEMPT_FFIEC">"c13039"</definedName>
    <definedName name="IQ_INCOME_TAX_FOREIGN_FFIEC">"c15391"</definedName>
    <definedName name="IQ_INCOME_TAXES_FDIC" hidden="1">"c6582"</definedName>
    <definedName name="IQ_INCOME_TAXES_FFIEC">"c13030"</definedName>
    <definedName name="IQ_INCREASE_INT_INCOME_FFIEC">"c13063"</definedName>
    <definedName name="IQ_INDEX_CURRENCY">"c15224"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PROVIDED_DIVIDEND" hidden="1">"c19252"</definedName>
    <definedName name="IQ_INDEX_SHARES" hidden="1">"c19193"</definedName>
    <definedName name="IQ_INDEX_TYPE">"c15223"</definedName>
    <definedName name="IQ_INDEXCONSTITUENT_CLOSEPRICE" hidden="1">"c19241"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">"c15182"</definedName>
    <definedName name="IQ_INDIVIDUAL_ACTIVE_BOARD_MEMBERSHIPS">"c15201"</definedName>
    <definedName name="IQ_INDIVIDUAL_ACTIVE_PRO_AFFILIATIONS">"c15199"</definedName>
    <definedName name="IQ_INDIVIDUAL_AGE">"c15191"</definedName>
    <definedName name="IQ_INDIVIDUAL_ALL_OTHER_COMP">"c19040"</definedName>
    <definedName name="IQ_INDIVIDUAL_ANNUAL_CASH_COMP">"c19041"</definedName>
    <definedName name="IQ_INDIVIDUAL_AS_REPORTED_COMP">"c19045"</definedName>
    <definedName name="IQ_INDIVIDUAL_AS_REPORTED_DIRECTOR_COMP">"c19057"</definedName>
    <definedName name="IQ_INDIVIDUAL_ASSISTANT_EMAIL">"c15206"</definedName>
    <definedName name="IQ_INDIVIDUAL_ASSISTANT_FAX">"c15208"</definedName>
    <definedName name="IQ_INDIVIDUAL_ASSISTANT_NAME">"c15205"</definedName>
    <definedName name="IQ_INDIVIDUAL_ASSISTANT_PHONE">"c15207"</definedName>
    <definedName name="IQ_INDIVIDUAL_BACKGROUND">"c15184"</definedName>
    <definedName name="IQ_INDIVIDUAL_BONUS">"c19036"</definedName>
    <definedName name="IQ_INDIVIDUAL_CALCULATED_COMP">"c19043"</definedName>
    <definedName name="IQ_INDIVIDUAL_CHANGE_PENSION">"c19058"</definedName>
    <definedName name="IQ_INDIVIDUAL_DIRECT_FAX">"c15189"</definedName>
    <definedName name="IQ_INDIVIDUAL_DIRECT_PHONE">"c15188"</definedName>
    <definedName name="IQ_INDIVIDUAL_DIRECTOR_BONUS">"c19052"</definedName>
    <definedName name="IQ_INDIVIDUAL_DIRECTOR_CHANGE_PENSION">"c19053"</definedName>
    <definedName name="IQ_INDIVIDUAL_DIRECTOR_FEE">"c19049"</definedName>
    <definedName name="IQ_INDIVIDUAL_DIRECTOR_NON_EQUITY_COMP">"c19054"</definedName>
    <definedName name="IQ_INDIVIDUAL_DIRECTOR_OPTION_AWARDS">"c19050"</definedName>
    <definedName name="IQ_INDIVIDUAL_DIRECTOR_OTHER">"c19051"</definedName>
    <definedName name="IQ_INDIVIDUAL_DIRECTOR_STOCK_AWARDS">"c19055"</definedName>
    <definedName name="IQ_INDIVIDUAL_DIRECTOR_STOCK_GRANTS">"c19082"</definedName>
    <definedName name="IQ_INDIVIDUAL_DIRECTOR_STOCK_OPTIONS">"c19056"</definedName>
    <definedName name="IQ_INDIVIDUAL_EDUCATION">"c15203"</definedName>
    <definedName name="IQ_INDIVIDUAL_EMAIL">"c15193"</definedName>
    <definedName name="IQ_INDIVIDUAL_EQUITY_INCENTIVE">"c19078"</definedName>
    <definedName name="IQ_INDIVIDUAL_EST_PAYMENTS_CHANGE_CONTROL">"c19047"</definedName>
    <definedName name="IQ_INDIVIDUAL_EST_PAYMENTS_TERMINATION">"c19059"</definedName>
    <definedName name="IQ_INDIVIDUAL_EXERCISABLE_OPTIONS">"c19062"</definedName>
    <definedName name="IQ_INDIVIDUAL_EXERCISABLE_VALUES">"c19063"</definedName>
    <definedName name="IQ_INDIVIDUAL_EXERCISED_OPTIONS">"c19060"</definedName>
    <definedName name="IQ_INDIVIDUAL_EXERCISED_VALUES">"c19061"</definedName>
    <definedName name="IQ_INDIVIDUAL_FAMILY_LOAN_DOM_QUARTERLY_AVG_FFIEC">"c15479"</definedName>
    <definedName name="IQ_INDIVIDUAL_HOME_ADDRESS">"c15194"</definedName>
    <definedName name="IQ_INDIVIDUAL_HOME_FAX">"c15196"</definedName>
    <definedName name="IQ_INDIVIDUAL_HOME_PHONE">"c15195"</definedName>
    <definedName name="IQ_INDIVIDUAL_LT_INCENTIVE">"c19039"</definedName>
    <definedName name="IQ_INDIVIDUAL_MAIN_FAX">"c15187"</definedName>
    <definedName name="IQ_INDIVIDUAL_MAIN_PHONE">"c15186"</definedName>
    <definedName name="IQ_INDIVIDUAL_MARKET_VALUE_SHARES_NOT_VESTED">"c19077"</definedName>
    <definedName name="IQ_INDIVIDUAL_MOBILE">"c15198"</definedName>
    <definedName name="IQ_INDIVIDUAL_NICKNAME">"c15192"</definedName>
    <definedName name="IQ_INDIVIDUAL_NON_EQUITY_INCENTIVE">"c19048"</definedName>
    <definedName name="IQ_INDIVIDUAL_NOTES">"c15204"</definedName>
    <definedName name="IQ_INDIVIDUAL_NUM_SHARED_NOT_VESTED">"c19076"</definedName>
    <definedName name="IQ_INDIVIDUAL_NUM_SHARES_ACQUIRED">"c19074"</definedName>
    <definedName name="IQ_INDIVIDUAL_OFFICE_ADDRESS">"c15185"</definedName>
    <definedName name="IQ_INDIVIDUAL_OPTION_AWARDS">"c19044"</definedName>
    <definedName name="IQ_INDIVIDUAL_OPTION_MARKET_PRICE">"c19073"</definedName>
    <definedName name="IQ_INDIVIDUAL_OPTION_PRICE">"c19072"</definedName>
    <definedName name="IQ_INDIVIDUAL_OTHER_ANNUAL_COMP">"c19037"</definedName>
    <definedName name="IQ_INDIVIDUAL_OTHER_COMP">"c19046"</definedName>
    <definedName name="IQ_INDIVIDUAL_OTHER_PHONE">"c15197"</definedName>
    <definedName name="IQ_INDIVIDUAL_PARTNER_CORP_NON_TRANS_ACCTS_FFIEC">"c15322"</definedName>
    <definedName name="IQ_INDIVIDUAL_PARTNER_CORP_TRANS_ACCTS_FFIEC">"c15314"</definedName>
    <definedName name="IQ_INDIVIDUAL_PARTNER_CORPS_FOREIGN_DEP_FFIEC">"c15342"</definedName>
    <definedName name="IQ_INDIVIDUAL_PRIOR_BOARD_MEMBERSHIPS">"c15202"</definedName>
    <definedName name="IQ_INDIVIDUAL_PRIOR_PRO_AFFILIATIONS">"c15200"</definedName>
    <definedName name="IQ_INDIVIDUAL_RESTRICTED_STOCK_COMP">"c19038"</definedName>
    <definedName name="IQ_INDIVIDUAL_SALARY">"c19035"</definedName>
    <definedName name="IQ_INDIVIDUAL_SPECIALTY">"c15190"</definedName>
    <definedName name="IQ_INDIVIDUAL_ST_COMP">"c19042"</definedName>
    <definedName name="IQ_INDIVIDUAL_TITLE">"c15183"</definedName>
    <definedName name="IQ_INDIVIDUAL_TOTAL_NUM_STOCK_AWARDS">"c19081"</definedName>
    <definedName name="IQ_INDIVIDUAL_TOTAL_OPTIONS">"c19070"</definedName>
    <definedName name="IQ_INDIVIDUAL_TOTAL_STOCK_VALUE">"c19080"</definedName>
    <definedName name="IQ_INDIVIDUAL_TOTAL_VALUE_OPTIONS">"c19071"</definedName>
    <definedName name="IQ_INDIVIDUAL_UNCLASSIFIED_OPTIONS">"c19066"</definedName>
    <definedName name="IQ_INDIVIDUAL_UNCLASSIFIED_OPTIONS_VALUE">"c19067"</definedName>
    <definedName name="IQ_INDIVIDUAL_UNEARNED_STOCK_VALUE">"c19079"</definedName>
    <definedName name="IQ_INDIVIDUAL_UNEXERCISABLE_OPTIONS">"c19064"</definedName>
    <definedName name="IQ_INDIVIDUAL_UNEXERCISABLE_VALUES">"c19065"</definedName>
    <definedName name="IQ_INDIVIDUAL_UNEXERCISED_UNEARNED_OPTIONS">"c19068"</definedName>
    <definedName name="IQ_INDIVIDUAL_UNEXERCISED_UNEARNED_OPTIONS_VALUE">"c19069"</definedName>
    <definedName name="IQ_INDIVIDUAL_VALUE_VESTING">"c19075"</definedName>
    <definedName name="IQ_INDIVIDUALS_CHARGE_OFFS_FDIC" hidden="1">"c6599"</definedName>
    <definedName name="IQ_INDIVIDUALS_GROSS_LOANS_FFIEC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ITIAL_TRANSACTION">"c18885"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>"c13814"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CIQID">"c19101"</definedName>
    <definedName name="IQ_INSIDER_DERIVATIVES">"c19102"</definedName>
    <definedName name="IQ_INSIDER_LOANS_FDIC" hidden="1">"c6365"</definedName>
    <definedName name="IQ_INSIDER_NAME">"c19100"</definedName>
    <definedName name="IQ_INSIDER_OVER_TOTAL" hidden="1">"c1581"</definedName>
    <definedName name="IQ_INSIDER_OWNER" hidden="1">"c577"</definedName>
    <definedName name="IQ_INSIDER_PERCENT" hidden="1">"c578"</definedName>
    <definedName name="IQ_INSIDER_POSITION_DATE">"c19104"</definedName>
    <definedName name="IQ_INSIDER_SHARES" hidden="1">"c579"</definedName>
    <definedName name="IQ_INSIDER_VALUE">"c19103"</definedName>
    <definedName name="IQ_INST_DEPOSITS" hidden="1">"c89"</definedName>
    <definedName name="IQ_INSTITUTIONAL_AMOUNT" hidden="1">"c236"</definedName>
    <definedName name="IQ_INSTITUTIONAL_CIQID">"c19106"</definedName>
    <definedName name="IQ_INSTITUTIONAL_DERIVATIVES">"c19107"</definedName>
    <definedName name="IQ_INSTITUTIONAL_NAME">"c19105"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POSITION_DATE">"c19109"</definedName>
    <definedName name="IQ_INSTITUTIONAL_SHARES" hidden="1">"c582"</definedName>
    <definedName name="IQ_INSTITUTIONAL_VALUE">"c19108"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>"c13008"</definedName>
    <definedName name="IQ_INSURANCE_REV_OPERATING_INC_FFIEC">"c13387"</definedName>
    <definedName name="IQ_INSURANCE_UNDERWRITING_INCOME_FDIC" hidden="1">"c6671"</definedName>
    <definedName name="IQ_INT_BEARING_DEPOSITS" hidden="1">"c1166"</definedName>
    <definedName name="IQ_INT_BEARING_FUNDS_AVG_ASSETS_FFIEC">"c13355"</definedName>
    <definedName name="IQ_INT_BEARING_LIABILITIES_REPRICE_ASSETS_TOT_FFIEC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>"c12852"</definedName>
    <definedName name="IQ_INT_DEPOSITS_DOM_QUARTERLY_AVG_FFIEC">"c13088"</definedName>
    <definedName name="IQ_INT_DEPOSITS_FOREIGN_FFIEC">"c12855"</definedName>
    <definedName name="IQ_INT_DEPOSITS_FOREIGN_QUARTERLY_AVG_FFIEC">"c13089"</definedName>
    <definedName name="IQ_INT_DIV_INC" hidden="1">"c585"</definedName>
    <definedName name="IQ_INT_DIV_INC_MBS_FFIEC">"c12984"</definedName>
    <definedName name="IQ_INT_DIV_INC_SECURITIES_FFIEC">"c12982"</definedName>
    <definedName name="IQ_INT_DIV_INC_SECURITIES_OTHER_FFIEC">"c12985"</definedName>
    <definedName name="IQ_INT_DIV_INC_TREASURY_SECURITIES_FFIEC">"c12983"</definedName>
    <definedName name="IQ_INT_DOMESTIC_DEPOSITS_FDIC" hidden="1">"c6564"</definedName>
    <definedName name="IQ_INT_EXP_AVG_ASSETS_FFIEC">"c13357"</definedName>
    <definedName name="IQ_INT_EXP_BR" hidden="1">"c586"</definedName>
    <definedName name="IQ_INT_EXP_COVERAGE" hidden="1">"c587"</definedName>
    <definedName name="IQ_INT_EXP_EARNING_ASSETS_FFIEC">"c13376"</definedName>
    <definedName name="IQ_INT_EXP_FED_FUNDS_PURCHASED_FFIEC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EXPENSE_AVG_ASSET">"c15705"</definedName>
    <definedName name="IQ_INT_FED_FUNDS_FDIC" hidden="1">"c6566"</definedName>
    <definedName name="IQ_INT_FEE_INC_ACCEPTANCE_OTHER_BANKS_DOM_FFIEC">"c15357"</definedName>
    <definedName name="IQ_INT_FEE_INC_AGRICULTURE_LOANS_FARMERS_DOM_FFIEC">"c15355"</definedName>
    <definedName name="IQ_INT_FEE_INC_COMM_IND_LOANS_DOM_FFIEC">"c15356"</definedName>
    <definedName name="IQ_INT_FEE_INC_CREDIT_CARDS_DOM_FFIEC">"c15358"</definedName>
    <definedName name="IQ_INT_FEE_INC_DEPOSITORY_LOANS_DOM_FFIEC">"c15354"</definedName>
    <definedName name="IQ_INT_FEE_INC_FOREIGN_GOVT_LOANS_DOM_FFIEC">"c15360"</definedName>
    <definedName name="IQ_INT_FEE_INC_INDIVIDUAL_LOANS_DOM_FFIEC">"c15359"</definedName>
    <definedName name="IQ_INT_FEE_INC_LOANS_1_4_DOM_FFIEC">"c12976"</definedName>
    <definedName name="IQ_INT_FEE_INC_LOANS_DOM_FFIEC">"c13335"</definedName>
    <definedName name="IQ_INT_FEE_INC_LOANS_FOREIGN_FFIEC">"c12979"</definedName>
    <definedName name="IQ_INT_FEE_INC_LOANS_OTHER_DOM_FFIEC">"c12978"</definedName>
    <definedName name="IQ_INT_FEE_INC_RE_LOANS_DOM_FFIEC">"c15353"</definedName>
    <definedName name="IQ_INT_FEE_INC_SECURED_RE_DOM_FFIEC">"c12977"</definedName>
    <definedName name="IQ_INT_FEE_INC_TAX_EXEMPT_OBLIGATIONS_DOM_FFIEC">"c15362"</definedName>
    <definedName name="IQ_INT_FEE_INC_TAXABLE_OBLIGATIONS_DOM_FFIEC">"c15361"</definedName>
    <definedName name="IQ_INT_FEE_INCOME_FFIEC">"c12974"</definedName>
    <definedName name="IQ_INT_FOREIGN_DEPOSITS_FDIC" hidden="1">"c6565"</definedName>
    <definedName name="IQ_INT_INC_AVG_ASSETS_FFIEC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>"c12981"</definedName>
    <definedName name="IQ_INT_INC_EARNING_ASSETS_FFIEC">"c13375"</definedName>
    <definedName name="IQ_INT_INC_FED_FUNDS_FDIC" hidden="1">"c6561"</definedName>
    <definedName name="IQ_INT_INC_FED_FUNDS_SOLD_FFIEC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>"c13358"</definedName>
    <definedName name="IQ_INT_INC_TE_EARNING_ASSETS_FFIEC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>"c12986"</definedName>
    <definedName name="IQ_INT_INC_UTI" hidden="1">"c599"</definedName>
    <definedName name="IQ_INT_INCOME_AVG_ASSET">"c15704"</definedName>
    <definedName name="IQ_INT_INCOME_FTE_AVG_ASSETS_FFIEC">"c13856"</definedName>
    <definedName name="IQ_INT_INCOME_FTE_AVG_EARNING_ASSETS_FFIEC">"c13857"</definedName>
    <definedName name="IQ_INT_INCOME_FTE_FFIEC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>"c12991"</definedName>
    <definedName name="IQ_INT_ON_DEPOSITS_FFIEC">"c12990"</definedName>
    <definedName name="IQ_INT_ON_DEPOSITS_FOREIGN_FFIEC">"c12995"</definedName>
    <definedName name="IQ_INT_RATE_EXPOSURE_FFIEC">"c13058"</definedName>
    <definedName name="IQ_INT_RATE_SPREAD" hidden="1">"c604"</definedName>
    <definedName name="IQ_INT_SAVINGS_DEPOSITS_MMDA_DOM_FFIEC">"c15364"</definedName>
    <definedName name="IQ_INT_SUB_NOTES_FDIC" hidden="1">"c6568"</definedName>
    <definedName name="IQ_INT_SUB_NOTES_FFIEC">"c12998"</definedName>
    <definedName name="IQ_INT_TIME_DEPOSITS_LESS_THAN_100K_DOM_FFIEC">"c12993"</definedName>
    <definedName name="IQ_INT_TIME_DEPOSITS_MORE_THAN_100K_DOM_FFIEC">"c12992"</definedName>
    <definedName name="IQ_INT_TRADING_LIABILITIES_FFIEC">"c12997"</definedName>
    <definedName name="IQ_INT_TRANSACTION_ACCOUNTS_DOM_FFIEC">"c15363"</definedName>
    <definedName name="IQ_INTANGIBLES_NET" hidden="1">"c1407"</definedName>
    <definedName name="IQ_INTEL_EPS_EST" hidden="1">"c24729"</definedName>
    <definedName name="IQ_INTERBANK_RATIO">"c19134"</definedName>
    <definedName name="IQ_INTEREST_ACCRUED_ON_DEPOSITS_DOM_FFIEC">"c15277"</definedName>
    <definedName name="IQ_INTEREST_BEARING_BALANCES_FDIC" hidden="1">"c6371"</definedName>
    <definedName name="IQ_INTEREST_BEARING_BALANCES_QUARTERLY_AVG_FFIEC">"c15467"</definedName>
    <definedName name="IQ_INTEREST_BEARING_CASH_FFIEC">"c15259"</definedName>
    <definedName name="IQ_INTEREST_BEARING_CASH_FOREIGN_FFIEC">"c12776"</definedName>
    <definedName name="IQ_INTEREST_BEARING_CASH_US_FFIEC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>"c15484"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PENALTIES_RECOG_BS_AFTER_TAX">"c15745"</definedName>
    <definedName name="IQ_INTEREST_PENALTIES_RECOG_BS_PRE_TAX">"c15744"</definedName>
    <definedName name="IQ_INTEREST_PENALTIES_RECOG_IS_AFTER_TAX">"c15743"</definedName>
    <definedName name="IQ_INTEREST_PENALTIES_RECOG_IS_PRE_TAX">"c15742"</definedName>
    <definedName name="IQ_INTEREST_RATE_CONTRACTS_FDIC" hidden="1">"c6512"</definedName>
    <definedName name="IQ_INTEREST_RATE_EXPOSURES_FDIC" hidden="1">"c6662"</definedName>
    <definedName name="IQ_INTERNAL_ALLOCATIONS_INC_EXP_FOREIGN_FFIEC">"c15394"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_REL_ID">"c15220"</definedName>
    <definedName name="IQ_INV_REL_NAME">"c15219"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BREAKUP_ASSET_MBS" hidden="1">"c17796"</definedName>
    <definedName name="IQ_INVEST_BREAKUP_COMMON" hidden="1">"c17687"</definedName>
    <definedName name="IQ_INVEST_BREAKUP_CORP_DEBT" hidden="1">"c17684"</definedName>
    <definedName name="IQ_INVEST_BREAKUP_CORP_EQUITY" hidden="1">"c17689"</definedName>
    <definedName name="IQ_INVEST_BREAKUP_NON_US_GOVT" hidden="1">"c17794"</definedName>
    <definedName name="IQ_INVEST_BREAKUP_NOT_CLASSIFIED" hidden="1">"c17690"</definedName>
    <definedName name="IQ_INVEST_BREAKUP_OTHER_FIXED" hidden="1">"c17685"</definedName>
    <definedName name="IQ_INVEST_BREAKUP_PREFERRED" hidden="1">"c17688"</definedName>
    <definedName name="IQ_INVEST_BREAKUP_PUBLIC_UTIL_DEBT" hidden="1">"c17683"</definedName>
    <definedName name="IQ_INVEST_BREAKUP_STATE_MUNI" hidden="1">"c17795"</definedName>
    <definedName name="IQ_INVEST_BREAKUP_TOTAL_FIXED" hidden="1">"c17686"</definedName>
    <definedName name="IQ_INVEST_BREAKUP_TOTAL_INVEST" hidden="1">"c17691"</definedName>
    <definedName name="IQ_INVEST_BREAKUP_US_GOVT" hidden="1">"c17793"</definedName>
    <definedName name="IQ_INVEST_CREDIT_QUAL_AMORT_TYPE_1" hidden="1">"c17785"</definedName>
    <definedName name="IQ_INVEST_CREDIT_QUAL_AMORT_TYPE_1_PCT" hidden="1">"c17844"</definedName>
    <definedName name="IQ_INVEST_CREDIT_QUAL_AMORT_TYPE_2" hidden="1">"c17786"</definedName>
    <definedName name="IQ_INVEST_CREDIT_QUAL_AMORT_TYPE_2_PCT" hidden="1">"c17845"</definedName>
    <definedName name="IQ_INVEST_CREDIT_QUAL_AMORT_TYPE_3" hidden="1">"c17787"</definedName>
    <definedName name="IQ_INVEST_CREDIT_QUAL_AMORT_TYPE_3_PCT" hidden="1">"c17846"</definedName>
    <definedName name="IQ_INVEST_CREDIT_QUAL_AMORT_TYPE_4" hidden="1">"c17788"</definedName>
    <definedName name="IQ_INVEST_CREDIT_QUAL_AMORT_TYPE_4_PCT" hidden="1">"c17847"</definedName>
    <definedName name="IQ_INVEST_CREDIT_QUAL_AMORT_TYPE_5" hidden="1">"c17789"</definedName>
    <definedName name="IQ_INVEST_CREDIT_QUAL_AMORT_TYPE_5_PCT" hidden="1">"c17848"</definedName>
    <definedName name="IQ_INVEST_CREDIT_QUAL_AMORT_TYPE_6" hidden="1">"c17790"</definedName>
    <definedName name="IQ_INVEST_CREDIT_QUAL_AMORT_TYPE_6_PCT" hidden="1">"c17849"</definedName>
    <definedName name="IQ_INVEST_CREDIT_QUAL_AMORT_TYPE_OTHER" hidden="1">"c17791"</definedName>
    <definedName name="IQ_INVEST_CREDIT_QUAL_AMORT_TYPE_OTHER_PCT" hidden="1">"c17850"</definedName>
    <definedName name="IQ_INVEST_CREDIT_QUAL_AMORT_TYPE_TOTAL_FIXED" hidden="1">"c17792"</definedName>
    <definedName name="IQ_INVEST_CREDIT_QUAL_CV_TYPE_1" hidden="1">"c17769"</definedName>
    <definedName name="IQ_INVEST_CREDIT_QUAL_CV_TYPE_1_PCT" hidden="1">"c17830"</definedName>
    <definedName name="IQ_INVEST_CREDIT_QUAL_CV_TYPE_2" hidden="1">"c17770"</definedName>
    <definedName name="IQ_INVEST_CREDIT_QUAL_CV_TYPE_2_PCT" hidden="1">"c17831"</definedName>
    <definedName name="IQ_INVEST_CREDIT_QUAL_CV_TYPE_3" hidden="1">"c17771"</definedName>
    <definedName name="IQ_INVEST_CREDIT_QUAL_CV_TYPE_3_PCT" hidden="1">"c17832"</definedName>
    <definedName name="IQ_INVEST_CREDIT_QUAL_CV_TYPE_4" hidden="1">"c17772"</definedName>
    <definedName name="IQ_INVEST_CREDIT_QUAL_CV_TYPE_4_PCT" hidden="1">"c17833"</definedName>
    <definedName name="IQ_INVEST_CREDIT_QUAL_CV_TYPE_5" hidden="1">"c17773"</definedName>
    <definedName name="IQ_INVEST_CREDIT_QUAL_CV_TYPE_5_PCT" hidden="1">"c17834"</definedName>
    <definedName name="IQ_INVEST_CREDIT_QUAL_CV_TYPE_6" hidden="1">"c17774"</definedName>
    <definedName name="IQ_INVEST_CREDIT_QUAL_CV_TYPE_6_PCT" hidden="1">"c17835"</definedName>
    <definedName name="IQ_INVEST_CREDIT_QUAL_CV_TYPE_OTHER" hidden="1">"c17775"</definedName>
    <definedName name="IQ_INVEST_CREDIT_QUAL_CV_TYPE_OTHER_PCT" hidden="1">"c17836"</definedName>
    <definedName name="IQ_INVEST_CREDIT_QUAL_CV_TYPE_TOTAL_FIXED" hidden="1">"c17776"</definedName>
    <definedName name="IQ_INVEST_CREDIT_QUAL_FV_TYPE_1" hidden="1">"c17777"</definedName>
    <definedName name="IQ_INVEST_CREDIT_QUAL_FV_TYPE_1_PCT" hidden="1">"c17837"</definedName>
    <definedName name="IQ_INVEST_CREDIT_QUAL_FV_TYPE_2" hidden="1">"c17778"</definedName>
    <definedName name="IQ_INVEST_CREDIT_QUAL_FV_TYPE_2_PCT" hidden="1">"c17838"</definedName>
    <definedName name="IQ_INVEST_CREDIT_QUAL_FV_TYPE_3" hidden="1">"c17779"</definedName>
    <definedName name="IQ_INVEST_CREDIT_QUAL_FV_TYPE_3_PCT" hidden="1">"c17839"</definedName>
    <definedName name="IQ_INVEST_CREDIT_QUAL_FV_TYPE_4" hidden="1">"c17780"</definedName>
    <definedName name="IQ_INVEST_CREDIT_QUAL_FV_TYPE_4_PCT" hidden="1">"c17840"</definedName>
    <definedName name="IQ_INVEST_CREDIT_QUAL_FV_TYPE_5" hidden="1">"c17781"</definedName>
    <definedName name="IQ_INVEST_CREDIT_QUAL_FV_TYPE_5_PCT" hidden="1">"c17841"</definedName>
    <definedName name="IQ_INVEST_CREDIT_QUAL_FV_TYPE_6" hidden="1">"c17782"</definedName>
    <definedName name="IQ_INVEST_CREDIT_QUAL_FV_TYPE_6_PCT" hidden="1">"c17842"</definedName>
    <definedName name="IQ_INVEST_CREDIT_QUAL_FV_TYPE_OTHER" hidden="1">"c17783"</definedName>
    <definedName name="IQ_INVEST_CREDIT_QUAL_FV_TYPE_OTHER_PCT" hidden="1">"c17843"</definedName>
    <definedName name="IQ_INVEST_CREDIT_QUAL_FV_TYPE_TOTAL_FIXED" hidden="1">"c17784"</definedName>
    <definedName name="IQ_INVEST_CRITERIA_EBITDA_MAX">"c18907"</definedName>
    <definedName name="IQ_INVEST_CRITERIA_EBITDA_MIN">"c18906"</definedName>
    <definedName name="IQ_INVEST_CRITERIA_EQUITY_MAX">"c18901"</definedName>
    <definedName name="IQ_INVEST_CRITERIA_EQUITY_MIN">"c18900"</definedName>
    <definedName name="IQ_INVEST_CRITERIA_EV_MAX">"c18903"</definedName>
    <definedName name="IQ_INVEST_CRITERIA_EV_MIN">"c18902"</definedName>
    <definedName name="IQ_INVEST_CRITERIA_GEOGRAPHY">"c18898"</definedName>
    <definedName name="IQ_INVEST_CRITERIA_INDUSTRY">"c18897"</definedName>
    <definedName name="IQ_INVEST_CRITERIA_STAGES">"c18899"</definedName>
    <definedName name="IQ_INVEST_CRITERIA_TOT_REV_MAX">"c18905"</definedName>
    <definedName name="IQ_INVEST_CRITERIA_TOT_REV_MIN">"c18904"</definedName>
    <definedName name="IQ_INVEST_DEBT" hidden="1">"c625"</definedName>
    <definedName name="IQ_INVEST_DETAIL_AVAIL_SALE" hidden="1">"c17692"</definedName>
    <definedName name="IQ_INVEST_DETAIL_AVAIL_SALE_AMORT" hidden="1">"c17810"</definedName>
    <definedName name="IQ_INVEST_DETAIL_HELD_MATURITY" hidden="1">"c17807"</definedName>
    <definedName name="IQ_INVEST_DETAIL_OTHER" hidden="1">"c17809"</definedName>
    <definedName name="IQ_INVEST_DETAIL_TRADING" hidden="1">"c17808"</definedName>
    <definedName name="IQ_INVEST_DETAIL_TRADING_AMORT" hidden="1">"c17811"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AT_AMORT_1_5_YR" hidden="1">"c17764"</definedName>
    <definedName name="IQ_INVEST_MAT_AMORT_1_5_YR_PCT" hidden="1">"c17825"</definedName>
    <definedName name="IQ_INVEST_MAT_AMORT_1_YR" hidden="1">"c17763"</definedName>
    <definedName name="IQ_INVEST_MAT_AMORT_1_YR_PCT" hidden="1">"c17824"</definedName>
    <definedName name="IQ_INVEST_MAT_AMORT_5_10_YR" hidden="1">"c17765"</definedName>
    <definedName name="IQ_INVEST_MAT_AMORT_5_10_YR_PCT" hidden="1">"c17826"</definedName>
    <definedName name="IQ_INVEST_MAT_AMORT_AFTER_10_YR" hidden="1">"c17766"</definedName>
    <definedName name="IQ_INVEST_MAT_AMORT_AFTER_10_YR_PCT" hidden="1">"c17827"</definedName>
    <definedName name="IQ_INVEST_MAT_AMORT_ASSET_MBS" hidden="1">"c17767"</definedName>
    <definedName name="IQ_INVEST_MAT_AMORT_ASSET_MBS_PCT" hidden="1">"c17828"</definedName>
    <definedName name="IQ_INVEST_MAT_AMORT_OTHER_FIXED" hidden="1">"c17768"</definedName>
    <definedName name="IQ_INVEST_MAT_AMORT_OTHER_FIXED_PCT" hidden="1">"c17829"</definedName>
    <definedName name="IQ_INVEST_MAT_CV_1_5_YR" hidden="1">"c17752"</definedName>
    <definedName name="IQ_INVEST_MAT_CV_1_5_YR_PCT" hidden="1">"c17813"</definedName>
    <definedName name="IQ_INVEST_MAT_CV_1_YR" hidden="1">"c17751"</definedName>
    <definedName name="IQ_INVEST_MAT_CV_1_YR_PCT" hidden="1">"c17812"</definedName>
    <definedName name="IQ_INVEST_MAT_CV_5_10_YR" hidden="1">"c17753"</definedName>
    <definedName name="IQ_INVEST_MAT_CV_5_10_YR_PCT" hidden="1">"c17814"</definedName>
    <definedName name="IQ_INVEST_MAT_CV_AFTER_10_YR" hidden="1">"c17754"</definedName>
    <definedName name="IQ_INVEST_MAT_CV_AFTER_10_YR_PCT" hidden="1">"c17815"</definedName>
    <definedName name="IQ_INVEST_MAT_CV_ASSET_MBS" hidden="1">"c17755"</definedName>
    <definedName name="IQ_INVEST_MAT_CV_ASSET_MBS_PCT" hidden="1">"c17816"</definedName>
    <definedName name="IQ_INVEST_MAT_CV_OTHER_FIXED" hidden="1">"c17756"</definedName>
    <definedName name="IQ_INVEST_MAT_CV_OTHER_FIXED_PCT" hidden="1">"c17817"</definedName>
    <definedName name="IQ_INVEST_MAT_FV_1_5_YR" hidden="1">"c17758"</definedName>
    <definedName name="IQ_INVEST_MAT_FV_1_5_YR_PCT" hidden="1">"c17819"</definedName>
    <definedName name="IQ_INVEST_MAT_FV_1_YR" hidden="1">"c17757"</definedName>
    <definedName name="IQ_INVEST_MAT_FV_1_YR_PCT" hidden="1">"c17818"</definedName>
    <definedName name="IQ_INVEST_MAT_FV_5_10_YR" hidden="1">"c17759"</definedName>
    <definedName name="IQ_INVEST_MAT_FV_5_10_YR_PCT" hidden="1">"c17820"</definedName>
    <definedName name="IQ_INVEST_MAT_FV_AFTER_10_YR" hidden="1">"c17760"</definedName>
    <definedName name="IQ_INVEST_MAT_FV_AFTER_10_YR_PCT" hidden="1">"c17821"</definedName>
    <definedName name="IQ_INVEST_MAT_FV_ASSET_MBS" hidden="1">"c17761"</definedName>
    <definedName name="IQ_INVEST_MAT_FV_ASSET_MBS_PCT" hidden="1">"c17822"</definedName>
    <definedName name="IQ_INVEST_MAT_FV_OTHER_FIXED" hidden="1">"c17762"</definedName>
    <definedName name="IQ_INVEST_MAT_FV_OTHER_FIXED_PCT" hidden="1">"c17823"</definedName>
    <definedName name="IQ_INVEST_MUNI_SECURITY" hidden="1">"c5512"</definedName>
    <definedName name="IQ_INVEST_REAL_ESTATE" hidden="1">"c635"</definedName>
    <definedName name="IQ_INVEST_SECURITIES_ASSETS_TOT_FFIEC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>"c12834"</definedName>
    <definedName name="IQ_INVESTMENT_ADVISOR" hidden="1">"c19236"</definedName>
    <definedName name="IQ_INVESTMENT_ADVISOR_ID" hidden="1">"c19237"</definedName>
    <definedName name="IQ_INVESTMENT_ADVISOR_PRIMARY" hidden="1">"c19239"</definedName>
    <definedName name="IQ_INVESTMENT_ADVISOR_PRIMARY_ID" hidden="1">"c19240"</definedName>
    <definedName name="IQ_INVESTMENT_ADVISOR_REL" hidden="1">"c19238"</definedName>
    <definedName name="IQ_INVESTMENT_BANKING_BROKERAGE_FEES_FFIEC">"c13627"</definedName>
    <definedName name="IQ_INVESTMENT_BANKING_FEES_COMMISSIONS_FFIEC">"c13006"</definedName>
    <definedName name="IQ_INVESTMENT_BANKING_OTHER_FEES_FDIC" hidden="1">"c6666"</definedName>
    <definedName name="IQ_INVESTMENT_PARTNERSHIP">"c16072"</definedName>
    <definedName name="IQ_INVESTMENTS_ALL">"c18891"</definedName>
    <definedName name="IQ_INVESTMENTS_ALL_COVER">"c19112"</definedName>
    <definedName name="IQ_INVESTMENTS_ALL_ID">"c18892"</definedName>
    <definedName name="IQ_INVESTMENTS_ALL_REL">"c18894"</definedName>
    <definedName name="IQ_INVESTMENTS_ALL_STAKE">"c18893"</definedName>
    <definedName name="IQ_INVESTMENTS_CURR">"c18881"</definedName>
    <definedName name="IQ_INVESTMENTS_CURR_COVER">"c19110"</definedName>
    <definedName name="IQ_INVESTMENTS_CURR_ID">"c18882"</definedName>
    <definedName name="IQ_INVESTMENTS_CURR_REL">"c18884"</definedName>
    <definedName name="IQ_INVESTMENTS_CURR_STAKE">"c18883"</definedName>
    <definedName name="IQ_INVESTMENTS_LP">"c18912"</definedName>
    <definedName name="IQ_INVESTMENTS_LP_ID">"c18913"</definedName>
    <definedName name="IQ_INVESTMENTS_LP_REL">"c18914"</definedName>
    <definedName name="IQ_INVESTMENTS_PENDING">"c18887"</definedName>
    <definedName name="IQ_INVESTMENTS_PENDING_COVER">"c19111"</definedName>
    <definedName name="IQ_INVESTMENTS_PENDING_ID">"c18888"</definedName>
    <definedName name="IQ_INVESTMENTS_PENDING_REL">"c18890"</definedName>
    <definedName name="IQ_INVESTMENTS_PENDING_STAKE">"c18889"</definedName>
    <definedName name="IQ_INVESTMENTS_PRIOR">"c18895"</definedName>
    <definedName name="IQ_INVESTMENTS_PRIOR_ID">"c18896"</definedName>
    <definedName name="IQ_INVESTORS_ALL" hidden="1">"c20509"</definedName>
    <definedName name="IQ_INVESTORS_ALL_COVER" hidden="1">"c20510"</definedName>
    <definedName name="IQ_INVESTORS_ALL_ID" hidden="1">"C20508"</definedName>
    <definedName name="IQ_INVESTORS_ALL_REL" hidden="1">"c20511"</definedName>
    <definedName name="IQ_INVESTORS_ALL_STAKE" hidden="1">"c20512"</definedName>
    <definedName name="IQ_INVESTORS_CURR" hidden="1">"c20514"</definedName>
    <definedName name="IQ_INVESTORS_CURR_COVER" hidden="1">"c20515"</definedName>
    <definedName name="IQ_INVESTORS_CURR_ID" hidden="1">"c20513"</definedName>
    <definedName name="IQ_INVESTORS_CURR_RECENT_AMOUNT" hidden="1">"c20516"</definedName>
    <definedName name="IQ_INVESTORS_CURR_REL" hidden="1">"c20517"</definedName>
    <definedName name="IQ_INVESTORS_CURR_STAKE" hidden="1">"c20518"</definedName>
    <definedName name="IQ_INVESTORS_CURR_TRANSACTION_DATE" hidden="1">"c20519"</definedName>
    <definedName name="IQ_INVESTORS_CURR_TRANSACTION_ID" hidden="1">"c20520"</definedName>
    <definedName name="IQ_INVESTORS_PENDING" hidden="1">"c20522"</definedName>
    <definedName name="IQ_INVESTORS_PENDING_COVER" hidden="1">"c20523"</definedName>
    <definedName name="IQ_INVESTORS_PENDING_ID" hidden="1">"c20521"</definedName>
    <definedName name="IQ_INVESTORS_PENDING_REL" hidden="1">"c20524"</definedName>
    <definedName name="IQ_INVESTORS_PENDING_STAKE" hidden="1">"c20525"</definedName>
    <definedName name="IQ_INVESTORS_PRIOR" hidden="1">"c20526"</definedName>
    <definedName name="IQ_INVESTORS_PRIOR_ID" hidden="1">"c20527"</definedName>
    <definedName name="IQ_IPRD" hidden="1">"c644"</definedName>
    <definedName name="IQ_IPRD_SUPPLE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>"c13830"</definedName>
    <definedName name="IQ_KEY_DEV_COMPANY_NAME">"c13829"</definedName>
    <definedName name="IQ_KEY_DEV_DATE">"c13763"</definedName>
    <definedName name="IQ_KEY_DEV_HEADLINE">"c13761"</definedName>
    <definedName name="IQ_KEY_DEV_ID">"c13760"</definedName>
    <definedName name="IQ_KEY_DEV_ID_INCL_SUBS">"c13832"</definedName>
    <definedName name="IQ_KEY_DEV_SITUATION">"c13762"</definedName>
    <definedName name="IQ_KEY_DEV_SOURCE">"c13765"</definedName>
    <definedName name="IQ_KEY_DEV_TIME">"c13833"</definedName>
    <definedName name="IQ_KEY_DEV_TRANSACTION_ID">"c13766"</definedName>
    <definedName name="IQ_KEY_DEV_TYPE">"c13764"</definedName>
    <definedName name="IQ_LAND" hidden="1">"c645"</definedName>
    <definedName name="IQ_LAND_MINERAL_RIGHTS_TO_PPE_GROSS_COAL">"c15949"</definedName>
    <definedName name="IQ_LAND_MINERAL_RIGHTS_TO_PPE_NET_COAL">"c15950"</definedName>
    <definedName name="IQ_LANDS_MINERAL_RIGHTS_GROSS_COAL">"c15938"</definedName>
    <definedName name="IQ_LANDS_MINERAL_RIGHTS_NET_COAL">"c15939"</definedName>
    <definedName name="IQ_LAPSE_STATUTE_LIMITATIONS">"c15738"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"c151"</definedName>
    <definedName name="IQ_LAST_EBITDA_MARGIN" hidden="1">"c150"</definedName>
    <definedName name="IQ_LAST_GROSS_MARGIN" hidden="1">"c149"</definedName>
    <definedName name="IQ_LAST_NET_INC_MARGIN" hidden="1">"c152"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_TRANSACTION">"c18886"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EXPENSE">"c16039"</definedName>
    <definedName name="IQ_LEASE_FIN_RECEIVABLES_NON_US_CHARGE_OFFS_FFIEC">"c13631"</definedName>
    <definedName name="IQ_LEASE_FIN_RECEIVABLES_NON_US_RECOV_FFIEC">"c13635"</definedName>
    <definedName name="IQ_LEASE_FIN_RECEIVABLES_US_CHARGE_OFFS_FFIEC">"c13630"</definedName>
    <definedName name="IQ_LEASE_FIN_RECEIVABLES_US_RECOV_FFIEC">"c13634"</definedName>
    <definedName name="IQ_LEASE_FINANCE">"c5654"</definedName>
    <definedName name="IQ_LEASE_FINANCING_REC_DUE_30_89_FFIEC">"c13276"</definedName>
    <definedName name="IQ_LEASE_FINANCING_REC_DUE_90_FFIEC">"c13302"</definedName>
    <definedName name="IQ_LEASE_FINANCING_REC_NON_ACCRUAL_FFIEC">"c13328"</definedName>
    <definedName name="IQ_LEASE_FINANCING_RECEIVABLES_CHARGE_OFFS_FDIC" hidden="1">"c6602"</definedName>
    <definedName name="IQ_LEASE_FINANCING_RECEIVABLES_DOM_FFIEC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>"c15483"</definedName>
    <definedName name="IQ_LEASE_FINANCING_RECEIVABLES_RECOVERIES_FDIC" hidden="1">"c6621"</definedName>
    <definedName name="IQ_LEASE_FINANCING_RECEIVABLES_TOTAL_LOANS_FOREIGN_FDIC" hidden="1">"c6449"</definedName>
    <definedName name="IQ_LEASE_PMT_REC_AFTER_FIVE">"c16099"</definedName>
    <definedName name="IQ_LEASE_PMT_REC_CY">"c16093"</definedName>
    <definedName name="IQ_LEASE_PMT_REC_CY1">"c16094"</definedName>
    <definedName name="IQ_LEASE_PMT_REC_CY2">"c16095"</definedName>
    <definedName name="IQ_LEASE_PMT_REC_CY3">"c16096"</definedName>
    <definedName name="IQ_LEASE_PMT_REC_CY4">"c16097"</definedName>
    <definedName name="IQ_LEASE_PMT_REC_NEXT_FIVE">"c16098"</definedName>
    <definedName name="IQ_LEASE_PMT_REC_TOTAL">"c16100"</definedName>
    <definedName name="IQ_LEASE_RECEIVABLES_FOREIGN_FFIEC">"c13483"</definedName>
    <definedName name="IQ_LEASE_REVENUE">"c16023"</definedName>
    <definedName name="IQ_LEASE_TERMINATION_FEES">"c16182"</definedName>
    <definedName name="IQ_LEASED_RESERVES_COAL">"c15918"</definedName>
    <definedName name="IQ_LEASED_RESERVES_TO_TOTAL_RESERVES_COAL">"c15958"</definedName>
    <definedName name="IQ_LEASEHOLD_IMPROVEMENT" hidden="1">"c17549"</definedName>
    <definedName name="IQ_LEASES_INDIVIDUALS_CHARGE_OFFS_FFIEC">"c13184"</definedName>
    <definedName name="IQ_LEASES_INDIVIDUALS_RECOV_FFIEC">"c13206"</definedName>
    <definedName name="IQ_LEASES_PERSONAL_EXP_DUE_30_89_FFIEC">"c13277"</definedName>
    <definedName name="IQ_LEASES_PERSONAL_EXP_DUE_90_FFIEC">"c13303"</definedName>
    <definedName name="IQ_LEASES_PERSONAL_EXP_NON_ACCRUAL_FFIEC">"c13329"</definedName>
    <definedName name="IQ_LEGAL_FEES_FFIEC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>"c13848"</definedName>
    <definedName name="IQ_LIABILITIES_LEVEL_1">"c13844"</definedName>
    <definedName name="IQ_LIABILITIES_LEVEL_2">"c13845"</definedName>
    <definedName name="IQ_LIABILITIES_LEVEL_3">"c13846"</definedName>
    <definedName name="IQ_LIABILITIES_NETTING_OTHER_ADJUSTMENTS">"c13847"</definedName>
    <definedName name="IQ_LIABILITY_ACCEPTANCES_OUT_FFIEC">"c12866"</definedName>
    <definedName name="IQ_LIABILITY_SHORT_POSITIONS_DOM_FFIEC">"c12941"</definedName>
    <definedName name="IQ_LICENSED_POPS" hidden="1">"c2123"</definedName>
    <definedName name="IQ_LICENSED_WIRELESS_POPS">"c2123"</definedName>
    <definedName name="IQ_LIFE_EARNED" hidden="1">"c2739"</definedName>
    <definedName name="IQ_LIFE_INSURANCE_ASSETS_FDIC" hidden="1">"c6372"</definedName>
    <definedName name="IQ_LIFE_INSURANCE_ASSETS_FFIEC">"c12847"</definedName>
    <definedName name="IQ_LIFOR" hidden="1">"c655"</definedName>
    <definedName name="IQ_LIMITED_PARTNERS">"c18915"</definedName>
    <definedName name="IQ_LIMITED_PARTNERS_ID">"c18916"</definedName>
    <definedName name="IQ_LIMITED_PARTNERS_REL">"c19114"</definedName>
    <definedName name="IQ_LINE_EXTENSIONS_CABLE_INVEST">"c15803"</definedName>
    <definedName name="IQ_LIQUID_ASSETS_ASSETS_TOT_FFIEC">"c13439"</definedName>
    <definedName name="IQ_LIQUID_ASSETS_NONCORE_FUNDING_FFIEC">"c13339"</definedName>
    <definedName name="IQ_LIQUIDATION_VALUE_PREFERRED_CONVERT">"c13835"</definedName>
    <definedName name="IQ_LIQUIDATION_VALUE_PREFERRED_NON_REDEEM">"c13836"</definedName>
    <definedName name="IQ_LIQUIDATION_VALUE_PREFERRED_REDEEM">"c13837"</definedName>
    <definedName name="IQ_LL" hidden="1">"c656"</definedName>
    <definedName name="IQ_LOAN_ALLOW_GROSS_LOANS_FFIEC">"c13415"</definedName>
    <definedName name="IQ_LOAN_ALLOWANCE_GROSS_LOSSES_FFIEC">"c13352"</definedName>
    <definedName name="IQ_LOAN_ALLOWANCE_NET_LOANS_FFIEC">"c13472"</definedName>
    <definedName name="IQ_LOAN_ALLOWANCE_NONACCRUAL_ASSETS_FFIEC">"c13473"</definedName>
    <definedName name="IQ_LOAN_ALLOWANCE_PAST_DUE_NONACCRUAL_FFIEC">"c13474"</definedName>
    <definedName name="IQ_LOAN_COMMITMENTS_FAIR_VALUE_TOT_FFIEC">"c13216"</definedName>
    <definedName name="IQ_LOAN_COMMITMENTS_LEVEL_1_FFIEC">"c13224"</definedName>
    <definedName name="IQ_LOAN_COMMITMENTS_LEVEL_2_FFIEC">"c13232"</definedName>
    <definedName name="IQ_LOAN_COMMITMENTS_LEVEL_3_FFIEC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_PERF_ASSETS_FFIEC">"c13912"</definedName>
    <definedName name="IQ_LOAN_LOSS_ALLOWANCE_NONCURRENT_LOANS_FDIC" hidden="1">"c6740"</definedName>
    <definedName name="IQ_LOAN_LOSS_PROVISION_FOREIGN_FFIEC">"c15382"</definedName>
    <definedName name="IQ_LOAN_LOSSES_AVERAGE_LOANS_FFIEC">"c13350"</definedName>
    <definedName name="IQ_LOAN_LOSSES_FDIC" hidden="1">"c6580"</definedName>
    <definedName name="IQ_LOAN_SERVICE_REV" hidden="1">"c658"</definedName>
    <definedName name="IQ_LOANS_AGRICULTURAL_PROD_LL_REC_FFIEC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>"c12884"</definedName>
    <definedName name="IQ_LOANS_DEPOSITORY_INSTITUTIONS_FDIC" hidden="1">"c6382"</definedName>
    <definedName name="IQ_LOANS_DOM_QUARTERLY_AVG_FFIEC">"c13084"</definedName>
    <definedName name="IQ_LOANS_FARMERS_CHARGE_OFFS_FFIEC">"c13177"</definedName>
    <definedName name="IQ_LOANS_FARMERS_RECOV_FFIEC">"c13199"</definedName>
    <definedName name="IQ_LOANS_FINANCE_AGRICULTURAL_DUE_30_89_FFIEC">"c13270"</definedName>
    <definedName name="IQ_LOANS_FINANCE_AGRICULTURAL_DUE_90_FFIEC">"c13296"</definedName>
    <definedName name="IQ_LOANS_FINANCE_AGRICULTURAL_NON_ACCRUAL_FFIEC">"c13322"</definedName>
    <definedName name="IQ_LOANS_FINANCE_AGRICULTURAL_PROD_LL_REC_DOM_FFIEC">"c12909"</definedName>
    <definedName name="IQ_LOANS_FOR_SALE" hidden="1">"c666"</definedName>
    <definedName name="IQ_LOANS_FOREIGN_GOV_CHARGE_OFFS_FFIEC">"c13182"</definedName>
    <definedName name="IQ_LOANS_FOREIGN_GOV_DUE_30_89_FFIEC">"c13274"</definedName>
    <definedName name="IQ_LOANS_FOREIGN_GOV_DUE_90_FFIEC">"c13300"</definedName>
    <definedName name="IQ_LOANS_FOREIGN_GOV_LL_REC_DOM_FFIEC">"c12912"</definedName>
    <definedName name="IQ_LOANS_FOREIGN_GOV_NON_ACCRUAL_FFIEC">"c13326"</definedName>
    <definedName name="IQ_LOANS_FOREIGN_GOV_RECOV_FFIEC">"c13204"</definedName>
    <definedName name="IQ_LOANS_FOREIGN_INST_CHARGE_OFFS_FFIEC">"c13176"</definedName>
    <definedName name="IQ_LOANS_FOREIGN_INST_RECOV_FFIEC">"c13198"</definedName>
    <definedName name="IQ_LOANS_FOREIGN_LL_REC_FFIEC">"c12885"</definedName>
    <definedName name="IQ_LOANS_GOV_GUARANTEED_DUE_30_89_FFIEC">"c13281"</definedName>
    <definedName name="IQ_LOANS_GOV_GUARANTEED_DUE_90_FFIEC">"c13307"</definedName>
    <definedName name="IQ_LOANS_GOV_GUARANTEED_EXCL_GNMA_DUE_30_89_FFIEC">"c13282"</definedName>
    <definedName name="IQ_LOANS_GOV_GUARANTEED_EXCL_GNMA_DUE_90_FFIEC">"c13308"</definedName>
    <definedName name="IQ_LOANS_GOV_GUARANTEED_EXCL_GNMA_NON_ACCRUAL_FFIEC">"c13333"</definedName>
    <definedName name="IQ_LOANS_GOV_GUARANTEED_NON_ACCRUAL_FFIEC">"c13332"</definedName>
    <definedName name="IQ_LOANS_HELD_FOREIGN_FDIC" hidden="1">"c6315"</definedName>
    <definedName name="IQ_LOANS_INDIVIDUALS_FOREIGN_FFIEC">"c13480"</definedName>
    <definedName name="IQ_LOANS_LEASES_ASSETS_TOT_FFIEC">"c13437"</definedName>
    <definedName name="IQ_LOANS_LEASES_FAIR_VALUE_TOT_FFIEC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>"c12808"</definedName>
    <definedName name="IQ_LOANS_LEASES_HFI_FAIR_VALUE_TOT_FFIEC">"c15401"</definedName>
    <definedName name="IQ_LOANS_LEASES_HFI_LEVEL_1_FFIEC">"c15423"</definedName>
    <definedName name="IQ_LOANS_LEASES_HFI_LEVEL_2_FFIEC">"c15436"</definedName>
    <definedName name="IQ_LOANS_LEASES_HFI_LEVEL_3_FFIEC">"c15449"</definedName>
    <definedName name="IQ_LOANS_LEASES_HFS_FAIR_VALUE_TOT_FFIEC">"c15400"</definedName>
    <definedName name="IQ_LOANS_LEASES_HFS_LEVEL_1_FFIEC">"c15422"</definedName>
    <definedName name="IQ_LOANS_LEASES_HFS_LEVEL_2_FFIEC">"c15435"</definedName>
    <definedName name="IQ_LOANS_LEASES_HFS_LEVEL_3_FFIEC">"c15448"</definedName>
    <definedName name="IQ_LOANS_LEASES_LEVEL_1_FFIEC">"c13217"</definedName>
    <definedName name="IQ_LOANS_LEASES_LEVEL_2_FFIEC">"c13225"</definedName>
    <definedName name="IQ_LOANS_LEASES_LEVEL_3_FFIEC">"c13233"</definedName>
    <definedName name="IQ_LOANS_LEASES_NET_FDIC" hidden="1">"c6327"</definedName>
    <definedName name="IQ_LOANS_LEASES_NET_UNEARNED_FDIC" hidden="1">"c6325"</definedName>
    <definedName name="IQ_LOANS_LEASES_NET_UNEARNED_INC_ALLOWANCE_FFIEC">"c12811"</definedName>
    <definedName name="IQ_LOANS_LEASES_NET_UNEARNED_INCOME_FFIEC">"c12809"</definedName>
    <definedName name="IQ_LOANS_LEASES_QUARTERLY_AVG_FFIEC">"c13081"</definedName>
    <definedName name="IQ_LOANS_LOC_ASSETS_TOT_FFIEC">"c13441"</definedName>
    <definedName name="IQ_LOANS_NOT_SECURED_RE_FDIC" hidden="1">"c6381"</definedName>
    <definedName name="IQ_LOANS_PAST_DUE" hidden="1">"c667"</definedName>
    <definedName name="IQ_LOANS_PURCHASING_CARRYING_SECURITIES_LL_REC_DOM_FFIEC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>"c13174"</definedName>
    <definedName name="IQ_LOANS_SEC_RE_FOREIGN_RECOV_FFIEC">"c13196"</definedName>
    <definedName name="IQ_LOANS_SECURED_1_4_DOM_QUARTERLY_AVG_FFIEC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>"c12925"</definedName>
    <definedName name="IQ_LOANS_SECURED_FARMLAND_TRADING_DOM_FFIEC">"c12926"</definedName>
    <definedName name="IQ_LOANS_SECURED_NON_US_FDIC" hidden="1">"c6380"</definedName>
    <definedName name="IQ_LOANS_SECURED_RE_DOM_QUARTERLY_AVG_FFIEC">"c13083"</definedName>
    <definedName name="IQ_LOANS_SECURED_RE_FFIEC">"c12820"</definedName>
    <definedName name="IQ_LOANS_SECURED_RE_LL_REC_FFIEC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>"c13175"</definedName>
    <definedName name="IQ_LOANS_US_INST_RECOV_FFIEC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>"c13132"</definedName>
    <definedName name="IQ_LOSS_LOSS_EXP" hidden="1">"c672"</definedName>
    <definedName name="IQ_LOSS_TO_NET_EARNED" hidden="1">"c2751"</definedName>
    <definedName name="IQ_LOW_SULFUR_CONTENT_RESERVES_COAL">"c15924"</definedName>
    <definedName name="IQ_LOW_SULFURE_RESERVES_TO_TOTAL_RESERVES_COAL">"c15961"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_TARGET_PRICE_THOM" hidden="1">"c5097"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DERIVATIVES" hidden="1">"c17743"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>"c13453"</definedName>
    <definedName name="IQ_LT_DEBT_REPRICING_WITHIN_1_YR_INT_SENSITIVITY_FFIEC">"c13095"</definedName>
    <definedName name="IQ_LT_DEBT_UTI" hidden="1">"c696"</definedName>
    <definedName name="IQ_LT_GROWTH_DET_EST" hidden="1">"c12060"</definedName>
    <definedName name="IQ_LT_GROWTH_DET_EST_DATE" hidden="1">"c12213"</definedName>
    <definedName name="IQ_LT_GROWTH_DET_EST_DATE_THOM" hidden="1">"c12240"</definedName>
    <definedName name="IQ_LT_GROWTH_DET_EST_INCL" hidden="1">"c12350"</definedName>
    <definedName name="IQ_LT_GROWTH_DET_EST_INCL_THOM" hidden="1">"c12372"</definedName>
    <definedName name="IQ_LT_GROWTH_DET_EST_ORIGIN" hidden="1">"c12725"</definedName>
    <definedName name="IQ_LT_GROWTH_DET_EST_ORIGIN_THOM" hidden="1">"c12610"</definedName>
    <definedName name="IQ_LT_GROWTH_DET_EST_THOM" hidden="1">"c12090"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DATE" hidden="1">"IQ_LTM_DATE"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CRO_SURVEY_CONSUMER_SENTIMENT" hidden="1">"c20808"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ACT_OR_EST_CIQ_COL" hidden="1">"c11634"</definedName>
    <definedName name="IQ_MAINT_CAPEX_EST" hidden="1">"c4457"</definedName>
    <definedName name="IQ_MAINT_CAPEX_GUIDANCE" hidden="1">"c4459"</definedName>
    <definedName name="IQ_MAINT_CAPEX_GUIDANCE_CIQ">"c4988"</definedName>
    <definedName name="IQ_MAINT_CAPEX_GUIDANCE_CIQ_COL">"c11635"</definedName>
    <definedName name="IQ_MAINT_CAPEX_HIGH_EST" hidden="1">"c4460"</definedName>
    <definedName name="IQ_MAINT_CAPEX_HIGH_GUIDANCE" hidden="1">"c4197"</definedName>
    <definedName name="IQ_MAINT_CAPEX_HIGH_GUIDANCE_CIQ">"c4609"</definedName>
    <definedName name="IQ_MAINT_CAPEX_HIGH_GUIDANCE_CIQ_COL">"c11258"</definedName>
    <definedName name="IQ_MAINT_CAPEX_LOW_EST" hidden="1">"c4461"</definedName>
    <definedName name="IQ_MAINT_CAPEX_LOW_GUIDANCE" hidden="1">"c4237"</definedName>
    <definedName name="IQ_MAINT_CAPEX_LOW_GUIDANCE_CIQ">"c4649"</definedName>
    <definedName name="IQ_MAINT_CAPEX_LOW_GUIDANCE_CIQ_COL">"c11298"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RKETING_PROMOTION_EXPENSE">"c16035"</definedName>
    <definedName name="IQ_MATERIALS_SUPPLES_INVENTORY_COAL">"c15942"</definedName>
    <definedName name="IQ_MATURITY_DATE" hidden="1">"c2146"</definedName>
    <definedName name="IQ_MATURITY_ONE_YEAR_LESS_FDIC" hidden="1">"c6425"</definedName>
    <definedName name="IQ_MBS_INVEST_SECURITIES_FFIEC">"c13460"</definedName>
    <definedName name="IQ_MBS_OTHER_ISSUED_FNMA_HTM_AMORT_COST_FFIEC" hidden="1">"c20444"</definedName>
    <definedName name="IQ_MBS_OTHER_ISSUED_FNMA_HTM_FAIR_VAL_FFIEC" hidden="1">"c20479"</definedName>
    <definedName name="IQ_MBS_OTHER_ISSUED_FNMA_OTHERS_AFS_AMORT_COST_FFIEC" hidden="1">"c20496"</definedName>
    <definedName name="IQ_MBS_OTHER_ISSUED_FNMA_OTHERS_AFS_FAIR_VAL_FFIEC" hidden="1">"c20461"</definedName>
    <definedName name="IQ_MBS_OTHER_ISSUED_FNMA_OTHERS_AVAIL_SALE_FFIEC">"c12799"</definedName>
    <definedName name="IQ_MBS_OTHER_ISSUED_FNMA_OTHERS_FFIEC">"c12785"</definedName>
    <definedName name="IQ_MBS_PASS_THROUGH_FNMA_AFS_AMORT_COST_FFIEC" hidden="1">"c20494"</definedName>
    <definedName name="IQ_MBS_PASS_THROUGH_FNMA_AFS_FAIR_VAL_FFIEC" hidden="1">"c20459"</definedName>
    <definedName name="IQ_MBS_PASS_THROUGH_FNMA_AVAIL_SALE_FFIEC">"c12797"</definedName>
    <definedName name="IQ_MBS_PASS_THROUGH_FNMA_FFIEC">"c12783"</definedName>
    <definedName name="IQ_MBS_PASS_THROUGH_FNMA_HTM_AMORT_COST_FFIEC" hidden="1">"c20442"</definedName>
    <definedName name="IQ_MBS_PASS_THROUGH_FNMA_HTM_FAIR_VAL_FFIEC" hidden="1">"c20477"</definedName>
    <definedName name="IQ_MBS_PASS_THROUGH_GNMA_AFS_AMORT_COST_FFIEC" hidden="1">"c20493"</definedName>
    <definedName name="IQ_MBS_PASS_THROUGH_GNMA_AFS_FAIR_VAL_FFIEC" hidden="1">"c20458"</definedName>
    <definedName name="IQ_MBS_PASS_THROUGH_GNMA_AVAIL_SALE_FFIEC">"c12796"</definedName>
    <definedName name="IQ_MBS_PASS_THROUGH_GNMA_FFIEC">"c12782"</definedName>
    <definedName name="IQ_MBS_PASS_THROUGH_GNMA_HTM_AMORT_COST_FFIEC" hidden="1">"c20441"</definedName>
    <definedName name="IQ_MBS_PASS_THROUGH_GNMA_HTM_FAIR_VAL_FFIEC" hidden="1">"c20476"</definedName>
    <definedName name="IQ_MBS_PASS_THROUGH_ISSUED_FNMA_GNMA_TRADING_DOM_FFIEC">"c12921"</definedName>
    <definedName name="IQ_MBS_PASS_THROUGH_OTHER_AFS_AMORT_COST_FFIEC" hidden="1">"c20495"</definedName>
    <definedName name="IQ_MBS_PASS_THROUGH_OTHER_AFS_FAIR_VAL_FFIEC" hidden="1">"c20460"</definedName>
    <definedName name="IQ_MBS_PASS_THROUGH_OTHER_AVAIL_SALE_FFIEC">"c12798"</definedName>
    <definedName name="IQ_MBS_PASS_THROUGH_OTHER_FFIEC">"c12784"</definedName>
    <definedName name="IQ_MBS_PASS_THROUGH_OTHER_HTM_AMORT_COST_FFIEC" hidden="1">"c20443"</definedName>
    <definedName name="IQ_MBS_PASS_THROUGH_OTHER_HTM_FAIR_VAL_FFIEC" hidden="1">"c20478"</definedName>
    <definedName name="IQ_MBS_QUARTERLY_AVG_FFIEC">"c15471"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COMMERCIAL_ASO_FEES">"c15862"</definedName>
    <definedName name="IQ_MC_COMMERCIAL_NON_RISK_MEMBERS">"c15835"</definedName>
    <definedName name="IQ_MC_COMMERCIAL_PREMIUMS">"c15852"</definedName>
    <definedName name="IQ_MC_DAYS_CLAIMS_PAYABLE" hidden="1">"c9937"</definedName>
    <definedName name="IQ_MC_DAYS_CLAIMS_PAYABLE_EXCL_CAPITATION" hidden="1">"c9938"</definedName>
    <definedName name="IQ_MC_DENTAL_MEMBERS">"c15832"</definedName>
    <definedName name="IQ_MC_DENTAL_PREMIUMS">"c15858"</definedName>
    <definedName name="IQ_MC_HMO_MEMBERS">"c15824"</definedName>
    <definedName name="IQ_MC_HMO_PREMIUMS">"c15850"</definedName>
    <definedName name="IQ_MC_INDEMNITY_MEMBERS">"c15825"</definedName>
    <definedName name="IQ_MC_INDEMNITY_PREMIUMS">"c15851"</definedName>
    <definedName name="IQ_MC_MEDICAID_ASO_FEES">"c15865"</definedName>
    <definedName name="IQ_MC_MEDICAID_MEMBERS">"c15830"</definedName>
    <definedName name="IQ_MC_MEDICAID_NON_RISK_MEMBERS">"c15838"</definedName>
    <definedName name="IQ_MC_MEDICAID_PREMIUMS">"c15856"</definedName>
    <definedName name="IQ_MC_MEDICAL_COST">"c15847"</definedName>
    <definedName name="IQ_MC_MEDICAL_COSTS_PMPM" hidden="1">"c9925"</definedName>
    <definedName name="IQ_MC_MEDICARE_ASO_FEES">"c15864"</definedName>
    <definedName name="IQ_MC_MEDICARE_MEMBERS">"c15828"</definedName>
    <definedName name="IQ_MC_MEDICARE_NON_RISK_MEMBERS">"c15837"</definedName>
    <definedName name="IQ_MC_MEDICARE_PART_D_MEMBERS">"c15829"</definedName>
    <definedName name="IQ_MC_MEDICARE_PART_D_PREMIUMS">"c15855"</definedName>
    <definedName name="IQ_MC_MEDICARE_PREMIUMS">"c15854"</definedName>
    <definedName name="IQ_MC_MILITARY_ASO_FEES">"c15863"</definedName>
    <definedName name="IQ_MC_MILITARY_MEMBERS">"c15827"</definedName>
    <definedName name="IQ_MC_MILITARY_NON_RISK_MEMBERS">"c15836"</definedName>
    <definedName name="IQ_MC_MILITARY_PREMIUMS">"c15853"</definedName>
    <definedName name="IQ_MC_NET_INVESTMENT_INCOME">"c15845"</definedName>
    <definedName name="IQ_MC_OTHER_REV">"c15846"</definedName>
    <definedName name="IQ_MC_PARENT_CASH" hidden="1">"c9942"</definedName>
    <definedName name="IQ_MC_PPO_POS_MEMBERS">"c15823"</definedName>
    <definedName name="IQ_MC_PPO_POS_PREMIUMS">"c15849"</definedName>
    <definedName name="IQ_MC_PREMIUMS">"c15861"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PECIALTY_ASO_FEES">"c15867"</definedName>
    <definedName name="IQ_MC_SPECIALTY_NON_RISK_MEMBERS">"c15840"</definedName>
    <definedName name="IQ_MC_STATUTORY_SURPLUS" hidden="1">"c2772"</definedName>
    <definedName name="IQ_MC_TANGIBLE_EQUITY_MEDICAL_COST">"c15848"</definedName>
    <definedName name="IQ_MC_TANGIBLE_EQUITY_PER_MEMBER">"c15843"</definedName>
    <definedName name="IQ_MC_TOTAL_ASO_FEES">"c15868"</definedName>
    <definedName name="IQ_MC_TOTAL_COMMERCIAL_MEMBERS">"c15826"</definedName>
    <definedName name="IQ_MC_TOTAL_COVERED_LIVES" hidden="1">"c9919"</definedName>
    <definedName name="IQ_MC_TOTAL_EQUITY_PER_MEMBER">"c15842"</definedName>
    <definedName name="IQ_MC_TOTAL_GOVT_ASO_FEES">"c15866"</definedName>
    <definedName name="IQ_MC_TOTAL_GOVT_MEMBERS">"c15831"</definedName>
    <definedName name="IQ_MC_TOTAL_GOVT_NON_RISK_MEMBERS">"c15839"</definedName>
    <definedName name="IQ_MC_TOTAL_GOVT_PREMIUMS">"c15857"</definedName>
    <definedName name="IQ_MC_TOTAL_MEMBERSHIP" hidden="1">"c9922"</definedName>
    <definedName name="IQ_MC_TOTAL_MEMBERSHIP_CAPITATION" hidden="1">"c9923"</definedName>
    <definedName name="IQ_MC_TOTAL_OTHER_MEMBERS">"c15833"</definedName>
    <definedName name="IQ_MC_TOTAL_OTHER_PREMIUMS">"c15859"</definedName>
    <definedName name="IQ_MC_TOTAL_RESERVES_PER_MEMBER">"c15844"</definedName>
    <definedName name="IQ_MC_TOTAL_SEPCIALTY_MEMBERS">"c15834"</definedName>
    <definedName name="IQ_MC_TOTAL_SEPCIALTY_PREMIUMS">"c15860"</definedName>
    <definedName name="IQ_MC_TOTAL_STATUTORY_CAPITAL_SURPLUS_PER_MEMBER">"c15841"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AN_TARGET_PRICE_THOM" hidden="1">"c5095"</definedName>
    <definedName name="IQ_MEDIUM_SULFUR_CONTENT_RESERVES_COAL">"c15926"</definedName>
    <definedName name="IQ_MEDIUM_SULFURE_RESERVES_TO_TOTAL_RESERVES_COAL">"c15962"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LES_PASSED">"c2848"</definedName>
    <definedName name="IQ_MIN_USE_PER_SUB">"c15764"</definedName>
    <definedName name="IQ_MINE_DEVELOPMENT_GROSS_COAL">"c15940"</definedName>
    <definedName name="IQ_MINORITY_INT_AVG_ASSETS_FFIEC">"c13367"</definedName>
    <definedName name="IQ_MINORITY_INT_BS_FFIEC">"c12874"</definedName>
    <definedName name="IQ_MINORITY_INT_FFIEC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NTUTES_USED_LOCAL">"c15808"</definedName>
    <definedName name="IQ_MINTUTES_USED_LONG_DIST">"c15809"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NON_TRANS_ACCTS_FFIEC">"c15330"</definedName>
    <definedName name="IQ_MMDA_SAVINGS_TOT_DEPOSITS_FFIEC">"c13905"</definedName>
    <definedName name="IQ_MONEY_MARKET_ACCOUNTS_COMMERCIAL_BANK_SUBS_FFIEC">"c12947"</definedName>
    <definedName name="IQ_MONEY_MARKET_ACCOUNTS_OTHER_INSTITUTIONS_FFIEC">"c12952"</definedName>
    <definedName name="IQ_MONEY_MARKET_DEPOSIT_ACCOUNTS_FDIC" hidden="1">"c6553"</definedName>
    <definedName name="IQ_MONEY_MKT_DEPOSITS_TOTAL_DEPOSITS">"c15720"</definedName>
    <definedName name="IQ_MONEY_MKT_SAVINGS_ACCT_DEPOSITS_TOTAL_DEPOSITS">"c15722"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>"c15276"</definedName>
    <definedName name="IQ_MORTGAGE_SERV_RIGHTS" hidden="1">"c2242"</definedName>
    <definedName name="IQ_MORTGAGE_SERVICING_ASSETS_FFIEC">"c12838"</definedName>
    <definedName name="IQ_MORTGAGE_SERVICING_FDIC" hidden="1">"c6335"</definedName>
    <definedName name="IQ_MTD" hidden="1">800000</definedName>
    <definedName name="IQ_MTM_ADJ">"c16000"</definedName>
    <definedName name="IQ_MULTI_RES_PROPERTIES_TRADING_DOM_FFIEC">"c12930"</definedName>
    <definedName name="IQ_MULTIFAM_5_LOANS_TOT_LOANS_FFIEC">"c13869"</definedName>
    <definedName name="IQ_MULTIFAMILY_LOANS_GROSS_LOANS_FFIEC">"c13404"</definedName>
    <definedName name="IQ_MULTIFAMILY_LOANS_RISK_BASED_FFIEC">"c13425"</definedName>
    <definedName name="IQ_MULTIFAMILY_RES_DOM_FFIEC">"c15270"</definedName>
    <definedName name="IQ_MULTIFAMILY_RESIDENTIAL_LOANS_FDIC" hidden="1">"c6311"</definedName>
    <definedName name="IQ_MUNI_ADVALOREM_TAX">"c15144"</definedName>
    <definedName name="IQ_MUNI_AMT_TAX">"c15146"</definedName>
    <definedName name="IQ_MUNI_BANK_QUALIFIED">"c15148"</definedName>
    <definedName name="IQ_MUNI_DEP_TRUST_ELIGIBLE">"c15149"</definedName>
    <definedName name="IQ_MUNI_ECONOMIC_DEFEASANCE">"c15151"</definedName>
    <definedName name="IQ_MUNI_ESCROW">"c15228"</definedName>
    <definedName name="IQ_MUNI_FED_TAX">"c15147"</definedName>
    <definedName name="IQ_MUNI_LEGAL_DEFEASANCE">"c15150"</definedName>
    <definedName name="IQ_MUNI_OFFERING_TYPE">"c15143"</definedName>
    <definedName name="IQ_MUNI_OPTIONAL_REDEMPTION_DEFEASANCE">"c15152"</definedName>
    <definedName name="IQ_MUNI_PRE_REFUNDED_DATE">"c15154"</definedName>
    <definedName name="IQ_MUNI_PRE_REFUNDED_DATED_DATE">"c15156"</definedName>
    <definedName name="IQ_MUNI_PRE_REFUNDED_PRICE">"c15155"</definedName>
    <definedName name="IQ_MUNI_PRE_REFUNDED_TYPE">"c15153"</definedName>
    <definedName name="IQ_MUNI_PURPOSE">"c15226"</definedName>
    <definedName name="IQ_MUNI_STATE_TAX">"c15145"</definedName>
    <definedName name="IQ_MUNI_TERRITORY">"c15142"</definedName>
    <definedName name="IQ_MUNI_TYPE">"c15227"</definedName>
    <definedName name="IQ_MUNICIPAL_INVEST_SECURITIES_FFIEC">"c13459"</definedName>
    <definedName name="IQ_MUTUAL_FUND_ACQUISITIONS_OTHER" hidden="1">"c20425"</definedName>
    <definedName name="IQ_MUTUAL_FUND_APPRECIATION_DEPRECIATION" hidden="1">"c20424"</definedName>
    <definedName name="IQ_MUTUAL_FUND_BOP" hidden="1">"c20420"</definedName>
    <definedName name="IQ_MUTUAL_FUND_EOP" hidden="1">"c20426"</definedName>
    <definedName name="IQ_MUTUAL_FUND_LIST">"c19092"</definedName>
    <definedName name="IQ_MUTUAL_FUND_NET_SALES" hidden="1">"c20423"</definedName>
    <definedName name="IQ_MUTUAL_FUND_REDEMPTIONS" hidden="1">"c20422"</definedName>
    <definedName name="IQ_MUTUAL_FUND_SALES" hidden="1">"c20421"</definedName>
    <definedName name="IQ_NAMES_REVISION_DATE_" hidden="1">40122.3865046296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>"c13822"</definedName>
    <definedName name="IQ_NATURAL_RESOURCES_COST" hidden="1">"c17550"</definedName>
    <definedName name="IQ_NAV_ACT_OR_EST" hidden="1">"c2225"</definedName>
    <definedName name="IQ_NAV_ACT_OR_EST_THOM" hidden="1">"c5607"</definedName>
    <definedName name="IQ_NAV_DET_EST_CURRENCY_THOM" hidden="1">"c12490"</definedName>
    <definedName name="IQ_NAV_DET_EST_DATE_THOM" hidden="1">"c12241"</definedName>
    <definedName name="IQ_NAV_DET_EST_INCL_THOM" hidden="1">"c12373"</definedName>
    <definedName name="IQ_NAV_DET_EST_ORIGIN_THOM" hidden="1">"c12707"</definedName>
    <definedName name="IQ_NAV_DET_EST_THOM" hidden="1">"c12091"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RE">"c15996"</definedName>
    <definedName name="IQ_NAV_SHARE_ACT_OR_EST" hidden="1">"c5615"</definedName>
    <definedName name="IQ_NAV_SHARE_ACT_OR_EST_REUT" hidden="1">"c5623"</definedName>
    <definedName name="IQ_NAV_SHARE_DET_EST_ORIGIN" hidden="1">"c12585"</definedName>
    <definedName name="IQ_NAV_SHARE_DET_EST_ORIGIN_THOM" hidden="1">"c12611"</definedName>
    <definedName name="IQ_NAV_SHARE_EST" hidden="1">"c5609"</definedName>
    <definedName name="IQ_NAV_SHARE_EST_NOTE" hidden="1">"c17522"</definedName>
    <definedName name="IQ_NAV_SHARE_EST_NOTE_CIQ" hidden="1">"c17475"</definedName>
    <definedName name="IQ_NAV_SHARE_EST_REUT" hidden="1">"c5617"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RE">"c16011"</definedName>
    <definedName name="IQ_NAV_SHARE_STDDEV_EST" hidden="1">"c5611"</definedName>
    <definedName name="IQ_NAV_SHARE_STDDEV_EST_REUT" hidden="1">"c5619"</definedName>
    <definedName name="IQ_NAV_STDDEV_EST" hidden="1">"c1756"</definedName>
    <definedName name="IQ_NAV_STDDEV_EST_THOM" hidden="1">"c5603"</definedName>
    <definedName name="IQ_NCLS_CLOSED_END_1_4_FAM_LOANS_TOT_LOANS_FFIEC">"c13891"</definedName>
    <definedName name="IQ_NCLS_COMM_IND_LOANS_TOT_LOANS_FFIEC">"c13898"</definedName>
    <definedName name="IQ_NCLS_COMM_RE_FARM_LOANS_TOT_LOANS_FFIEC">"c13897"</definedName>
    <definedName name="IQ_NCLS_COMM_RE_NONFARM_NONRES_TOT_LOANS_FFIEC">"c13896"</definedName>
    <definedName name="IQ_NCLS_CONST_LAND_DEV_LOANS_TOT_LOANS_FFIEC">"c13890"</definedName>
    <definedName name="IQ_NCLS_CONSUMER_LOANS_TOT_LOANS_FFIEC">"c13899"</definedName>
    <definedName name="IQ_NCLS_FARM_LOANS_TOT_LOANS_FFIEC">"c13895"</definedName>
    <definedName name="IQ_NCLS_HOME_EQUITY_LOANS_TOT_LOANS_FFIEC">"c13892"</definedName>
    <definedName name="IQ_NCLS_MULTIFAM_5_LOANS_TOT_LOANS_FFIEC">"c13894"</definedName>
    <definedName name="IQ_NCLS_TOT_1_4_FAM_LOANS_TOT_LOANS_FFIEC">"c13893"</definedName>
    <definedName name="IQ_NCLS_TOT_LEASES_TOT_LOANS_FFIEC">"c13900"</definedName>
    <definedName name="IQ_NCLS_TOT_LOANS_TOT_LOANS_FFIEC">"c13901"</definedName>
    <definedName name="IQ_NCOS_CLOSED_END_1_4_FAM_LOANS_TOT_LOANS_FFIEC">"c13879"</definedName>
    <definedName name="IQ_NCOS_COMM_IND_LOANS_TOT_LOANS_FFIEC">"c13886"</definedName>
    <definedName name="IQ_NCOS_COMM_RE_FARM_LOANS_TOT_LOANS_FFIEC">"c13885"</definedName>
    <definedName name="IQ_NCOS_COMM_RE_NONFARM_NONRES_TOT_LOANS_FFIEC">"c13884"</definedName>
    <definedName name="IQ_NCOS_CONST_LAND_DEV_LOANS_TOT_LOANS_FFIEC">"c13878"</definedName>
    <definedName name="IQ_NCOS_CONSUMER_LOANS_TOT_LOANS_FFIEC">"c13887"</definedName>
    <definedName name="IQ_NCOS_FARM_LOANS_TOT_LOANS_FFIEC">"c13883"</definedName>
    <definedName name="IQ_NCOS_HOME_EQUITY_LOANS_TOT_LOANS_FFIEC">"c13880"</definedName>
    <definedName name="IQ_NCOS_MULTIFAM_5_LOANS_TOT_LOANS_FFIEC">"c13882"</definedName>
    <definedName name="IQ_NCOS_TOT_1_4_FAM_LOANS_TOT_LOANS_FFIEC">"c13881"</definedName>
    <definedName name="IQ_NCOS_TOT_LEASES_TOT_LOANS_FFIEC">"c13888"</definedName>
    <definedName name="IQ_NCOS_TOT_LOANS_TOT_LOANS_FFIEC">"c13889"</definedName>
    <definedName name="IQ_NEARBY_CONTRACT_ID" hidden="1">"c14328"</definedName>
    <definedName name="IQ_NEGATIVE_FAIR_VALUE_DERIVATIVES_BENEFICIARY_FFIEC">"c13124"</definedName>
    <definedName name="IQ_NEGATIVE_FAIR_VALUE_DERIVATIVES_GUARANTOR_FFIEC">"c13117"</definedName>
    <definedName name="IQ_NET_ADD_BASIC">"c15782"</definedName>
    <definedName name="IQ_NET_ADD_BBAND">"c15785"</definedName>
    <definedName name="IQ_NET_ADD_DIG">"c15783"</definedName>
    <definedName name="IQ_NET_ADD_PHONE">"c15786"</definedName>
    <definedName name="IQ_NET_ADD_POSTPAID_WIRELESS">"c15754"</definedName>
    <definedName name="IQ_NET_ADD_PREPAID_WIRELESS">"c15755"</definedName>
    <definedName name="IQ_NET_ADD_RESELL_WHOLESALE_WIRELESS">"c15756"</definedName>
    <definedName name="IQ_NET_ADD_RGU">"c15787"</definedName>
    <definedName name="IQ_NET_ADD_SATELLITE">"c15784"</definedName>
    <definedName name="IQ_NET_ADD_TOTAL_WIRELESS">"c15757"</definedName>
    <definedName name="IQ_NET_BOOKING_LOCATION_ADJUSTMENT_FOREIGN_FFIEC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ADJ_EXP_RESERVE_BOP">"c15877"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CIQ_COL" hidden="1">"c11717"</definedName>
    <definedName name="IQ_NET_DEBT_ACT_OR_EST_REUT" hidden="1">"c5473"</definedName>
    <definedName name="IQ_NET_DEBT_ACT_OR_EST_THOM" hidden="1">"c5309"</definedName>
    <definedName name="IQ_NET_DEBT_DET_EST" hidden="1">"c12061"</definedName>
    <definedName name="IQ_NET_DEBT_DET_EST_CURRENCY" hidden="1">"c12468"</definedName>
    <definedName name="IQ_NET_DEBT_DET_EST_CURRENCY_THOM" hidden="1">"c12491"</definedName>
    <definedName name="IQ_NET_DEBT_DET_EST_DATE" hidden="1">"c12214"</definedName>
    <definedName name="IQ_NET_DEBT_DET_EST_DATE_THOM" hidden="1">"c12242"</definedName>
    <definedName name="IQ_NET_DEBT_DET_EST_INCL" hidden="1">"c12351"</definedName>
    <definedName name="IQ_NET_DEBT_DET_EST_INCL_THOM" hidden="1">"c12374"</definedName>
    <definedName name="IQ_NET_DEBT_DET_EST_ORIGIN" hidden="1">"c12586"</definedName>
    <definedName name="IQ_NET_DEBT_DET_EST_ORIGIN_THOM" hidden="1">"c12612"</definedName>
    <definedName name="IQ_NET_DEBT_DET_EST_THOM" hidden="1">"c12092"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EST_THOM" hidden="1">"c4027"</definedName>
    <definedName name="IQ_NET_DEBT_GUIDANCE" hidden="1">"c4467"</definedName>
    <definedName name="IQ_NET_DEBT_GUIDANCE_CIQ">"c5005"</definedName>
    <definedName name="IQ_NET_DEBT_GUIDANCE_CIQ_COL">"c11652"</definedName>
    <definedName name="IQ_NET_DEBT_HIGH_EST" hidden="1">"c3518"</definedName>
    <definedName name="IQ_NET_DEBT_HIGH_EST_REUT" hidden="1">"c3978"</definedName>
    <definedName name="IQ_NET_DEBT_HIGH_EST_THOM" hidden="1">"c4029"</definedName>
    <definedName name="IQ_NET_DEBT_HIGH_GUIDANCE" hidden="1">"c4181"</definedName>
    <definedName name="IQ_NET_DEBT_HIGH_GUIDANCE_CIQ">"c4593"</definedName>
    <definedName name="IQ_NET_DEBT_HIGH_GUIDANCE_CIQ_COL">"c11242"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EST_THOM" hidden="1">"c4030"</definedName>
    <definedName name="IQ_NET_DEBT_LOW_GUIDANCE" hidden="1">"c4221"</definedName>
    <definedName name="IQ_NET_DEBT_LOW_GUIDANCE_CIQ">"c4633"</definedName>
    <definedName name="IQ_NET_DEBT_LOW_GUIDANCE_CIQ_COL">"c11282"</definedName>
    <definedName name="IQ_NET_DEBT_MEDIAN_EST" hidden="1">"c3520"</definedName>
    <definedName name="IQ_NET_DEBT_MEDIAN_EST_REUT" hidden="1">"c3977"</definedName>
    <definedName name="IQ_NET_DEBT_MEDIAN_EST_THOM" hidden="1">"c4028"</definedName>
    <definedName name="IQ_NET_DEBT_NUM_EST" hidden="1">"c3515"</definedName>
    <definedName name="IQ_NET_DEBT_NUM_EST_REUT" hidden="1">"c3980"</definedName>
    <definedName name="IQ_NET_DEBT_NUM_EST_THOM" hidden="1">"c4031"</definedName>
    <definedName name="IQ_NET_DEBT_STDDEV_EST" hidden="1">"c3516"</definedName>
    <definedName name="IQ_NET_DEBT_STDDEV_EST_REUT" hidden="1">"c3981"</definedName>
    <definedName name="IQ_NET_DEBT_STDDEV_EST_THOM" hidden="1">"c4032"</definedName>
    <definedName name="IQ_NET_EARNED" hidden="1">"c2734"</definedName>
    <definedName name="IQ_NET_FUNDS_PURCHASED_ASSETS_TOT_FFIEC">"c13448"</definedName>
    <definedName name="IQ_NET_GAIN_LOSS_OREO_EXP_FFIEC">"c15370"</definedName>
    <definedName name="IQ_NET_GAIN_LOSS_OREO_INC_FFIEC">"c15367"</definedName>
    <definedName name="IQ_NET_GAIN_LOSS_SALES_LOANS_EXP_FFIEC">"c15371"</definedName>
    <definedName name="IQ_NET_GAIN_LOSS_SALES_LOANS_INC_FFIEC">"c15368"</definedName>
    <definedName name="IQ_NET_GAIN_SALE_PREMISES_FIXED_ASSETS_EXP_FFIEC">"c15372"</definedName>
    <definedName name="IQ_NET_GAIN_SALE_PREMISES_FIXED_ASSETS_INC_FFIEC">"c15369"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"c158"</definedName>
    <definedName name="IQ_NET_INC_GROWTH_2" hidden="1">"c162"</definedName>
    <definedName name="IQ_NET_INC_MARGIN" hidden="1">"c1398"</definedName>
    <definedName name="IQ_NET_INCOME_FDIC" hidden="1">"c6587"</definedName>
    <definedName name="IQ_NET_INCOME_HOMEBUILDING_SALES">"c15818"</definedName>
    <definedName name="IQ_NET_INCOME_LH_FFIEC">"c13110"</definedName>
    <definedName name="IQ_NET_INCOME_PC_FFIEC">"c13103"</definedName>
    <definedName name="IQ_NET_INCOME_SHE_FFIEC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AVG_ASSET">"c15706"</definedName>
    <definedName name="IQ_NET_INT_INCOME_FFIEC">"c13001"</definedName>
    <definedName name="IQ_NET_INT_INCOME_FTE_FFIEC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INC_INTERNATIONAL_OPS_FFIEC">"c15375"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>"c13341"</definedName>
    <definedName name="IQ_NET_LOANS_DEPOSITS_FFIEC">"c13340"</definedName>
    <definedName name="IQ_NET_LOANS_EQUITY_FFIEC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LOSSES">"c15873"</definedName>
    <definedName name="IQ_NET_NEW_CLIENT_ASSETS" hidden="1">"c20430"</definedName>
    <definedName name="IQ_NET_NONINTEREST_INC_EXP_INTERNATIONAL_OPS_FFIEC">"c15387"</definedName>
    <definedName name="IQ_NET_OPERATING_INCOME_ASSETS_FDIC" hidden="1">"c6729"</definedName>
    <definedName name="IQ_NET_PREMIUM_WRITTEN_STATUTORY_SURPLUS">"c15880"</definedName>
    <definedName name="IQ_NET_PREMIUMS_WRITTEN_AVG_ASSETS">"c15888"</definedName>
    <definedName name="IQ_NET_PREMIUMS_WRITTEN_AVG_EQUITY">"c15891"</definedName>
    <definedName name="IQ_NET_PREMIUMS_WRITTEN_AVG_STATUTORY_SURPLUS">"c15890"</definedName>
    <definedName name="IQ_NET_PREMIUMS_WRITTEN_GROSS_PREMIUMS_WRITTEN">"c15889"</definedName>
    <definedName name="IQ_NET_RENTAL_EXP_FN" hidden="1">"c780"</definedName>
    <definedName name="IQ_NET_SECURITIZATION_INC_FOREIGN_FFIEC">"c15379"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>"c13743"</definedName>
    <definedName name="IQ_NEWS_DATE">"c13746"</definedName>
    <definedName name="IQ_NEWS_SOURCE">"c13745"</definedName>
    <definedName name="IQ_NEWS_TIME">"c13759"</definedName>
    <definedName name="IQ_NEWS_URL">"c13744"</definedName>
    <definedName name="IQ_NEXT_CALL_DATE" hidden="1">"c2198"</definedName>
    <definedName name="IQ_NEXT_CALL_PRICE" hidden="1">"c2199"</definedName>
    <definedName name="IQ_NEXT_CONTRACT_ID" hidden="1">"c13928"</definedName>
    <definedName name="IQ_NEXT_DIV_AMOUNT" hidden="1">"c17414"</definedName>
    <definedName name="IQ_NEXT_DIV_PAYMENT_DATE" hidden="1">"c17413"</definedName>
    <definedName name="IQ_NEXT_DIV_PAYMENT_TYPE" hidden="1">"c17415"</definedName>
    <definedName name="IQ_NEXT_DIV_RECORD_DATE" hidden="1">"c17412"</definedName>
    <definedName name="IQ_NEXT_EARNINGS_DATE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XDIV_DATE" hidden="1">"c17411"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CIQ_COL" hidden="1">"c11712"</definedName>
    <definedName name="IQ_NI_ACT_OR_EST_REUT" hidden="1">"c5468"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>"c13370"</definedName>
    <definedName name="IQ_NI_BANK_AND_NONCONTROLLING_INTEREST_FFIEC">"c15365"</definedName>
    <definedName name="IQ_NI_BEFORE_CAPITALIZED" hidden="1">"c792"</definedName>
    <definedName name="IQ_NI_BEFORE_INTERNAL_ALLOCATIONS_FOREIGN_FFIEC">"c15393"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DET_EST" hidden="1">"c12062"</definedName>
    <definedName name="IQ_NI_DET_EST_CURRENCY" hidden="1">"c12469"</definedName>
    <definedName name="IQ_NI_DET_EST_CURRENCY_THOM" hidden="1">"c12492"</definedName>
    <definedName name="IQ_NI_DET_EST_DATE" hidden="1">"c12215"</definedName>
    <definedName name="IQ_NI_DET_EST_DATE_THOM" hidden="1">"c12243"</definedName>
    <definedName name="IQ_NI_DET_EST_INCL" hidden="1">"c12352"</definedName>
    <definedName name="IQ_NI_DET_EST_INCL_THOM" hidden="1">"c12375"</definedName>
    <definedName name="IQ_NI_DET_EST_ORIGIN" hidden="1">"c12587"</definedName>
    <definedName name="IQ_NI_DET_EST_ORIGIN_THOM" hidden="1">"c12613"</definedName>
    <definedName name="IQ_NI_DET_EST_THOM" hidden="1">"c12093"</definedName>
    <definedName name="IQ_NI_EST" hidden="1">"c1716"</definedName>
    <definedName name="IQ_NI_EST_REUT" hidden="1">"c5368"</definedName>
    <definedName name="IQ_NI_EST_THOM" hidden="1">"c5126"</definedName>
    <definedName name="IQ_NI_FFIEC">"c13034"</definedName>
    <definedName name="IQ_NI_GAAP_GUIDANCE" hidden="1">"c4470"</definedName>
    <definedName name="IQ_NI_GAAP_GUIDANCE_CIQ">"c5008"</definedName>
    <definedName name="IQ_NI_GAAP_GUIDANCE_CIQ_COL">"c11655"</definedName>
    <definedName name="IQ_NI_GAAP_HIGH_GUIDANCE" hidden="1">"c4177"</definedName>
    <definedName name="IQ_NI_GAAP_HIGH_GUIDANCE_CIQ">"c4589"</definedName>
    <definedName name="IQ_NI_GAAP_HIGH_GUIDANCE_CIQ_COL">"c11238"</definedName>
    <definedName name="IQ_NI_GAAP_LOW_GUIDANCE" hidden="1">"c4217"</definedName>
    <definedName name="IQ_NI_GAAP_LOW_GUIDANCE_CIQ">"c4629"</definedName>
    <definedName name="IQ_NI_GAAP_LOW_GUIDANCE_CIQ_COL">"c11278"</definedName>
    <definedName name="IQ_NI_GUIDANCE" hidden="1">"c4469"</definedName>
    <definedName name="IQ_NI_GUIDANCE_CIQ">"c5007"</definedName>
    <definedName name="IQ_NI_GUIDANCE_CIQ_COL">"c11654"</definedName>
    <definedName name="IQ_NI_GW_DET_EST" hidden="1">"c12063"</definedName>
    <definedName name="IQ_NI_GW_DET_EST_CURRENCY" hidden="1">"c12470"</definedName>
    <definedName name="IQ_NI_GW_DET_EST_DATE" hidden="1">"c12216"</definedName>
    <definedName name="IQ_NI_GW_DET_EST_INCL" hidden="1">"c12353"</definedName>
    <definedName name="IQ_NI_GW_EST" hidden="1">"c1723"</definedName>
    <definedName name="IQ_NI_GW_EST_REUT" hidden="1">"c5375"</definedName>
    <definedName name="IQ_NI_GW_GUIDANCE" hidden="1">"c4471"</definedName>
    <definedName name="IQ_NI_GW_GUIDANCE_CIQ">"c5009"</definedName>
    <definedName name="IQ_NI_GW_GUIDANCE_CIQ_COL">"c11656"</definedName>
    <definedName name="IQ_NI_GW_HIGH_EST" hidden="1">"c1725"</definedName>
    <definedName name="IQ_NI_GW_HIGH_EST_REUT" hidden="1">"c5377"</definedName>
    <definedName name="IQ_NI_GW_HIGH_GUIDANCE" hidden="1">"c4178"</definedName>
    <definedName name="IQ_NI_GW_HIGH_GUIDANCE_CIQ">"c4590"</definedName>
    <definedName name="IQ_NI_GW_HIGH_GUIDANCE_CIQ_COL">"c11239"</definedName>
    <definedName name="IQ_NI_GW_LOW_EST" hidden="1">"c1726"</definedName>
    <definedName name="IQ_NI_GW_LOW_EST_REUT" hidden="1">"c5378"</definedName>
    <definedName name="IQ_NI_GW_LOW_GUIDANCE" hidden="1">"c4218"</definedName>
    <definedName name="IQ_NI_GW_LOW_GUIDANCE_CIQ">"c4630"</definedName>
    <definedName name="IQ_NI_GW_LOW_GUIDANCE_CIQ_COL">"c11279"</definedName>
    <definedName name="IQ_NI_GW_MEDIAN_EST" hidden="1">"c1724"</definedName>
    <definedName name="IQ_NI_GW_MEDIAN_EST_REUT" hidden="1">"c5376"</definedName>
    <definedName name="IQ_NI_GW_NUM_EST" hidden="1">"c1727"</definedName>
    <definedName name="IQ_NI_GW_NUM_EST_REUT" hidden="1">"c5379"</definedName>
    <definedName name="IQ_NI_GW_STDDEV_EST" hidden="1">"c1728"</definedName>
    <definedName name="IQ_NI_GW_STDDEV_EST_REUT" hidden="1">"c5380"</definedName>
    <definedName name="IQ_NI_HIGH_EST" hidden="1">"c1718"</definedName>
    <definedName name="IQ_NI_HIGH_EST_REUT" hidden="1">"c5370"</definedName>
    <definedName name="IQ_NI_HIGH_EST_THOM" hidden="1">"c5128"</definedName>
    <definedName name="IQ_NI_HIGH_GUIDANCE" hidden="1">"c4176"</definedName>
    <definedName name="IQ_NI_HIGH_GUIDANCE_CIQ">"c4588"</definedName>
    <definedName name="IQ_NI_HIGH_GUIDANCE_CIQ_COL">"c11237"</definedName>
    <definedName name="IQ_NI_LOW_EST" hidden="1">"c1719"</definedName>
    <definedName name="IQ_NI_LOW_EST_REUT" hidden="1">"c5371"</definedName>
    <definedName name="IQ_NI_LOW_EST_THOM" hidden="1">"c5129"</definedName>
    <definedName name="IQ_NI_LOW_GUIDANCE" hidden="1">"c4216"</definedName>
    <definedName name="IQ_NI_LOW_GUIDANCE_CIQ">"c4628"</definedName>
    <definedName name="IQ_NI_LOW_GUIDANCE_CIQ_COL">"c11277"</definedName>
    <definedName name="IQ_NI_MARGIN" hidden="1">"c794"</definedName>
    <definedName name="IQ_NI_MEDIAN_EST" hidden="1">"c1717"</definedName>
    <definedName name="IQ_NI_MEDIAN_EST_REUT" hidden="1">"c5369"</definedName>
    <definedName name="IQ_NI_MEDIAN_EST_THOM" hidden="1">"c5127"</definedName>
    <definedName name="IQ_NI_NON_CONTROLLING_INTERESTS_FFIEC">"c15366"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NUM_EST_THOM" hidden="1">"c5130"</definedName>
    <definedName name="IQ_NI_REPORTED_DET_EST_ORIGIN" hidden="1">"c12588"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ACT_OR_EST_CIQ" hidden="1">"c5012"</definedName>
    <definedName name="IQ_NI_SBC_ACT_OR_EST_CIQ_COL" hidden="1">"c11659"</definedName>
    <definedName name="IQ_NI_SBC_EST" hidden="1">"c4473"</definedName>
    <definedName name="IQ_NI_SBC_GUIDANCE" hidden="1">"c4475"</definedName>
    <definedName name="IQ_NI_SBC_GUIDANCE_CIQ">"c5013"</definedName>
    <definedName name="IQ_NI_SBC_GUIDANCE_CIQ_COL">"c11660"</definedName>
    <definedName name="IQ_NI_SBC_GW_ACT_OR_EST" hidden="1">"c4478"</definedName>
    <definedName name="IQ_NI_SBC_GW_ACT_OR_EST_CIQ" hidden="1">"c5016"</definedName>
    <definedName name="IQ_NI_SBC_GW_ACT_OR_EST_CIQ_COL" hidden="1">"c11663"</definedName>
    <definedName name="IQ_NI_SBC_GW_EST" hidden="1">"c4477"</definedName>
    <definedName name="IQ_NI_SBC_GW_GUIDANCE" hidden="1">"c4479"</definedName>
    <definedName name="IQ_NI_SBC_GW_GUIDANCE_CIQ">"c5017"</definedName>
    <definedName name="IQ_NI_SBC_GW_GUIDANCE_CIQ_COL">"c11664"</definedName>
    <definedName name="IQ_NI_SBC_GW_HIGH_EST" hidden="1">"c4480"</definedName>
    <definedName name="IQ_NI_SBC_GW_HIGH_GUIDANCE" hidden="1">"c4187"</definedName>
    <definedName name="IQ_NI_SBC_GW_HIGH_GUIDANCE_CIQ">"c4599"</definedName>
    <definedName name="IQ_NI_SBC_GW_HIGH_GUIDANCE_CIQ_COL">"c11248"</definedName>
    <definedName name="IQ_NI_SBC_GW_LOW_EST" hidden="1">"c4481"</definedName>
    <definedName name="IQ_NI_SBC_GW_LOW_GUIDANCE" hidden="1">"c4227"</definedName>
    <definedName name="IQ_NI_SBC_GW_LOW_GUIDANCE_CIQ">"c4639"</definedName>
    <definedName name="IQ_NI_SBC_GW_LOW_GUIDANCE_CIQ_COL">"c11288"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HIGH_GUIDANCE_CIQ">"c4598"</definedName>
    <definedName name="IQ_NI_SBC_HIGH_GUIDANCE_CIQ_COL">"c11247"</definedName>
    <definedName name="IQ_NI_SBC_LOW_EST" hidden="1">"c4487"</definedName>
    <definedName name="IQ_NI_SBC_LOW_GUIDANCE" hidden="1">"c4226"</definedName>
    <definedName name="IQ_NI_SBC_LOW_GUIDANCE_CIQ">"c4638"</definedName>
    <definedName name="IQ_NI_SBC_LOW_GUIDANCE_CIQ_COL">"c11287"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I_INCL_UNCONSOL">"c16068"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>"c13353"</definedName>
    <definedName name="IQ_NON_ACCRUAL_ASSET_SOLD_DURING_QTR_FFIEC">"c15350"</definedName>
    <definedName name="IQ_NON_ACCRUAL_LOANS" hidden="1">"c796"</definedName>
    <definedName name="IQ_NON_CASH" hidden="1">"c1399"</definedName>
    <definedName name="IQ_NON_CASH_ITEMS" hidden="1">"c797"</definedName>
    <definedName name="IQ_NON_CD_DEPOSITS">"c15718"</definedName>
    <definedName name="IQ_NON_CD_DEPOSITS_TOTAL_DEPOSITS">"c15725"</definedName>
    <definedName name="IQ_NON_CURRENT_LOANS_FFIEC">"c13860"</definedName>
    <definedName name="IQ_NON_FARM_NONRES_PROPERTIES_TRADING_DOM_FFIEC">"c12931"</definedName>
    <definedName name="IQ_NON_INS_EXP" hidden="1">"c798"</definedName>
    <definedName name="IQ_NON_INS_REV" hidden="1">"c799"</definedName>
    <definedName name="IQ_NON_INT_BAL_OTHER_INSTITUTIONS_FFIEC">"c12950"</definedName>
    <definedName name="IQ_NON_INT_BEAR_CD" hidden="1">"c11750"</definedName>
    <definedName name="IQ_NON_INT_BEARING_DEPOSITS" hidden="1">"c800"</definedName>
    <definedName name="IQ_NON_INT_DEPOSITS_DOM_FFIEC">"c12851"</definedName>
    <definedName name="IQ_NON_INT_DEPOSITS_FOREIGN_FFIEC">"c12854"</definedName>
    <definedName name="IQ_NON_INT_EXP" hidden="1">"c801"</definedName>
    <definedName name="IQ_NON_INT_EXP_AVG_ASSETS_FFIEC">"c18878"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AVG_ASSET">"c15708"</definedName>
    <definedName name="IQ_NON_INT_EXPENSE_FFIEC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>"c13382"</definedName>
    <definedName name="IQ_NON_INT_INCOME_AVG_ASSET">"c15707"</definedName>
    <definedName name="IQ_NON_INT_INCOME_FFIEC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EQUITY">"c15702"</definedName>
    <definedName name="IQ_NON_PERF_ASSETS_LOANS_OREO">"c15701"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>"c13859"</definedName>
    <definedName name="IQ_NON_PERFORMING_LOANS" hidden="1">"c827"</definedName>
    <definedName name="IQ_NON_PERFORMING_LOANS_FFIEC">"c13861"</definedName>
    <definedName name="IQ_NON_RE_DA">"c16179"</definedName>
    <definedName name="IQ_NON_RENTAL_NOI">"c16066"</definedName>
    <definedName name="IQ_NON_RENTAL_OPERATING_EXPENSE">"c16046"</definedName>
    <definedName name="IQ_NON_US_ADDRESS_LEASE_FIN_REC_FFIEC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>"c13078"</definedName>
    <definedName name="IQ_NONCASH_PENSION_EXP" hidden="1">"c3000"</definedName>
    <definedName name="IQ_NONCORE_ASSETS_TOT_FFIEC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DOM_FFIEC">"c15271"</definedName>
    <definedName name="IQ_NONFARM_NONRES_GROSS_LOANS_FFIEC">"c13405"</definedName>
    <definedName name="IQ_NONFARM_NONRES_LL_REC_DOM_FFIEC">"c13626"</definedName>
    <definedName name="IQ_NONFARM_NONRES_RISK_BASED_FFIEC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>"c15376"</definedName>
    <definedName name="IQ_NONINTEREST_INCOME_EARNING_ASSETS_FDIC" hidden="1">"c6727"</definedName>
    <definedName name="IQ_NONMORTGAGE_SERVICING_FDIC" hidden="1">"c6336"</definedName>
    <definedName name="IQ_NONQUALIFYING_PREFERRED_T1_FFIEC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>"c13211"</definedName>
    <definedName name="IQ_NONTRADING_SECURITIES_LEVEL_1_FFIEC">"c13219"</definedName>
    <definedName name="IQ_NONTRADING_SECURITIES_LEVEL_2_FFIEC">"c13227"</definedName>
    <definedName name="IQ_NONTRADING_SECURITIES_LEVEL_3_FFIEC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>"c13118"</definedName>
    <definedName name="IQ_NOTIONAL_AMT_DERIVATIVES_GUARANTOR_FFIEC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>"c12946"</definedName>
    <definedName name="IQ_NOW_ATS_ACCOUNTS_OTHER_INSTITUTIONS_FFIEC">"c12951"</definedName>
    <definedName name="IQ_NOW_OTHER_TRANS_ACCTS_TOT_DEPOSITS_FFIEC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>"c13739"</definedName>
    <definedName name="IQ_NUM_OFFICES" hidden="1">"c2088"</definedName>
    <definedName name="IQ_NUMBER_ADRHOLDERS" hidden="1">"c1970"</definedName>
    <definedName name="IQ_NUMBER_CELL_SITES">"c15762"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NUMBER_TRADES_EXECUTED" hidden="1">"c20428"</definedName>
    <definedName name="IQ_NUMBER_WIRELESS_TOWERS">"c15766"</definedName>
    <definedName name="IQ_OBLIGATION_STATES_POLI_SUBD_US_LL_REC_DOM_FFIEC">"c15295"</definedName>
    <definedName name="IQ_OBLIGATION_STATES_POLI_SUBD_US_LL_REC_FFIEC">"c15294"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>"c13372"</definedName>
    <definedName name="IQ_OCCUPANCY_EXP_OPERATING_INC_FFIEC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"c10073"</definedName>
    <definedName name="IQ_OG_DAILY_PRDUCTION_GROWTH_GAS_EQUIVALENT" hidden="1">"c10076"</definedName>
    <definedName name="IQ_OG_DAILY_PRDUCTION_GROWTH_NGL" hidden="1">"c10074"</definedName>
    <definedName name="IQ_OG_DAILY_PRDUCTION_GROWTH_OIL" hidden="1">"c10072"</definedName>
    <definedName name="IQ_OG_DAILY_PRDUCTION_GROWTH_OIL_EQUIVALENT" hidden="1">"c10075"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ITY_RESERVES_GAS" hidden="1">"c2050"</definedName>
    <definedName name="IQ_OG_EQUITY_RESERVES_NGL" hidden="1">"c2921"</definedName>
    <definedName name="IQ_OG_EQUITY_RESERVES_OIL" hidden="1">"c2038"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PRODUCTIVE_WELLS_DRILLED_GAS">"c15907"</definedName>
    <definedName name="IQ_OG_GROSS_DEVELOPMENT_PRODUCTIVE_WELLS_DRILLED_OIL">"c15906"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PRODUCTIVE_WELLS_DRILLED_GAS">"c15905"</definedName>
    <definedName name="IQ_OG_GROSS_EXPLORATORY_PRODUCTIVE_WELLS_DRILLED_OIL">"c15904"</definedName>
    <definedName name="IQ_OG_GROSS_EXPLORATORY_TOTAL_WELLS_DRILLED" hidden="1">"c10096"</definedName>
    <definedName name="IQ_OG_GROSS_OPERATED_WELLS" hidden="1">"c10092"</definedName>
    <definedName name="IQ_OG_GROSS_PRODUCING_WELLS_GAS">"c15897"</definedName>
    <definedName name="IQ_OG_GROSS_PRODUCING_WELLS_OIL">"c15896"</definedName>
    <definedName name="IQ_OG_GROSS_PRODUCTIVE_WELLS_DRILLED_GAS">"c15901"</definedName>
    <definedName name="IQ_OG_GROSS_PRODUCTIVE_WELLS_DRILLED_OIL">"c15900"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PRODUCTIVE_WELLS_DRILLED_GAS">"c15911"</definedName>
    <definedName name="IQ_OG_NET_DEVELOPMENT_PRODUCTIVE_WELLS_DRILLED_OIL">"c15910"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PRODUCTIVE_WELLS_DRILLED_GAS">"c15909"</definedName>
    <definedName name="IQ_OG_NET_EXPLORATORY_PRODUCTIVE_WELLS_DRILLED_OIL">"c15908"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ING_WELLS_GAS">"c15899"</definedName>
    <definedName name="IQ_OG_NET_PRODUCING_WELLS_OIL">"c15898"</definedName>
    <definedName name="IQ_OG_NET_PRODUCTIVE_WELLS_DRILLED_GAS">"c15903"</definedName>
    <definedName name="IQ_OG_NET_PRODUCTIVE_WELLS_DRILLED_OIL">"c15902"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"c10067"</definedName>
    <definedName name="IQ_OG_PRDUCTION_GROWTH_GAS_EQUIVALENT" hidden="1">"c10070"</definedName>
    <definedName name="IQ_OG_PRDUCTION_GROWTH_NGL" hidden="1">"c10068"</definedName>
    <definedName name="IQ_OG_PRDUCTION_GROWTH_OIL" hidden="1">"c10066"</definedName>
    <definedName name="IQ_OG_PRDUCTION_GROWTH_OIL_EQUIVALENT" hidden="1">"c10069"</definedName>
    <definedName name="IQ_OG_PRDUCTION_GROWTH_TOAL" hidden="1">"c10071"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_INTEREST" hidden="1">"c13931"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ACT_OR_EST_THOM" hidden="1">"c5304"</definedName>
    <definedName name="IQ_OPER_INC_BR" hidden="1">"c850"</definedName>
    <definedName name="IQ_OPER_INC_DET_EST" hidden="1">"c12064"</definedName>
    <definedName name="IQ_OPER_INC_DET_EST_CURRENCY" hidden="1">"c12471"</definedName>
    <definedName name="IQ_OPER_INC_DET_EST_CURRENCY_THOM" hidden="1">"c12494"</definedName>
    <definedName name="IQ_OPER_INC_DET_EST_DATE" hidden="1">"c12217"</definedName>
    <definedName name="IQ_OPER_INC_DET_EST_DATE_THOM" hidden="1">"c12245"</definedName>
    <definedName name="IQ_OPER_INC_DET_EST_INCL" hidden="1">"c12354"</definedName>
    <definedName name="IQ_OPER_INC_DET_EST_INCL_THOM" hidden="1">"c12377"</definedName>
    <definedName name="IQ_OPER_INC_DET_EST_ORIGIN" hidden="1">"c12589"</definedName>
    <definedName name="IQ_OPER_INC_DET_EST_ORIGIN_THOM" hidden="1">"c12615"</definedName>
    <definedName name="IQ_OPER_INC_DET_EST_THOM" hidden="1">"c12095"</definedName>
    <definedName name="IQ_OPER_INC_EST" hidden="1">"c1688"</definedName>
    <definedName name="IQ_OPER_INC_EST_REUT" hidden="1">"c5340"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LOW_EST_THOM" hidden="1">"c5115"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MEDIAN_EST_THOM" hidden="1">"c5113"</definedName>
    <definedName name="IQ_OPER_INC_NUM_EST" hidden="1">"c1692"</definedName>
    <definedName name="IQ_OPER_INC_NUM_EST_REUT" hidden="1">"c5344"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STDDEV_EST_THOM" hidden="1">"c5117"</definedName>
    <definedName name="IQ_OPER_INC_UTI" hidden="1">"c854"</definedName>
    <definedName name="IQ_OPERATING_EXP_AVG_ASSETS_FFIEC">"c13373"</definedName>
    <definedName name="IQ_OPERATING_INC_AVG_ASSETS_FFIEC">"c13368"</definedName>
    <definedName name="IQ_OPERATING_INC_TE_AVG_ASSETS_FFIEC">"c13360"</definedName>
    <definedName name="IQ_OPERATING_NOI_AVG_GROSS_PROP">"c16058"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OS" hidden="1">"c858"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>"c12831"</definedName>
    <definedName name="IQ_OREO_FOREIGN_FDIC" hidden="1">"c6460"</definedName>
    <definedName name="IQ_OREO_FOREIGN_FFIEC">"c15273"</definedName>
    <definedName name="IQ_OREO_MULTI_FAMILY_RESIDENTIAL_FDIC" hidden="1">"c6455"</definedName>
    <definedName name="IQ_OREO_OTHER_FFIEC">"c12833"</definedName>
    <definedName name="IQ_ORGANIC_GROWTH_RATE" hidden="1">"c20429"</definedName>
    <definedName name="IQ_OTHER_ADDITIONS_T1_FFIEC">"c13142"</definedName>
    <definedName name="IQ_OTHER_ADDITIONS_T2_FFIEC">"c13148"</definedName>
    <definedName name="IQ_OTHER_ADJ_CLAIM_ADJ_EXP_INCURRED">"c15878"</definedName>
    <definedName name="IQ_OTHER_ADJ_CLAIM_ADJ_EXP_PAID">"c15879"</definedName>
    <definedName name="IQ_OTHER_ADJ_RESERVE_BOP">"c15876"</definedName>
    <definedName name="IQ_OTHER_ADJ_RESERVES">"c15882"</definedName>
    <definedName name="IQ_OTHER_ADJUST_GROSS_LOANS" hidden="1">"c859"</definedName>
    <definedName name="IQ_OTHER_ADJUSTMENTS_COVERED" hidden="1">"c9961"</definedName>
    <definedName name="IQ_OTHER_ADJUSTMENTS_FFIEC">"c12972"</definedName>
    <definedName name="IQ_OTHER_ADJUSTMENTS_GROUP" hidden="1">"c9947"</definedName>
    <definedName name="IQ_OTHER_AFFO">"c16180"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AIR_VALUE_TOT_FFIEC">"c15409"</definedName>
    <definedName name="IQ_OTHER_BORROWED_MONEY_FFIEC">"c12862"</definedName>
    <definedName name="IQ_OTHER_BORROWED_MONEY_LEVEL_1_FFIEC">"c15431"</definedName>
    <definedName name="IQ_OTHER_BORROWED_MONEY_LEVEL_2_FFIEC">"c15444"</definedName>
    <definedName name="IQ_OTHER_BORROWED_MONEY_LEVEL_3_FFIEC">"c15457"</definedName>
    <definedName name="IQ_OTHER_BORROWED_MONEY_LT_FFIEC">"c12865"</definedName>
    <definedName name="IQ_OTHER_BORROWED_MONEY_ST_FFIEC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>"c12970"</definedName>
    <definedName name="IQ_OTHER_CONSTRUCTION_GROSS_LOANS_FFIEC">"c13403"</definedName>
    <definedName name="IQ_OTHER_CONSTRUCTION_LOANS_DUE_30_89_FFIEC">"c13258"</definedName>
    <definedName name="IQ_OTHER_CONSTRUCTION_LOANS_DUE_90_FFIEC">"c13286"</definedName>
    <definedName name="IQ_OTHER_CONSTRUCTION_LOANS_NON_ACCRUAL_FFIEC">"c13312"</definedName>
    <definedName name="IQ_OTHER_CONSTRUCTION_LOANS_UNUSED_FFIEC">"c13245"</definedName>
    <definedName name="IQ_OTHER_CONSTRUCTION_RISK_BASED_FFIEC">"c13424"</definedName>
    <definedName name="IQ_OTHER_CONSUMER_LL_REC_FFIEC">"c12891"</definedName>
    <definedName name="IQ_OTHER_CONSUMER_LOANS_FFIEC">"c12824"</definedName>
    <definedName name="IQ_OTHER_CONSUMER_LOANS_TRADING_DOM_FFIEC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FS_AMORT_COST_FFIEC" hidden="1">"c20503"</definedName>
    <definedName name="IQ_OTHER_DEBT_SEC_DOM_AFS_FAIR_VAL_FFIEC" hidden="1">"c20468"</definedName>
    <definedName name="IQ_OTHER_DEBT_SEC_DOM_AVAIL_SALE_FFIEC">"c12803"</definedName>
    <definedName name="IQ_OTHER_DEBT_SEC_FOREIGN_AFS_AMORT_COST_FFIEC" hidden="1">"c20504"</definedName>
    <definedName name="IQ_OTHER_DEBT_SEC_FOREIGN_AFS_FAIR_VAL_FFIEC" hidden="1">"c20469"</definedName>
    <definedName name="IQ_OTHER_DEBT_SEC_FOREIGN_AVAIL_SALE_FFIEC">"c12804"</definedName>
    <definedName name="IQ_OTHER_DEBT_SEC_INVEST_SECURITIES_FFIEC">"c13462"</definedName>
    <definedName name="IQ_OTHER_DEBT_SEC_TRADING_DOM_FFIEC">"c12924"</definedName>
    <definedName name="IQ_OTHER_DEBT_SEC_TRADING_FFIEC">"c12819"</definedName>
    <definedName name="IQ_OTHER_DEBT_SECURITIES_DOM_FFIEC">"c12789"</definedName>
    <definedName name="IQ_OTHER_DEBT_SECURITIES_DOM_HTM_AMORT_COST_FFIEC" hidden="1">"c20451"</definedName>
    <definedName name="IQ_OTHER_DEBT_SECURITIES_DOM_HTM_FAIR_VAL_FFIEC" hidden="1">"c20486"</definedName>
    <definedName name="IQ_OTHER_DEBT_SECURITIES_FOREIGN_FFIEC">"c12790"</definedName>
    <definedName name="IQ_OTHER_DEBT_SECURITIES_FOREIGN_HTM_AMORT_COST_FFIEC" hidden="1">"c20452"</definedName>
    <definedName name="IQ_OTHER_DEBT_SECURITIES_FOREIGN_HTM_FAIR_VAL_FFIEC" hidden="1">"c20487"</definedName>
    <definedName name="IQ_OTHER_DEBT_SECURITIES_QUARTERLY_AVG_FFIEC">"c15473"</definedName>
    <definedName name="IQ_OTHER_DEDUCTIONS_LEVERAGE_RATIO_FFIEC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>"c12994"</definedName>
    <definedName name="IQ_OTHER_DEPOSITS_TOTAL_DEPOSITS">"c15724"</definedName>
    <definedName name="IQ_OTHER_DERIVATIVES_BENEFICIARY_FFIEC">"c13122"</definedName>
    <definedName name="IQ_OTHER_DERIVATIVES_GUARANTOR_FFIEC">"c13115"</definedName>
    <definedName name="IQ_OTHER_DEVELOPMENT_EXPENSE">"c16041"</definedName>
    <definedName name="IQ_OTHER_DEVELOPMENT_REVENUE">"c16025"</definedName>
    <definedName name="IQ_OTHER_DOMESTIC_DEBT_SECURITIES_FDIC" hidden="1">"c6302"</definedName>
    <definedName name="IQ_OTHER_EARNING" hidden="1">"c1609"</definedName>
    <definedName name="IQ_OTHER_EPRA_NAV_ADJ">"c16004"</definedName>
    <definedName name="IQ_OTHER_EPRA_NNAV_ADJ">"c16009"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>"c12880"</definedName>
    <definedName name="IQ_OTHER_EQUITY_FFIEC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>"c13381"</definedName>
    <definedName name="IQ_OTHER_FAD">"c16184"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>"c13482"</definedName>
    <definedName name="IQ_OTHER_IBF_DEPOSIT_LIABILITIES_FFIEC">"c15301"</definedName>
    <definedName name="IQ_OTHER_INDIVIDUAL_FAMILY_DOM_QUARTERLY_AVG_FFIEC">"c15481"</definedName>
    <definedName name="IQ_OTHER_INSURANCE_FEES_FDIC" hidden="1">"c6672"</definedName>
    <definedName name="IQ_OTHER_INSURANCE_PREMIUMS_FFIEC">"c13071"</definedName>
    <definedName name="IQ_OTHER_INT_EXPENSE_FFIEC">"c12999"</definedName>
    <definedName name="IQ_OTHER_INT_INCOME_FFIEC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>"c12837"</definedName>
    <definedName name="IQ_OTHER_INTANGIBLE_ASSETS_TOT_FFIEC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>"c13278"</definedName>
    <definedName name="IQ_OTHER_LEASES_DUE_90_FFIEC">"c13304"</definedName>
    <definedName name="IQ_OTHER_LEASES_LL_REC_FFIEC">"c12896"</definedName>
    <definedName name="IQ_OTHER_LEASES_NON_ACCRUAL_FFIEC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>"c12872"</definedName>
    <definedName name="IQ_OTHER_LIABILITIES_TOTAL_FFIEC">"c12869"</definedName>
    <definedName name="IQ_OTHER_LL_REC_FFIEC">"c12894"</definedName>
    <definedName name="IQ_OTHER_LOANS" hidden="1">"c945"</definedName>
    <definedName name="IQ_OTHER_LOANS_CHARGE_OFFS_FDIC" hidden="1">"c6601"</definedName>
    <definedName name="IQ_OTHER_LOANS_DUE_30_89_FFIEC">"c13275"</definedName>
    <definedName name="IQ_OTHER_LOANS_DUE_90_FFIEC">"c13301"</definedName>
    <definedName name="IQ_OTHER_LOANS_FFIEC">"c12825"</definedName>
    <definedName name="IQ_OTHER_LOANS_FOREIGN_FDIC" hidden="1">"c6446"</definedName>
    <definedName name="IQ_OTHER_LOANS_GROSS_LOANS_FFIEC">"c13414"</definedName>
    <definedName name="IQ_OTHER_LOANS_INDIVIDUALS_CHARGE_OFFS_FFIEC">"c13181"</definedName>
    <definedName name="IQ_OTHER_LOANS_INDIVIDUALS_DUE_30_89_FFIEC">"c13273"</definedName>
    <definedName name="IQ_OTHER_LOANS_INDIVIDUALS_DUE_90_FFIEC">"c13299"</definedName>
    <definedName name="IQ_OTHER_LOANS_INDIVIDUALS_NON_ACCRUAL_FFIEC">"c13325"</definedName>
    <definedName name="IQ_OTHER_LOANS_INDIVIDUALS_RECOV_FFIEC">"c13203"</definedName>
    <definedName name="IQ_OTHER_LOANS_LEASES_FDIC" hidden="1">"c6322"</definedName>
    <definedName name="IQ_OTHER_LOANS_LL_REC_DOM_FFIEC">"c12914"</definedName>
    <definedName name="IQ_OTHER_LOANS_NET_CHARGE_OFFS_FDIC" hidden="1">"c6639"</definedName>
    <definedName name="IQ_OTHER_LOANS_NON_ACCRUAL_FFIEC">"c13327"</definedName>
    <definedName name="IQ_OTHER_LOANS_RECOVERIES_FDIC" hidden="1">"c6620"</definedName>
    <definedName name="IQ_OTHER_LOANS_RISK_BASED_FFIEC">"c13435"</definedName>
    <definedName name="IQ_OTHER_LOANS_TOTAL_FDIC" hidden="1">"c6432"</definedName>
    <definedName name="IQ_OTHER_LOANS_TOTAL_LOANS">"c15716"</definedName>
    <definedName name="IQ_OTHER_LOANS_TRADING_DOM_FFIEC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FS_AMORT_COST_FFIEC" hidden="1">"c20498"</definedName>
    <definedName name="IQ_OTHER_MBS_AFS_FAIR_VAL_FFIEC" hidden="1">"c20463"</definedName>
    <definedName name="IQ_OTHER_MBS_AVAIL_SALE_FFIEC">"c12801"</definedName>
    <definedName name="IQ_OTHER_MBS_FFIEC">"c12787"</definedName>
    <definedName name="IQ_OTHER_MBS_HTM_AMORT_COST_FFIEC" hidden="1">"c20446"</definedName>
    <definedName name="IQ_OTHER_MBS_HTM_FAIR_VAL_FFIEC" hidden="1">"c20481"</definedName>
    <definedName name="IQ_OTHER_MBS_ISSUED_FNMA_GNMA_TRADING_DOM_FFIEC">"c12922"</definedName>
    <definedName name="IQ_OTHER_MBS_ISSUED_FNMA_GNMA_TRADING_FFIEC">"c12817"</definedName>
    <definedName name="IQ_OTHER_MBS_TRADING_DOM_FFIEC">"c12923"</definedName>
    <definedName name="IQ_OTHER_MBS_TRADING_FFIEC">"c12818"</definedName>
    <definedName name="IQ_OTHER_MINING_REVENUE_COAL">"c15931"</definedName>
    <definedName name="IQ_OTHER_NET" hidden="1">"c1453"</definedName>
    <definedName name="IQ_OTHER_NON_INT_ALLOCATIONS_FFIEC">"c13065"</definedName>
    <definedName name="IQ_OTHER_NON_INT_EXP" hidden="1">"c953"</definedName>
    <definedName name="IQ_OTHER_NON_INT_EXP_FDIC" hidden="1">"c6578"</definedName>
    <definedName name="IQ_OTHER_NON_INT_EXP_FFIEC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>"c13392"</definedName>
    <definedName name="IQ_OTHER_NON_INT_INCOME_FFIEC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>"c13407"</definedName>
    <definedName name="IQ_OTHER_NONFARM_NONRES_LL_REC_DOM_FFIEC">"c12907"</definedName>
    <definedName name="IQ_OTHER_NONFARM_NONRES_RISK_BASED_FFIEC">"c13428"</definedName>
    <definedName name="IQ_OTHER_NONINTEREST_INC_FOREIGN_FFIEC">"c15380"</definedName>
    <definedName name="IQ_OTHER_OFF_BS_ITEMS_FFIEC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>"c13770"</definedName>
    <definedName name="IQ_OTHER_PC_WRITTEN" hidden="1">"c1006"</definedName>
    <definedName name="IQ_OTHER_PROP" hidden="1">"c8764"</definedName>
    <definedName name="IQ_OTHER_PROP_OPERATING_EXPENSE">"c16043"</definedName>
    <definedName name="IQ_OTHER_PROP_OPERATING_REVENUE">"c16027"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>"c12823"</definedName>
    <definedName name="IQ_OTHER_REVOLVING_CREDIT_LL_REC_FFIEC">"c12890"</definedName>
    <definedName name="IQ_OTHER_REVOLVING_CREDIT_LOANS_TRADING_DOM_FFIEC">"c12934"</definedName>
    <definedName name="IQ_OTHER_ROOMS" hidden="1">"c8788"</definedName>
    <definedName name="IQ_OTHER_SAVINGS_DEPOSITS_FDIC" hidden="1">"c6554"</definedName>
    <definedName name="IQ_OTHER_SAVINGS_DEPOSITS_NON_TRANS_ACCTS_FFIEC">"c15331"</definedName>
    <definedName name="IQ_OTHER_SECURITIES_QUARTERLY_AVG_FFIEC">"c15472"</definedName>
    <definedName name="IQ_OTHER_SQ_FT" hidden="1">"c8780"</definedName>
    <definedName name="IQ_OTHER_STRIKE_PRICE_GRANTED" hidden="1">"c2692"</definedName>
    <definedName name="IQ_OTHER_TAX_EQUIVALENT_ADJUSTMENTS_FFIEC">"c13855"</definedName>
    <definedName name="IQ_OTHER_TRADING_ASSETS_FAIR_VALUE_TOT_FFIEC">"c15404"</definedName>
    <definedName name="IQ_OTHER_TRADING_ASSETS_FFIEC">"c12826"</definedName>
    <definedName name="IQ_OTHER_TRADING_ASSETS_LEVEL_1_FFIEC">"c15426"</definedName>
    <definedName name="IQ_OTHER_TRADING_ASSETS_LEVEL_2_FFIEC">"c15439"</definedName>
    <definedName name="IQ_OTHER_TRADING_ASSETS_LEVEL_3_FFIEC">"c15452"</definedName>
    <definedName name="IQ_OTHER_TRADING_ASSETS_TOTAL_FFIEC">"c12937"</definedName>
    <definedName name="IQ_OTHER_TRADING_LIABILITIES_FAIR_VALUE_TOT_FFIEC">"c15408"</definedName>
    <definedName name="IQ_OTHER_TRADING_LIABILITIES_FFIEC">"c12860"</definedName>
    <definedName name="IQ_OTHER_TRADING_LIABILITIES_LEVEL_1_FFIEC">"c15430"</definedName>
    <definedName name="IQ_OTHER_TRADING_LIABILITIES_LEVEL_2_FFIEC">"c15443"</definedName>
    <definedName name="IQ_OTHER_TRADING_LIABILITIES_LEVEL_3_FFIEC">"c15456"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>"c13361"</definedName>
    <definedName name="IQ_OVERHEAD_EXP_REV_FFIEC">"c13494"</definedName>
    <definedName name="IQ_OVERHEAD_NON_INT_INC_AVG_ASSETS_FFIEC">"c13374"</definedName>
    <definedName name="IQ_OVERHEAD_NON_INT_OPERATING_INC_FFIEC">"c13393"</definedName>
    <definedName name="IQ_OVERHEAD_OPERATING_INC_FFIEC">"c13378"</definedName>
    <definedName name="IQ_OWNED_RESERVES_COAL">"c15916"</definedName>
    <definedName name="IQ_OWNED_RESERVES_TO_TOTAL_RESERVES_COAL">"c15957"</definedName>
    <definedName name="IQ_OWNER_OCCUPIED_GROSS_LOANS_FFIEC">"c13406"</definedName>
    <definedName name="IQ_OWNER_OCCUPIED_LOANS_RISK_BASED_FFIEC">"c13427"</definedName>
    <definedName name="IQ_OWNER_OCCUPIED_NONFARM_NONRES_LL_REC_DOM_FFIEC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>"c13254"</definedName>
    <definedName name="IQ_PARTNERSHIP_INC_RE" hidden="1">"c12039"</definedName>
    <definedName name="IQ_PASS_THROUGH_FNMA_GNMA_TRADING_FFIEC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EXCL_FWD_THOM" hidden="1">"c4056"</definedName>
    <definedName name="IQ_PE_FUND_DATE_EST">"c19174"</definedName>
    <definedName name="IQ_PE_FUND_DATE_MONTH">"c19172"</definedName>
    <definedName name="IQ_PE_FUND_DATE_YEAR">"c18925"</definedName>
    <definedName name="IQ_PE_FUND_FAMILIES">"c18917"</definedName>
    <definedName name="IQ_PE_FUND_FAMILIES_ID">"c18918"</definedName>
    <definedName name="IQ_PE_FUND_FAMILIES_REL">"c18919"</definedName>
    <definedName name="IQ_PE_FUND_ID">"c18923"</definedName>
    <definedName name="IQ_PE_FUND_INVEST_AMOUNT">"c18933"</definedName>
    <definedName name="IQ_PE_FUND_INVEST_DATE_MONTH">"c19173"</definedName>
    <definedName name="IQ_PE_FUND_INVEST_DATE_YEAR">"c18934"</definedName>
    <definedName name="IQ_PE_FUND_NAME">"c18922"</definedName>
    <definedName name="IQ_PE_FUND_SIZE">"c18924"</definedName>
    <definedName name="IQ_PE_FUND_STAGE">"c18928"</definedName>
    <definedName name="IQ_PE_FUND_TARGET_MAX">"c18927"</definedName>
    <definedName name="IQ_PE_FUND_TARGET_MIN">"c18926"</definedName>
    <definedName name="IQ_PE_FUND_TRANSACTION_COMMENTS">"c18931"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G_FWD_THOM" hidden="1">"c4059"</definedName>
    <definedName name="IQ_PENETRATION_BASIC_CABLE">"c16204"</definedName>
    <definedName name="IQ_PENETRATION_BBAND">"c2852"</definedName>
    <definedName name="IQ_PENETRATION_BBAND_THP">"c2851"</definedName>
    <definedName name="IQ_PENETRATION_PHONE">"c2853"</definedName>
    <definedName name="IQ_PENETRATION_VIDEO">"c2850"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REUT" hidden="1">"c3959"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REUT" hidden="1">"c3960"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REUT" hidden="1">"c3956"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REUT" hidden="1">"c3957"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REUT" hidden="1">"c3958"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REUT" hidden="1">"c3954"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REUT" hidden="1">"c3955"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REUT" hidden="1">"c5435"</definedName>
    <definedName name="IQ_PERCENT_CHANGE_EST_5YR_GROWTH_RATE_WEEK_THOM" hidden="1">"c5277"</definedName>
    <definedName name="IQ_PERCENT_CHANGE_EST_CFPS_12MONTHS" hidden="1">"c1812"</definedName>
    <definedName name="IQ_PERCENT_CHANGE_EST_CFPS_12MONTHS_REUT" hidden="1">"c3924"</definedName>
    <definedName name="IQ_PERCENT_CHANGE_EST_CFPS_12MONTHS_THOM" hidden="1">"c5234"</definedName>
    <definedName name="IQ_PERCENT_CHANGE_EST_CFPS_18MONTHS" hidden="1">"c1813"</definedName>
    <definedName name="IQ_PERCENT_CHANGE_EST_CFPS_18MONTHS_REUT" hidden="1">"c3925"</definedName>
    <definedName name="IQ_PERCENT_CHANGE_EST_CFPS_18MONTHS_THOM" hidden="1">"c5235"</definedName>
    <definedName name="IQ_PERCENT_CHANGE_EST_CFPS_3MONTHS" hidden="1">"c1809"</definedName>
    <definedName name="IQ_PERCENT_CHANGE_EST_CFPS_3MONTHS_REUT" hidden="1">"c3921"</definedName>
    <definedName name="IQ_PERCENT_CHANGE_EST_CFPS_3MONTHS_THOM" hidden="1">"c5231"</definedName>
    <definedName name="IQ_PERCENT_CHANGE_EST_CFPS_6MONTHS" hidden="1">"c1810"</definedName>
    <definedName name="IQ_PERCENT_CHANGE_EST_CFPS_6MONTHS_REUT" hidden="1">"c3922"</definedName>
    <definedName name="IQ_PERCENT_CHANGE_EST_CFPS_6MONTHS_THOM" hidden="1">"c5232"</definedName>
    <definedName name="IQ_PERCENT_CHANGE_EST_CFPS_9MONTHS" hidden="1">"c1811"</definedName>
    <definedName name="IQ_PERCENT_CHANGE_EST_CFPS_9MONTHS_REUT" hidden="1">"c3923"</definedName>
    <definedName name="IQ_PERCENT_CHANGE_EST_CFPS_9MONTHS_THOM" hidden="1">"c5233"</definedName>
    <definedName name="IQ_PERCENT_CHANGE_EST_CFPS_DAY" hidden="1">"c1806"</definedName>
    <definedName name="IQ_PERCENT_CHANGE_EST_CFPS_DAY_REUT" hidden="1">"c3919"</definedName>
    <definedName name="IQ_PERCENT_CHANGE_EST_CFPS_DAY_THOM" hidden="1">"c5229"</definedName>
    <definedName name="IQ_PERCENT_CHANGE_EST_CFPS_MONTH" hidden="1">"c1808"</definedName>
    <definedName name="IQ_PERCENT_CHANGE_EST_CFPS_MONTH_REUT" hidden="1">"c3920"</definedName>
    <definedName name="IQ_PERCENT_CHANGE_EST_CFPS_MONTH_THOM" hidden="1">"c5230"</definedName>
    <definedName name="IQ_PERCENT_CHANGE_EST_CFPS_WEEK" hidden="1">"c1807"</definedName>
    <definedName name="IQ_PERCENT_CHANGE_EST_CFPS_WEEK_REUT" hidden="1">"c3962"</definedName>
    <definedName name="IQ_PERCENT_CHANGE_EST_CFPS_WEEK_THOM" hidden="1">"c5272"</definedName>
    <definedName name="IQ_PERCENT_CHANGE_EST_DPS_12MONTHS" hidden="1">"c1820"</definedName>
    <definedName name="IQ_PERCENT_CHANGE_EST_DPS_12MONTHS_REUT" hidden="1">"c3931"</definedName>
    <definedName name="IQ_PERCENT_CHANGE_EST_DPS_12MONTHS_THOM" hidden="1">"c5241"</definedName>
    <definedName name="IQ_PERCENT_CHANGE_EST_DPS_18MONTHS" hidden="1">"c1821"</definedName>
    <definedName name="IQ_PERCENT_CHANGE_EST_DPS_18MONTHS_REUT" hidden="1">"c3932"</definedName>
    <definedName name="IQ_PERCENT_CHANGE_EST_DPS_18MONTHS_THOM" hidden="1">"c5242"</definedName>
    <definedName name="IQ_PERCENT_CHANGE_EST_DPS_3MONTHS" hidden="1">"c1817"</definedName>
    <definedName name="IQ_PERCENT_CHANGE_EST_DPS_3MONTHS_REUT" hidden="1">"c3928"</definedName>
    <definedName name="IQ_PERCENT_CHANGE_EST_DPS_3MONTHS_THOM" hidden="1">"c5238"</definedName>
    <definedName name="IQ_PERCENT_CHANGE_EST_DPS_6MONTHS" hidden="1">"c1818"</definedName>
    <definedName name="IQ_PERCENT_CHANGE_EST_DPS_6MONTHS_REUT" hidden="1">"c3929"</definedName>
    <definedName name="IQ_PERCENT_CHANGE_EST_DPS_6MONTHS_THOM" hidden="1">"c5239"</definedName>
    <definedName name="IQ_PERCENT_CHANGE_EST_DPS_9MONTHS" hidden="1">"c1819"</definedName>
    <definedName name="IQ_PERCENT_CHANGE_EST_DPS_9MONTHS_REUT" hidden="1">"c3930"</definedName>
    <definedName name="IQ_PERCENT_CHANGE_EST_DPS_9MONTHS_THOM" hidden="1">"c5240"</definedName>
    <definedName name="IQ_PERCENT_CHANGE_EST_DPS_DAY" hidden="1">"c1814"</definedName>
    <definedName name="IQ_PERCENT_CHANGE_EST_DPS_DAY_REUT" hidden="1">"c3926"</definedName>
    <definedName name="IQ_PERCENT_CHANGE_EST_DPS_DAY_THOM" hidden="1">"c5236"</definedName>
    <definedName name="IQ_PERCENT_CHANGE_EST_DPS_MONTH" hidden="1">"c1816"</definedName>
    <definedName name="IQ_PERCENT_CHANGE_EST_DPS_MONTH_REUT" hidden="1">"c3927"</definedName>
    <definedName name="IQ_PERCENT_CHANGE_EST_DPS_MONTH_THOM" hidden="1">"c5237"</definedName>
    <definedName name="IQ_PERCENT_CHANGE_EST_DPS_WEEK" hidden="1">"c1815"</definedName>
    <definedName name="IQ_PERCENT_CHANGE_EST_DPS_WEEK_REUT" hidden="1">"c3963"</definedName>
    <definedName name="IQ_PERCENT_CHANGE_EST_DPS_WEEK_THOM" hidden="1">"c5273"</definedName>
    <definedName name="IQ_PERCENT_CHANGE_EST_EBITDA_12MONTHS" hidden="1">"c1804"</definedName>
    <definedName name="IQ_PERCENT_CHANGE_EST_EBITDA_12MONTHS_CIQ" hidden="1">"c3748"</definedName>
    <definedName name="IQ_PERCENT_CHANGE_EST_EBITDA_12MONTHS_REUT" hidden="1">"c3917"</definedName>
    <definedName name="IQ_PERCENT_CHANGE_EST_EBITDA_12MONTHS_THOM" hidden="1">"c5227"</definedName>
    <definedName name="IQ_PERCENT_CHANGE_EST_EBITDA_18MONTHS" hidden="1">"c1805"</definedName>
    <definedName name="IQ_PERCENT_CHANGE_EST_EBITDA_18MONTHS_CIQ" hidden="1">"c3749"</definedName>
    <definedName name="IQ_PERCENT_CHANGE_EST_EBITDA_18MONTHS_REUT" hidden="1">"c3918"</definedName>
    <definedName name="IQ_PERCENT_CHANGE_EST_EBITDA_18MONTHS_THOM" hidden="1">"c5228"</definedName>
    <definedName name="IQ_PERCENT_CHANGE_EST_EBITDA_3MONTHS" hidden="1">"c1801"</definedName>
    <definedName name="IQ_PERCENT_CHANGE_EST_EBITDA_3MONTHS_CIQ" hidden="1">"c3745"</definedName>
    <definedName name="IQ_PERCENT_CHANGE_EST_EBITDA_3MONTHS_REUT" hidden="1">"c3914"</definedName>
    <definedName name="IQ_PERCENT_CHANGE_EST_EBITDA_3MONTHS_THOM" hidden="1">"c5224"</definedName>
    <definedName name="IQ_PERCENT_CHANGE_EST_EBITDA_6MONTHS" hidden="1">"c1802"</definedName>
    <definedName name="IQ_PERCENT_CHANGE_EST_EBITDA_6MONTHS_CIQ" hidden="1">"c3746"</definedName>
    <definedName name="IQ_PERCENT_CHANGE_EST_EBITDA_6MONTHS_REUT" hidden="1">"c3915"</definedName>
    <definedName name="IQ_PERCENT_CHANGE_EST_EBITDA_6MONTHS_THOM" hidden="1">"c5225"</definedName>
    <definedName name="IQ_PERCENT_CHANGE_EST_EBITDA_9MONTHS" hidden="1">"c1803"</definedName>
    <definedName name="IQ_PERCENT_CHANGE_EST_EBITDA_9MONTHS_CIQ" hidden="1">"c3747"</definedName>
    <definedName name="IQ_PERCENT_CHANGE_EST_EBITDA_9MONTHS_REUT" hidden="1">"c3916"</definedName>
    <definedName name="IQ_PERCENT_CHANGE_EST_EBITDA_9MONTHS_THOM" hidden="1">"c5226"</definedName>
    <definedName name="IQ_PERCENT_CHANGE_EST_EBITDA_DAY" hidden="1">"c1798"</definedName>
    <definedName name="IQ_PERCENT_CHANGE_EST_EBITDA_DAY_CIQ" hidden="1">"c3743"</definedName>
    <definedName name="IQ_PERCENT_CHANGE_EST_EBITDA_DAY_REUT" hidden="1">"c3912"</definedName>
    <definedName name="IQ_PERCENT_CHANGE_EST_EBITDA_DAY_THOM" hidden="1">"c5222"</definedName>
    <definedName name="IQ_PERCENT_CHANGE_EST_EBITDA_MONTH" hidden="1">"c1800"</definedName>
    <definedName name="IQ_PERCENT_CHANGE_EST_EBITDA_MONTH_CIQ" hidden="1">"c3744"</definedName>
    <definedName name="IQ_PERCENT_CHANGE_EST_EBITDA_MONTH_REUT" hidden="1">"c3913"</definedName>
    <definedName name="IQ_PERCENT_CHANGE_EST_EBITDA_MONTH_THOM" hidden="1">"c5223"</definedName>
    <definedName name="IQ_PERCENT_CHANGE_EST_EBITDA_WEEK" hidden="1">"c1799"</definedName>
    <definedName name="IQ_PERCENT_CHANGE_EST_EBITDA_WEEK_CIQ" hidden="1">"c3792"</definedName>
    <definedName name="IQ_PERCENT_CHANGE_EST_EBITDA_WEEK_REUT" hidden="1">"c3961"</definedName>
    <definedName name="IQ_PERCENT_CHANGE_EST_EBITDA_WEEK_THOM" hidden="1">"c5271"</definedName>
    <definedName name="IQ_PERCENT_CHANGE_EST_EPS_12MONTHS" hidden="1">"c1788"</definedName>
    <definedName name="IQ_PERCENT_CHANGE_EST_EPS_12MONTHS_CIQ" hidden="1">"c3733"</definedName>
    <definedName name="IQ_PERCENT_CHANGE_EST_EPS_12MONTHS_REUT" hidden="1">"c3902"</definedName>
    <definedName name="IQ_PERCENT_CHANGE_EST_EPS_12MONTHS_THOM" hidden="1">"c5212"</definedName>
    <definedName name="IQ_PERCENT_CHANGE_EST_EPS_18MONTHS" hidden="1">"c1789"</definedName>
    <definedName name="IQ_PERCENT_CHANGE_EST_EPS_18MONTHS_CIQ" hidden="1">"c3734"</definedName>
    <definedName name="IQ_PERCENT_CHANGE_EST_EPS_18MONTHS_REUT" hidden="1">"c3903"</definedName>
    <definedName name="IQ_PERCENT_CHANGE_EST_EPS_18MONTHS_THOM" hidden="1">"c5213"</definedName>
    <definedName name="IQ_PERCENT_CHANGE_EST_EPS_3MONTHS" hidden="1">"c1785"</definedName>
    <definedName name="IQ_PERCENT_CHANGE_EST_EPS_3MONTHS_CIQ" hidden="1">"c3730"</definedName>
    <definedName name="IQ_PERCENT_CHANGE_EST_EPS_3MONTHS_REUT" hidden="1">"c3899"</definedName>
    <definedName name="IQ_PERCENT_CHANGE_EST_EPS_3MONTHS_THOM" hidden="1">"c5209"</definedName>
    <definedName name="IQ_PERCENT_CHANGE_EST_EPS_6MONTHS" hidden="1">"c1786"</definedName>
    <definedName name="IQ_PERCENT_CHANGE_EST_EPS_6MONTHS_CIQ" hidden="1">"c3731"</definedName>
    <definedName name="IQ_PERCENT_CHANGE_EST_EPS_6MONTHS_REUT" hidden="1">"c3900"</definedName>
    <definedName name="IQ_PERCENT_CHANGE_EST_EPS_6MONTHS_THOM" hidden="1">"c5210"</definedName>
    <definedName name="IQ_PERCENT_CHANGE_EST_EPS_9MONTHS" hidden="1">"c1787"</definedName>
    <definedName name="IQ_PERCENT_CHANGE_EST_EPS_9MONTHS_CIQ" hidden="1">"c3732"</definedName>
    <definedName name="IQ_PERCENT_CHANGE_EST_EPS_9MONTHS_REUT" hidden="1">"c3901"</definedName>
    <definedName name="IQ_PERCENT_CHANGE_EST_EPS_9MONTHS_THOM" hidden="1">"c5211"</definedName>
    <definedName name="IQ_PERCENT_CHANGE_EST_EPS_DAY" hidden="1">"c1782"</definedName>
    <definedName name="IQ_PERCENT_CHANGE_EST_EPS_DAY_CIQ" hidden="1">"c3727"</definedName>
    <definedName name="IQ_PERCENT_CHANGE_EST_EPS_DAY_REUT" hidden="1">"c3896"</definedName>
    <definedName name="IQ_PERCENT_CHANGE_EST_EPS_DAY_THOM" hidden="1">"c5206"</definedName>
    <definedName name="IQ_PERCENT_CHANGE_EST_EPS_MONTH" hidden="1">"c1784"</definedName>
    <definedName name="IQ_PERCENT_CHANGE_EST_EPS_MONTH_CIQ" hidden="1">"c3729"</definedName>
    <definedName name="IQ_PERCENT_CHANGE_EST_EPS_MONTH_REUT" hidden="1">"c3898"</definedName>
    <definedName name="IQ_PERCENT_CHANGE_EST_EPS_MONTH_THOM" hidden="1">"c5208"</definedName>
    <definedName name="IQ_PERCENT_CHANGE_EST_EPS_WEEK" hidden="1">"c1783"</definedName>
    <definedName name="IQ_PERCENT_CHANGE_EST_EPS_WEEK_CIQ" hidden="1">"c3728"</definedName>
    <definedName name="IQ_PERCENT_CHANGE_EST_EPS_WEEK_REUT" hidden="1">"c3897"</definedName>
    <definedName name="IQ_PERCENT_CHANGE_EST_EPS_WEEK_THOM" hidden="1">"c5207"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SHARE_12MONTHS" hidden="1">"c1828"</definedName>
    <definedName name="IQ_PERCENT_CHANGE_EST_FFO_SHARE_12MONTHS_THOM" hidden="1">"c5248"</definedName>
    <definedName name="IQ_PERCENT_CHANGE_EST_FFO_SHARE_18MONTHS" hidden="1">"c1829"</definedName>
    <definedName name="IQ_PERCENT_CHANGE_EST_FFO_SHARE_18MONTHS_THOM" hidden="1">"c5249"</definedName>
    <definedName name="IQ_PERCENT_CHANGE_EST_FFO_SHARE_3MONTHS" hidden="1">"c1825"</definedName>
    <definedName name="IQ_PERCENT_CHANGE_EST_FFO_SHARE_3MONTHS_THOM" hidden="1">"c5245"</definedName>
    <definedName name="IQ_PERCENT_CHANGE_EST_FFO_SHARE_6MONTHS" hidden="1">"c1826"</definedName>
    <definedName name="IQ_PERCENT_CHANGE_EST_FFO_SHARE_6MONTHS_THOM" hidden="1">"c5246"</definedName>
    <definedName name="IQ_PERCENT_CHANGE_EST_FFO_SHARE_9MONTHS" hidden="1">"c1827"</definedName>
    <definedName name="IQ_PERCENT_CHANGE_EST_FFO_SHARE_9MONTHS_THOM" hidden="1">"c5247"</definedName>
    <definedName name="IQ_PERCENT_CHANGE_EST_FFO_SHARE_DAY" hidden="1">"c1822"</definedName>
    <definedName name="IQ_PERCENT_CHANGE_EST_FFO_SHARE_DAY_THOM" hidden="1">"c5243"</definedName>
    <definedName name="IQ_PERCENT_CHANGE_EST_FFO_SHARE_MONTH" hidden="1">"c1824"</definedName>
    <definedName name="IQ_PERCENT_CHANGE_EST_FFO_SHARE_MONTH_THOM" hidden="1">"c5244"</definedName>
    <definedName name="IQ_PERCENT_CHANGE_EST_FFO_SHARE_SHARE_12MONTHS" hidden="1">"c1828"</definedName>
    <definedName name="IQ_PERCENT_CHANGE_EST_FFO_SHARE_SHARE_12MONTHS_REUT" hidden="1">"c3938"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REUT" hidden="1">"c3939"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REUT" hidden="1">"c3935"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REUT" hidden="1">"c3936"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REUT" hidden="1">"c3937"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REUT" hidden="1">"c3933"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REUT" hidden="1">"c3934"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REUT" hidden="1">"c3964"</definedName>
    <definedName name="IQ_PERCENT_CHANGE_EST_FFO_SHARE_SHARE_WEEK_THOM" hidden="1">"c5274"</definedName>
    <definedName name="IQ_PERCENT_CHANGE_EST_FFO_SHARE_WEEK" hidden="1">"c1823"</definedName>
    <definedName name="IQ_PERCENT_CHANGE_EST_FFO_SHARE_WEEK_THOM" hidden="1">"c5274"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REUT" hidden="1">"c3952"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REUT" hidden="1">"c3953"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REUT" hidden="1">"c3949"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REUT" hidden="1">"c3950"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REUT" hidden="1">"c3951"</definedName>
    <definedName name="IQ_PERCENT_CHANGE_EST_PRICE_TARGET_9MONTHS_THOM" hidden="1">"c5261"</definedName>
    <definedName name="IQ_PERCENT_CHANGE_EST_PRICE_TARGET_DAY" hidden="1">"c1838"</definedName>
    <definedName name="IQ_PERCENT_CHANGE_EST_PRICE_TARGET_DAY_CIQ" hidden="1">"c3778"</definedName>
    <definedName name="IQ_PERCENT_CHANGE_EST_PRICE_TARGET_DAY_REUT" hidden="1">"c3947"</definedName>
    <definedName name="IQ_PERCENT_CHANGE_EST_PRICE_TARGET_DAY_THOM" hidden="1">"c5257"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REUT" hidden="1">"c3948"</definedName>
    <definedName name="IQ_PERCENT_CHANGE_EST_PRICE_TARGET_MONTH_THOM" hidden="1">"c5258"</definedName>
    <definedName name="IQ_PERCENT_CHANGE_EST_PRICE_TARGET_WEEK" hidden="1">"c1839"</definedName>
    <definedName name="IQ_PERCENT_CHANGE_EST_PRICE_TARGET_WEEK_CIQ" hidden="1">"c3798"</definedName>
    <definedName name="IQ_PERCENT_CHANGE_EST_PRICE_TARGET_WEEK_REUT" hidden="1">"c3967"</definedName>
    <definedName name="IQ_PERCENT_CHANGE_EST_PRICE_TARGET_WEEK_THOM" hidden="1">"c5276"</definedName>
    <definedName name="IQ_PERCENT_CHANGE_EST_RECO_12MONTHS" hidden="1">"c1836"</definedName>
    <definedName name="IQ_PERCENT_CHANGE_EST_RECO_12MONTHS_CIQ" hidden="1">"c3776"</definedName>
    <definedName name="IQ_PERCENT_CHANGE_EST_RECO_12MONTHS_REUT" hidden="1">"c3945"</definedName>
    <definedName name="IQ_PERCENT_CHANGE_EST_RECO_12MONTHS_THOM" hidden="1">"c5255"</definedName>
    <definedName name="IQ_PERCENT_CHANGE_EST_RECO_18MONTHS" hidden="1">"c1837"</definedName>
    <definedName name="IQ_PERCENT_CHANGE_EST_RECO_18MONTHS_CIQ" hidden="1">"c3777"</definedName>
    <definedName name="IQ_PERCENT_CHANGE_EST_RECO_18MONTHS_REUT" hidden="1">"c3946"</definedName>
    <definedName name="IQ_PERCENT_CHANGE_EST_RECO_18MONTHS_THOM" hidden="1">"c5256"</definedName>
    <definedName name="IQ_PERCENT_CHANGE_EST_RECO_3MONTHS" hidden="1">"c1833"</definedName>
    <definedName name="IQ_PERCENT_CHANGE_EST_RECO_3MONTHS_CIQ" hidden="1">"c3773"</definedName>
    <definedName name="IQ_PERCENT_CHANGE_EST_RECO_3MONTHS_REUT" hidden="1">"c3942"</definedName>
    <definedName name="IQ_PERCENT_CHANGE_EST_RECO_3MONTHS_THOM" hidden="1">"c5252"</definedName>
    <definedName name="IQ_PERCENT_CHANGE_EST_RECO_6MONTHS" hidden="1">"c1834"</definedName>
    <definedName name="IQ_PERCENT_CHANGE_EST_RECO_6MONTHS_CIQ" hidden="1">"c3774"</definedName>
    <definedName name="IQ_PERCENT_CHANGE_EST_RECO_6MONTHS_REUT" hidden="1">"c3943"</definedName>
    <definedName name="IQ_PERCENT_CHANGE_EST_RECO_6MONTHS_THOM" hidden="1">"c5253"</definedName>
    <definedName name="IQ_PERCENT_CHANGE_EST_RECO_9MONTHS" hidden="1">"c1835"</definedName>
    <definedName name="IQ_PERCENT_CHANGE_EST_RECO_9MONTHS_CIQ" hidden="1">"c3775"</definedName>
    <definedName name="IQ_PERCENT_CHANGE_EST_RECO_9MONTHS_REUT" hidden="1">"c3944"</definedName>
    <definedName name="IQ_PERCENT_CHANGE_EST_RECO_9MONTHS_THOM" hidden="1">"c5254"</definedName>
    <definedName name="IQ_PERCENT_CHANGE_EST_RECO_DAY" hidden="1">"c1830"</definedName>
    <definedName name="IQ_PERCENT_CHANGE_EST_RECO_DAY_CIQ" hidden="1">"c3771"</definedName>
    <definedName name="IQ_PERCENT_CHANGE_EST_RECO_DAY_REUT" hidden="1">"c3940"</definedName>
    <definedName name="IQ_PERCENT_CHANGE_EST_RECO_DAY_THOM" hidden="1">"c5250"</definedName>
    <definedName name="IQ_PERCENT_CHANGE_EST_RECO_MONTH" hidden="1">"c1832"</definedName>
    <definedName name="IQ_PERCENT_CHANGE_EST_RECO_MONTH_CIQ" hidden="1">"c3772"</definedName>
    <definedName name="IQ_PERCENT_CHANGE_EST_RECO_MONTH_REUT" hidden="1">"c3941"</definedName>
    <definedName name="IQ_PERCENT_CHANGE_EST_RECO_MONTH_THOM" hidden="1">"c5251"</definedName>
    <definedName name="IQ_PERCENT_CHANGE_EST_RECO_WEEK" hidden="1">"c1831"</definedName>
    <definedName name="IQ_PERCENT_CHANGE_EST_RECO_WEEK_CIQ" hidden="1">"c3796"</definedName>
    <definedName name="IQ_PERCENT_CHANGE_EST_RECO_WEEK_REUT" hidden="1">"c3965"</definedName>
    <definedName name="IQ_PERCENT_CHANGE_EST_RECO_WEEK_THOM" hidden="1">"c5275"</definedName>
    <definedName name="IQ_PERCENT_CHANGE_EST_REV_12MONTHS" hidden="1">"c1796"</definedName>
    <definedName name="IQ_PERCENT_CHANGE_EST_REV_12MONTHS_CIQ" hidden="1">"c3741"</definedName>
    <definedName name="IQ_PERCENT_CHANGE_EST_REV_12MONTHS_REUT" hidden="1">"c3910"</definedName>
    <definedName name="IQ_PERCENT_CHANGE_EST_REV_12MONTHS_THOM" hidden="1">"c5220"</definedName>
    <definedName name="IQ_PERCENT_CHANGE_EST_REV_18MONTHS" hidden="1">"c1797"</definedName>
    <definedName name="IQ_PERCENT_CHANGE_EST_REV_18MONTHS_CIQ" hidden="1">"c3742"</definedName>
    <definedName name="IQ_PERCENT_CHANGE_EST_REV_18MONTHS_REUT" hidden="1">"c3911"</definedName>
    <definedName name="IQ_PERCENT_CHANGE_EST_REV_18MONTHS_THOM" hidden="1">"c5221"</definedName>
    <definedName name="IQ_PERCENT_CHANGE_EST_REV_3MONTHS" hidden="1">"c1793"</definedName>
    <definedName name="IQ_PERCENT_CHANGE_EST_REV_3MONTHS_CIQ" hidden="1">"c3738"</definedName>
    <definedName name="IQ_PERCENT_CHANGE_EST_REV_3MONTHS_REUT" hidden="1">"c3907"</definedName>
    <definedName name="IQ_PERCENT_CHANGE_EST_REV_3MONTHS_THOM" hidden="1">"c5217"</definedName>
    <definedName name="IQ_PERCENT_CHANGE_EST_REV_6MONTHS" hidden="1">"c1794"</definedName>
    <definedName name="IQ_PERCENT_CHANGE_EST_REV_6MONTHS_CIQ" hidden="1">"c3739"</definedName>
    <definedName name="IQ_PERCENT_CHANGE_EST_REV_6MONTHS_REUT" hidden="1">"c3908"</definedName>
    <definedName name="IQ_PERCENT_CHANGE_EST_REV_6MONTHS_THOM" hidden="1">"c5218"</definedName>
    <definedName name="IQ_PERCENT_CHANGE_EST_REV_9MONTHS" hidden="1">"c1795"</definedName>
    <definedName name="IQ_PERCENT_CHANGE_EST_REV_9MONTHS_CIQ" hidden="1">"c3740"</definedName>
    <definedName name="IQ_PERCENT_CHANGE_EST_REV_9MONTHS_REUT" hidden="1">"c3909"</definedName>
    <definedName name="IQ_PERCENT_CHANGE_EST_REV_9MONTHS_THOM" hidden="1">"c5219"</definedName>
    <definedName name="IQ_PERCENT_CHANGE_EST_REV_DAY" hidden="1">"c1790"</definedName>
    <definedName name="IQ_PERCENT_CHANGE_EST_REV_DAY_CIQ" hidden="1">"c3735"</definedName>
    <definedName name="IQ_PERCENT_CHANGE_EST_REV_DAY_REUT" hidden="1">"c3904"</definedName>
    <definedName name="IQ_PERCENT_CHANGE_EST_REV_DAY_THOM" hidden="1">"c5214"</definedName>
    <definedName name="IQ_PERCENT_CHANGE_EST_REV_MONTH" hidden="1">"c1792"</definedName>
    <definedName name="IQ_PERCENT_CHANGE_EST_REV_MONTH_CIQ" hidden="1">"c3737"</definedName>
    <definedName name="IQ_PERCENT_CHANGE_EST_REV_MONTH_REUT" hidden="1">"c3906"</definedName>
    <definedName name="IQ_PERCENT_CHANGE_EST_REV_MONTH_THOM" hidden="1">"c5216"</definedName>
    <definedName name="IQ_PERCENT_CHANGE_EST_REV_WEEK" hidden="1">"c1791"</definedName>
    <definedName name="IQ_PERCENT_CHANGE_EST_REV_WEEK_CIQ" hidden="1">"c3736"</definedName>
    <definedName name="IQ_PERCENT_CHANGE_EST_REV_WEEK_REUT" hidden="1">"c3905"</definedName>
    <definedName name="IQ_PERCENT_CHANGE_EST_REV_WEEK_THOM" hidden="1">"c5215"</definedName>
    <definedName name="IQ_PERCENT_FLOAT" hidden="1">"c227"</definedName>
    <definedName name="IQ_PERCENT_INSURED_FDIC" hidden="1">"c6374"</definedName>
    <definedName name="IQ_PERCENTAGE_RENT">"c16018"</definedName>
    <definedName name="IQ_PERCENTAGE_RENT_RENTAL_REVENUE">"c16063"</definedName>
    <definedName name="IQ_PERFORMANCE_LOC_FOREIGN_GUARANTEES_FFIEC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>"c13371"</definedName>
    <definedName name="IQ_PERSONNEL_EXP_OPERATING_INC_FFIEC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"c10027"</definedName>
    <definedName name="IQ_PHARMBIO_NUMBER_PROD__CLINICAL_DEV" hidden="1">"c10022"</definedName>
    <definedName name="IQ_PHARMBIO_NUMBER_PROD__LAUNCHED_DURING_PERIOD" hidden="1">"c10028"</definedName>
    <definedName name="IQ_PHARMBIO_NUMBER_PROD__PHASE_I" hidden="1">"c10023"</definedName>
    <definedName name="IQ_PHARMBIO_NUMBER_PROD__PHASE_II" hidden="1">"c10024"</definedName>
    <definedName name="IQ_PHARMBIO_NUMBER_PROD__PHASE_III" hidden="1">"c10025"</definedName>
    <definedName name="IQ_PHARMBIO_NUMBER_PROD__PRE_CLINICAL_TRIALS" hidden="1">"c10021"</definedName>
    <definedName name="IQ_PHARMBIO_NUMBER_PROD__PRE_REGISTRATION" hidden="1">"c10026"</definedName>
    <definedName name="IQ_PHARMBIO_NUMBER_PROD__RESEARCH_DEV" hidden="1">"c10020"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RTFOLIO_SHARES" hidden="1">"c19116"</definedName>
    <definedName name="IQ_POSITIVE_FAIR_VALUE_DERIVATIVES_BENEFICIARY_FFIEC">"c13123"</definedName>
    <definedName name="IQ_POSITIVE_FAIR_VALUE_DERIVATIVES_GUARANTOR_FFIEC">"c13116"</definedName>
    <definedName name="IQ_POST_RETIRE_EXP" hidden="1">"c1039"</definedName>
    <definedName name="IQ_POSTAGE_FFIEC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REUT" hidden="1">"c3968"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CIQ_COL" hidden="1">"c11711"</definedName>
    <definedName name="IQ_PRE_TAX_ACT_OR_EST_REUT" hidden="1">"c5467"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>"c12875"</definedName>
    <definedName name="IQ_PREF_TOT" hidden="1">"c1415"</definedName>
    <definedName name="IQ_PREFERRED_DEPOSITS_FFIEC">"c15312"</definedName>
    <definedName name="IQ_PREFERRED_FDIC" hidden="1">"c6349"</definedName>
    <definedName name="IQ_PREFERRED_LIST">"c13506"</definedName>
    <definedName name="IQ_PREMISES_EQUIPMENT_FDIC" hidden="1">"c6577"</definedName>
    <definedName name="IQ_PREMISES_FIXED_ASSETS_CAP_LEASES_FFIEC">"c12830"</definedName>
    <definedName name="IQ_PREMIUM_INSURANCE_CREDIT_FFIEC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SIDENT_ID">"c15216"</definedName>
    <definedName name="IQ_PRESIDENT_NAME">"c15215"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AFTER_CAP_ALLOCATION_FOREIGN_FFIEC">"c15390"</definedName>
    <definedName name="IQ_PRETAX_INC_BEFORE_CAP_ALLOCATION_FOREIGN_FFIEC">"c15388"</definedName>
    <definedName name="IQ_PRETAX_INC_DET_EST" hidden="1">"c12055"</definedName>
    <definedName name="IQ_PRETAX_INC_DET_EST_CURRENCY" hidden="1">"c12462"</definedName>
    <definedName name="IQ_PRETAX_INC_DET_EST_CURRENCY_THOM" hidden="1">"c12483"</definedName>
    <definedName name="IQ_PRETAX_INC_DET_EST_DATE" hidden="1">"c12208"</definedName>
    <definedName name="IQ_PRETAX_INC_DET_EST_DATE_THOM" hidden="1">"c12234"</definedName>
    <definedName name="IQ_PRETAX_INC_DET_EST_INCL" hidden="1">"c12345"</definedName>
    <definedName name="IQ_PRETAX_INC_DET_EST_INCL_THOM" hidden="1">"c12366"</definedName>
    <definedName name="IQ_PRETAX_INC_DET_EST_ORIGIN" hidden="1">"c12771"</definedName>
    <definedName name="IQ_PRETAX_INC_DET_EST_ORIGIN_THOM" hidden="1">"c12604"</definedName>
    <definedName name="IQ_PRETAX_INC_DET_EST_THOM" hidden="1">"c12084"</definedName>
    <definedName name="IQ_PRETAX_INC_EST" hidden="1">"c1695"</definedName>
    <definedName name="IQ_PRETAX_INC_EST_REUT" hidden="1">"c5347"</definedName>
    <definedName name="IQ_PRETAX_INC_EST_THOM" hidden="1">"c5119"</definedName>
    <definedName name="IQ_PRETAX_INC_HIGH_EST" hidden="1">"c1697"</definedName>
    <definedName name="IQ_PRETAX_INC_HIGH_EST_REUT" hidden="1">"c5349"</definedName>
    <definedName name="IQ_PRETAX_INC_HIGH_EST_THOM" hidden="1">"c5121"</definedName>
    <definedName name="IQ_PRETAX_INC_LOW_EST" hidden="1">"c1698"</definedName>
    <definedName name="IQ_PRETAX_INC_LOW_EST_REUT" hidden="1">"c5350"</definedName>
    <definedName name="IQ_PRETAX_INC_LOW_EST_THOM" hidden="1">"c5122"</definedName>
    <definedName name="IQ_PRETAX_INC_MEDIAN_EST" hidden="1">"c1696"</definedName>
    <definedName name="IQ_PRETAX_INC_MEDIAN_EST_REUT" hidden="1">"c5348"</definedName>
    <definedName name="IQ_PRETAX_INC_MEDIAN_EST_THOM" hidden="1">"c5120"</definedName>
    <definedName name="IQ_PRETAX_INC_NUM_EST" hidden="1">"c1699"</definedName>
    <definedName name="IQ_PRETAX_INC_NUM_EST_REUT" hidden="1">"c5351"</definedName>
    <definedName name="IQ_PRETAX_INC_NUM_EST_THOM" hidden="1">"c5123"</definedName>
    <definedName name="IQ_PRETAX_INC_STDDEV_EST" hidden="1">"c1700"</definedName>
    <definedName name="IQ_PRETAX_INC_STDDEV_EST_REUT" hidden="1">"c5352"</definedName>
    <definedName name="IQ_PRETAX_INC_STDDEV_EST_THOM" hidden="1">"c5124"</definedName>
    <definedName name="IQ_PRETAX_OPERATING_INC_AVG_ASSETS_FFIEC">"c13365"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ETAX_RETURN_ASSETS_FDIC" hidden="1">"c6731"</definedName>
    <definedName name="IQ_PREV_CONTRACT_ID" hidden="1">"c13929"</definedName>
    <definedName name="IQ_PREV_MONTHLY_FACTOR" hidden="1">"c8973"</definedName>
    <definedName name="IQ_PREV_MONTHLY_FACTOR_DATE" hidden="1">"c8974"</definedName>
    <definedName name="IQ_PREVIOUS_TIME_RT">"PREVIOUSLASTTIME"</definedName>
    <definedName name="IQ_PRICE_CFPS_FWD" hidden="1">"c2237"</definedName>
    <definedName name="IQ_PRICE_CFPS_FWD_REUT" hidden="1">"c4053"</definedName>
    <definedName name="IQ_PRICE_CFPS_FWD_THOM" hidden="1">"c4060"</definedName>
    <definedName name="IQ_PRICE_OVER_BVPS" hidden="1">"c1412"</definedName>
    <definedName name="IQ_PRICE_OVER_EPS_EST" hidden="1">"c174"</definedName>
    <definedName name="IQ_PRICE_OVER_EPS_EST_1" hidden="1">"c175"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SALES" hidden="1">"c17552"</definedName>
    <definedName name="IQ_PRICE_TARGET" hidden="1">"c82"</definedName>
    <definedName name="IQ_PRICE_TARGET_BOTTOM_UP" hidden="1">"c5486"</definedName>
    <definedName name="IQ_PRICE_TARGET_BOTTOM_UP_CIQ" hidden="1">"c12023"</definedName>
    <definedName name="IQ_PRICE_TARGET_BOTTOM_UP_REUT" hidden="1">"c5494"</definedName>
    <definedName name="IQ_PRICE_TARGET_CIQ" hidden="1">"c3613"</definedName>
    <definedName name="IQ_PRICE_TARGET_REUT" hidden="1">"c3631"</definedName>
    <definedName name="IQ_PRICE_TARGET_THOM" hidden="1">"c3649"</definedName>
    <definedName name="IQ_PRICE_UNIT" hidden="1">"c15556"</definedName>
    <definedName name="IQ_PRICE_VOL_HIST_2YR">"c15637"</definedName>
    <definedName name="IQ_PRICE_VOL_HIST_3MTH">"c15634"</definedName>
    <definedName name="IQ_PRICE_VOL_HIST_5YR">"c15638"</definedName>
    <definedName name="IQ_PRICE_VOL_HIST_6MTH">"c15635"</definedName>
    <definedName name="IQ_PRICE_VOL_HIST_YR">"c15636"</definedName>
    <definedName name="IQ_PRICE_VOLATILITY_EST" hidden="1">"c4492"</definedName>
    <definedName name="IQ_PRICE_VOLATILITY_EST_CIQ_COL" hidden="1">"c11677"</definedName>
    <definedName name="IQ_PRICE_VOLATILITY_HIGH" hidden="1">"c4493"</definedName>
    <definedName name="IQ_PRICE_VOLATILITY_HIGH_CIQ_COL" hidden="1">"c11678"</definedName>
    <definedName name="IQ_PRICE_VOLATILITY_LOW" hidden="1">"c4494"</definedName>
    <definedName name="IQ_PRICE_VOLATILITY_LOW_CIQ_COL" hidden="1">"c11679"</definedName>
    <definedName name="IQ_PRICE_VOLATILITY_MEDIAN" hidden="1">"c4495"</definedName>
    <definedName name="IQ_PRICE_VOLATILITY_MEDIAN_CIQ_COL" hidden="1">"c11680"</definedName>
    <definedName name="IQ_PRICE_VOLATILITY_NUM" hidden="1">"c4496"</definedName>
    <definedName name="IQ_PRICE_VOLATILITY_NUM_CIQ_COL" hidden="1">"c11681"</definedName>
    <definedName name="IQ_PRICE_VOLATILITY_STDDEV" hidden="1">"c4497"</definedName>
    <definedName name="IQ_PRICE_VOLATILITY_STDDEV_CIQ_COL" hidden="1">"c11682"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" hidden="1">"c4498"</definedName>
    <definedName name="IQ_PRIMARY_EPS_TYPE_CIQ" hidden="1">"c5036"</definedName>
    <definedName name="IQ_PRIMARY_EPS_TYPE_REUT" hidden="1">"c5481"</definedName>
    <definedName name="IQ_PRIMARY_EPS_TYPE_THOM" hidden="1">"c5297"</definedName>
    <definedName name="IQ_PRIMARY_EST_CONSOLIDATION" hidden="1">"c16246"</definedName>
    <definedName name="IQ_PRIMARY_EST_CONSOLIDATION_CIQ" hidden="1">"c16247"</definedName>
    <definedName name="IQ_PRIMARY_INDUSTRY" hidden="1">"c1070"</definedName>
    <definedName name="IQ_PRIMARY_SIC_CODE">"c16218"</definedName>
    <definedName name="IQ_PRIMARY_SIC_INDUSTRY">"c16217"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BABLE_RESERVES_TO_TOTAL_RESERVES_COAL">"c15953"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DUCTION_TO_SOLD_COAL">"c15945"</definedName>
    <definedName name="IQ_PROFESSIONAL" hidden="1">"c1071"</definedName>
    <definedName name="IQ_PROFESSIONAL_ALL_OTHER_COMP">"c18944"</definedName>
    <definedName name="IQ_PROFESSIONAL_ANNUAL_CASH_COMP">"c18945"</definedName>
    <definedName name="IQ_PROFESSIONAL_AS_REPORTED_COMP">"c18949"</definedName>
    <definedName name="IQ_PROFESSIONAL_AS_REPORTED_DIRECTOR_COMP">"c18961"</definedName>
    <definedName name="IQ_PROFESSIONAL_ASSISTANT_EMAIL">"c15169"</definedName>
    <definedName name="IQ_PROFESSIONAL_ASSISTANT_FAX">"c15171"</definedName>
    <definedName name="IQ_PROFESSIONAL_ASSISTANT_NAME">"c15168"</definedName>
    <definedName name="IQ_PROFESSIONAL_ASSISTANT_PHONE">"c15170"</definedName>
    <definedName name="IQ_PROFESSIONAL_BACKGROUND">"c15161"</definedName>
    <definedName name="IQ_PROFESSIONAL_BONUS">"c18940"</definedName>
    <definedName name="IQ_PROFESSIONAL_CALCULATED_COMP">"c18947"</definedName>
    <definedName name="IQ_PROFESSIONAL_CHANGE_PENSION">"c18962"</definedName>
    <definedName name="IQ_PROFESSIONAL_DIRECT_FAX">"c15166"</definedName>
    <definedName name="IQ_PROFESSIONAL_DIRECT_PHONE">"c15165"</definedName>
    <definedName name="IQ_PROFESSIONAL_DIRECTOR_BONUS">"c18956"</definedName>
    <definedName name="IQ_PROFESSIONAL_DIRECTOR_CHANGE_PENSION">"c18957"</definedName>
    <definedName name="IQ_PROFESSIONAL_DIRECTOR_FEE">"c18953"</definedName>
    <definedName name="IQ_PROFESSIONAL_DIRECTOR_NON_EQUITY_COMP">"c18958"</definedName>
    <definedName name="IQ_PROFESSIONAL_DIRECTOR_OPTION_AWARDS">"c18954"</definedName>
    <definedName name="IQ_PROFESSIONAL_DIRECTOR_OTHER">"c18955"</definedName>
    <definedName name="IQ_PROFESSIONAL_DIRECTOR_STOCK_AWARDS">"c18959"</definedName>
    <definedName name="IQ_PROFESSIONAL_DIRECTOR_STOCK_GRANTS">"c18986"</definedName>
    <definedName name="IQ_PROFESSIONAL_DIRECTOR_STOCK_OPTIONS">"c18960"</definedName>
    <definedName name="IQ_PROFESSIONAL_EMAIL">"c15167"</definedName>
    <definedName name="IQ_PROFESSIONAL_EQUITY_INCENTIVE">"c18982"</definedName>
    <definedName name="IQ_PROFESSIONAL_EST_PAYMENTS_CHANGE_CONTROL">"c18951"</definedName>
    <definedName name="IQ_PROFESSIONAL_EST_PAYMENTS_TERMINATION">"c18963"</definedName>
    <definedName name="IQ_PROFESSIONAL_EXERCISABLE_OPTIONS">"c18966"</definedName>
    <definedName name="IQ_PROFESSIONAL_EXERCISABLE_VALUES">"c18967"</definedName>
    <definedName name="IQ_PROFESSIONAL_EXERCISED_OPTIONS">"c18964"</definedName>
    <definedName name="IQ_PROFESSIONAL_EXERCISED_VALUES">"c18965"</definedName>
    <definedName name="IQ_PROFESSIONAL_ID">"c13755"</definedName>
    <definedName name="IQ_PROFESSIONAL_LT_INCENTIVE">"c18943"</definedName>
    <definedName name="IQ_PROFESSIONAL_MAIN_FAX">"c15164"</definedName>
    <definedName name="IQ_PROFESSIONAL_MAIN_PHONE">"c15163"</definedName>
    <definedName name="IQ_PROFESSIONAL_MARKET_VALUE_SHARES_NOT_VESTED">"c18981"</definedName>
    <definedName name="IQ_PROFESSIONAL_NON_EQUITY_INCENTIVE">"c18952"</definedName>
    <definedName name="IQ_PROFESSIONAL_NUM_SHARED_NOT_VESTED">"c18980"</definedName>
    <definedName name="IQ_PROFESSIONAL_NUM_SHARES_ACQUIRED">"c18978"</definedName>
    <definedName name="IQ_PROFESSIONAL_OFFICE_ADDRESS">"c15162"</definedName>
    <definedName name="IQ_PROFESSIONAL_OPTION_AWARDS">"c18948"</definedName>
    <definedName name="IQ_PROFESSIONAL_OPTION_MARKET_PRICE">"c18977"</definedName>
    <definedName name="IQ_PROFESSIONAL_OPTION_PRICE">"c18976"</definedName>
    <definedName name="IQ_PROFESSIONAL_OTHER_ANNUAL_COMP">"c18941"</definedName>
    <definedName name="IQ_PROFESSIONAL_OTHER_COMP">"c18950"</definedName>
    <definedName name="IQ_PROFESSIONAL_RESTRICTED_STOCK_COMP">"c18942"</definedName>
    <definedName name="IQ_PROFESSIONAL_SALARY">"c18939"</definedName>
    <definedName name="IQ_PROFESSIONAL_ST_COMP">"c18946"</definedName>
    <definedName name="IQ_PROFESSIONAL_TITLE" hidden="1">"c1072"</definedName>
    <definedName name="IQ_PROFESSIONAL_TOTAL_NUM_STOCK_AWARDS">"c18985"</definedName>
    <definedName name="IQ_PROFESSIONAL_TOTAL_OPTIONS">"c18974"</definedName>
    <definedName name="IQ_PROFESSIONAL_TOTAL_STOCK_VALUE">"c18984"</definedName>
    <definedName name="IQ_PROFESSIONAL_TOTAL_VALUE_OPTIONS">"c18975"</definedName>
    <definedName name="IQ_PROFESSIONAL_UNCLASSIFIED_OPTIONS">"c18970"</definedName>
    <definedName name="IQ_PROFESSIONAL_UNCLASSIFIED_OPTIONS_VALUE">"c18971"</definedName>
    <definedName name="IQ_PROFESSIONAL_UNEARNED_STOCK_VALUE">"c18983"</definedName>
    <definedName name="IQ_PROFESSIONAL_UNEXERCISABLE_OPTIONS">"c18968"</definedName>
    <definedName name="IQ_PROFESSIONAL_UNEXERCISABLE_VALUES">"c18969"</definedName>
    <definedName name="IQ_PROFESSIONAL_UNEXERCISED_UNEARNED_OPTIONS">"c18972"</definedName>
    <definedName name="IQ_PROFESSIONAL_UNEXERCISED_UNEARNED_OPTIONS_VALUE">"c18973"</definedName>
    <definedName name="IQ_PROFESSIONAL_VALUE_VESTING">"c18979"</definedName>
    <definedName name="IQ_PROFIT_AFTER_COST_CAPITAL_NEW_BUSINESS" hidden="1">"c9969"</definedName>
    <definedName name="IQ_PROFIT_BEFORE_COST_CAPITAL_NEW_BUSINESS" hidden="1">"c9967"</definedName>
    <definedName name="IQ_PROGRAMMING_COSTS">"c2884"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_MGMT_EXPENSE">"c16038"</definedName>
    <definedName name="IQ_PROP_MGMT_INCOME">"c16028"</definedName>
    <definedName name="IQ_PROP_OPERATING_EXPENSE">"c16037"</definedName>
    <definedName name="IQ_PROP_RENTAL_REVENUE">"c16019"</definedName>
    <definedName name="IQ_PROP_SALES_EXPENSE">"c16044"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PERTY_TAX_INSURANCE">"c16033"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EN_RESERVES_TO_TOTAL_RESERVES_COAL">"c15952"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AVG_LOANS">"c15717"</definedName>
    <definedName name="IQ_PROVISION_CHARGE_OFFS" hidden="1">"c1083"</definedName>
    <definedName name="IQ_PROVISION_LL_FFIEC">"c13019"</definedName>
    <definedName name="IQ_PROVISION_LOAN_LOSS_AVG_ASSETS_FFIEC">"c18879"</definedName>
    <definedName name="IQ_PROVISION_LOSSES_AVG_ASSETS_FFIEC">"c13362"</definedName>
    <definedName name="IQ_PROVISION_LOSSES_AVG_LOANS_FFIEC">"c13470"</definedName>
    <definedName name="IQ_PROVISION_LOSSES_NET_LOSSES_FFIEC">"c13471"</definedName>
    <definedName name="IQ_PSGR_REV">"c19125"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>"c12966"</definedName>
    <definedName name="IQ_PURCHASED_COAL">"c15934"</definedName>
    <definedName name="IQ_PURCHASED_CREDIT_RELS_SERVICING_ASSETS_FFIEC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D_PRODUCTION_TO_SOLD_COAL">"c15947"</definedName>
    <definedName name="IQ_PURCHASED_TO_PRODUCTION_COAL">"c15948"</definedName>
    <definedName name="IQ_PURCHASED_TO_SOLD_COAL">"c15946"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>"c13135"</definedName>
    <definedName name="IQ_QUALIFYING_SUB_DEBT_REDEEM_PREF_T2_FFIEC">"c13144"</definedName>
    <definedName name="IQ_QUALIFYING_TRUST_PREFERRED_T1_FFIEC">"c13136"</definedName>
    <definedName name="IQ_QUICK_COMP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TE_COUNTRY" hidden="1">"c19247"</definedName>
    <definedName name="IQ_RATE_LEVEL" hidden="1">"c19251"</definedName>
    <definedName name="IQ_RATE_NAME" hidden="1">"c19249"</definedName>
    <definedName name="IQ_RATE_TERM" hidden="1">"c19248"</definedName>
    <definedName name="IQ_RATE_TYPE" hidden="1">"c19246"</definedName>
    <definedName name="IQ_RAW_INV" hidden="1">"c1089"</definedName>
    <definedName name="IQ_RAW_SALEABLE_INVENTORY_COAL">"c15941"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>"c13418"</definedName>
    <definedName name="IQ_RE_ACQ_SATISFACTION_DEBTS_FFIEC">"c12832"</definedName>
    <definedName name="IQ_RE_ASSET_DEVELOPMENT_PROP">"c19136"</definedName>
    <definedName name="IQ_RE_ASSET_INVESTMENT_PROP">"c19135"</definedName>
    <definedName name="IQ_RE_ASSET_OTHER_PROP">"c19137"</definedName>
    <definedName name="IQ_RE_ASSET_TOTAL_PROP">"c19138"</definedName>
    <definedName name="IQ_RE_DEPR_AMORT" hidden="1">"c8750"</definedName>
    <definedName name="IQ_RE_DEPRECIATION">"c16045"</definedName>
    <definedName name="IQ_RE_FARMLAND_GROSS_LOANS_FFIEC">"c13408"</definedName>
    <definedName name="IQ_RE_FARMLAND_RISK_BASED_FFIEC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>"c13479"</definedName>
    <definedName name="IQ_RE_GAIN_LOSS_SALE_ASSETS" hidden="1">"c8751"</definedName>
    <definedName name="IQ_RE_INVEST_FDIC" hidden="1">"c6331"</definedName>
    <definedName name="IQ_RE_LOANS_1_4_GROSS_LOANS_FFIEC">"c13397"</definedName>
    <definedName name="IQ_RE_LOANS_DOM_QUARTERLY_AVG_FFIEC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ENTAL_EXPENSE">"c16036"</definedName>
    <definedName name="IQ_RE_RISK_BASED_FFIEC">"c13417"</definedName>
    <definedName name="IQ_REAL_ESTATE" hidden="1">"c1093"</definedName>
    <definedName name="IQ_REAL_ESTATE_ASSETS" hidden="1">"c1094"</definedName>
    <definedName name="IQ_REALIZED_GAINS_AVAIL_SALE_SEC_FFIEC">"c13022"</definedName>
    <definedName name="IQ_REALIZED_GAINS_HELD_MATURITY_SEC_FFIEC">"c13021"</definedName>
    <definedName name="IQ_REALIZED_GAINS_SEC_TOT_FFIEC">"c13517"</definedName>
    <definedName name="IQ_RECENT_FUNDS">"c18908"</definedName>
    <definedName name="IQ_RECENT_FUNDS_ID">"c18909"</definedName>
    <definedName name="IQ_RECOVERIES_1_4_FAMILY_LOANS_FDIC" hidden="1">"c6707"</definedName>
    <definedName name="IQ_RECOVERIES_AUTO_LOANS_FDIC" hidden="1">"c6701"</definedName>
    <definedName name="IQ_RECOVERIES_AVG_LOANS_FFIEC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ACT_OR_EST_CIQ_COL" hidden="1">"c11692"</definedName>
    <definedName name="IQ_RECURRING_PROFIT_EST" hidden="1">"c4499"</definedName>
    <definedName name="IQ_RECURRING_PROFIT_GUIDANCE" hidden="1">"c4500"</definedName>
    <definedName name="IQ_RECURRING_PROFIT_GUIDANCE_CIQ">"c5038"</definedName>
    <definedName name="IQ_RECURRING_PROFIT_GUIDANCE_CIQ_COL">"c11685"</definedName>
    <definedName name="IQ_RECURRING_PROFIT_HIGH_EST" hidden="1">"c4501"</definedName>
    <definedName name="IQ_RECURRING_PROFIT_HIGH_GUIDANCE" hidden="1">"c4179"</definedName>
    <definedName name="IQ_RECURRING_PROFIT_HIGH_GUIDANCE_CIQ">"c4591"</definedName>
    <definedName name="IQ_RECURRING_PROFIT_HIGH_GUIDANCE_CIQ_COL">"c11240"</definedName>
    <definedName name="IQ_RECURRING_PROFIT_LOW_EST" hidden="1">"c4502"</definedName>
    <definedName name="IQ_RECURRING_PROFIT_LOW_GUIDANCE" hidden="1">"c4219"</definedName>
    <definedName name="IQ_RECURRING_PROFIT_LOW_GUIDANCE_CIQ">"c4631"</definedName>
    <definedName name="IQ_RECURRING_PROFIT_LOW_GUIDANCE_CIQ_COL">"c11280"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ACT_OR_EST_CIQ" hidden="1">"c5046"</definedName>
    <definedName name="IQ_RECURRING_PROFIT_SHARE_ACT_OR_EST_CIQ_COL" hidden="1">"c11693"</definedName>
    <definedName name="IQ_RECURRING_PROFIT_SHARE_EST" hidden="1">"c4506"</definedName>
    <definedName name="IQ_RECURRING_PROFIT_SHARE_GUIDANCE" hidden="1">"c4509"</definedName>
    <definedName name="IQ_RECURRING_PROFIT_SHARE_GUIDANCE_CIQ">"c5047"</definedName>
    <definedName name="IQ_RECURRING_PROFIT_SHARE_GUIDANCE_CIQ_COL">"c11694"</definedName>
    <definedName name="IQ_RECURRING_PROFIT_SHARE_HIGH_EST" hidden="1">"c4510"</definedName>
    <definedName name="IQ_RECURRING_PROFIT_SHARE_HIGH_GUIDANCE" hidden="1">"c4200"</definedName>
    <definedName name="IQ_RECURRING_PROFIT_SHARE_HIGH_GUIDANCE_CIQ">"c4612"</definedName>
    <definedName name="IQ_RECURRING_PROFIT_SHARE_HIGH_GUIDANCE_CIQ_COL">"c11261"</definedName>
    <definedName name="IQ_RECURRING_PROFIT_SHARE_LOW_EST" hidden="1">"c4511"</definedName>
    <definedName name="IQ_RECURRING_PROFIT_SHARE_LOW_GUIDANCE" hidden="1">"c4240"</definedName>
    <definedName name="IQ_RECURRING_PROFIT_SHARE_LOW_GUIDANCE_CIQ">"c4652"</definedName>
    <definedName name="IQ_RECURRING_PROFIT_SHARE_LOW_GUIDANCE_CIQ_COL">"c11301"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DUCTION_TAX_POSITION_CURRENT_YR">"c15734"</definedName>
    <definedName name="IQ_REDUCTION_TAX_POSITION_PRIOR_YRS">"c15736"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TATED">"c16221"</definedName>
    <definedName name="IQ_REINSTATEMENT_DATE">"c16222"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>"c13104"</definedName>
    <definedName name="IQ_REINSURANCE_RECOVERABLE_ASSETS_PC_FFIEC">"c13098"</definedName>
    <definedName name="IQ_RELATED_PLANS_FDIC" hidden="1">"c6320"</definedName>
    <definedName name="IQ_RENT_AVG_PROP">"c16056"</definedName>
    <definedName name="IQ_RENT_OTHER_INC_FROM_OREO_FFIEC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>"c13044"</definedName>
    <definedName name="IQ_RENTAL_NOI">"c16065"</definedName>
    <definedName name="IQ_RENTAL_NOI_AVG_GROSS_PROP">"c16057"</definedName>
    <definedName name="IQ_RENTAL_NOI_TOTAL_RENT_REVENUE">"c16061"</definedName>
    <definedName name="IQ_RENTAL_REV" hidden="1">"c1101"</definedName>
    <definedName name="IQ_REPAIRS_MAINTENANCE">"c16032"</definedName>
    <definedName name="IQ_REPO">"c19133"</definedName>
    <definedName name="IQ_REPRICEABLE_EARNING_ASSETS_INT_SENSITIVITY_FFIEC">"c13093"</definedName>
    <definedName name="IQ_REPRICEABLE_INT_DEPOSITS_INT_SENSITIVITY_FFIEC">"c13094"</definedName>
    <definedName name="IQ_REPURCHASED_REBOOKED_GNMA_DUE_30_89_FFIEC">"c13283"</definedName>
    <definedName name="IQ_REPURCHASED_REBOOKED_GNMA_DUE_90_FFIEC">"c13309"</definedName>
    <definedName name="IQ_REPURCHASED_REBOOKED_GNMA_NON_ACCRUAL_FFIEC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ATALOG_REVENUES">"c9903"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NLINE_REVENUES">"c9904"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REVENUES">"c9902"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L_WHOLESALE_REVENUES">"c15895"</definedName>
    <definedName name="IQ_RETAINED_EARN" hidden="1">"c1420"</definedName>
    <definedName name="IQ_RETAINED_EARNINGS_AVERAGE_EQUITY_FDIC" hidden="1">"c6733"</definedName>
    <definedName name="IQ_RETAINED_EARNINGS_EQUITY_FFIEC">"c13348"</definedName>
    <definedName name="IQ_RETAINED_EARNINGS_FFIEC">"c12878"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DET_EST" hidden="1">"c12066"</definedName>
    <definedName name="IQ_RETURN_ASSETS_DET_EST_DATE" hidden="1">"c12219"</definedName>
    <definedName name="IQ_RETURN_ASSETS_DET_EST_DATE_THOM" hidden="1">"c12247"</definedName>
    <definedName name="IQ_RETURN_ASSETS_DET_EST_INCL" hidden="1">"c12356"</definedName>
    <definedName name="IQ_RETURN_ASSETS_DET_EST_INCL_THOM" hidden="1">"c12379"</definedName>
    <definedName name="IQ_RETURN_ASSETS_DET_EST_ORIGIN" hidden="1">"c12591"</definedName>
    <definedName name="IQ_RETURN_ASSETS_DET_EST_ORIGIN_THOM" hidden="1">"c12617"</definedName>
    <definedName name="IQ_RETURN_ASSETS_DET_EST_THOM" hidden="1">"c12097"</definedName>
    <definedName name="IQ_RETURN_ASSETS_EST" hidden="1">"c3529"</definedName>
    <definedName name="IQ_RETURN_ASSETS_EST_REUT" hidden="1">"c3990"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GUIDANCE_CIQ">"c5055"</definedName>
    <definedName name="IQ_RETURN_ASSETS_GUIDANCE_CIQ_COL">"c11702"</definedName>
    <definedName name="IQ_RETURN_ASSETS_HIGH_EST" hidden="1">"c3530"</definedName>
    <definedName name="IQ_RETURN_ASSETS_HIGH_EST_REUT" hidden="1">"c3992"</definedName>
    <definedName name="IQ_RETURN_ASSETS_HIGH_EST_THOM" hidden="1">"c4036"</definedName>
    <definedName name="IQ_RETURN_ASSETS_HIGH_GUIDANCE" hidden="1">"c4183"</definedName>
    <definedName name="IQ_RETURN_ASSETS_HIGH_GUIDANCE_CIQ">"c4595"</definedName>
    <definedName name="IQ_RETURN_ASSETS_HIGH_GUIDANCE_CIQ_COL">"c11244"</definedName>
    <definedName name="IQ_RETURN_ASSETS_LOW_EST" hidden="1">"c3531"</definedName>
    <definedName name="IQ_RETURN_ASSETS_LOW_EST_REUT" hidden="1">"c3993"</definedName>
    <definedName name="IQ_RETURN_ASSETS_LOW_EST_THOM" hidden="1">"c4037"</definedName>
    <definedName name="IQ_RETURN_ASSETS_LOW_GUIDANCE" hidden="1">"c4223"</definedName>
    <definedName name="IQ_RETURN_ASSETS_LOW_GUIDANCE_CIQ">"c4635"</definedName>
    <definedName name="IQ_RETURN_ASSETS_LOW_GUIDANCE_CIQ_COL">"c11284"</definedName>
    <definedName name="IQ_RETURN_ASSETS_MEDIAN_EST" hidden="1">"c3532"</definedName>
    <definedName name="IQ_RETURN_ASSETS_MEDIAN_EST_REUT" hidden="1">"c3991"</definedName>
    <definedName name="IQ_RETURN_ASSETS_MEDIAN_EST_THOM" hidden="1">"c4035"</definedName>
    <definedName name="IQ_RETURN_ASSETS_NUM_EST" hidden="1">"c3527"</definedName>
    <definedName name="IQ_RETURN_ASSETS_NUM_EST_REUT" hidden="1">"c3994"</definedName>
    <definedName name="IQ_RETURN_ASSETS_NUM_EST_THOM" hidden="1">"c4038"</definedName>
    <definedName name="IQ_RETURN_ASSETS_STDDEV_EST" hidden="1">"c3528"</definedName>
    <definedName name="IQ_RETURN_ASSETS_STDDEV_EST_REUT" hidden="1">"c3995"</definedName>
    <definedName name="IQ_RETURN_ASSETS_STDDEV_EST_THOM" hidden="1">"c4039"</definedName>
    <definedName name="IQ_RETURN_CAPITAL" hidden="1">"c1117"</definedName>
    <definedName name="IQ_RETURN_COMMON_EQUITY">"c13838"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DET_EST" hidden="1">"c12067"</definedName>
    <definedName name="IQ_RETURN_EQUITY_DET_EST_DATE" hidden="1">"c12220"</definedName>
    <definedName name="IQ_RETURN_EQUITY_DET_EST_DATE_THOM" hidden="1">"c12248"</definedName>
    <definedName name="IQ_RETURN_EQUITY_DET_EST_INCL" hidden="1">"c12357"</definedName>
    <definedName name="IQ_RETURN_EQUITY_DET_EST_INCL_THOM" hidden="1">"c12380"</definedName>
    <definedName name="IQ_RETURN_EQUITY_DET_EST_ORIGIN" hidden="1">"c12592"</definedName>
    <definedName name="IQ_RETURN_EQUITY_DET_EST_ORIGIN_THOM" hidden="1">"c12618"</definedName>
    <definedName name="IQ_RETURN_EQUITY_DET_EST_THOM" hidden="1">"c12098"</definedName>
    <definedName name="IQ_RETURN_EQUITY_EST" hidden="1">"c3535"</definedName>
    <definedName name="IQ_RETURN_EQUITY_EST_REUT" hidden="1">"c3983"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GUIDANCE_CIQ">"c5056"</definedName>
    <definedName name="IQ_RETURN_EQUITY_GUIDANCE_CIQ_COL">"c11703"</definedName>
    <definedName name="IQ_RETURN_EQUITY_HIGH_EST" hidden="1">"c3536"</definedName>
    <definedName name="IQ_RETURN_EQUITY_HIGH_EST_REUT" hidden="1">"c3985"</definedName>
    <definedName name="IQ_RETURN_EQUITY_HIGH_EST_THOM" hidden="1">"c5283"</definedName>
    <definedName name="IQ_RETURN_EQUITY_HIGH_GUIDANCE" hidden="1">"c4182"</definedName>
    <definedName name="IQ_RETURN_EQUITY_HIGH_GUIDANCE_CIQ">"c4594"</definedName>
    <definedName name="IQ_RETURN_EQUITY_HIGH_GUIDANCE_CIQ_COL">"c11243"</definedName>
    <definedName name="IQ_RETURN_EQUITY_LOW_EST" hidden="1">"c3537"</definedName>
    <definedName name="IQ_RETURN_EQUITY_LOW_EST_REUT" hidden="1">"c3986"</definedName>
    <definedName name="IQ_RETURN_EQUITY_LOW_EST_THOM" hidden="1">"c5284"</definedName>
    <definedName name="IQ_RETURN_EQUITY_LOW_GUIDANCE" hidden="1">"c4222"</definedName>
    <definedName name="IQ_RETURN_EQUITY_LOW_GUIDANCE_CIQ">"c4634"</definedName>
    <definedName name="IQ_RETURN_EQUITY_LOW_GUIDANCE_CIQ_COL">"c11283"</definedName>
    <definedName name="IQ_RETURN_EQUITY_MEDIAN_EST" hidden="1">"c3538"</definedName>
    <definedName name="IQ_RETURN_EQUITY_MEDIAN_EST_REUT" hidden="1">"c3984"</definedName>
    <definedName name="IQ_RETURN_EQUITY_MEDIAN_EST_THOM" hidden="1">"c5282"</definedName>
    <definedName name="IQ_RETURN_EQUITY_NUM_EST" hidden="1">"c3533"</definedName>
    <definedName name="IQ_RETURN_EQUITY_NUM_EST_REUT" hidden="1">"c3987"</definedName>
    <definedName name="IQ_RETURN_EQUITY_NUM_EST_THOM" hidden="1">"c5285"</definedName>
    <definedName name="IQ_RETURN_EQUITY_STDDEV_EST" hidden="1">"c3534"</definedName>
    <definedName name="IQ_RETURN_EQUITY_STDDEV_EST_REUT" hidden="1">"c3988"</definedName>
    <definedName name="IQ_RETURN_EQUITY_STDDEV_EST_THOM" hidden="1">"c5286"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BEFORE_LOAN_LOSS_FOREIGN_FFIEC">"c15381"</definedName>
    <definedName name="IQ_REV_DET_EST" hidden="1">"c12065"</definedName>
    <definedName name="IQ_REV_DET_EST_CURRENCY" hidden="1">"c12472"</definedName>
    <definedName name="IQ_REV_DET_EST_CURRENCY_THOM" hidden="1">"c12495"</definedName>
    <definedName name="IQ_REV_DET_EST_DATE" hidden="1">"c12218"</definedName>
    <definedName name="IQ_REV_DET_EST_DATE_THOM" hidden="1">"c12246"</definedName>
    <definedName name="IQ_REV_DET_EST_INCL" hidden="1">"c12355"</definedName>
    <definedName name="IQ_REV_DET_EST_INCL_THOM" hidden="1">"c12378"</definedName>
    <definedName name="IQ_REV_DET_EST_ORIGIN" hidden="1">"c12590"</definedName>
    <definedName name="IQ_REV_DET_EST_ORIGIN_THOM" hidden="1">"c12616"</definedName>
    <definedName name="IQ_REV_DET_EST_THOM" hidden="1">"c12096"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STDDEV_EST_THOM" hidden="1">"c3657"</definedName>
    <definedName name="IQ_REV_UTI" hidden="1">"c1125"</definedName>
    <definedName name="IQ_REVALUATION_GAINS_DERIVATIVE_DOM_FFIEC">"c12828"</definedName>
    <definedName name="IQ_REVALUATION_GAINS_DERIVATIVE_FOREIGN_FFIEC">"c12829"</definedName>
    <definedName name="IQ_REVALUATION_GAINS_FDIC" hidden="1">"c6428"</definedName>
    <definedName name="IQ_REVALUATION_LOSSES_FDIC" hidden="1">"c6429"</definedName>
    <definedName name="IQ_REVALUATION_NON_TRADING_PROP">"c15999"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ACT_OR_EST_CIQ_COL" hidden="1">"c11706"</definedName>
    <definedName name="IQ_REVENUE_ACT_OR_EST_REUT" hidden="1">"c5461"</definedName>
    <definedName name="IQ_REVENUE_ACT_OR_EST_THOM" hidden="1">"c5299"</definedName>
    <definedName name="IQ_REVENUE_ADVERTISING">"c2880"</definedName>
    <definedName name="IQ_REVENUE_ANALOG_CABLE">"c2875"</definedName>
    <definedName name="IQ_REVENUE_BASIC_CABLE">"c2877"</definedName>
    <definedName name="IQ_REVENUE_BBAND">"c2878"</definedName>
    <definedName name="IQ_REVENUE_BEFORE_LL_FFIEC">"c13018"</definedName>
    <definedName name="IQ_REVENUE_COMMERCIAL">"c2881"</definedName>
    <definedName name="IQ_REVENUE_DIGITAL_CABLE">"c2876"</definedName>
    <definedName name="IQ_REVENUE_EST" hidden="1">"c1126"</definedName>
    <definedName name="IQ_REVENUE_EST_1" hidden="1">"c190"</definedName>
    <definedName name="IQ_REVENUE_EST_BOTTOM_UP" hidden="1">"c5488"</definedName>
    <definedName name="IQ_REVENUE_EST_BOTTOM_UP_CIQ" hidden="1">"c12025"</definedName>
    <definedName name="IQ_REVENUE_EST_BOTTOM_UP_REUT" hidden="1">"c5496"</definedName>
    <definedName name="IQ_REVENUE_EST_CIQ" hidden="1">"c3616"</definedName>
    <definedName name="IQ_REVENUE_EST_DOWN_2MONTH" hidden="1">"c16285"</definedName>
    <definedName name="IQ_REVENUE_EST_DOWN_2MONTH_CIQ" hidden="1">"c16609"</definedName>
    <definedName name="IQ_REVENUE_EST_DOWN_3MONTH" hidden="1">"c16289"</definedName>
    <definedName name="IQ_REVENUE_EST_DOWN_3MONTH_CIQ" hidden="1">"c16613"</definedName>
    <definedName name="IQ_REVENUE_EST_DOWN_MONTH" hidden="1">"c16281"</definedName>
    <definedName name="IQ_REVENUE_EST_DOWN_MONTH_CIQ" hidden="1">"c16605"</definedName>
    <definedName name="IQ_REVENUE_EST_NOTE" hidden="1">"c17502"</definedName>
    <definedName name="IQ_REVENUE_EST_NOTE_CIQ" hidden="1">"c17455"</definedName>
    <definedName name="IQ_REVENUE_EST_NUM_ANALYSTS_2MONTH" hidden="1">"c16283"</definedName>
    <definedName name="IQ_REVENUE_EST_NUM_ANALYSTS_2MONTH_CIQ" hidden="1">"c16607"</definedName>
    <definedName name="IQ_REVENUE_EST_NUM_ANALYSTS_3MONTH" hidden="1">"c16287"</definedName>
    <definedName name="IQ_REVENUE_EST_NUM_ANALYSTS_3MONTH_CIQ" hidden="1">"c16611"</definedName>
    <definedName name="IQ_REVENUE_EST_NUM_ANALYSTS_MONTH" hidden="1">"c16279"</definedName>
    <definedName name="IQ_REVENUE_EST_NUM_ANALYSTS_MONTH_CIQ" hidden="1">"c16603"</definedName>
    <definedName name="IQ_REVENUE_EST_REUT" hidden="1">"c3634"</definedName>
    <definedName name="IQ_REVENUE_EST_THOM" hidden="1">"c3652"</definedName>
    <definedName name="IQ_REVENUE_EST_TOTAL_REVISED_2MONTH" hidden="1">"c16286"</definedName>
    <definedName name="IQ_REVENUE_EST_TOTAL_REVISED_2MONTH_CIQ" hidden="1">"c16610"</definedName>
    <definedName name="IQ_REVENUE_EST_TOTAL_REVISED_3MONTH" hidden="1">"c16290"</definedName>
    <definedName name="IQ_REVENUE_EST_TOTAL_REVISED_3MONTH_CIQ" hidden="1">"c16614"</definedName>
    <definedName name="IQ_REVENUE_EST_TOTAL_REVISED_MONTH" hidden="1">"c16282"</definedName>
    <definedName name="IQ_REVENUE_EST_TOTAL_REVISED_MONTH_CIQ" hidden="1">"c16606"</definedName>
    <definedName name="IQ_REVENUE_EST_UP_2MONTH" hidden="1">"c16284"</definedName>
    <definedName name="IQ_REVENUE_EST_UP_2MONTH_CIQ" hidden="1">"c16608"</definedName>
    <definedName name="IQ_REVENUE_EST_UP_3MONTH" hidden="1">"c16288"</definedName>
    <definedName name="IQ_REVENUE_EST_UP_3MONTH_CIQ" hidden="1">"c16612"</definedName>
    <definedName name="IQ_REVENUE_EST_UP_MONTH" hidden="1">"c16280"</definedName>
    <definedName name="IQ_REVENUE_EST_UP_MONTH_CIQ" hidden="1">"c16604"</definedName>
    <definedName name="IQ_REVENUE_GROWTH_1" hidden="1">"c155"</definedName>
    <definedName name="IQ_REVENUE_GROWTH_2" hidden="1">"c159"</definedName>
    <definedName name="IQ_REVENUE_GUIDANCE" hidden="1">"c4519"</definedName>
    <definedName name="IQ_REVENUE_GUIDANCE_CIQ">"c5057"</definedName>
    <definedName name="IQ_REVENUE_GUIDANCE_CIQ_COL">"c11704"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EST_THOM" hidden="1">"c3654"</definedName>
    <definedName name="IQ_REVENUE_HIGH_GUIDANCE" hidden="1">"c4169"</definedName>
    <definedName name="IQ_REVENUE_HIGH_GUIDANCE_CIQ">"c4581"</definedName>
    <definedName name="IQ_REVENUE_HIGH_GUIDANCE_CIQ_COL">"c11230"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EST_THOM" hidden="1">"c3655"</definedName>
    <definedName name="IQ_REVENUE_LOW_GUIDANCE" hidden="1">"c4209"</definedName>
    <definedName name="IQ_REVENUE_LOW_GUIDANCE_CIQ">"c4621"</definedName>
    <definedName name="IQ_REVENUE_LOW_GUIDANCE_CIQ_COL">"c11270"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MEDIAN_EST_THOM" hidden="1">"c3653"</definedName>
    <definedName name="IQ_REVENUE_NO_EST" hidden="1">"c263"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NUM_EST_THOM" hidden="1">"c3656"</definedName>
    <definedName name="IQ_REVENUE_OTHER">"c2882"</definedName>
    <definedName name="IQ_REVENUE_PHONE">"c2879"</definedName>
    <definedName name="IQ_REVENUE_TOTAL">"c2883"</definedName>
    <definedName name="IQ_REVENUES_SATELLITE">"c15792"</definedName>
    <definedName name="IQ_REVENUES_WIRELESS">"c15793"</definedName>
    <definedName name="IQ_REVERSE_REPO">"c19131"</definedName>
    <definedName name="IQ_REVISION_DATE_" hidden="1">39839.3672337963</definedName>
    <definedName name="IQ_REVISION_DATE__1" hidden="1">39125.817037037</definedName>
    <definedName name="IQ_REVOLV_OPEN_SECURED_1_4_LL_REC_DOM_FFIEC">"c12902"</definedName>
    <definedName name="IQ_REVOLVING_HOME_EQUITY_LINES_UNUSED_FFIEC">"c13241"</definedName>
    <definedName name="IQ_REVOLVING_LOANS_GROSS_LOANS_FFIEC">"c13398"</definedName>
    <definedName name="IQ_REVOLVING_LOANS_RISK_BASED_FFIEC">"c13419"</definedName>
    <definedName name="IQ_REVOLVING_LOANS_SEC_1_4_DOM_CHARGE_OFFS_FFIEC">"c13168"</definedName>
    <definedName name="IQ_REVOLVING_LOANS_SEC_1_4_DOM_RECOV_FFIEC">"c13190"</definedName>
    <definedName name="IQ_REVOLVING_OPEN_END_1_4_TRADING_DOM_FFIEC">"c12927"</definedName>
    <definedName name="IQ_REVOLVING_SECURED_1_–4_NON_ACCRUAL_FFIEC" hidden="1">"c15565"</definedName>
    <definedName name="IQ_REVOLVING_SECURED_1_4_DUE_30_89_FFIEC">"c13260"</definedName>
    <definedName name="IQ_REVOLVING_SECURED_1_4_DUE_90_FFIEC">"c13288"</definedName>
    <definedName name="IQ_REVOLVING_SECURED_1_4_NON_ACCRUAL_FFIEC" hidden="1">"c13314"</definedName>
    <definedName name="IQ_RGU">"c2863"</definedName>
    <definedName name="IQ_RISK_ADJ_BANK_ASSETS" hidden="1">"c2670"</definedName>
    <definedName name="IQ_RISK_WEIGHTED_ASSETS_0_PCT_FFIEC">"c18874"</definedName>
    <definedName name="IQ_RISK_WEIGHTED_ASSETS_100_PCT_FFIEC">"c18877"</definedName>
    <definedName name="IQ_RISK_WEIGHTED_ASSETS_20_PCT_FFIEC">"c18875"</definedName>
    <definedName name="IQ_RISK_WEIGHTED_ASSETS_50_PCT_FFIEC">"c18876"</definedName>
    <definedName name="IQ_RISK_WEIGHTED_ASSETS_FDIC" hidden="1">"c6370"</definedName>
    <definedName name="IQ_ROAM_MIN_USE_OTHER_CARRIERS">"c15765"</definedName>
    <definedName name="IQ_ROYALTIES_DUE_AFTER_FIVE">"c15969"</definedName>
    <definedName name="IQ_ROYALTIES_DUE_CY">"c15964"</definedName>
    <definedName name="IQ_ROYALTIES_DUE_CY1">"c15965"</definedName>
    <definedName name="IQ_ROYALTIES_DUE_CY2">"c15966"</definedName>
    <definedName name="IQ_ROYALTIES_DUE_CY3">"c15967"</definedName>
    <definedName name="IQ_ROYALTIES_DUE_CY4">"c15968"</definedName>
    <definedName name="IQ_ROYALTY_REVENUE_COAL">"c15932"</definedName>
    <definedName name="IQ_RSI" hidden="1">"c12704"</definedName>
    <definedName name="IQ_RSI_ADJ" hidden="1">"c12705"</definedName>
    <definedName name="IQ_RSSD_ID_FFIEC" hidden="1">"c20506"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>"c13023"</definedName>
    <definedName name="IQ_SALARIES_OTHER_BENEFITS">"c16176"</definedName>
    <definedName name="IQ_SALARY" hidden="1">"c1130"</definedName>
    <definedName name="IQ_SALARY_FDIC" hidden="1">"c6576"</definedName>
    <definedName name="IQ_SALE_COMMON_GROSS_FFIEC">"c12963"</definedName>
    <definedName name="IQ_SALE_CONVERSION_ACQUISITION_NET_COMMON_FFIEC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>"c12961"</definedName>
    <definedName name="IQ_SALE_PROP">"c16029"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>"c12965"</definedName>
    <definedName name="IQ_SALES_COAL">"c15930"</definedName>
    <definedName name="IQ_SALES_MARKETING" hidden="1">"c2240"</definedName>
    <definedName name="IQ_SALES_TO_TOTAL_REVENUE_COAL">"c15943"</definedName>
    <definedName name="IQ_SAME_PROP_AGG_GLA">"c16055"</definedName>
    <definedName name="IQ_SAME_PROP_AGG_UNITS">"c16053"</definedName>
    <definedName name="IQ_SAME_PROP_EXPENSE">"c16050"</definedName>
    <definedName name="IQ_SAME_PROP_EXPENSE_GROWTH">"c16051"</definedName>
    <definedName name="IQ_SAME_PROP_NUMBER_PROP">"c16052"</definedName>
    <definedName name="IQ_SAME_PROP_PORTFOLIO_AREA">"c16054"</definedName>
    <definedName name="IQ_SAME_PROP_REV_GROWTH">"c16049"</definedName>
    <definedName name="IQ_SAME_PROP_REVENUE">"c16048"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ACCT_DEPOSITS_TOTAL_DEPOSITS">"c15721"</definedName>
    <definedName name="IQ_SAVINGS_DEPOSITS_NON_TRANS_ACCTS_FFIEC">"c15329"</definedName>
    <definedName name="IQ_SAVINGS_DEPOSITS_QUARTERLY_AVG_FFIEC">"c15485"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>"c13077"</definedName>
    <definedName name="IQ_SCALABLE_INFRASTRUCTURE_CABLE_INVEST">"c15802"</definedName>
    <definedName name="IQ_SEC_1_4_CONSTRUCTION_DOM_CHARGE_OFFS_FFIEC">"c13165"</definedName>
    <definedName name="IQ_SEC_1_4_CONSTRUCTION_DOM_RECOV_FFIEC">"c13187"</definedName>
    <definedName name="IQ_SEC_BORROWED_OFF_BS_FFIEC">"c13127"</definedName>
    <definedName name="IQ_SEC_FARMLAND_DOM_CHARGE_OFFS_FFIEC">"c13167"</definedName>
    <definedName name="IQ_SEC_FARMLAND_DOM_RECOV_FFIEC">"c13189"</definedName>
    <definedName name="IQ_SEC_FUNDS_PURCHASED_ASSETS_TOT_FFIEC">"c13447"</definedName>
    <definedName name="IQ_SEC_ISSUED_US_AFS_AMORT_COST_FFIEC" hidden="1">"c20492"</definedName>
    <definedName name="IQ_SEC_ISSUED_US_AFS_FAIR_VAL_FFIEC" hidden="1">"c20457"</definedName>
    <definedName name="IQ_SEC_ISSUED_US_AVAIL_SALE_FFIEC">"c12795"</definedName>
    <definedName name="IQ_SEC_ISSUED_US_TRADING_DOM_FFIEC">"c12920"</definedName>
    <definedName name="IQ_SEC_ISSUED_US_TRADING_FFIEC">"c12815"</definedName>
    <definedName name="IQ_SEC_MULTIFAM_DOM_CHARGE_OFFS_FFIEC">"c13171"</definedName>
    <definedName name="IQ_SEC_MULTIFAM_DOM_DUE_30_89_FFIEC">"c13263"</definedName>
    <definedName name="IQ_SEC_MULTIFAM_DOM_DUE_90_FFIEC">"c13291"</definedName>
    <definedName name="IQ_SEC_MULTIFAM_DOM_NON_ACCRUAL_FFIEC">"c13317"</definedName>
    <definedName name="IQ_SEC_MULTIFAM_DOM_RECOV_FFIEC">"c13193"</definedName>
    <definedName name="IQ_SEC_NONFARM_NONRES_CHARGE_OFFS_FFIEC">"c13629"</definedName>
    <definedName name="IQ_SEC_NONFARM_NONRES_DOM_OFFICES_DUE_30_89_FFIEC">"c13264"</definedName>
    <definedName name="IQ_SEC_NONFARM_NONRES_DOM_OFFICES_DUE_90_FFIEC">"c13292"</definedName>
    <definedName name="IQ_SEC_NONFARM_NONRES_DOM_OFFICES_NON_ACCRUAL_FFIEC">"c13318"</definedName>
    <definedName name="IQ_SEC_NONFARM_NONRES_RECOV_FFIEC">"c13633"</definedName>
    <definedName name="IQ_SEC_OTHER_CONSTRUCTION_DOM_CHARGE_OFFS_FFIEC">"c13166"</definedName>
    <definedName name="IQ_SEC_OTHER_CONSTRUCTION_DOM_RECOV_FFIEC">"c13188"</definedName>
    <definedName name="IQ_SEC_OTHER_NONFARM_NONRES_CHARGE_OFFS_FFIEC">"c13173"</definedName>
    <definedName name="IQ_SEC_OTHER_NONFARM_NONRES_DUE_30_89_FFIEC">"c13266"</definedName>
    <definedName name="IQ_SEC_OTHER_NONFARM_NONRES_DUE_90_FFIEC">"c13637"</definedName>
    <definedName name="IQ_SEC_OTHER_NONFARM_NONRES_NON_ACCRUAL_FFIEC">"c15462"</definedName>
    <definedName name="IQ_SEC_OTHER_NONFARM_NONRES_RECOV_FFIEC">"c13195"</definedName>
    <definedName name="IQ_SEC_OWNER_NONFARM_NONRES_CHARGE_OFFS_FFIEC">"c13172"</definedName>
    <definedName name="IQ_SEC_OWNER_NONFARM_NONRES_DUE_30_89_FFIEC">"c13265"</definedName>
    <definedName name="IQ_SEC_OWNER_NONFARM_NONRES_DUE_90_FFIEC">"c13636"</definedName>
    <definedName name="IQ_SEC_OWNER_NONFARM_NONRES_NON_ACCRUAL_FFIEC">"c15461"</definedName>
    <definedName name="IQ_SEC_OWNER_NONFARM_NONRES_RECOV_FFIEC">"c13194"</definedName>
    <definedName name="IQ_SEC_PURCHASED_RESELL" hidden="1">"c5513"</definedName>
    <definedName name="IQ_SEC_PURCHASED_RESELL_FFIEC">"c12807"</definedName>
    <definedName name="IQ_SEC_RE_FOREIGN_DUE_30_89_FFIEC">"c13267"</definedName>
    <definedName name="IQ_SEC_RE_FOREIGN_DUE_90_FFIEC">"c13293"</definedName>
    <definedName name="IQ_SEC_RE_FOREIGN_NON_ACCRUAL_FFIEC">"c13319"</definedName>
    <definedName name="IQ_SEC_SOLD_REPURCHASE_FFIEC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>"c13259"</definedName>
    <definedName name="IQ_SECURED_FARMLAND_DOM_DUE_90_FFIEC">"c13287"</definedName>
    <definedName name="IQ_SECURED_FARMLAND_DOM_NON_ACCRUAL_FFIEC">"c13313"</definedName>
    <definedName name="IQ_SECURED_FARMLAND_LL_REC_DOM_FFIEC">"c12901"</definedName>
    <definedName name="IQ_SECURED_FARMLAND_NET_CHARGE_OFFS_FDIC" hidden="1">"c6631"</definedName>
    <definedName name="IQ_SECURED_FARMLAND_RECOVERIES_FDIC" hidden="1">"c6612"</definedName>
    <definedName name="IQ_SECURED_MULTI_RES_LL_REC_DOM_FFIEC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AFS_AMORT_COST_FFIEC" hidden="1">"c20488"</definedName>
    <definedName name="IQ_SECURITIES_AFS_FAIR_VAL_FFIEC" hidden="1">"c20453"</definedName>
    <definedName name="IQ_SECURITIES_GAINS_FDIC" hidden="1">"c6584"</definedName>
    <definedName name="IQ_SECURITIES_HELD_MATURITY_FFIEC">"c12777"</definedName>
    <definedName name="IQ_SECURITIES_HTM_AMORT_COST_FFIEC" hidden="1">"c20436"</definedName>
    <definedName name="IQ_SECURITIES_HTM_FAIR_VAL_FFIEC" hidden="1">"c20471"</definedName>
    <definedName name="IQ_SECURITIES_ISSUED_STATES_FDIC" hidden="1">"c6300"</definedName>
    <definedName name="IQ_SECURITIES_ISSUED_US_FFIEC">"c12781"</definedName>
    <definedName name="IQ_SECURITIES_ISSUED_US_HTM_AMORT_COST_FFIEC" hidden="1">"c20440"</definedName>
    <definedName name="IQ_SECURITIES_ISSUED_US_HTM_FAIR_VAL_FFIEC" hidden="1">"c20475"</definedName>
    <definedName name="IQ_SECURITIES_LENT_FDIC" hidden="1">"c6532"</definedName>
    <definedName name="IQ_SECURITIES_LENT_FFIEC">"c13255"</definedName>
    <definedName name="IQ_SECURITIES_QUARTERLY_AVG_FFIEC">"c13079"</definedName>
    <definedName name="IQ_SECURITIES_STATE_POLI_SUBD_QUARTERLY_AVG_FFIEC">"c15470"</definedName>
    <definedName name="IQ_SECURITIES_UNDERWRITING_FDIC" hidden="1">"c6529"</definedName>
    <definedName name="IQ_SECURITIES_UNDERWRITING_UNUSED_FFIEC">"c13247"</definedName>
    <definedName name="IQ_SECURITIZATION_INC_OPERATING_INC_FFIEC">"c13390"</definedName>
    <definedName name="IQ_SECURITIZATION_INCOME_FFIEC">"c13012"</definedName>
    <definedName name="IQ_SECURITY_ACTIVE_STATUS">"c15160"</definedName>
    <definedName name="IQ_SECURITY_BORROW" hidden="1">"c1152"</definedName>
    <definedName name="IQ_SECURITY_LEVEL" hidden="1">"c2159"</definedName>
    <definedName name="IQ_SECURITY_NAME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>"c12042"</definedName>
    <definedName name="IQ_SELECTED_FOREIGN_ASSETS_FFIEC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>"c13105"</definedName>
    <definedName name="IQ_SEPARATE_ACCOUNT_LIAB_LH_FFIEC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>"c13003"</definedName>
    <definedName name="IQ_SERVICE_CHARGES_FDIC" hidden="1">"c6572"</definedName>
    <definedName name="IQ_SERVICE_CHARGES_OPERATING_INC_FFIEC">"c13384"</definedName>
    <definedName name="IQ_SERVICE_FEE" hidden="1">"c8951"</definedName>
    <definedName name="IQ_SERVICING_FEES_FFIEC">"c13011"</definedName>
    <definedName name="IQ_SERVICING_FEES_OPERATING_INC_FFIEC">"c13389"</definedName>
    <definedName name="IQ_SETTLEMENT_PRICE" hidden="1">"c15157"</definedName>
    <definedName name="IQ_SETTLEMENTS_TAX_AUTHORITIES">"c15737"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_PARTNERSHIP_ASSETS">"c16071"</definedName>
    <definedName name="IQ_SHARE_PARTNERSHIP_CONSOL_JV_DEBT">"c19139"</definedName>
    <definedName name="IQ_SHARE_PARTNERSHIP_CURRENT_ASSETS">"c16069"</definedName>
    <definedName name="IQ_SHARE_PARTNERSHIP_CURRENT_LIAB">"c16073"</definedName>
    <definedName name="IQ_SHARE_PARTNERSHIP_CURRENT_TAX">"c16091"</definedName>
    <definedName name="IQ_SHARE_PARTNERSHIP_DEBT">"c16078"</definedName>
    <definedName name="IQ_SHARE_PARTNERSHIP_DEFERRED_TAX">"c16092"</definedName>
    <definedName name="IQ_SHARE_PARTNERSHIP_DEPRECIATION">"c16089"</definedName>
    <definedName name="IQ_SHARE_PARTNERSHIP_FLOAT_DEBT">"c16077"</definedName>
    <definedName name="IQ_SHARE_PARTNERSHIP_FR_DEBT">"c16076"</definedName>
    <definedName name="IQ_SHARE_PARTNERSHIP_INT_EXPENSE">"c16088"</definedName>
    <definedName name="IQ_SHARE_PARTNERSHIP_INT_INCOME">"c16090"</definedName>
    <definedName name="IQ_SHARE_PARTNERSHIP_LIAB">"c16075"</definedName>
    <definedName name="IQ_SHARE_PARTNERSHIP_LT_ASSETS">"c16070"</definedName>
    <definedName name="IQ_SHARE_PARTNERSHIP_NOI">"c16084"</definedName>
    <definedName name="IQ_SHARE_PARTNERSHIP_NON_CURRENT_LIAB">"c16074"</definedName>
    <definedName name="IQ_SHARE_PARTNERSHIP_OPEX">"c16086"</definedName>
    <definedName name="IQ_SHARE_PARTNERSHIP_OTHER_EXPENSE">"c16087"</definedName>
    <definedName name="IQ_SHARE_PARTNERSHIP_OTHER_INCOME">"c16085"</definedName>
    <definedName name="IQ_SHARE_PARTNERSHIP_REVENUE">"c16083"</definedName>
    <definedName name="IQ_SHARE_RE_ASSET">"c16082"</definedName>
    <definedName name="IQ_SHARE_RE_ASSET_DEVELOP_PROP">"c16080"</definedName>
    <definedName name="IQ_SHARE_RE_ASSET_INV_PROP">"c16079"</definedName>
    <definedName name="IQ_SHARE_RE_ASSET_OTHER">"c16081"</definedName>
    <definedName name="IQ_SHAREOUTSTANDING" hidden="1">"c1347"</definedName>
    <definedName name="IQ_SHARES_PER_DR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OVER_INST_OWNERSHIP" hidden="1">"c17422"</definedName>
    <definedName name="IQ_SHORT_INTEREST_PERCENT" hidden="1">"c1576"</definedName>
    <definedName name="IQ_SHORT_INTEREST_VOLUME" hidden="1">"c228"</definedName>
    <definedName name="IQ_SHORT_POSITIONS_FFIEC">"c12859"</definedName>
    <definedName name="IQ_SHORT_SCORE_DX" hidden="1">"c17439"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LD_COAL">"c15936"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>"c13616"</definedName>
    <definedName name="IQ_SP_ISSUE_NSR_ACTION_ST">"c13622"</definedName>
    <definedName name="IQ_SP_ISSUE_NSR_DATE_LT">"c13615"</definedName>
    <definedName name="IQ_SP_ISSUE_NSR_DATE_ST">"c13621"</definedName>
    <definedName name="IQ_SP_ISSUE_NSR_LT">"c13614"</definedName>
    <definedName name="IQ_SP_ISSUE_NSR_ST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>"c13613"</definedName>
    <definedName name="IQ_SP_NSR_ACTION_ST">"c13619"</definedName>
    <definedName name="IQ_SP_NSR_DATE_LT">"c13612"</definedName>
    <definedName name="IQ_SP_NSR_DATE_ST">"c13618"</definedName>
    <definedName name="IQ_SP_NSR_LT">"c13611"</definedName>
    <definedName name="IQ_SP_NSR_ST">"c13617"</definedName>
    <definedName name="IQ_SP_OUTLOOK_WATCH" hidden="1">"c2639"</definedName>
    <definedName name="IQ_SP_OUTLOOK_WATCH_DATE" hidden="1">"c2638"</definedName>
    <definedName name="IQ_SP_QUALITY_RANKING_DESCRIPTION" hidden="1">"c17410"</definedName>
    <definedName name="IQ_SP_QUALITY_RANKING_VALUE" hidden="1">"c17409"</definedName>
    <definedName name="IQ_SP_REASON" hidden="1">"c2174"</definedName>
    <definedName name="IQ_SP_STARS_DESCRIPTION" hidden="1">"c17408"</definedName>
    <definedName name="IQ_SP_STARS_VALUE" hidden="1">"c17407"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ALTIES">"c18932"</definedName>
    <definedName name="IQ_SPECIFIC_ALLOWANCE">"c15247"</definedName>
    <definedName name="IQ_SPONSORS">"c18920"</definedName>
    <definedName name="IQ_SPONSORS_ID">"c18921"</definedName>
    <definedName name="IQ_SPOT_CLOSEPRICE" hidden="1">"c17802"</definedName>
    <definedName name="IQ_SPOT_HIGHPRICE" hidden="1">"c17800"</definedName>
    <definedName name="IQ_SPOT_LASTSALEPRICE" hidden="1">"c17806"</definedName>
    <definedName name="IQ_SPOT_LOWPRICE" hidden="1">"c17801"</definedName>
    <definedName name="IQ_SPOT_PRICEDATE" hidden="1">"c17805"</definedName>
    <definedName name="IQ_SPOT_YEARHIGH" hidden="1">"c17803"</definedName>
    <definedName name="IQ_SPOT_YEARLOW" hidden="1">"c17804"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DERIVATIVES" hidden="1">"c17741"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>"c13438"</definedName>
    <definedName name="IQ_ST_INVEST_ST_NONCORE_FUNDING_FFIEC">"c13338"</definedName>
    <definedName name="IQ_ST_INVEST_UTI" hidden="1">"c1198"</definedName>
    <definedName name="IQ_ST_NOTE_RECEIV" hidden="1">"c1199"</definedName>
    <definedName name="IQ_STAND_REC_DET_EST" hidden="1">"c12069"</definedName>
    <definedName name="IQ_STAND_REC_DET_EST_DATE" hidden="1">"c12222"</definedName>
    <definedName name="IQ_STAND_REC_DET_EST_DATE_THOM" hidden="1">"c12250"</definedName>
    <definedName name="IQ_STAND_REC_DET_EST_ORIGIN" hidden="1">"c12594"</definedName>
    <definedName name="IQ_STAND_REC_DET_EST_ORIGIN_THOM" hidden="1">"c12620"</definedName>
    <definedName name="IQ_STAND_REC_DET_EST_THOM" hidden="1">"c12100"</definedName>
    <definedName name="IQ_STAND_REC_NUM_DET_EST" hidden="1">"c12068"</definedName>
    <definedName name="IQ_STAND_REC_NUM_DET_EST_DATE" hidden="1">"c12221"</definedName>
    <definedName name="IQ_STAND_REC_NUM_DET_EST_DATE_THOM" hidden="1">"c12249"</definedName>
    <definedName name="IQ_STAND_REC_NUM_DET_EST_ORIGIN" hidden="1">"c12593"</definedName>
    <definedName name="IQ_STAND_REC_NUM_DET_EST_ORIGIN_THOM" hidden="1">"c12619"</definedName>
    <definedName name="IQ_STAND_REC_NUM_DET_EST_THOM" hidden="1">"c12099"</definedName>
    <definedName name="IQ_STANDBY_LOC_FHLB_BANK_BEHALF_OFF_BS_FFIEC">"c15412"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POLI_SUBD_US_NON_TRANS_ACCTS_FFIEC">"c15324"</definedName>
    <definedName name="IQ_STATES_POLI_SUBD_US_TRANS_ACCTS_FFIEC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ATUTORY_SURPLUS_GAAP_EQUITY">"c15883"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EXPLORE_DRILL">"c13851"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IGHT_LINE_RENT_ADJ">"c16178"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>"c12844"</definedName>
    <definedName name="IQ_STRIPS_RECEIVABLE_OTHER_FFIEC">"c12845"</definedName>
    <definedName name="IQ_STRUCT_FIN_CLASS" hidden="1">"c8950"</definedName>
    <definedName name="IQ_STRUCT_FIN_SERIES" hidden="1">"c8956"</definedName>
    <definedName name="IQ_STRUCTURED_NOTES_INVEST_SECURITIES_FFIEC">"c13468"</definedName>
    <definedName name="IQ_STRUCTURING_NOTES_TIER_1_FFIEC">"c13344"</definedName>
    <definedName name="IQ_STW" hidden="1">"c2166"</definedName>
    <definedName name="IQ_STYLE_GROWTH_VALUE" hidden="1">"c19203"</definedName>
    <definedName name="IQ_STYLE_HIGH_YIELD" hidden="1">"c19204"</definedName>
    <definedName name="IQ_STYLE_MARKET_CAP" hidden="1">"c19202"</definedName>
    <definedName name="IQ_STYLE_REPORTED" hidden="1">"c19205"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>"c15410"</definedName>
    <definedName name="IQ_SUB_NOTES_DEBENTURES_FFIEC">"c12867"</definedName>
    <definedName name="IQ_SUB_NOTES_DEBENTURES_LEVEL_1_FFIEC">"c15432"</definedName>
    <definedName name="IQ_SUB_NOTES_DEBENTURES_LEVEL_2_FFIEC">"c15445"</definedName>
    <definedName name="IQ_SUB_NOTES_DEBENTURES_LEVEL_3_FFIEC">"c15458"</definedName>
    <definedName name="IQ_SUB_NOTES_PAYABLE_UNCONSOLIDATED_TRUSTS_FFIEC">"c12868"</definedName>
    <definedName name="IQ_SUBS_ANALOG_CABLE">"c2855"</definedName>
    <definedName name="IQ_SUBS_BASIC_CABLE">"c16205"</definedName>
    <definedName name="IQ_SUBS_BBAND">"c2858"</definedName>
    <definedName name="IQ_SUBS_BUNDLED">"c2861"</definedName>
    <definedName name="IQ_SUBS_DIG_CABLE">"c2856"</definedName>
    <definedName name="IQ_SUBS_NON_VIDEO">"c2860"</definedName>
    <definedName name="IQ_SUBS_PHONE">"c2859"</definedName>
    <definedName name="IQ_SUBS_POSTPAID_WIRELESS">"c2118"</definedName>
    <definedName name="IQ_SUBS_PREPAID_WIRELESS">"c2117"</definedName>
    <definedName name="IQ_SUBS_RESELL_WHOLESALE_WIRELESS">"c15749"</definedName>
    <definedName name="IQ_SUBS_TOTAL">"c2862"</definedName>
    <definedName name="IQ_SUBS_TOTAL_WIRELESS">"c2119"</definedName>
    <definedName name="IQ_SUBS_VIDEO">"c2857"</definedName>
    <definedName name="IQ_SUPPLIES_FFIEC">"c13050"</definedName>
    <definedName name="IQ_SUPPORT_INFRASTRUCTURE_CABLE_INVEST">"c15805"</definedName>
    <definedName name="IQ_SURFACE_RESERVES_COAL">"c15920"</definedName>
    <definedName name="IQ_SURFACE_RESERVES_TO_TOTAL_RESERVES_COAL">"c15959"</definedName>
    <definedName name="IQ_SURPLUS_FDIC" hidden="1">"c6351"</definedName>
    <definedName name="IQ_SURPLUS_FFIEC">"c12877"</definedName>
    <definedName name="IQ_SVA" hidden="1">"c1214"</definedName>
    <definedName name="IQ_SYMBOL_RT">"SYMBOL"</definedName>
    <definedName name="IQ_SYNTH_STRUCTURED_PRODUCTS_AFS_AMORT_COST_FFIEC" hidden="1">"c20501"</definedName>
    <definedName name="IQ_SYNTH_STRUCTURED_PRODUCTS_AFS_FAIR_VAL_FFIEC" hidden="1">"c20466"</definedName>
    <definedName name="IQ_SYNTH_STRUCTURED_PRODUCTS_HTM_AMORT_COST_FFIEC" hidden="1">"c20449"</definedName>
    <definedName name="IQ_SYNTH_STRUCTURED_PRODUCTS_HTM_FAIR_VAL_FFIEC" hidden="1">"c20484"</definedName>
    <definedName name="IQ_SYNTHETIC_STRUCTURED_PRODUCTS_AVAIL_SALE_FFIEC">"c15264"</definedName>
    <definedName name="IQ_SYNTHETIC_STRUCTURED_PRODUCTS_FFIEC">"c15261"</definedName>
    <definedName name="IQ_TANGIBLE_ASSETS_FFIEC">"c13916"</definedName>
    <definedName name="IQ_TANGIBLE_COMMON_EQUITY_FFIEC">"c13914"</definedName>
    <definedName name="IQ_TANGIBLE_EQUITY_ASSETS_FFIEC">"c13346"</definedName>
    <definedName name="IQ_TANGIBLE_EQUITY_FFIEC">"c13915"</definedName>
    <definedName name="IQ_TANGIBLE_TIER_1_LEVERAGE_FFIEC">"c13345"</definedName>
    <definedName name="IQ_TARGET_PRICE_DET_EST" hidden="1">"c12070"</definedName>
    <definedName name="IQ_TARGET_PRICE_DET_EST_CURRENCY" hidden="1">"c12475"</definedName>
    <definedName name="IQ_TARGET_PRICE_DET_EST_CURRENCY_THOM" hidden="1">"c12498"</definedName>
    <definedName name="IQ_TARGET_PRICE_DET_EST_DATE" hidden="1">"c12223"</definedName>
    <definedName name="IQ_TARGET_PRICE_DET_EST_DATE_THOM" hidden="1">"c12251"</definedName>
    <definedName name="IQ_TARGET_PRICE_DET_EST_INCL" hidden="1">"c12358"</definedName>
    <definedName name="IQ_TARGET_PRICE_DET_EST_INCL_THOM" hidden="1">"c12381"</definedName>
    <definedName name="IQ_TARGET_PRICE_DET_EST_ORIGIN" hidden="1">"c12729"</definedName>
    <definedName name="IQ_TARGET_PRICE_DET_EST_ORIGIN_THOM" hidden="1">"c12621"</definedName>
    <definedName name="IQ_TARGET_PRICE_DET_EST_THOM" hidden="1">"c12101"</definedName>
    <definedName name="IQ_TARGET_PRICE_LASTCLOSE" hidden="1">"c1855"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>"c13395"</definedName>
    <definedName name="IQ_TAXES_NOI_FFIEC">"c13394"</definedName>
    <definedName name="IQ_TAXES_TE_AVG_ASSETS_FFIEC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>"c13516"</definedName>
    <definedName name="IQ_TBV_SHARE" hidden="1">"c1217"</definedName>
    <definedName name="IQ_TBV_SHARE_REPORTED">"c19140"</definedName>
    <definedName name="IQ_TELECOM_FFIEC">"c13057"</definedName>
    <definedName name="IQ_TEMPLATE" hidden="1">"c1521"</definedName>
    <definedName name="IQ_TENANT" hidden="1">"c1218"</definedName>
    <definedName name="IQ_TENANT_LEASE_COMMISSION">"c16177"</definedName>
    <definedName name="IQ_TERM_LOANS" hidden="1">"c2499"</definedName>
    <definedName name="IQ_TERM_LOANS_PCT" hidden="1">"c2500"</definedName>
    <definedName name="IQ_TEV" hidden="1">"c1219"</definedName>
    <definedName name="IQ_TEV_DET_EST_CURRENCY_THOM" hidden="1">"c12499"</definedName>
    <definedName name="IQ_TEV_DET_EST_DATE_THOM" hidden="1">"c12252"</definedName>
    <definedName name="IQ_TEV_DET_EST_INCL_THOM" hidden="1">"c12382"</definedName>
    <definedName name="IQ_TEV_DET_EST_ORIGIN_THOM" hidden="1">"c12709"</definedName>
    <definedName name="IQ_TEV_DET_EST_THOM" hidden="1">"c12102"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_FWD_THOM" hidden="1">"c4061"</definedName>
    <definedName name="IQ_TEV_EBITDA" hidden="1">"c1222"</definedName>
    <definedName name="IQ_TEV_EBITDA_AVG" hidden="1">"c1223"</definedName>
    <definedName name="IQ_TEV_EBITDA_CAPEX" hidden="1">"c17553"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BITDA_FWD_THOM" hidden="1">"c4057"</definedName>
    <definedName name="IQ_TEV_EMPLOYEE_AVG" hidden="1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>"c13139"</definedName>
    <definedName name="IQ_TIER_1_CAPITAL_FFIEC">"c13143"</definedName>
    <definedName name="IQ_TIER_1_LEVERAGE_RATIO_FFIEC">"c13160"</definedName>
    <definedName name="IQ_TIER_1_RISK_BASED_CAPITAL_RATIO_FDIC" hidden="1">"c6746"</definedName>
    <definedName name="IQ_TIER_1_RISK_BASED_CAPITAL_RATIO_FFIEC">"c13161"</definedName>
    <definedName name="IQ_TIER_2_CAPITAL_FFIEC">"c13149"</definedName>
    <definedName name="IQ_TIER_3_CAPITAL_ALLOCATED_MARKET_RISK_FFIEC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ER_TWO_CAPITAL_RATIO">"c15241"</definedName>
    <definedName name="IQ_TIME_DEP" hidden="1">"c1230"</definedName>
    <definedName name="IQ_TIME_DEPOSIT_LESS_100000_QUARTERLY_AVG_FFIEC">"c15487"</definedName>
    <definedName name="IQ_TIME_DEPOSIT_MORE_100000_QUARTERLY_AVG_FFIEC">"c15486"</definedName>
    <definedName name="IQ_TIME_DEPOSITS_LESS_100K_OTHER_INSTITUTIONS_FFIEC">"c12953"</definedName>
    <definedName name="IQ_TIME_DEPOSITS_LESS_100K_TOT_DEPOSITS_FFIEC">"c13907"</definedName>
    <definedName name="IQ_TIME_DEPOSITS_LESS_THAN_100K_FDIC" hidden="1">"c6465"</definedName>
    <definedName name="IQ_TIME_DEPOSITS_MORE_100K_OTHER_INSTITUTIONS_FFIEC">"c12954"</definedName>
    <definedName name="IQ_TIME_DEPOSITS_MORE_100K_TOT_DEPOSITS_FFIEC">"c13906"</definedName>
    <definedName name="IQ_TIME_DEPOSITS_MORE_THAN_100K_FDIC" hidden="1">"c6470"</definedName>
    <definedName name="IQ_TIME_DEPOSITS_TOTAL_DEPOSITS">"c15723"</definedName>
    <definedName name="IQ_TODAY" hidden="1">0</definedName>
    <definedName name="IQ_TOT_1_4_FAM_LOANS_TOT_LOANS_FFIEC">"c13868"</definedName>
    <definedName name="IQ_TOT_ADJ_INC" hidden="1">"c1616"</definedName>
    <definedName name="IQ_TOT_LEASES_TOT_LOANS_FFIEC">"c13876"</definedName>
    <definedName name="IQ_TOT_NON_RE_LOANS_TOT_LOANS_FFIEC">"c13877"</definedName>
    <definedName name="IQ_TOT_NONTRANS_ACCTS_TOT_DEPOSITS_FFIEC">"c13909"</definedName>
    <definedName name="IQ_TOT_RE_LOANS_TOT_LOANS_FFIEC">"c13873"</definedName>
    <definedName name="IQ_TOT_TIME_DEPOSITS_TOT_DEPOSITS_FFIEC">"c13908"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>"c13644"</definedName>
    <definedName name="IQ_TOTAL_ASSETS_FAIR_VALUE_TOT_FFIEC">"c15405"</definedName>
    <definedName name="IQ_TOTAL_ASSETS_FDIC" hidden="1">"c6339"</definedName>
    <definedName name="IQ_TOTAL_ASSETS_FFIEC">"c12849"</definedName>
    <definedName name="IQ_TOTAL_ASSETS_LEVEL_1_FFIEC">"c15427"</definedName>
    <definedName name="IQ_TOTAL_ASSETS_LEVEL_2_FFIEC">"c15440"</definedName>
    <definedName name="IQ_TOTAL_ASSETS_LEVEL_3_FFIEC">"c15453"</definedName>
    <definedName name="IQ_TOTAL_ASSETS_LH_FFIEC">"c13106"</definedName>
    <definedName name="IQ_TOTAL_ASSETS_PC_FFIEC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BROKERED_DEPOSIT_FFIEC">"c15304"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DUE_DEPOSITORY_INSTIT_DOM_FFIEC">"c15291"</definedName>
    <definedName name="IQ_TOTAL_CASH_DUE_DEPOSITORY_INSTIT_FFIEC">"c15285"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EQUITY_FFIEC">"c13913"</definedName>
    <definedName name="IQ_TOTAL_COMMON_EQUITY_TOTAL_ASSETS_FFIEC">"c13864"</definedName>
    <definedName name="IQ_TOTAL_COMMON_SHARES_OUT_FFIEC">"c12955"</definedName>
    <definedName name="IQ_TOTAL_CONSTRUCTION_LL_REC_DOM_FFIEC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GUIDANCE_CIQ">"c5086"</definedName>
    <definedName name="IQ_TOTAL_DEBT_GUIDANCE_CIQ_COL">"c11733"</definedName>
    <definedName name="IQ_TOTAL_DEBT_HIGH_EST" hidden="1">"c4534"</definedName>
    <definedName name="IQ_TOTAL_DEBT_HIGH_GUIDANCE" hidden="1">"c4196"</definedName>
    <definedName name="IQ_TOTAL_DEBT_HIGH_GUIDANCE_CIQ">"c4608"</definedName>
    <definedName name="IQ_TOTAL_DEBT_HIGH_GUIDANCE_CIQ_COL">"c11257"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LOW_GUIDANCE_CIQ">"c4648"</definedName>
    <definedName name="IQ_TOTAL_DEBT_LOW_GUIDANCE_CIQ_COL">"c11297"</definedName>
    <definedName name="IQ_TOTAL_DEBT_MEDIAN_EST" hidden="1">"c4536"</definedName>
    <definedName name="IQ_TOTAL_DEBT_NON_CURRENT" hidden="1">"c6191"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POSITS" hidden="1">"c1265"</definedName>
    <definedName name="IQ_TOTAL_DEPOSITS_DOM_FFIEC">"c15313"</definedName>
    <definedName name="IQ_TOTAL_DEPOSITS_FDIC" hidden="1">"c6342"</definedName>
    <definedName name="IQ_TOTAL_DEPOSITS_FFIEC">"c13623"</definedName>
    <definedName name="IQ_TOTAL_DEPOSITS_SUPPLE">"c15253"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>"c13130"</definedName>
    <definedName name="IQ_TOTAL_EQUITY_FFIEC">"c12881"</definedName>
    <definedName name="IQ_TOTAL_EQUITY_INCL_MINORITY_INTEREST_FFIEC">"c15278"</definedName>
    <definedName name="IQ_TOTAL_EQUITY_LH_FFIEC">"c13109"</definedName>
    <definedName name="IQ_TOTAL_EQUITY_PC_FFIEC">"c13102"</definedName>
    <definedName name="IQ_TOTAL_EQUITY_SUBTOTAL_AP" hidden="1">"c8989"</definedName>
    <definedName name="IQ_TOTAL_EQUITY_TOTAL_ASSETS_FFIEC">"c13863"</definedName>
    <definedName name="IQ_TOTAL_FOREIGN_DEPOSITS_FFIEC">"c15348"</definedName>
    <definedName name="IQ_TOTAL_FOREIGN_LOANS_QUARTERLY_AVG_FFIEC">"c15482"</definedName>
    <definedName name="IQ_TOTAL_IBF_ASSETS_CONSOL_BANK_FFIEC">"c15299"</definedName>
    <definedName name="IQ_TOTAL_IBF_LIABILITIES_FFIEC">"c15302"</definedName>
    <definedName name="IQ_TOTAL_IBF_LL_REC_FFIEC">"c15297"</definedName>
    <definedName name="IQ_TOTAL_INT_EXPENSE_FFIEC">"c13000"</definedName>
    <definedName name="IQ_TOTAL_INT_INCOME_FFIEC">"c12989"</definedName>
    <definedName name="IQ_TOTAL_INTEREST_EXP" hidden="1">"c1382"</definedName>
    <definedName name="IQ_TOTAL_INTEREST_EXP_FOREIGN_FFIEC">"c15374"</definedName>
    <definedName name="IQ_TOTAL_INTEREST_INC_FOREIGN_FFIEC">"c15373"</definedName>
    <definedName name="IQ_TOTAL_INVENTORY" hidden="1">"c1385"</definedName>
    <definedName name="IQ_TOTAL_INVEST" hidden="1">"c1275"</definedName>
    <definedName name="IQ_TOTAL_IRA_KEOGH_PLAN_ACCOUNTS_FFIEC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>"c12882"</definedName>
    <definedName name="IQ_TOTAL_LIABILITIES_FAIR_VALUE_TOT_FFIEC">"c15411"</definedName>
    <definedName name="IQ_TOTAL_LIABILITIES_FDIC" hidden="1">"c6348"</definedName>
    <definedName name="IQ_TOTAL_LIABILITIES_FFIEC">"c12873"</definedName>
    <definedName name="IQ_TOTAL_LIABILITIES_LEVEL_1_FFIEC">"c15433"</definedName>
    <definedName name="IQ_TOTAL_LIABILITIES_LEVEL_2_FFIEC">"c15446"</definedName>
    <definedName name="IQ_TOTAL_LIABILITIES_LEVEL_3_FFIEC">"c15459"</definedName>
    <definedName name="IQ_TOTAL_LL_REC_DOM_FFIEC">"c12917"</definedName>
    <definedName name="IQ_TOTAL_LL_REC_FFIEC">"c12898"</definedName>
    <definedName name="IQ_TOTAL_LOANS" hidden="1">"c5653"</definedName>
    <definedName name="IQ_TOTAL_LOANS_DOM_QUARTERLY_AVG_FFIEC">"c15475"</definedName>
    <definedName name="IQ_TOTAL_LOANS_LEASES_AND_OTHER_DUE_30_89_FFIEC">"c15416"</definedName>
    <definedName name="IQ_TOTAL_LOANS_LEASES_AND_OTHER_DUE_90_FFIEC">"c15420"</definedName>
    <definedName name="IQ_TOTAL_LOANS_LEASES_AND_OTHER_NON_ACCRUAL_FFIEC">"c15466"</definedName>
    <definedName name="IQ_TOTAL_LOANS_LEASES_CHARGE_OFFS_FFIEC">"c13186"</definedName>
    <definedName name="IQ_TOTAL_LOANS_LEASES_DUE_30_89_FFIEC">"c13280"</definedName>
    <definedName name="IQ_TOTAL_LOANS_LEASES_DUE_90_FFIEC">"c13306"</definedName>
    <definedName name="IQ_TOTAL_LOANS_LEASES_NON_ACCRUAL_FFIEC">"c13757"</definedName>
    <definedName name="IQ_TOTAL_LOANS_LEASES_RECOV_FFIEC">"c13208"</definedName>
    <definedName name="IQ_TOTAL_LONG_DEBT" hidden="1">"c1617"</definedName>
    <definedName name="IQ_TOTAL_NON_REC" hidden="1">"c1444"</definedName>
    <definedName name="IQ_TOTAL_NON_TRANS_ACCTS_FFIEC">"c15328"</definedName>
    <definedName name="IQ_TOTAL_NONINTEREST_EXPENSE_FOREIGN_FFIEC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ERATING_EXPENSE">"c16047"</definedName>
    <definedName name="IQ_TOTAL_OPERATING_REVENUE">"c16030"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_LOANS_TOTAL_LOANS">"c15715"</definedName>
    <definedName name="IQ_TOTAL_RE_NOI_AVG_GROSS_PROP">"c16059"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NTAL_REVENUE">"c16022"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>"c13120"</definedName>
    <definedName name="IQ_TOTAL_RETURN_SWAPS_DERIVATIVES_GUARANTOR_FFIEC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>"c13020"</definedName>
    <definedName name="IQ_TOTAL_REVENUE_FOREIGN_FFIEC">"c15383"</definedName>
    <definedName name="IQ_TOTAL_RISK_BASED_CAPITAL_FFIEC">"c13153"</definedName>
    <definedName name="IQ_TOTAL_RISK_BASED_CAPITAL_RATIO_FDIC" hidden="1">"c6747"</definedName>
    <definedName name="IQ_TOTAL_RISK_BASED_CAPITAL_RATIO_FFIEC">"c13162"</definedName>
    <definedName name="IQ_TOTAL_RISK_WEIGHTED_ASSETS_FFIEC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LESS_100000_1_TO_3_YEARS_FFIEC">"c15335"</definedName>
    <definedName name="IQ_TOTAL_TIME_LESS_100000_3_MONTHS_LESS_FFIEC">"c15333"</definedName>
    <definedName name="IQ_TOTAL_TIME_LESS_100000_3_TO_12_MONTHS_FFIEC">"c15334"</definedName>
    <definedName name="IQ_TOTAL_TIME_LESS_100000_FFIEC">"c15332"</definedName>
    <definedName name="IQ_TOTAL_TIME_LESS_100000_OVER_3_YEARS_FFIEC">"c15336"</definedName>
    <definedName name="IQ_TOTAL_TIME_MORE_100000_1_TO_3_YEARS_FFIEC">"c15340"</definedName>
    <definedName name="IQ_TOTAL_TIME_MORE_100000_3_MONTHS_LESS_FFIEC">"c15338"</definedName>
    <definedName name="IQ_TOTAL_TIME_MORE_100000_3_TO_12_MONTHS_FFIEC">"c15339"</definedName>
    <definedName name="IQ_TOTAL_TIME_MORE_100000_FFIEC">"c15337"</definedName>
    <definedName name="IQ_TOTAL_TIME_MORE_100000_OVER_3_YEARS_FFIEC">"c15341"</definedName>
    <definedName name="IQ_TOTAL_TIME_SAVINGS_DEPOSITS_FDIC" hidden="1">"c6498"</definedName>
    <definedName name="IQ_TOTAL_TRADING_ASSETS_FFIEC">"c12939"</definedName>
    <definedName name="IQ_TOTAL_TRADING_LIAB_DOM_FFIEC">"c12944"</definedName>
    <definedName name="IQ_TOTAL_TRADING_LIAB_FOREIGN_FFIEC">"c15296"</definedName>
    <definedName name="IQ_TOTAL_TRANS_ACCTS_FFIEC">"c15321"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DJ_SIZE_FINAL" hidden="1">"c16265"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NKY_ADVISOR_CLIENT_NAME_LIST" hidden="1">"c17671"</definedName>
    <definedName name="IQ_TR_BNKY_ADVISOR_FEE_LIST" hidden="1">"c17673"</definedName>
    <definedName name="IQ_TR_BNKY_ADVISOR_FEE_PCT_LIST" hidden="1">"c17674"</definedName>
    <definedName name="IQ_TR_BNKY_ADVISOR_ID_LIST" hidden="1">"c17670"</definedName>
    <definedName name="IQ_TR_BNKY_ADVISOR_NAME_LIST" hidden="1">"c17669"</definedName>
    <definedName name="IQ_TR_BNKY_ADVISOR_ROLE_LIST" hidden="1">"c17672"</definedName>
    <definedName name="IQ_TR_BNKY_AFFILIATES_JOINT_ADMIN" hidden="1">"c17636"</definedName>
    <definedName name="IQ_TR_BNKY_AFFILIATES_JOINT_ADMIN_LIST" hidden="1">"c17656"</definedName>
    <definedName name="IQ_TR_BNKY_CASE_CONSOLIDATED_DATE" hidden="1">"c17632"</definedName>
    <definedName name="IQ_TR_BNKY_CASE_FILING_FEE_PAID" hidden="1">"c17634"</definedName>
    <definedName name="IQ_TR_BNKY_CASE_NUMBER" hidden="1">"c17627"</definedName>
    <definedName name="IQ_TR_BNKY_CASH_IN_HAND" hidden="1">"c17651"</definedName>
    <definedName name="IQ_TR_BNKY_COURT" hidden="1">"c17626"</definedName>
    <definedName name="IQ_TR_BNKY_CREDITOR_CLAIM_AMT_LIST" hidden="1">"c17660"</definedName>
    <definedName name="IQ_TR_BNKY_CREDITOR_ID_LIST" hidden="1">"c17658"</definedName>
    <definedName name="IQ_TR_BNKY_CREDITOR_NAME_LIST" hidden="1">"c17657"</definedName>
    <definedName name="IQ_TR_BNKY_CREDITOR_REL_LIST" hidden="1">"c17659"</definedName>
    <definedName name="IQ_TR_BNKY_CREDITORS" hidden="1">"c17635"</definedName>
    <definedName name="IQ_TR_BNKY_DIP_COMMITMENT_FEE_LIST" hidden="1">"c17667"</definedName>
    <definedName name="IQ_TR_BNKY_DIP_FIN_PROVIDED" hidden="1">"c17640"</definedName>
    <definedName name="IQ_TR_BNKY_DIP_FIN_PROVIDED_LIST" hidden="1">"c17665"</definedName>
    <definedName name="IQ_TR_BNKY_DIP_FIN_PROVIDERS" hidden="1">"c17639"</definedName>
    <definedName name="IQ_TR_BNKY_DIP_FIN_SECURITY_TYPES" hidden="1">"c17642"</definedName>
    <definedName name="IQ_TR_BNKY_DIP_FIN_UTILIZED" hidden="1">"c17641"</definedName>
    <definedName name="IQ_TR_BNKY_DIP_ID_LIST" hidden="1">"c17662"</definedName>
    <definedName name="IQ_TR_BNKY_DIP_LEAD_PROVIDER_LIST" hidden="1">"c17668"</definedName>
    <definedName name="IQ_TR_BNKY_DIP_LIBOR_SPREAD_LIST" hidden="1">"c17666"</definedName>
    <definedName name="IQ_TR_BNKY_DIP_MATURITY_DATE_LIST" hidden="1">"c17664"</definedName>
    <definedName name="IQ_TR_BNKY_DIP_NAME_LIST" hidden="1">"c17661"</definedName>
    <definedName name="IQ_TR_BNKY_DIP_SECURITY_LIST" hidden="1">"c17663"</definedName>
    <definedName name="IQ_TR_BNKY_DISMISSED_DATE" hidden="1">"c17633"</definedName>
    <definedName name="IQ_TR_BNKY_EMERGED_REORG_DATE" hidden="1">"c17630"</definedName>
    <definedName name="IQ_TR_BNKY_FEATURES_LIST" hidden="1">"c17655"</definedName>
    <definedName name="IQ_TR_BNKY_FILING_TYPE" hidden="1">"c17624"</definedName>
    <definedName name="IQ_TR_BNKY_INVOL_PETITION_FILED_DATE" hidden="1">"c17629"</definedName>
    <definedName name="IQ_TR_BNKY_ISSUANCE_DEBT" hidden="1">"c17648"</definedName>
    <definedName name="IQ_TR_BNKY_ISSUANCE_EQUITY" hidden="1">"c17649"</definedName>
    <definedName name="IQ_TR_BNKY_LEAD_ASSETS_INIT_FILING" hidden="1">"c17645"</definedName>
    <definedName name="IQ_TR_BNKY_LEAD_ASSETS_INIT_FILING_LIST" hidden="1">"c17678"</definedName>
    <definedName name="IQ_TR_BNKY_LEAD_DEBTOR" hidden="1">"c17643"</definedName>
    <definedName name="IQ_TR_BNKY_LEAD_DEBTOR_LIST" hidden="1">"c17675"</definedName>
    <definedName name="IQ_TR_BNKY_LEAD_LIAB_INIT_FILING" hidden="1">"c17644"</definedName>
    <definedName name="IQ_TR_BNKY_LEAD_LIAB_INIT_FILING_LIST" hidden="1">"c17677"</definedName>
    <definedName name="IQ_TR_BNKY_LEAD_REV_ANN" hidden="1">"c17646"</definedName>
    <definedName name="IQ_TR_BNKY_LEAD_REV_ANN_LIST" hidden="1">"c17679"</definedName>
    <definedName name="IQ_TR_BNKY_LEAD_STOCK_PRICE_ANN" hidden="1">"c17647"</definedName>
    <definedName name="IQ_TR_BNKY_LEAD_STOCK_PRICE_ANN_LIST" hidden="1">"c17680"</definedName>
    <definedName name="IQ_TR_BNKY_LEAD_TYPE_LIST" hidden="1">"c17676"</definedName>
    <definedName name="IQ_TR_BNKY_LIQUIDATED_DATE" hidden="1">"c17631"</definedName>
    <definedName name="IQ_TR_BNKY_PRE_BANKRUPTCY_SITUATION" hidden="1">"c17637"</definedName>
    <definedName name="IQ_TR_BNKY_RESOLUTION" hidden="1">"c17638"</definedName>
    <definedName name="IQ_TR_BNKY_RESTRUCTURING_WEBSITE" hidden="1">"c17625"</definedName>
    <definedName name="IQ_TR_BNKY_SALE_ASSETS" hidden="1">"c17650"</definedName>
    <definedName name="IQ_TR_BNKY_TOTAL_CLAIMANTS_AMT" hidden="1">"c17653"</definedName>
    <definedName name="IQ_TR_BNKY_TOTAL_FIN_PROVIDED" hidden="1">"c17652"</definedName>
    <definedName name="IQ_TR_BNKY_TOTAL_PAYMENTS_CLAIMANTS" hidden="1">"c17654"</definedName>
    <definedName name="IQ_TR_BNKY_VOL_PETITION_FILED_DATE" hidden="1">"c17628"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>"c13638"</definedName>
    <definedName name="IQ_TR_BUY_TERM_FEE_PCT">"c13639"</definedName>
    <definedName name="IQ_TR_BUYBACK_TO_CLOSE">"c13919"</definedName>
    <definedName name="IQ_TR_BUYBACK_TO_HIGH">"c13917"</definedName>
    <definedName name="IQ_TR_BUYBACK_TO_LOW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CONSID_PCT_FINAL" hidden="1">"c16268"</definedName>
    <definedName name="IQ_TR_CASH_ST_INVEST" hidden="1">"c3025"</definedName>
    <definedName name="IQ_TR_CASH_ST_INVEST_FINAL" hidden="1">"c16266"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ISSUE" hidden="1">"c17571"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BT_CONSID_PCT_FINAL" hidden="1">"c16274"</definedName>
    <definedName name="IQ_TR_DEF_AGRMT_DATE" hidden="1">"c2285"</definedName>
    <definedName name="IQ_TR_DISCLOSED_FEES_EXP" hidden="1">"c2288"</definedName>
    <definedName name="IQ_TR_EARNOUTS" hidden="1">"c3023"</definedName>
    <definedName name="IQ_TR_EARNOUTS_FINAL" hidden="1">"c16262"</definedName>
    <definedName name="IQ_TR_EX_OVER_SHARES_ISSUE" hidden="1">"c17566"</definedName>
    <definedName name="IQ_TR_EXPIRED_DATE" hidden="1">"c2412"</definedName>
    <definedName name="IQ_TR_GROSS_OFFERING_AMT" hidden="1">"c2262"</definedName>
    <definedName name="IQ_TR_GROSS_PROCEEDS_ISSUE" hidden="1">"c17568"</definedName>
    <definedName name="IQ_TR_HYBRID_CONSID_PCT" hidden="1">"c2300"</definedName>
    <definedName name="IQ_TR_HYBRID_CONSID_PCT_FINAL" hidden="1">"c16276"</definedName>
    <definedName name="IQ_TR_IMPLIED_EQ" hidden="1">"c3018"</definedName>
    <definedName name="IQ_TR_IMPLIED_EQ_BV" hidden="1">"c3019"</definedName>
    <definedName name="IQ_TR_IMPLIED_EQ_BV_FINAL" hidden="1">"c16255"</definedName>
    <definedName name="IQ_TR_IMPLIED_EQ_FINAL" hidden="1">"c16253"</definedName>
    <definedName name="IQ_TR_IMPLIED_EQ_NI_LTM" hidden="1">"c3020"</definedName>
    <definedName name="IQ_TR_IMPLIED_EQ_NI_LTM_FINAL" hidden="1">"c16254"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_FINAL" hidden="1">"c16252"</definedName>
    <definedName name="IQ_TR_IMPLIED_EV_EBITDA" hidden="1">"c2303"</definedName>
    <definedName name="IQ_TR_IMPLIED_EV_EBITDA_FINAL" hidden="1">"c16251"</definedName>
    <definedName name="IQ_TR_IMPLIED_EV_FINAL" hidden="1">"c16249"</definedName>
    <definedName name="IQ_TR_IMPLIED_EV_NI_LTM" hidden="1">"c2307"</definedName>
    <definedName name="IQ_TR_IMPLIED_EV_REV" hidden="1">"c2304"</definedName>
    <definedName name="IQ_TR_IMPLIED_EV_REV_FINAL" hidden="1">"c16250"</definedName>
    <definedName name="IQ_TR_INIT_FILED_DATE" hidden="1">"c3495"</definedName>
    <definedName name="IQ_TR_IPO_TRANSACTION_ID" hidden="1">"c17554"</definedName>
    <definedName name="IQ_TR_LEAD_UNDERWRITERS" hidden="1">"c17576"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ASSUM_LIABILITIES_FINAL" hidden="1">"c16264"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FFER_PER_SHARE_FINAL" hidden="1">"c16257"</definedName>
    <definedName name="IQ_TR_OPTIONS_CONSID_PCT" hidden="1">"c2311"</definedName>
    <definedName name="IQ_TR_OPTIONS_CONSID_PCT_FINAL" hidden="1">"c16278"</definedName>
    <definedName name="IQ_TR_OTHER_CONSID" hidden="1">"c3022"</definedName>
    <definedName name="IQ_TR_OTHER_CONSID_FINAL" hidden="1">"c16261"</definedName>
    <definedName name="IQ_TR_PCT_SOUGHT" hidden="1">"c2309"</definedName>
    <definedName name="IQ_TR_PCT_SOUGHT_ACQUIRED_FINAL" hidden="1">"c16256"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_1D_PRICE" hidden="1">"c19180"</definedName>
    <definedName name="IQ_TR_PO_1D_RETURN" hidden="1">"c19179"</definedName>
    <definedName name="IQ_TR_PO_1M_PRICE" hidden="1">"c19184"</definedName>
    <definedName name="IQ_TR_PO_1M_RETURN" hidden="1">"c19183"</definedName>
    <definedName name="IQ_TR_PO_1W_PRICE" hidden="1">"c19182"</definedName>
    <definedName name="IQ_TR_PO_1W_RETURN" hidden="1">"c19181"</definedName>
    <definedName name="IQ_TR_PO_1Y_PRICE" hidden="1">"c19190"</definedName>
    <definedName name="IQ_TR_PO_1Y_RETURN" hidden="1">"c19189"</definedName>
    <definedName name="IQ_TR_PO_3M_PRICE" hidden="1">"c19186"</definedName>
    <definedName name="IQ_TR_PO_3M_RETURN" hidden="1">"c19185"</definedName>
    <definedName name="IQ_TR_PO_6M_PRICE" hidden="1">"c19188"</definedName>
    <definedName name="IQ_TR_PO_6M_RETURN" hidden="1">"c19187"</definedName>
    <definedName name="IQ_TR_PO_DISCOUNT_SHARE" hidden="1">"c17562"</definedName>
    <definedName name="IQ_TR_PO_ISSUE_CURRENCY" hidden="1">"c17557"</definedName>
    <definedName name="IQ_TR_PO_NET_PROCEEDS_SHARE" hidden="1">"c17563"</definedName>
    <definedName name="IQ_TR_PO_PRICE_RANGE" hidden="1">"c17559"</definedName>
    <definedName name="IQ_TR_PO_PRICE_RANGE_HIGH" hidden="1">"c17560"</definedName>
    <definedName name="IQ_TR_PO_PRICE_RANGE_LOW" hidden="1">"c17561"</definedName>
    <definedName name="IQ_TR_PO_PRICE_SHARE" hidden="1">"c17558"</definedName>
    <definedName name="IQ_TR_PO_SHARES_OFFERED" hidden="1">"c17564"</definedName>
    <definedName name="IQ_TR_PO_SHARES_OFFERED_EX_OVER" hidden="1">"c17567"</definedName>
    <definedName name="IQ_TR_PO_TICKER" hidden="1">"c17556"</definedName>
    <definedName name="IQ_TR_PO_TRADING_ITEM_CIQID" hidden="1">"c17555"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F_CONSID_PCT_FINAL" hidden="1">"c16272"</definedName>
    <definedName name="IQ_TR_PREMONEY_VAL" hidden="1">"c2287"</definedName>
    <definedName name="IQ_TR_PRINTING_FEES" hidden="1">"c2276"</definedName>
    <definedName name="IQ_TR_PROCEEDS_EX_OVER_ISSUE" hidden="1">"c17574"</definedName>
    <definedName name="IQ_TR_PT_MONETARY_VALUES" hidden="1">"c2415"</definedName>
    <definedName name="IQ_TR_PT_NUMBER_SHARES" hidden="1">"c2417"</definedName>
    <definedName name="IQ_TR_PT_OFFER_PER_SHARE">"c18872"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_OVER_SHARES_ISSUE" hidden="1">"c17565"</definedName>
    <definedName name="IQ_TR_REG_OVER_VALUE_ISSUE" hidden="1">"c17572"</definedName>
    <definedName name="IQ_TR_REGISTRATION_FEES">"c2274"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>"c2298"</definedName>
    <definedName name="IQ_TR_SELL_TERM_FEE_PCT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ISSUE" hidden="1">"c17570"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TOCK_CONSID_PCT_FINAL" hidden="1">"c16270"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ASH_FINAL" hidden="1">"c16267"</definedName>
    <definedName name="IQ_TR_TOTAL_CONSID_SH" hidden="1">"c2316"</definedName>
    <definedName name="IQ_TR_TOTAL_CONSID_SH_FINAL" hidden="1">"c16260"</definedName>
    <definedName name="IQ_TR_TOTAL_DEBT" hidden="1">"c2317"</definedName>
    <definedName name="IQ_TR_TOTAL_DEBT_FINAL" hidden="1">"c16273"</definedName>
    <definedName name="IQ_TR_TOTAL_EX_OVER_VALUE_ISSUE" hidden="1">"c17573"</definedName>
    <definedName name="IQ_TR_TOTAL_GROSS_TV" hidden="1">"c2318"</definedName>
    <definedName name="IQ_TR_TOTAL_GROSS_TV_FINAL" hidden="1">"c16259"</definedName>
    <definedName name="IQ_TR_TOTAL_HYBRID" hidden="1">"c2319"</definedName>
    <definedName name="IQ_TR_TOTAL_HYBRID_FINAL" hidden="1">"c16275"</definedName>
    <definedName name="IQ_TR_TOTAL_LEGAL_FEES" hidden="1">"c2272"</definedName>
    <definedName name="IQ_TR_TOTAL_NET_TV" hidden="1">"c2320"</definedName>
    <definedName name="IQ_TR_TOTAL_NET_TV_FINAL" hidden="1">"c16258"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OPTIONS_BUYER_FINAL" hidden="1">"c16277"</definedName>
    <definedName name="IQ_TR_TOTAL_OPTIONS_FINAL" hidden="1">"c16263"</definedName>
    <definedName name="IQ_TR_TOTAL_PREFERRED" hidden="1">"c2321"</definedName>
    <definedName name="IQ_TR_TOTAL_PREFERRED_FINAL" hidden="1">"c16271"</definedName>
    <definedName name="IQ_TR_TOTAL_REG_AMT" hidden="1">"c2261"</definedName>
    <definedName name="IQ_TR_TOTAL_STOCK" hidden="1">"c2323"</definedName>
    <definedName name="IQ_TR_TOTAL_STOCK_FINAL" hidden="1">"c16269"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UNDERWRITER_COMP_ISSUE" hidden="1">"c17569"</definedName>
    <definedName name="IQ_TR_UNDERWRITERS_OTHER" hidden="1">"c17577"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>"c13210"</definedName>
    <definedName name="IQ_TRADING_ASSETS_FDIC" hidden="1">"c6328"</definedName>
    <definedName name="IQ_TRADING_ASSETS_FFIEC">"c12812"</definedName>
    <definedName name="IQ_TRADING_ASSETS_FOREIGN_FFIEC">"c12940"</definedName>
    <definedName name="IQ_TRADING_ASSETS_LEVEL_1_FFIEC">"c13218"</definedName>
    <definedName name="IQ_TRADING_ASSETS_LEVEL_2_FFIEC">"c13226"</definedName>
    <definedName name="IQ_TRADING_ASSETS_LEVEL_3_FFIEC">"c13234"</definedName>
    <definedName name="IQ_TRADING_ASSETS_QUARTERLY_AVG_FFIEC">"c13085"</definedName>
    <definedName name="IQ_TRADING_CURRENCY" hidden="1">"c2212"</definedName>
    <definedName name="IQ_TRADING_ITEM_CIQID" hidden="1">"c8949"</definedName>
    <definedName name="IQ_TRADING_LIABILITIES_FAIR_VALUE_TOT_FFIEC">"c13214"</definedName>
    <definedName name="IQ_TRADING_LIABILITIES_FDIC" hidden="1">"c6344"</definedName>
    <definedName name="IQ_TRADING_LIABILITIES_FFIEC">"c12858"</definedName>
    <definedName name="IQ_TRADING_LIABILITIES_LEVEL_1_FFIEC">"c13222"</definedName>
    <definedName name="IQ_TRADING_LIABILITIES_LEVEL_2_FFIEC">"c13230"</definedName>
    <definedName name="IQ_TRADING_LIABILITIES_LEVEL_3_FFIEC">"c13238"</definedName>
    <definedName name="IQ_TRADING_REV_FOREIGN_FFIEC">"c15377"</definedName>
    <definedName name="IQ_TRADING_REV_OPERATING_INC_FFIEC">"c13385"</definedName>
    <definedName name="IQ_TRADING_REVENUE_FFIEC">"c13004"</definedName>
    <definedName name="IQ_TRANS_ACCTS_TOT_DEPOSITS_FFIEC">"c13904"</definedName>
    <definedName name="IQ_TRANS_IMPACT_FIN_48_CURRENT_ASSETS">"c15727"</definedName>
    <definedName name="IQ_TRANS_IMPACT_FIN_48_CURRENT_LIABILITIES">"c15729"</definedName>
    <definedName name="IQ_TRANS_IMPACT_FIN_48_LT_ASSETS">"c15728"</definedName>
    <definedName name="IQ_TRANS_IMPACT_FIN_48_NON_CURRENT_LIABILITIES">"c15730"</definedName>
    <definedName name="IQ_TRANS_IMPACT_FIN_48_RETAINED_EARNINGS">"c15731"</definedName>
    <definedName name="IQ_TRANSACTION_ACCOUNTS_FDIC" hidden="1">"c6544"</definedName>
    <definedName name="IQ_TRANSACTION_LIST">"c15126"</definedName>
    <definedName name="IQ_TRANSACTION_LIST_BANKRUPTCY">"c15131"</definedName>
    <definedName name="IQ_TRANSACTION_LIST_BUYBACK">"c15129"</definedName>
    <definedName name="IQ_TRANSACTION_LIST_INCL_SUBS">"c15132"</definedName>
    <definedName name="IQ_TRANSACTION_LIST_INCL_SUBS_BANKRUPTCY">"c15137"</definedName>
    <definedName name="IQ_TRANSACTION_LIST_INCL_SUBS_BUYBACK">"c15135"</definedName>
    <definedName name="IQ_TRANSACTION_LIST_INCL_SUBS_MA">"c15133"</definedName>
    <definedName name="IQ_TRANSACTION_LIST_INCL_SUBS_PO">"c15136"</definedName>
    <definedName name="IQ_TRANSACTION_LIST_INCL_SUBS_PP">"c15134"</definedName>
    <definedName name="IQ_TRANSACTION_LIST_MA">"c15127"</definedName>
    <definedName name="IQ_TRANSACTION_LIST_PO">"c15130"</definedName>
    <definedName name="IQ_TRANSACTION_LIST_PP">"c15128"</definedName>
    <definedName name="IQ_TREASURER_ID">"c15214"</definedName>
    <definedName name="IQ_TREASURER_NAME">"c15213"</definedName>
    <definedName name="IQ_TREASURY" hidden="1">"c1311"</definedName>
    <definedName name="IQ_TREASURY_INVEST_SECURITIES_FFIEC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EASURY_STOCK_TRANSACTIONS_FFIEC">"c15352"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ASSIGNED_RESERVES_COAL">"c15914"</definedName>
    <definedName name="IQ_UNASSIGNED_RESERVES_TO_TOTAL_RESERVES_COAL">"c15956"</definedName>
    <definedName name="IQ_UNCLASSIFIED_PROPERTY_OPERATING_EXPENSE">"c16034"</definedName>
    <definedName name="IQ_UNCLASSIFIED_RENTAL_INCOME">"c16021"</definedName>
    <definedName name="IQ_UNCONSOL_BEDS" hidden="1">"c8783"</definedName>
    <definedName name="IQ_UNCONSOL_NOI">"c16067"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GROUND_RESERVES_COAL">"c15922"</definedName>
    <definedName name="IQ_UNDERGROUND_RESERVES_TO_TOTAL_RESERVES_COAL">"c15960"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FED_FUNDS">"c2524"</definedName>
    <definedName name="IQ_UNDRAWN_FHLB">"c2520"</definedName>
    <definedName name="IQ_UNDRAWN_LC">"c2521"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>"c12916"</definedName>
    <definedName name="IQ_UNEARNED_INCOME_LL_REC_FFIEC">"c12897"</definedName>
    <definedName name="IQ_UNEARNED_PREMIUMS_PC_FFIEC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RECOG_TAX_BENEFIT_BEG_PERIOD">"c15732"</definedName>
    <definedName name="IQ_UNRECOG_TAX_BENEFIT_END_PERIOD">"c15740"</definedName>
    <definedName name="IQ_UNRECOG_TAX_BENEFIT_OTHER_ADJ">"c15739"</definedName>
    <definedName name="IQ_UNSECURED_COMMITMENTS_COMMERCIAL_RE_UNUSED_FFIEC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PGRADE_REBUILD_CABLE_INVEST">"c15804"</definedName>
    <definedName name="IQ_US_ADDRESS_LEASE_FIN_REC_FFIEC">"c13624"</definedName>
    <definedName name="IQ_US_AGENCY_OBLIG_FFIEC">"c12779"</definedName>
    <definedName name="IQ_US_AGENCY_OBLIG_HTM_AMORT_COST_FFIEC" hidden="1">"c20438"</definedName>
    <definedName name="IQ_US_AGENCY_OBLIG_HTM_FAIR_VAL_FFIEC" hidden="1">"c20473"</definedName>
    <definedName name="IQ_US_AGENCY_OBLIG_TRADING_DOM_FFIEC">"c12919"</definedName>
    <definedName name="IQ_US_AGENCY_OBLIG_TRADING_FFIEC">"c12814"</definedName>
    <definedName name="IQ_US_AGENCY_OBLIGATIONS_AFS_AMORT_COST_FFIEC" hidden="1">"c20490"</definedName>
    <definedName name="IQ_US_AGENCY_OBLIGATIONS_AFS_FAIR_VAL_FFIEC" hidden="1">"c20455"</definedName>
    <definedName name="IQ_US_AGENCY_OBLIGATIONS_AVAIL_SALE_FFIEC">"c12793"</definedName>
    <definedName name="IQ_US_BANKS_OTHER_INST_FOREIGN_DEP_FFIEC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>"c15323"</definedName>
    <definedName name="IQ_US_GOVT_STATE_POLI_SUBD_IN_US_FOREIGN_DEP_FFIEC">"c15346"</definedName>
    <definedName name="IQ_US_GOVT_TRANS_ACCTS_FFIEC">"c15315"</definedName>
    <definedName name="IQ_US_INST_DUE_30_89_FFIEC">"c13268"</definedName>
    <definedName name="IQ_US_INST_DUE_90_FFIEC">"c13294"</definedName>
    <definedName name="IQ_US_INST_NON_ACCRUAL_FFIEC">"c13320"</definedName>
    <definedName name="IQ_US_SPONSORED_AGENCY_OBLIG_AFS_AMORT_COST_FFIEC" hidden="1">"c20491"</definedName>
    <definedName name="IQ_US_SPONSORED_AGENCY_OBLIG_AFS_FAIR_VAL_FFIEC" hidden="1">"c20456"</definedName>
    <definedName name="IQ_US_SPONSORED_AGENCY_OBLIG_AVAIL_SALE_FFIEC">"c12794"</definedName>
    <definedName name="IQ_US_SPONSORED_AGENCY_OBLIG_FFIEC">"c12780"</definedName>
    <definedName name="IQ_US_SPONSORED_AGENCY_OBLIG_HTM_AMORT_COST_FFIEC" hidden="1">"c20439"</definedName>
    <definedName name="IQ_US_SPONSORED_AGENCY_OBLIG_HTM_FAIR_VAL_FFIEC" hidden="1">"c20474"</definedName>
    <definedName name="IQ_US_TREASURY_SEC_AFS_AMORT_COST_FFIEC" hidden="1">"c20489"</definedName>
    <definedName name="IQ_US_TREASURY_SEC_AFS_FAIR_VAL_FFIEC" hidden="1">"c20454"</definedName>
    <definedName name="IQ_US_TREASURY_SEC_AVAIL_SALE_FFIEC">"c12792"</definedName>
    <definedName name="IQ_US_TREASURY_SEC_TRADING_DOM_FFIEC">"c12918"</definedName>
    <definedName name="IQ_US_TREASURY_SEC_TRADING_FFIEC">"c12813"</definedName>
    <definedName name="IQ_US_TREASURY_SECURITIES_FDIC" hidden="1">"c6298"</definedName>
    <definedName name="IQ_US_TREASURY_SECURITIES_FFIEC">"c12778"</definedName>
    <definedName name="IQ_US_TREASURY_SECURITIES_HTM_AMORT_COST_FFIEC" hidden="1">"c20437"</definedName>
    <definedName name="IQ_US_TREASURY_SECURITIES_HTM_FAIR_VAL_FFIEC" hidden="1">"c20472"</definedName>
    <definedName name="IQ_UST_SEC_GOVT_AGENCY_CORP_QUARTERLY_AVG_FFIEC">"c15469"</definedName>
    <definedName name="IQ_UST_SECURITIES_GOVT_AGENCY_QUARTERLY_AVG_FFIEC">"c15468"</definedName>
    <definedName name="IQ_UTIL_PPE_NET" hidden="1">"c1620"</definedName>
    <definedName name="IQ_UTIL_REV" hidden="1">"c2091"</definedName>
    <definedName name="IQ_UTILITY_EXPENSE">"c16031"</definedName>
    <definedName name="IQ_UV_PENSION_LIAB" hidden="1">"c1332"</definedName>
    <definedName name="IQ_VALUATION_ALLOWANCES_FDIC" hidden="1">"c6400"</definedName>
    <definedName name="IQ_VALUE_CUSTOMER_ASSETS" hidden="1">"c20433"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>"c13096"</definedName>
    <definedName name="IQ_VC_REV_OPERATING_INC_FFIEC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HICLE_LOANS">"c15249"</definedName>
    <definedName name="IQ_VENTURE_CAPITAL_REVENUE_FFIEC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ICE_SUB_BASIC_SUB">"c16203"</definedName>
    <definedName name="IQ_VOICE_SUB_TOTAL_HOMES_PASSED">"c15770"</definedName>
    <definedName name="IQ_VOICE_SUB_VIDEO_SUB">"c15789"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IRELESS_PENETRATION">"c15767"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WTD_AVG_IR_AFTER_FIVE">"c15700"</definedName>
    <definedName name="IQ_WTD_AVG_IR_CY">"c15695"</definedName>
    <definedName name="IQ_WTD_AVG_IR_CY1">"c15696"</definedName>
    <definedName name="IQ_WTD_AVG_IR_CY2">"c15697"</definedName>
    <definedName name="IQ_WTD_AVG_IR_CY3">"c15698"</definedName>
    <definedName name="IQ_WTD_AVG_IR_CY4">"c15699"</definedName>
    <definedName name="IQ_WTD_AVG_IR_LT_DEBT">"c15693"</definedName>
    <definedName name="IQ_WTD_AVG_IR_TOTAL_DEBT">"c15694"</definedName>
    <definedName name="IQ_XDIV_DATE" hidden="1">"c2104"</definedName>
    <definedName name="IQ_XDIV_DATE_LIST" hidden="1">"c17416"</definedName>
    <definedName name="IQ_YEAR_FOUNDED" hidden="1">"c6793"</definedName>
    <definedName name="IQ_YEARHIGH" hidden="1">"c1337"</definedName>
    <definedName name="IQ_YEARHIGH_DATE" hidden="1">"c2250"</definedName>
    <definedName name="IQ_YEARHIGH_RT">"YEARHIGH"</definedName>
    <definedName name="IQ_YEARLOW" hidden="1">"c1338"</definedName>
    <definedName name="IQ_YEARLOW_DATE" hidden="1">"c2251"</definedName>
    <definedName name="IQ_YEARLOW_RT">"YEARLOW"</definedName>
    <definedName name="IQ_YIELD_CURVE_LIST" hidden="1">"c19250"</definedName>
    <definedName name="IQ_YIELD_FED_FUNDS_SOLD_FFIEC">"c13487"</definedName>
    <definedName name="IQ_YIELD_TRADING_ASSETS_FFIEC">"c13488"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B6" hidden="1">"$B$7:$B$260"</definedName>
    <definedName name="IQRC30" hidden="1">"$C$31:$C$130"</definedName>
    <definedName name="IQRC6" hidden="1">"$C$7:$C$260"</definedName>
    <definedName name="IQRC7" hidden="1">"$C$8:$C$27"</definedName>
    <definedName name="IQRD30" hidden="1">"$D$31:$D$130"</definedName>
    <definedName name="IQRD7" hidden="1">"$D$8:$D$27"</definedName>
    <definedName name="IQRE30" hidden="1">"$E$31:$E$130"</definedName>
    <definedName name="IQRE7" hidden="1">"$E$8:$E$27"</definedName>
    <definedName name="IQRR5" hidden="1">"$R$6:$R$147"</definedName>
    <definedName name="iQShowHideColumns" hidden="1">"iQShowAll"</definedName>
    <definedName name="IRR">#REF!</definedName>
    <definedName name="IRR_10yr">#REF!</definedName>
    <definedName name="IRR_3yr">#REF!</definedName>
    <definedName name="IRR_5yr">#REF!</definedName>
    <definedName name="IRRdetail">#REF!</definedName>
    <definedName name="IRRPP" hidden="1">{#N/A,#N/A,FALSE,"Smry1";#N/A,#N/A,FALSE,"Smry2";#N/A,#N/A,FALSE,"Finance Cash Flow";#N/A,#N/A,FALSE,"ProForma_Input";#N/A,#N/A,FALSE,"prop_input";#N/A,#N/A,FALSE,"regional_input";#N/A,#N/A,FALSE,"LT Cost of Capital_Input";#N/A,#N/A,FALSE,"Debt_Input";#N/A,#N/A,FALSE,"Yr 6 Rent";#N/A,#N/A,FALSE,"Accr_Dil Cmpd"}</definedName>
    <definedName name="IRRsummary">#REF!</definedName>
    <definedName name="IsColHidden" hidden="1">FALSE</definedName>
    <definedName name="iser" hidden="1">{"Rent_ChangesTotal",#N/A,FALSE,"Sheet1"}</definedName>
    <definedName name="ishideend" hidden="1">#REF!</definedName>
    <definedName name="ishidestart" hidden="1">#REF!</definedName>
    <definedName name="IsLTMColHidden" hidden="1">FALSE</definedName>
    <definedName name="j" hidden="1">#REF!</definedName>
    <definedName name="j5r6yju" hidden="1">{"Investor",#N/A,FALSE,"Model";"Property",#N/A,FALSE,"Model";"Incentive Taxes",#N/A,FALSE,"Model"}</definedName>
    <definedName name="jackass" hidden="1">{"Summary",#N/A,FALSE,"Returns";"venture Cash flows",#N/A,FALSE,"Returns";"IRR Calcs",#N/A,FALSE,"Returns";"Promote Calcs",#N/A,FALSE,"Returns";"cash flor Streams",#N/A,FALSE,"Returns";"Prop. Cash Flow",#N/A,FALSE,"Returns";"Prop. Cash Flow PSF",#N/A,FALSE,"Returns";"Prop. Cash Flow %",#N/A,FALSE,"Returns";"Stub Period",#N/A,FALSE,"Returns"}</definedName>
    <definedName name="jafza">#REF!</definedName>
    <definedName name="james" hidden="1">{#N/A,#N/A,FALSE,"Consolidated";#N/A,#N/A,FALSE,"Available Credit";#N/A,#N/A,FALSE,"100% Owned";#N/A,#N/A,FALSE,"Bentall U.S. LLC";#N/A,#N/A,FALSE,"Bentall Properties (U.S.) Ltd.";#N/A,#N/A,FALSE,"Schedule I"}</definedName>
    <definedName name="Jan.">#REF!</definedName>
    <definedName name="JaS" hidden="1">{"Assumptions",#N/A,TRUE,"Returns";"Tables",#N/A,TRUE,"Returns"}</definedName>
    <definedName name="jb" hidden="1">{"summary1",#N/A,TRUE,"Comps";"summary2",#N/A,TRUE,"Comps";"summary3",#N/A,TRUE,"Comps"}</definedName>
    <definedName name="jc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jd" hidden="1">{#N/A,#N/A,FALSE,"LoanAssumptions"}</definedName>
    <definedName name="jde">#REF!</definedName>
    <definedName name="jdstryj" hidden="1">{"Investor",#N/A,FALSE,"Model";"Property",#N/A,FALSE,"Model";"Incentive Taxes",#N/A,FALSE,"Model"}</definedName>
    <definedName name="jdtyjs" hidden="1">{"Investor",#N/A,FALSE,"Model";"Property",#N/A,FALSE,"Model";"Incentive Taxes",#N/A,FALSE,"Model"}</definedName>
    <definedName name="Jersey" hidden="1">{0,#N/A,FALSE,0}</definedName>
    <definedName name="jes" hidden="1">{"View1",#N/A,FALSE,"Sheet1";"View2",#N/A,FALSE,"Sheet1"}</definedName>
    <definedName name="jetro">#REF!</definedName>
    <definedName name="jim" hidden="1">#REF!</definedName>
    <definedName name="jimmy" hidden="1">#REF!</definedName>
    <definedName name="jjj" hidden="1">#REF!</definedName>
    <definedName name="jjjjj" hidden="1">#REF!</definedName>
    <definedName name="jjjjjjjjjjjjjjjjjjj" hidden="1">{"AnnualRentRoll",#N/A,FALSE,"RentRoll"}</definedName>
    <definedName name="jjlj" hidden="1">{"scheduleB",#N/A,FALSE,"CTT_CLO"}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kl" hidden="1">{#N/A,#N/A,FALSE,"Chart 2 by Prop Type"}</definedName>
    <definedName name="jklkj" hidden="1">{"Sum1",#N/A,FALSE,"Reserve Report";"Sum2",#N/A,FALSE,"Reserve Report";"Sum3",#N/A,FALSE,"Reserve Report";"Sum4",#N/A,FALSE,"Reserve Report"}</definedName>
    <definedName name="jlkj" hidden="1">{#N/A,#N/A,TRUE,"XL Cash Flow";#N/A,#N/A,TRUE,"Prop Valuation";#N/A,#N/A,TRUE,"Equity";#N/A,#N/A,TRUE,"Modeling assumptions";#N/A,#N/A,TRUE,"NER Model";#N/A,#N/A,TRUE,"Lease Exp";#N/A,#N/A,TRUE,"Inc &amp; Exp";#N/A,#N/A,TRUE,"Formatted - roll";#N/A,#N/A,TRUE,"Debt Model";#N/A,#N/A,TRUE,"Debt-Moody";#N/A,#N/A,TRUE,"Debt"}</definedName>
    <definedName name="jn" hidden="1">{"Data Input",#N/A,TRUE,"Data Input";"10-Yr Cash Flow",#N/A,TRUE,"Cash Flow";"10-Yr Value",#N/A,TRUE,"Value "}</definedName>
    <definedName name="jnm" hidden="1">{"Data Input",#N/A,TRUE,"Data Input";"15-Yr Cash Flow",#N/A,TRUE,"Cash Flow";"15-Yr Value",#N/A,TRUE,"Value "}</definedName>
    <definedName name="jpeg" hidden="1">{"'Assump'!$F$6:$J$6"}</definedName>
    <definedName name="JPICFDIST">#REF!</definedName>
    <definedName name="JPIEQUITY">#REF!</definedName>
    <definedName name="JPIEQUITYA">#REF!</definedName>
    <definedName name="JPIPREFRETURN">#REF!</definedName>
    <definedName name="jrtyhdf" hidden="1">{"Investor",#N/A,FALSE,"Model";"Property",#N/A,FALSE,"Model";"Incentive Taxes",#N/A,FALSE,"Model"}</definedName>
    <definedName name="Js" hidden="1">{"Summary",#N/A,FALSE,"Returns";"venture Cash flows",#N/A,FALSE,"Returns";"IRR Calcs",#N/A,FALSE,"Returns";"Promote Calcs",#N/A,FALSE,"Returns";"cash flor Streams",#N/A,FALSE,"Returns";"Prop. Cash Flow",#N/A,FALSE,"Returns";"Prop. Cash Flow PSF",#N/A,FALSE,"Returns";"Prop. Cash Flow %",#N/A,FALSE,"Returns";"Stub Period",#N/A,FALSE,"Returns"}</definedName>
    <definedName name="jsfda" hidden="1">{"incomemth",#N/A,TRUE,"forecast00";"incomepercentmth",#N/A,TRUE,"forecast00";"balancemth",#N/A,TRUE,"forecast00";"cashmth",#N/A,TRUE,"forecast00";"covenantmth",#N/A,TRUE,"forecast00"}</definedName>
    <definedName name="jsrj" hidden="1">{"Investor",#N/A,FALSE,"Model";"Property",#N/A,FALSE,"Model";"Incentive Taxes",#N/A,FALSE,"Model"}</definedName>
    <definedName name="jtyt" hidden="1">{"Investor",#N/A,FALSE,"Model";"Property",#N/A,FALSE,"Model";"Incentive Taxes",#N/A,FALSE,"Model"}</definedName>
    <definedName name="Juli">#REF!</definedName>
    <definedName name="julia" hidden="1">#REF!</definedName>
    <definedName name="June" hidden="1">{"three",#N/A,FALSE,"Capital";"four",#N/A,FALSE,"Capital"}</definedName>
    <definedName name="Juni">#REF!</definedName>
    <definedName name="JUNK" hidden="1">{"'Table of Contents'!$A$1"}</definedName>
    <definedName name="Junk_condo" hidden="1">{"SCHEDULE",#N/A,FALSE,"Fin_sched"}</definedName>
    <definedName name="JUNK2" hidden="1">{"SUMMARY",#N/A,FALSE,"Fin_sched"}</definedName>
    <definedName name="JV_PORTFOLIO">#REF!</definedName>
    <definedName name="JVCat">#REF!</definedName>
    <definedName name="JVSource">#REF!</definedName>
    <definedName name="jvterm">#REF!</definedName>
    <definedName name="jz" hidden="1">#REF!</definedName>
    <definedName name="k" hidden="1">{#N/A,#N/A,FALSE,"Chart 2 by Prop Type"}</definedName>
    <definedName name="K2_WBEVMODE" hidden="1">-1</definedName>
    <definedName name="kah" hidden="1">#REF!</definedName>
    <definedName name="KansasIncl.">#REF!</definedName>
    <definedName name="kdjol">#REF!</definedName>
    <definedName name="ke" hidden="1">#REF!</definedName>
    <definedName name="key" hidden="1">#REF!</definedName>
    <definedName name="KeyAnaly_Header" hidden="1">#REF!</definedName>
    <definedName name="Keybank" hidden="1">#REF!</definedName>
    <definedName name="keybookltm" hidden="1">#REF!</definedName>
    <definedName name="keybookty" hidden="1">#REF!</definedName>
    <definedName name="keyearnltm" hidden="1">#REF!</definedName>
    <definedName name="keyearnty" hidden="1">#REF!</definedName>
    <definedName name="keyebitdaty" hidden="1">#REF!</definedName>
    <definedName name="keyebitltm" hidden="1">#REF!</definedName>
    <definedName name="keyebitty" hidden="1">#REF!</definedName>
    <definedName name="keyformrow" hidden="1">#REF!</definedName>
    <definedName name="keyformrow2" hidden="1">#REF!</definedName>
    <definedName name="keypebitdaltm" hidden="1">#REF!</definedName>
    <definedName name="keypebitdaty" hidden="1">#REF!</definedName>
    <definedName name="keyprefeqtyty" hidden="1">#REF!</definedName>
    <definedName name="keyrevty" hidden="1">#REF!</definedName>
    <definedName name="Keys">#REF!</definedName>
    <definedName name="keyshareoutty" hidden="1">#REF!</definedName>
    <definedName name="keysharepricety" hidden="1">#REF!</definedName>
    <definedName name="keytotdebtty" hidden="1">#REF!</definedName>
    <definedName name="keytyrange" hidden="1">#REF!</definedName>
    <definedName name="keytyrangeone" hidden="1">#REF!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iju" hidden="1">{#N/A,#N/A,FALSE,"Chart 2 by Prop Type"}</definedName>
    <definedName name="kill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kill2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kill3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kill4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kiu" hidden="1">{#N/A,#N/A,FALSE,"Chart 2 by Prop Type"}</definedName>
    <definedName name="kj" hidden="1">{#N/A,#N/A,TRUE,"Krycí list"}</definedName>
    <definedName name="kjj" hidden="1">{#N/A,#N/A,TRUE,"Krycí list"}</definedName>
    <definedName name="kjjjjkjhk" hidden="1">{"sheet a",#N/A,FALSE,"A";"sheet b 1",#N/A,FALSE,"B";"sheet b 2",#N/A,FALSE,"B"}</definedName>
    <definedName name="kjkk" hidden="1">{"Sum1",#N/A,FALSE,"Reserve Report";"Sum2",#N/A,FALSE,"Reserve Report";"Sum3",#N/A,FALSE,"Reserve Report";"Sum4",#N/A,FALSE,"Reserve Report"}</definedName>
    <definedName name="kjljl" hidden="1">{"sheet a",#N/A,FALSE,"A";"2 9 casflow",#N/A,FALSE,"B"}</definedName>
    <definedName name="kk" hidden="1">#REF!</definedName>
    <definedName name="kkjjj" hidden="1">{#N/A,#N/A,FALSE,"Common Area Accrual";#N/A,#N/A,FALSE,"Unit One LaSalle";#N/A,#N/A,FALSE,"Unit One CW";#N/A,#N/A,FALSE,"Unit One LaSallle + C &amp; W";#N/A,#N/A,FALSE,"Consolidated Accrual"}</definedName>
    <definedName name="kkk" hidden="1">{#N/A,#N/A,FALSE,"B_Spread"}</definedName>
    <definedName name="kkkk" hidden="1">#REF!</definedName>
    <definedName name="kkkkkkk" hidden="1">{"MonthlyRentRoll",#N/A,FALSE,"RentRoll"}</definedName>
    <definedName name="kkkkkkkkkk" hidden="1">{#N/A,#N/A,FALSE,"Cash Flow";#N/A,#N/A,FALSE,"scenario 1"}</definedName>
    <definedName name="kkkkkkkkkkkkkkkkkkkkk" hidden="1">{"AnnualRentRoll",#N/A,FALSE,"RentRoll"}</definedName>
    <definedName name="kli" hidden="1">{"Total",#N/A,FALSE,"Total Proved";"PDP",#N/A,FALSE,"Total Proved";"PNP",#N/A,FALSE,"Total Proved";"PUD",#N/A,FALSE,"Total Proved"}</definedName>
    <definedName name="klmno" hidden="1">{#N/A,#N/A,FALSE,"Chart 2 by Prop Type"}</definedName>
    <definedName name="ktyk" hidden="1">{"Investor",#N/A,FALSE,"Model";"Property",#N/A,FALSE,"Model";"Incentive Taxes",#N/A,FALSE,"Model"}</definedName>
    <definedName name="ky" hidden="1">#REF!</definedName>
    <definedName name="kyd.ChngCell.01." hidden="1">#REF!</definedName>
    <definedName name="kyd.CounterLimitCell.01." hidden="1">"x"</definedName>
    <definedName name="kyd.Dim.01." hidden="1">"tm1serv:company"</definedName>
    <definedName name="kyd.ElementList.01." hidden="1">#REF!</definedName>
    <definedName name="kyd.ElementType.01." hidden="1">1</definedName>
    <definedName name="kyd.ItemType.01." hidden="1">2</definedName>
    <definedName name="kyd.MacroAtEnd." hidden="1">""</definedName>
    <definedName name="kyd.MacroEachCycle." hidden="1">""</definedName>
    <definedName name="kyd.MacroEndOfEachCycle." hidden="1">""</definedName>
    <definedName name="kyd.NumLevels.01." hidden="1">999</definedName>
    <definedName name="kyd.PanicStop." hidden="1">FALSE</definedName>
    <definedName name="kyd.ParentName.01." hidden="1">""</definedName>
    <definedName name="kyd.PreScreenData." hidden="1">FALSE</definedName>
    <definedName name="kyd.PrintActionOptn." hidden="1">1</definedName>
    <definedName name="kyd.PrintParent.01." hidden="1">TRUE</definedName>
    <definedName name="kyd.PrintStdWhen." hidden="1">1</definedName>
    <definedName name="kyd.SaveAsFile." hidden="1">FALSE</definedName>
    <definedName name="kyd.SelectString.01." hidden="1">"*"</definedName>
    <definedName name="kyd.StdSortHide." hidden="1">FALSE</definedName>
    <definedName name="l" hidden="1">{#N/A,#N/A,FALSE,"Chart 2 by Prop Type"}</definedName>
    <definedName name="ladd" hidden="1">#REF!</definedName>
    <definedName name="lam" hidden="1">{"2001",#N/A,FALSE,"2001"}</definedName>
    <definedName name="land">#REF!</definedName>
    <definedName name="Land_Area">#REF!</definedName>
    <definedName name="Land_Basis">#REF!</definedName>
    <definedName name="LandCst">#REF!</definedName>
    <definedName name="lank" hidden="1">#REF!</definedName>
    <definedName name="Last_Edit">#REF!</definedName>
    <definedName name="Last_Row">IF(Values_Entered,Header_Row+Number_of_Payments,Header_Row)</definedName>
    <definedName name="LBOCreditConsol" hidden="1">{"FCB_ALL",#N/A,FALSE,"FCB"}</definedName>
    <definedName name="LCyr1">#REF!</definedName>
    <definedName name="LCyr10">#REF!</definedName>
    <definedName name="LCyr11">#REF!</definedName>
    <definedName name="LCyr2">#REF!</definedName>
    <definedName name="LCyr3">#REF!</definedName>
    <definedName name="LCyr4">#REF!</definedName>
    <definedName name="LCyr5">#REF!</definedName>
    <definedName name="LCyr6">#REF!</definedName>
    <definedName name="LCyr7">#REF!</definedName>
    <definedName name="LCyr8">#REF!</definedName>
    <definedName name="LCyr9">#REF!</definedName>
    <definedName name="LeaseComm">#REF!</definedName>
    <definedName name="leased_unit_count">#REF!</definedName>
    <definedName name="leased_unit_rent">#REF!</definedName>
    <definedName name="leased_unit_size">#REF!</definedName>
    <definedName name="leased_unit_type">#REF!</definedName>
    <definedName name="LeaseDetail">#REF!</definedName>
    <definedName name="LeaseType">#REF!</definedName>
    <definedName name="LeaseUp_YN">#REF!</definedName>
    <definedName name="leek" hidden="1">#REF!</definedName>
    <definedName name="len" hidden="1">{"Full Gross to Net",#N/A,TRUE,"GtoN";"R_I Accepted from Group Coys",#N/A,TRUE,"GtoN";"R_I Ceded to Group Coys",#N/A,TRUE,"GtoN";"Closing Loss Reserves and Gross Claims Incurred",#N/A,TRUE,"GtoN"}</definedName>
    <definedName name="LessorPart">#REF!</definedName>
    <definedName name="LETTER">#N/A</definedName>
    <definedName name="lfyu" hidden="1">{"Investor",#N/A,FALSE,"Model";"Property",#N/A,FALSE,"Model";"Incentive Taxes",#N/A,FALSE,"Model"}</definedName>
    <definedName name="LIBOR">#REF!</definedName>
    <definedName name="LIM">#REF!</definedName>
    <definedName name="limcount" hidden="1">1</definedName>
    <definedName name="lincoln">#REF!</definedName>
    <definedName name="LINCSPLIT">#REF!</definedName>
    <definedName name="Line">"_____ "</definedName>
    <definedName name="LinkHistMdbField001001" hidden="1">#REF!</definedName>
    <definedName name="LinkHistMdbField001002" hidden="1">#REF!</definedName>
    <definedName name="LinkHistMdbField001003" hidden="1">#REF!</definedName>
    <definedName name="LinkHistMdbField001004" hidden="1">#REF!</definedName>
    <definedName name="LinkHistMdbField001005" hidden="1">#REF!</definedName>
    <definedName name="LinkHistMdbField001006" hidden="1">#REF!</definedName>
    <definedName name="LinkHistMdbField001007" hidden="1">#REF!</definedName>
    <definedName name="LinkHistMdbField001008" hidden="1">#REF!</definedName>
    <definedName name="LinkHistMdbField001009" hidden="1">#REF!</definedName>
    <definedName name="LinkHistMdbField001010" hidden="1">#REF!</definedName>
    <definedName name="LinkHistMdbField001011" hidden="1">#REF!</definedName>
    <definedName name="LinkHistMdbField001012" hidden="1">#REF!</definedName>
    <definedName name="LinkHistMdbField001013" hidden="1">#REF!</definedName>
    <definedName name="LinkHistMdbField001014" hidden="1">#REF!</definedName>
    <definedName name="LinkHistMdbField001015" hidden="1">#REF!</definedName>
    <definedName name="LinkHistMdbField001016" hidden="1">#REF!</definedName>
    <definedName name="LinkHistMdbField001017" hidden="1">#REF!</definedName>
    <definedName name="LinkHistMdbField001018" hidden="1">#REF!</definedName>
    <definedName name="LinkHistMdbField001019" hidden="1">#REF!</definedName>
    <definedName name="LinkHistMdbField001020" hidden="1">#REF!</definedName>
    <definedName name="LinkHistMdbField001021" hidden="1">#REF!</definedName>
    <definedName name="LinkHistMdbField001022" hidden="1">#REF!</definedName>
    <definedName name="LinkHistMdbField001023" hidden="1">#REF!</definedName>
    <definedName name="LinkHistMdbField001024" hidden="1">#REF!</definedName>
    <definedName name="LinkHistMdbField001025" hidden="1">#REF!</definedName>
    <definedName name="LinkHistMdbField001026" hidden="1">#REF!</definedName>
    <definedName name="LinkHistMdbField001027" hidden="1">#REF!</definedName>
    <definedName name="LinkHistMdbField001028" hidden="1">#REF!</definedName>
    <definedName name="LinkHistMdbField001029" hidden="1">#REF!</definedName>
    <definedName name="LinkHistMdbField001030" hidden="1">#REF!</definedName>
    <definedName name="LinkHistMdbField001031" hidden="1">#REF!</definedName>
    <definedName name="LinkHistMdbField001032" hidden="1">#REF!</definedName>
    <definedName name="LinkHistMdbField001033" hidden="1">#REF!</definedName>
    <definedName name="LinkHistMdbField001034" hidden="1">#REF!</definedName>
    <definedName name="LinkHistMdbField001035" hidden="1">#REF!</definedName>
    <definedName name="LinkHistMdbField001036" hidden="1">#REF!</definedName>
    <definedName name="LinkHistMdbField001037" hidden="1">#REF!</definedName>
    <definedName name="LinkHistMdbField001038" hidden="1">#REF!</definedName>
    <definedName name="LinkHistMdbField001039" hidden="1">#REF!</definedName>
    <definedName name="LinkHistMdbField001040" hidden="1">#REF!</definedName>
    <definedName name="LinkHistMdbField001041" hidden="1">#REF!</definedName>
    <definedName name="LinkHistMdbField001042" hidden="1">#REF!</definedName>
    <definedName name="LinkHistMdbField001043" hidden="1">#REF!</definedName>
    <definedName name="LinkHistMdbField001044" hidden="1">#REF!</definedName>
    <definedName name="LinkHistMdbField001045" hidden="1">#REF!</definedName>
    <definedName name="LinkHistMdbField001046" hidden="1">#REF!</definedName>
    <definedName name="LinkHistMdbField002001" hidden="1">#REF!</definedName>
    <definedName name="LinkHistMdbField002002" hidden="1">#REF!</definedName>
    <definedName name="LinkHistMdbField002003" hidden="1">#REF!</definedName>
    <definedName name="LinkHistMdbField002004" hidden="1">#REF!</definedName>
    <definedName name="LinkHistMdbField002005" hidden="1">#REF!</definedName>
    <definedName name="LinkHistMdbField002006" hidden="1">#REF!</definedName>
    <definedName name="LinkHistMdbField002007" hidden="1">#REF!</definedName>
    <definedName name="LinkHistMdbField002008" hidden="1">#REF!</definedName>
    <definedName name="LinkHistMdbField002009" hidden="1">#REF!</definedName>
    <definedName name="LinkHistMdbField002010" hidden="1">#REF!</definedName>
    <definedName name="LinkHistMdbField002011" hidden="1">#REF!</definedName>
    <definedName name="LinkHistMdbField002012" hidden="1">#REF!</definedName>
    <definedName name="LinkHistMdbField002013" hidden="1">#REF!</definedName>
    <definedName name="LinkHistMdbField002014" hidden="1">#REF!</definedName>
    <definedName name="LinkHistMdbField002015" hidden="1">#REF!</definedName>
    <definedName name="LinkHistMdbField002016" hidden="1">#REF!</definedName>
    <definedName name="LinkHistMdbField002017" hidden="1">#REF!</definedName>
    <definedName name="LinkHistMdbField002018" hidden="1">#REF!</definedName>
    <definedName name="LinkHistMdbField002019" hidden="1">#REF!</definedName>
    <definedName name="LinkHistMdbField002020" hidden="1">#REF!</definedName>
    <definedName name="LinkHistMdbField002021" hidden="1">#REF!</definedName>
    <definedName name="LinkHistMdbField002022" hidden="1">#REF!</definedName>
    <definedName name="LinkHistMdbField002023" hidden="1">#REF!</definedName>
    <definedName name="LinkHistMdbField002024" hidden="1">#REF!</definedName>
    <definedName name="LinkHistMdbField002025" hidden="1">#REF!</definedName>
    <definedName name="LinkHistMdbField002026" hidden="1">#REF!</definedName>
    <definedName name="LinkHistMdbField002027" hidden="1">#REF!</definedName>
    <definedName name="LinkHistMdbField002028" hidden="1">#REF!</definedName>
    <definedName name="LinkHistMdbField002029" hidden="1">#REF!</definedName>
    <definedName name="LinkHistMdbField002030" hidden="1">#REF!</definedName>
    <definedName name="LinkHistMdbField002031" hidden="1">#REF!</definedName>
    <definedName name="LinkHistMdbField002032" hidden="1">#REF!</definedName>
    <definedName name="LinkHistMdbField002033" hidden="1">#REF!</definedName>
    <definedName name="LinkHistMdbField002034" hidden="1">#REF!</definedName>
    <definedName name="LinkHistMdbField002035" hidden="1">#REF!</definedName>
    <definedName name="LinkHistMdbField002036" hidden="1">#REF!</definedName>
    <definedName name="LinkHistMdbField002037" hidden="1">#REF!</definedName>
    <definedName name="LinkHistMdbField002038" hidden="1">#REF!</definedName>
    <definedName name="LinkHistMdbField002039" hidden="1">#REF!</definedName>
    <definedName name="LinkHistMdbField002040" hidden="1">#REF!</definedName>
    <definedName name="LinkHistMdbField002041" hidden="1">#REF!</definedName>
    <definedName name="LinkHistMdbField002042" hidden="1">#REF!</definedName>
    <definedName name="LinkHistMdbField002043" hidden="1">#REF!</definedName>
    <definedName name="LinkHistMdbField002044" hidden="1">#REF!</definedName>
    <definedName name="LinkHistMdbField002045" hidden="1">#REF!</definedName>
    <definedName name="LinkHistMdbField002046" hidden="1">#REF!</definedName>
    <definedName name="LinkHistMdbField003001" hidden="1">#REF!</definedName>
    <definedName name="LinkHistMdbField003002" hidden="1">#REF!</definedName>
    <definedName name="LinkHistMdbField003003" hidden="1">#REF!</definedName>
    <definedName name="LinkHistMdbField003004" hidden="1">#REF!</definedName>
    <definedName name="LinkHistMdbField003005" hidden="1">#REF!</definedName>
    <definedName name="LinkHistMdbField003006" hidden="1">#REF!</definedName>
    <definedName name="LinkHistMdbField003007" hidden="1">#REF!</definedName>
    <definedName name="LinkHistMdbField003008" hidden="1">#REF!</definedName>
    <definedName name="LinkHistMdbField003009" hidden="1">#REF!</definedName>
    <definedName name="LinkHistMdbField003010" hidden="1">#REF!</definedName>
    <definedName name="LinkHistMdbField003011" hidden="1">#REF!</definedName>
    <definedName name="LinkHistMdbField003012" hidden="1">#REF!</definedName>
    <definedName name="LinkHistMdbField003013" hidden="1">#REF!</definedName>
    <definedName name="LinkHistMdbField003014" hidden="1">#REF!</definedName>
    <definedName name="LinkHistMdbField003015" hidden="1">#REF!</definedName>
    <definedName name="LinkHistMdbField003016" hidden="1">#REF!</definedName>
    <definedName name="LinkHistMdbField003017" hidden="1">#REF!</definedName>
    <definedName name="LinkHistMdbField003018" hidden="1">#REF!</definedName>
    <definedName name="LinkHistMdbField003019" hidden="1">#REF!</definedName>
    <definedName name="LinkHistMdbField003020" hidden="1">#REF!</definedName>
    <definedName name="LinkHistMdbField003021" hidden="1">#REF!</definedName>
    <definedName name="LinkHistMdbField003022" hidden="1">#REF!</definedName>
    <definedName name="LinkHistMdbField003023" hidden="1">#REF!</definedName>
    <definedName name="LinkHistMdbField003024" hidden="1">#REF!</definedName>
    <definedName name="LinkHistMdbField003025" hidden="1">#REF!</definedName>
    <definedName name="LinkHistMdbField003026" hidden="1">#REF!</definedName>
    <definedName name="LinkHistMdbField003027" hidden="1">#REF!</definedName>
    <definedName name="LinkHistMdbField003028" hidden="1">#REF!</definedName>
    <definedName name="LinkHistMdbField003029" hidden="1">#REF!</definedName>
    <definedName name="LinkHistMdbField003030" hidden="1">#REF!</definedName>
    <definedName name="LinkHistMdbField003031" hidden="1">#REF!</definedName>
    <definedName name="LinkHistMdbField003032" hidden="1">#REF!</definedName>
    <definedName name="LinkHistMdbField003033" hidden="1">#REF!</definedName>
    <definedName name="LinkHistMdbField003034" hidden="1">#REF!</definedName>
    <definedName name="LinkHistMdbField003035" hidden="1">#REF!</definedName>
    <definedName name="LinkHistMdbField003036" hidden="1">#REF!</definedName>
    <definedName name="LinkHistMdbField003037" hidden="1">#REF!</definedName>
    <definedName name="LinkHistMdbField003038" hidden="1">#REF!</definedName>
    <definedName name="LinkHistMdbField003039" hidden="1">#REF!</definedName>
    <definedName name="LinkHistMdbField003040" hidden="1">#REF!</definedName>
    <definedName name="LinkHistMdbField003041" hidden="1">#REF!</definedName>
    <definedName name="LinkHistMdbField003042" hidden="1">#REF!</definedName>
    <definedName name="LinkHistMdbField003043" hidden="1">#REF!</definedName>
    <definedName name="LinkHistMdbField003044" hidden="1">#REF!</definedName>
    <definedName name="LinkHistMdbField003045" hidden="1">#REF!</definedName>
    <definedName name="LinkHistMdbField003046" hidden="1">#REF!</definedName>
    <definedName name="LinkHistMdbField004001" hidden="1">#REF!</definedName>
    <definedName name="LinkHistMdbField004002" hidden="1">#REF!</definedName>
    <definedName name="LinkHistMdbField004003" hidden="1">#REF!</definedName>
    <definedName name="LinkHistMdbField004004" hidden="1">#REF!</definedName>
    <definedName name="LinkHistMdbField004005" hidden="1">#REF!</definedName>
    <definedName name="LinkHistMdbField004006" hidden="1">#REF!</definedName>
    <definedName name="LinkHistMdbField004007" hidden="1">#REF!</definedName>
    <definedName name="LinkHistMdbField004008" hidden="1">#REF!</definedName>
    <definedName name="LinkHistMdbField004009" hidden="1">#REF!</definedName>
    <definedName name="LinkHistMdbField004010" hidden="1">#REF!</definedName>
    <definedName name="LinkHistMdbField004011" hidden="1">#REF!</definedName>
    <definedName name="LinkHistMdbField004012" hidden="1">#REF!</definedName>
    <definedName name="LinkHistMdbField004013" hidden="1">#REF!</definedName>
    <definedName name="LinkHistMdbField004014" hidden="1">#REF!</definedName>
    <definedName name="LinkHistMdbField004015" hidden="1">#REF!</definedName>
    <definedName name="LinkHistMdbField004016" hidden="1">#REF!</definedName>
    <definedName name="LinkHistMdbField004017" hidden="1">#REF!</definedName>
    <definedName name="LinkHistMdbField004018" hidden="1">#REF!</definedName>
    <definedName name="LinkHistMdbField004019" hidden="1">#REF!</definedName>
    <definedName name="LinkHistMdbField004020" hidden="1">#REF!</definedName>
    <definedName name="LinkHistMdbField004021" hidden="1">#REF!</definedName>
    <definedName name="LinkHistMdbField004022" hidden="1">#REF!</definedName>
    <definedName name="LinkHistMdbField004023" hidden="1">#REF!</definedName>
    <definedName name="LinkHistMdbField004024" hidden="1">#REF!</definedName>
    <definedName name="LinkHistMdbField004025" hidden="1">#REF!</definedName>
    <definedName name="LinkHistMdbField004026" hidden="1">#REF!</definedName>
    <definedName name="LinkHistMdbField004027" hidden="1">#REF!</definedName>
    <definedName name="LinkHistMdbField004028" hidden="1">#REF!</definedName>
    <definedName name="LinkHistMdbField004029" hidden="1">#REF!</definedName>
    <definedName name="LinkHistMdbField004030" hidden="1">#REF!</definedName>
    <definedName name="LinkHistMdbField004031" hidden="1">#REF!</definedName>
    <definedName name="LinkHistMdbField004032" hidden="1">#REF!</definedName>
    <definedName name="LinkHistMdbField004033" hidden="1">#REF!</definedName>
    <definedName name="LinkHistMdbField004034" hidden="1">#REF!</definedName>
    <definedName name="LinkHistMdbField004035" hidden="1">#REF!</definedName>
    <definedName name="LinkHistMdbField004036" hidden="1">#REF!</definedName>
    <definedName name="LinkHistMdbField004037" hidden="1">#REF!</definedName>
    <definedName name="LinkHistMdbField004038" hidden="1">#REF!</definedName>
    <definedName name="LinkHistMdbField004039" hidden="1">#REF!</definedName>
    <definedName name="LinkHistMdbField004040" hidden="1">#REF!</definedName>
    <definedName name="LinkHistMdbField004041" hidden="1">#REF!</definedName>
    <definedName name="LinkHistMdbField004042" hidden="1">#REF!</definedName>
    <definedName name="LinkHistMdbField004043" hidden="1">#REF!</definedName>
    <definedName name="LinkHistMdbField004044" hidden="1">#REF!</definedName>
    <definedName name="LinkHistMdbField004045" hidden="1">#REF!</definedName>
    <definedName name="LinkHistMdbField004046" hidden="1">#REF!</definedName>
    <definedName name="LinkHistMdbField005001" hidden="1">#REF!</definedName>
    <definedName name="LinkHistMdbField005002" hidden="1">#REF!</definedName>
    <definedName name="LinkHistMdbField005003" hidden="1">#REF!</definedName>
    <definedName name="LinkHistMdbField005004" hidden="1">#REF!</definedName>
    <definedName name="LinkHistMdbField005005" hidden="1">#REF!</definedName>
    <definedName name="LinkHistMdbField005006" hidden="1">#REF!</definedName>
    <definedName name="LinkHistMdbField005007" hidden="1">#REF!</definedName>
    <definedName name="LinkHistMdbField005008" hidden="1">#REF!</definedName>
    <definedName name="LinkHistMdbField005009" hidden="1">#REF!</definedName>
    <definedName name="LinkHistMdbField005010" hidden="1">#REF!</definedName>
    <definedName name="LinkHistMdbField005011" hidden="1">#REF!</definedName>
    <definedName name="LinkHistMdbField005012" hidden="1">#REF!</definedName>
    <definedName name="LinkHistMdbField005013" hidden="1">#REF!</definedName>
    <definedName name="LinkHistMdbField005014" hidden="1">#REF!</definedName>
    <definedName name="LinkHistMdbField005015" hidden="1">#REF!</definedName>
    <definedName name="LinkHistMdbField005016" hidden="1">#REF!</definedName>
    <definedName name="LinkHistMdbField005017" hidden="1">#REF!</definedName>
    <definedName name="LinkHistMdbField005018" hidden="1">#REF!</definedName>
    <definedName name="LinkHistMdbField005019" hidden="1">#REF!</definedName>
    <definedName name="LinkHistMdbField005020" hidden="1">#REF!</definedName>
    <definedName name="LinkHistMdbField005021" hidden="1">#REF!</definedName>
    <definedName name="LinkHistMdbField005022" hidden="1">#REF!</definedName>
    <definedName name="LinkHistMdbField005023" hidden="1">#REF!</definedName>
    <definedName name="LinkHistMdbField005024" hidden="1">#REF!</definedName>
    <definedName name="LinkHistMdbField005025" hidden="1">#REF!</definedName>
    <definedName name="LinkHistMdbField005026" hidden="1">#REF!</definedName>
    <definedName name="LinkHistMdbField005027" hidden="1">#REF!</definedName>
    <definedName name="LinkHistMdbField005028" hidden="1">#REF!</definedName>
    <definedName name="LinkHistMdbField005029" hidden="1">#REF!</definedName>
    <definedName name="LinkHistMdbField005030" hidden="1">#REF!</definedName>
    <definedName name="LinkHistMdbField005031" hidden="1">#REF!</definedName>
    <definedName name="LinkHistMdbField005032" hidden="1">#REF!</definedName>
    <definedName name="LinkHistMdbField005033" hidden="1">#REF!</definedName>
    <definedName name="LinkHistMdbField005034" hidden="1">#REF!</definedName>
    <definedName name="LinkHistMdbField005035" hidden="1">#REF!</definedName>
    <definedName name="LinkHistMdbField005036" hidden="1">#REF!</definedName>
    <definedName name="LinkHistMdbField005037" hidden="1">#REF!</definedName>
    <definedName name="LinkHistMdbField005038" hidden="1">#REF!</definedName>
    <definedName name="LinkHistMdbField005039" hidden="1">#REF!</definedName>
    <definedName name="LinkHistMdbField005040" hidden="1">#REF!</definedName>
    <definedName name="LinkHistMdbField005041" hidden="1">#REF!</definedName>
    <definedName name="LinkHistMdbField005042" hidden="1">#REF!</definedName>
    <definedName name="LinkHistMdbField005043" hidden="1">#REF!</definedName>
    <definedName name="LinkHistMdbField005044" hidden="1">#REF!</definedName>
    <definedName name="LinkHistMdbField005045" hidden="1">#REF!</definedName>
    <definedName name="LinkHistMdbField005046" hidden="1">#REF!</definedName>
    <definedName name="LinkHistMdbField0101" hidden="1">#REF!</definedName>
    <definedName name="LinkHistMdbField0102" hidden="1">#REF!</definedName>
    <definedName name="LinkHistMdbField0103" hidden="1">#REF!</definedName>
    <definedName name="LinkHistMdbField0104" hidden="1">#REF!</definedName>
    <definedName name="LinkHistMdbField0105" hidden="1">#REF!</definedName>
    <definedName name="LinkHistMdbField0106" hidden="1">#REF!</definedName>
    <definedName name="LinkHistMdbField0107" hidden="1">#REF!</definedName>
    <definedName name="LinkHistMdbField0108" hidden="1">#REF!</definedName>
    <definedName name="LinkHistMdbField0109" hidden="1">#REF!</definedName>
    <definedName name="LinkHistMdbField0110" hidden="1">#REF!</definedName>
    <definedName name="LinkHistMdbField0111" hidden="1">#REF!</definedName>
    <definedName name="LinkHistMdbField0112" hidden="1">#REF!</definedName>
    <definedName name="LinkHistMdbField0113" hidden="1">#REF!</definedName>
    <definedName name="LinkHistMdbField0114" hidden="1">#REF!</definedName>
    <definedName name="LinkHistMdbField0115" hidden="1">#REF!</definedName>
    <definedName name="LinkHistMdbField0116" hidden="1">#REF!</definedName>
    <definedName name="LinkHistMdbField0117" hidden="1">#REF!</definedName>
    <definedName name="LinkHistMdbField0118" hidden="1">#REF!</definedName>
    <definedName name="LinkHistMdbField0119" hidden="1">#REF!</definedName>
    <definedName name="LinkHistMdbField0120" hidden="1">#REF!</definedName>
    <definedName name="LinkHistMdbField0121" hidden="1">#REF!</definedName>
    <definedName name="LinkHistMdbField0122" hidden="1">#REF!</definedName>
    <definedName name="LinkHistMdbField0123" hidden="1">#REF!</definedName>
    <definedName name="LinkHistMdbField0124" hidden="1">#REF!</definedName>
    <definedName name="LinkHistMdbField0125" hidden="1">#REF!</definedName>
    <definedName name="LinkHistMdbField0126" hidden="1">#REF!</definedName>
    <definedName name="LinkHistMdbField0127" hidden="1">#REF!</definedName>
    <definedName name="LinkHistMdbField0128" hidden="1">#REF!</definedName>
    <definedName name="LinkHistMdbField0129" hidden="1">#REF!</definedName>
    <definedName name="LinkHistMdbField0130" hidden="1">#REF!</definedName>
    <definedName name="LinkHistMdbField0131" hidden="1">#REF!</definedName>
    <definedName name="LinkHistMdbField0132" hidden="1">#REF!</definedName>
    <definedName name="LinkHistMdbField0133" hidden="1">#REF!</definedName>
    <definedName name="LinkHistMdbField0134" hidden="1">#REF!</definedName>
    <definedName name="LinkHistMdbField0135" hidden="1">#REF!</definedName>
    <definedName name="LinkHistMdbField0136" hidden="1">#REF!</definedName>
    <definedName name="LinkHistMdbField0137" hidden="1">#REF!</definedName>
    <definedName name="LinkHistMdbField0138" hidden="1">#REF!</definedName>
    <definedName name="LinkHistMdbField0139" hidden="1">#REF!</definedName>
    <definedName name="LinkHistMdbField0140" hidden="1">#REF!</definedName>
    <definedName name="LinkHistMdbField0141" hidden="1">#REF!</definedName>
    <definedName name="LinkHistMdbField0142" hidden="1">#REF!</definedName>
    <definedName name="LinkHistMdbField0143" hidden="1">#REF!</definedName>
    <definedName name="LinkHistMdbField0144" hidden="1">#REF!</definedName>
    <definedName name="LinkHistMdbField0145" hidden="1">#REF!</definedName>
    <definedName name="LinkHistMdbField0146" hidden="1">#REF!</definedName>
    <definedName name="LinkHistMdbField0201" hidden="1">#REF!</definedName>
    <definedName name="LinkHistMdbField0202" hidden="1">#REF!</definedName>
    <definedName name="LinkHistMdbField0203" hidden="1">#REF!</definedName>
    <definedName name="LinkHistMdbField0204" hidden="1">#REF!</definedName>
    <definedName name="LinkHistMdbField0205" hidden="1">#REF!</definedName>
    <definedName name="LinkHistMdbField0206" hidden="1">#REF!</definedName>
    <definedName name="LinkHistMdbField0207" hidden="1">#REF!</definedName>
    <definedName name="LinkHistMdbField0208" hidden="1">#REF!</definedName>
    <definedName name="LinkHistMdbField0209" hidden="1">#REF!</definedName>
    <definedName name="LinkHistMdbField0210" hidden="1">#REF!</definedName>
    <definedName name="LinkHistMdbField0211" hidden="1">#REF!</definedName>
    <definedName name="LinkHistMdbField0212" hidden="1">#REF!</definedName>
    <definedName name="LinkHistMdbField0213" hidden="1">#REF!</definedName>
    <definedName name="LinkHistMdbField0214" hidden="1">#REF!</definedName>
    <definedName name="LinkHistMdbField0215" hidden="1">#REF!</definedName>
    <definedName name="LinkHistMdbField0216" hidden="1">#REF!</definedName>
    <definedName name="LinkHistMdbField0217" hidden="1">#REF!</definedName>
    <definedName name="LinkHistMdbField0218" hidden="1">#REF!</definedName>
    <definedName name="LinkHistMdbField0219" hidden="1">#REF!</definedName>
    <definedName name="LinkHistMdbField0220" hidden="1">#REF!</definedName>
    <definedName name="LinkHistMdbField0221" hidden="1">#REF!</definedName>
    <definedName name="LinkHistMdbField0222" hidden="1">#REF!</definedName>
    <definedName name="LinkHistMdbField0223" hidden="1">#REF!</definedName>
    <definedName name="LinkHistMdbField0224" hidden="1">#REF!</definedName>
    <definedName name="LinkHistMdbField0225" hidden="1">#REF!</definedName>
    <definedName name="LinkHistMdbField0226" hidden="1">#REF!</definedName>
    <definedName name="LinkHistMdbField0227" hidden="1">#REF!</definedName>
    <definedName name="LinkHistMdbField0228" hidden="1">#REF!</definedName>
    <definedName name="LinkHistMdbField0229" hidden="1">#REF!</definedName>
    <definedName name="LinkHistMdbField0230" hidden="1">#REF!</definedName>
    <definedName name="LinkHistMdbField0231" hidden="1">#REF!</definedName>
    <definedName name="LinkHistMdbField0232" hidden="1">#REF!</definedName>
    <definedName name="LinkHistMdbField0233" hidden="1">#REF!</definedName>
    <definedName name="LinkHistMdbField0234" hidden="1">#REF!</definedName>
    <definedName name="LinkHistMdbField0235" hidden="1">#REF!</definedName>
    <definedName name="LinkHistMdbField0236" hidden="1">#REF!</definedName>
    <definedName name="LinkHistMdbField0237" hidden="1">#REF!</definedName>
    <definedName name="LinkHistMdbField0238" hidden="1">#REF!</definedName>
    <definedName name="LinkHistMdbField0239" hidden="1">#REF!</definedName>
    <definedName name="LinkHistMdbField0240" hidden="1">#REF!</definedName>
    <definedName name="LinkHistMdbField0241" hidden="1">#REF!</definedName>
    <definedName name="LinkHistMdbField0242" hidden="1">#REF!</definedName>
    <definedName name="LinkHistMdbField0243" hidden="1">#REF!</definedName>
    <definedName name="LinkHistMdbField0244" hidden="1">#REF!</definedName>
    <definedName name="LinkHistMdbField0245" hidden="1">#REF!</definedName>
    <definedName name="LinkHistMdbField0246" hidden="1">#REF!</definedName>
    <definedName name="LinkHistMdbField0301" hidden="1">#REF!</definedName>
    <definedName name="LinkHistMdbField0302" hidden="1">#REF!</definedName>
    <definedName name="LinkHistMdbField0303" hidden="1">#REF!</definedName>
    <definedName name="LinkHistMdbField0304" hidden="1">#REF!</definedName>
    <definedName name="LinkHistMdbField0305" hidden="1">#REF!</definedName>
    <definedName name="LinkHistMdbField0306" hidden="1">#REF!</definedName>
    <definedName name="LinkHistMdbField0307" hidden="1">#REF!</definedName>
    <definedName name="LinkHistMdbField0308" hidden="1">#REF!</definedName>
    <definedName name="LinkHistMdbField0309" hidden="1">#REF!</definedName>
    <definedName name="LinkHistMdbField0310" hidden="1">#REF!</definedName>
    <definedName name="LinkHistMdbField0311" hidden="1">#REF!</definedName>
    <definedName name="LinkHistMdbField0312" hidden="1">#REF!</definedName>
    <definedName name="LinkHistMdbField0313" hidden="1">#REF!</definedName>
    <definedName name="LinkHistMdbField0314" hidden="1">#REF!</definedName>
    <definedName name="LinkHistMdbField0315" hidden="1">#REF!</definedName>
    <definedName name="LinkHistMdbField0316" hidden="1">#REF!</definedName>
    <definedName name="LinkHistMdbField0317" hidden="1">#REF!</definedName>
    <definedName name="LinkHistMdbField0318" hidden="1">#REF!</definedName>
    <definedName name="LinkHistMdbField0319" hidden="1">#REF!</definedName>
    <definedName name="LinkHistMdbField0320" hidden="1">#REF!</definedName>
    <definedName name="LinkHistMdbField0321" hidden="1">#REF!</definedName>
    <definedName name="LinkHistMdbField0322" hidden="1">#REF!</definedName>
    <definedName name="LinkHistMdbField0323" hidden="1">#REF!</definedName>
    <definedName name="LinkHistMdbField0324" hidden="1">#REF!</definedName>
    <definedName name="LinkHistMdbField0325" hidden="1">#REF!</definedName>
    <definedName name="LinkHistMdbField0326" hidden="1">#REF!</definedName>
    <definedName name="LinkHistMdbField0327" hidden="1">#REF!</definedName>
    <definedName name="LinkHistMdbField0328" hidden="1">#REF!</definedName>
    <definedName name="LinkHistMdbField0329" hidden="1">#REF!</definedName>
    <definedName name="LinkHistMdbField0330" hidden="1">#REF!</definedName>
    <definedName name="LinkHistMdbField0331" hidden="1">#REF!</definedName>
    <definedName name="LinkHistMdbField0332" hidden="1">#REF!</definedName>
    <definedName name="LinkHistMdbField0333" hidden="1">#REF!</definedName>
    <definedName name="LinkHistMdbField0334" hidden="1">#REF!</definedName>
    <definedName name="LinkHistMdbField0335" hidden="1">#REF!</definedName>
    <definedName name="LinkHistMdbField0336" hidden="1">#REF!</definedName>
    <definedName name="LinkHistMdbField0337" hidden="1">#REF!</definedName>
    <definedName name="LinkHistMdbField0338" hidden="1">#REF!</definedName>
    <definedName name="LinkHistMdbField0339" hidden="1">#REF!</definedName>
    <definedName name="LinkHistMdbField0340" hidden="1">#REF!</definedName>
    <definedName name="LinkHistMdbField0341" hidden="1">#REF!</definedName>
    <definedName name="LinkHistMdbField0342" hidden="1">#REF!</definedName>
    <definedName name="LinkHistMdbField0343" hidden="1">#REF!</definedName>
    <definedName name="LinkHistMdbField0344" hidden="1">#REF!</definedName>
    <definedName name="LinkHistMdbField0345" hidden="1">#REF!</definedName>
    <definedName name="LinkHistMdbField0346" hidden="1">#REF!</definedName>
    <definedName name="LinkHistMdbField0401" hidden="1">#REF!</definedName>
    <definedName name="LinkHistMdbField0402" hidden="1">#REF!</definedName>
    <definedName name="LinkHistMdbField0403" hidden="1">#REF!</definedName>
    <definedName name="LinkHistMdbField0404" hidden="1">#REF!</definedName>
    <definedName name="LinkHistMdbField0405" hidden="1">#REF!</definedName>
    <definedName name="LinkHistMdbField0406" hidden="1">#REF!</definedName>
    <definedName name="LinkHistMdbField0407" hidden="1">#REF!</definedName>
    <definedName name="LinkHistMdbField0408" hidden="1">#REF!</definedName>
    <definedName name="LinkHistMdbField0409" hidden="1">#REF!</definedName>
    <definedName name="LinkHistMdbField0410" hidden="1">#REF!</definedName>
    <definedName name="LinkHistMdbField0411" hidden="1">#REF!</definedName>
    <definedName name="LinkHistMdbField0412" hidden="1">#REF!</definedName>
    <definedName name="LinkHistMdbField0413" hidden="1">#REF!</definedName>
    <definedName name="LinkHistMdbField0414" hidden="1">#REF!</definedName>
    <definedName name="LinkHistMdbField0415" hidden="1">#REF!</definedName>
    <definedName name="LinkHistMdbField0416" hidden="1">#REF!</definedName>
    <definedName name="LinkHistMdbField0417" hidden="1">#REF!</definedName>
    <definedName name="LinkHistMdbField0418" hidden="1">#REF!</definedName>
    <definedName name="LinkHistMdbField0419" hidden="1">#REF!</definedName>
    <definedName name="LinkHistMdbField0420" hidden="1">#REF!</definedName>
    <definedName name="LinkHistMdbField0421" hidden="1">#REF!</definedName>
    <definedName name="LinkHistMdbField0422" hidden="1">#REF!</definedName>
    <definedName name="LinkHistMdbField0423" hidden="1">#REF!</definedName>
    <definedName name="LinkHistMdbField0424" hidden="1">#REF!</definedName>
    <definedName name="LinkHistMdbField0425" hidden="1">#REF!</definedName>
    <definedName name="LinkHistMdbField0426" hidden="1">#REF!</definedName>
    <definedName name="LinkHistMdbField0427" hidden="1">#REF!</definedName>
    <definedName name="LinkHistMdbField0428" hidden="1">#REF!</definedName>
    <definedName name="LinkHistMdbField0429" hidden="1">#REF!</definedName>
    <definedName name="LinkHistMdbField0430" hidden="1">#REF!</definedName>
    <definedName name="LinkHistMdbField0431" hidden="1">#REF!</definedName>
    <definedName name="LinkHistMdbField0432" hidden="1">#REF!</definedName>
    <definedName name="LinkHistMdbField0433" hidden="1">#REF!</definedName>
    <definedName name="LinkHistMdbField0434" hidden="1">#REF!</definedName>
    <definedName name="LinkHistMdbField0435" hidden="1">#REF!</definedName>
    <definedName name="LinkHistMdbField0436" hidden="1">#REF!</definedName>
    <definedName name="LinkHistMdbField0437" hidden="1">#REF!</definedName>
    <definedName name="LinkHistMdbField0438" hidden="1">#REF!</definedName>
    <definedName name="LinkHistMdbField0439" hidden="1">#REF!</definedName>
    <definedName name="LinkHistMdbField0440" hidden="1">#REF!</definedName>
    <definedName name="LinkHistMdbField0441" hidden="1">#REF!</definedName>
    <definedName name="LinkHistMdbField0442" hidden="1">#REF!</definedName>
    <definedName name="LinkHistMdbField0443" hidden="1">#REF!</definedName>
    <definedName name="LinkHistMdbField0444" hidden="1">#REF!</definedName>
    <definedName name="LinkHistMdbField0445" hidden="1">#REF!</definedName>
    <definedName name="LinkHistMdbField0446" hidden="1">#REF!</definedName>
    <definedName name="LinkHistMdbField0501" hidden="1">#REF!</definedName>
    <definedName name="LinkHistMdbField0502" hidden="1">#REF!</definedName>
    <definedName name="LinkHistMdbField0503" hidden="1">#REF!</definedName>
    <definedName name="LinkHistMdbField0504" hidden="1">#REF!</definedName>
    <definedName name="LinkHistMdbField0505" hidden="1">#REF!</definedName>
    <definedName name="LinkHistMdbField0506" hidden="1">#REF!</definedName>
    <definedName name="LinkHistMdbField0507" hidden="1">#REF!</definedName>
    <definedName name="LinkHistMdbField0508" hidden="1">#REF!</definedName>
    <definedName name="LinkHistMdbField0509" hidden="1">#REF!</definedName>
    <definedName name="LinkHistMdbField0510" hidden="1">#REF!</definedName>
    <definedName name="LinkHistMdbField0511" hidden="1">#REF!</definedName>
    <definedName name="LinkHistMdbField0512" hidden="1">#REF!</definedName>
    <definedName name="LinkHistMdbField0513" hidden="1">#REF!</definedName>
    <definedName name="LinkHistMdbField0514" hidden="1">#REF!</definedName>
    <definedName name="LinkHistMdbField0515" hidden="1">#REF!</definedName>
    <definedName name="LinkHistMdbField0516" hidden="1">#REF!</definedName>
    <definedName name="LinkHistMdbField0517" hidden="1">#REF!</definedName>
    <definedName name="LinkHistMdbField0518" hidden="1">#REF!</definedName>
    <definedName name="LinkHistMdbField0519" hidden="1">#REF!</definedName>
    <definedName name="LinkHistMdbField0520" hidden="1">#REF!</definedName>
    <definedName name="LinkHistMdbField0521" hidden="1">#REF!</definedName>
    <definedName name="LinkHistMdbField0522" hidden="1">#REF!</definedName>
    <definedName name="LinkHistMdbField0523" hidden="1">#REF!</definedName>
    <definedName name="LinkHistMdbField0524" hidden="1">#REF!</definedName>
    <definedName name="LinkHistMdbField0525" hidden="1">#REF!</definedName>
    <definedName name="LinkHistMdbField0526" hidden="1">#REF!</definedName>
    <definedName name="LinkHistMdbField0527" hidden="1">#REF!</definedName>
    <definedName name="LinkHistMdbField0528" hidden="1">#REF!</definedName>
    <definedName name="LinkHistMdbField0529" hidden="1">#REF!</definedName>
    <definedName name="LinkHistMdbField0530" hidden="1">#REF!</definedName>
    <definedName name="LinkHistMdbField0531" hidden="1">#REF!</definedName>
    <definedName name="LinkHistMdbField0532" hidden="1">#REF!</definedName>
    <definedName name="LinkHistMdbField0533" hidden="1">#REF!</definedName>
    <definedName name="LinkHistMdbField0534" hidden="1">#REF!</definedName>
    <definedName name="LinkHistMdbField0535" hidden="1">#REF!</definedName>
    <definedName name="LinkHistMdbField0536" hidden="1">#REF!</definedName>
    <definedName name="LinkHistMdbField0537" hidden="1">#REF!</definedName>
    <definedName name="LinkHistMdbField0538" hidden="1">#REF!</definedName>
    <definedName name="LinkHistMdbField0539" hidden="1">#REF!</definedName>
    <definedName name="LinkHistMdbField0540" hidden="1">#REF!</definedName>
    <definedName name="LinkHistMdbField0541" hidden="1">#REF!</definedName>
    <definedName name="LinkHistMdbField0542" hidden="1">#REF!</definedName>
    <definedName name="LinkHistMdbField0543" hidden="1">#REF!</definedName>
    <definedName name="LinkHistMdbField0544" hidden="1">#REF!</definedName>
    <definedName name="LinkHistMdbField0545" hidden="1">#REF!</definedName>
    <definedName name="LinkHistMdbField0546" hidden="1">#REF!</definedName>
    <definedName name="LinkMdbField001001" hidden="1">#REF!</definedName>
    <definedName name="LinkMdbField001002" hidden="1">#REF!</definedName>
    <definedName name="LinkMdbField001003" hidden="1">#REF!</definedName>
    <definedName name="LinkMdbField001004" hidden="1">#REF!</definedName>
    <definedName name="LinkMdbField001005" hidden="1">#REF!</definedName>
    <definedName name="LinkMdbField001006" hidden="1">#REF!</definedName>
    <definedName name="LinkMdbField001007" hidden="1">#REF!</definedName>
    <definedName name="LinkMdbField001008" hidden="1">#REF!</definedName>
    <definedName name="LinkMdbField001009" hidden="1">#REF!</definedName>
    <definedName name="LinkMdbField001010" hidden="1">#REF!</definedName>
    <definedName name="LinkMdbField001011" hidden="1">#REF!</definedName>
    <definedName name="LinkMdbField001012" hidden="1">#REF!</definedName>
    <definedName name="LinkMdbField001013" hidden="1">#REF!</definedName>
    <definedName name="LinkMdbField001014" hidden="1">#REF!</definedName>
    <definedName name="LinkMdbField001015" hidden="1">#REF!</definedName>
    <definedName name="LinkMdbField001016" hidden="1">#REF!</definedName>
    <definedName name="LinkMdbField001017" hidden="1">#REF!</definedName>
    <definedName name="LinkMdbField001018" hidden="1">#REF!</definedName>
    <definedName name="LinkMdbField001019" hidden="1">#REF!</definedName>
    <definedName name="LinkMdbField001020" hidden="1">#REF!</definedName>
    <definedName name="LinkMdbField001021" hidden="1">#REF!</definedName>
    <definedName name="LinkMdbField001022" hidden="1">#REF!</definedName>
    <definedName name="LinkMdbField001023" hidden="1">#REF!</definedName>
    <definedName name="LinkMdbField001024" hidden="1">#REF!</definedName>
    <definedName name="LinkMdbField001025" hidden="1">#REF!</definedName>
    <definedName name="LinkMdbField001026" hidden="1">#REF!</definedName>
    <definedName name="LinkMdbField001027" hidden="1">#REF!</definedName>
    <definedName name="LinkMdbField001028" hidden="1">#REF!</definedName>
    <definedName name="LinkMdbField001029" hidden="1">#REF!</definedName>
    <definedName name="LinkMdbField001030" hidden="1">#REF!</definedName>
    <definedName name="LinkMdbField001031" hidden="1">#REF!</definedName>
    <definedName name="LinkMdbField001032" hidden="1">#REF!</definedName>
    <definedName name="LinkMdbField001033" hidden="1">#REF!</definedName>
    <definedName name="LinkMdbField001034" hidden="1">#REF!</definedName>
    <definedName name="LinkMdbField001035" hidden="1">#REF!</definedName>
    <definedName name="LinkMdbField001036" hidden="1">#REF!</definedName>
    <definedName name="LinkMdbField001037" hidden="1">#REF!</definedName>
    <definedName name="LinkMdbField001038" hidden="1">#REF!</definedName>
    <definedName name="LinkMdbField001039" hidden="1">#REF!</definedName>
    <definedName name="LinkMdbField001040" hidden="1">#REF!</definedName>
    <definedName name="LinkMdbField001041" hidden="1">#REF!</definedName>
    <definedName name="LinkMdbField001042" hidden="1">#REF!</definedName>
    <definedName name="LinkMdbField001043" hidden="1">#REF!</definedName>
    <definedName name="LinkMdbField001044" hidden="1">#REF!</definedName>
    <definedName name="LinkMdbField001045" hidden="1">#REF!</definedName>
    <definedName name="LinkMdbField001046" hidden="1">#REF!</definedName>
    <definedName name="LinkMdbField001047" hidden="1">#REF!</definedName>
    <definedName name="LinkMdbField001048" hidden="1">#REF!</definedName>
    <definedName name="LinkMdbField001049" hidden="1">#REF!</definedName>
    <definedName name="LinkMdbField001050" hidden="1">#REF!</definedName>
    <definedName name="LinkMdbField001051" hidden="1">#REF!</definedName>
    <definedName name="LinkMdbField001052" hidden="1">#REF!</definedName>
    <definedName name="LinkMdbField001053" hidden="1">#REF!</definedName>
    <definedName name="LinkMdbField001054" hidden="1">#REF!</definedName>
    <definedName name="LinkMdbField001055" hidden="1">#REF!</definedName>
    <definedName name="LinkMdbField001056" hidden="1">#REF!</definedName>
    <definedName name="LinkMdbField001057" hidden="1">#REF!</definedName>
    <definedName name="LinkMdbField001058" hidden="1">#REF!</definedName>
    <definedName name="LinkMdbField001059" hidden="1">#REF!</definedName>
    <definedName name="LinkMdbField001060" hidden="1">#REF!</definedName>
    <definedName name="LinkMdbField001061" hidden="1">#REF!</definedName>
    <definedName name="LinkMdbField001062" hidden="1">#REF!</definedName>
    <definedName name="LinkMdbField001063" hidden="1">#REF!</definedName>
    <definedName name="LinkMdbField001064" hidden="1">#REF!</definedName>
    <definedName name="LinkMdbField001065" hidden="1">#REF!</definedName>
    <definedName name="LinkMdbField001066" hidden="1">#REF!</definedName>
    <definedName name="LinkMdbField001067" hidden="1">#REF!</definedName>
    <definedName name="LinkMdbField001068" hidden="1">#REF!</definedName>
    <definedName name="LinkMdbField001069" hidden="1">#REF!</definedName>
    <definedName name="LinkMdbField001070" hidden="1">#REF!</definedName>
    <definedName name="LinkMdbField001071" hidden="1">#REF!</definedName>
    <definedName name="LinkMdbField001072" hidden="1">#REF!</definedName>
    <definedName name="LinkMdbField001073" hidden="1">#REF!</definedName>
    <definedName name="LinkMdbField001074" hidden="1">#REF!</definedName>
    <definedName name="LinkMdbField001075" hidden="1">#REF!</definedName>
    <definedName name="LinkMdbField001076" hidden="1">#REF!</definedName>
    <definedName name="LinkMdbField001077" hidden="1">#REF!</definedName>
    <definedName name="LinkMdbField001078" hidden="1">#REF!</definedName>
    <definedName name="LinkMdbField001079" hidden="1">#REF!</definedName>
    <definedName name="LinkMdbField001080" hidden="1">#REF!</definedName>
    <definedName name="LinkMdbField001081" hidden="1">#REF!</definedName>
    <definedName name="LinkMdbField001082" hidden="1">#REF!</definedName>
    <definedName name="LinkMdbField001083" hidden="1">#REF!</definedName>
    <definedName name="LinkMdbField001084" hidden="1">#REF!</definedName>
    <definedName name="LinkMdbField001085" hidden="1">#REF!</definedName>
    <definedName name="LinkMdbField001086" hidden="1">#REF!</definedName>
    <definedName name="LinkMdbField001087" hidden="1">#REF!</definedName>
    <definedName name="LinkMdbField001088" hidden="1">#REF!</definedName>
    <definedName name="LinkMdbField001089" hidden="1">#REF!</definedName>
    <definedName name="LinkMdbField001090" hidden="1">#REF!</definedName>
    <definedName name="LinkMdbField001091" hidden="1">#REF!</definedName>
    <definedName name="LinkMdbField001092" hidden="1">#REF!</definedName>
    <definedName name="LinkMdbField001093" hidden="1">#REF!</definedName>
    <definedName name="LinkMdbField001094" hidden="1">#REF!</definedName>
    <definedName name="LinkMdbField001095" hidden="1">#REF!</definedName>
    <definedName name="LinkMdbField001096" hidden="1">#REF!</definedName>
    <definedName name="LinkMdbField001097" hidden="1">#REF!</definedName>
    <definedName name="LinkMdbField001098" hidden="1">#REF!</definedName>
    <definedName name="LinkMdbField001099" hidden="1">#REF!</definedName>
    <definedName name="LinkMdbField001100" hidden="1">#REF!</definedName>
    <definedName name="LinkMdbField001101" hidden="1">#REF!</definedName>
    <definedName name="LinkMdbField001102" hidden="1">#REF!</definedName>
    <definedName name="LinkMdbField001103" hidden="1">#REF!</definedName>
    <definedName name="LinkMdbField001104" hidden="1">#REF!</definedName>
    <definedName name="LinkMdbField001105" hidden="1">#REF!</definedName>
    <definedName name="LinkMdbField001106" hidden="1">#REF!</definedName>
    <definedName name="LinkMdbField001107" hidden="1">#REF!</definedName>
    <definedName name="LinkMdbField001108" hidden="1">#REF!</definedName>
    <definedName name="LinkMdbField001109" hidden="1">#REF!</definedName>
    <definedName name="LinkMdbField001110" hidden="1">#REF!</definedName>
    <definedName name="LinkMdbField001111" hidden="1">#REF!</definedName>
    <definedName name="LinkMdbField001112" hidden="1">#REF!</definedName>
    <definedName name="LinkMdbField001113" hidden="1">#REF!</definedName>
    <definedName name="LinkMdbField001114" hidden="1">#REF!</definedName>
    <definedName name="LinkMdbField001115" hidden="1">#REF!</definedName>
    <definedName name="LinkMdbField001116" hidden="1">#REF!</definedName>
    <definedName name="LinkMdbField001117" hidden="1">#REF!</definedName>
    <definedName name="LinkMdbField001118" hidden="1">#REF!</definedName>
    <definedName name="LinkMdbField001119" hidden="1">#REF!</definedName>
    <definedName name="LinkMdbField001120" hidden="1">#REF!</definedName>
    <definedName name="LinkMdbField001121" hidden="1">#REF!</definedName>
    <definedName name="LinkMdbField001122" hidden="1">#REF!</definedName>
    <definedName name="LinkMdbField001123" hidden="1">#REF!</definedName>
    <definedName name="LinkMdbField001124" hidden="1">#REF!</definedName>
    <definedName name="LinkMdbField001125" hidden="1">#REF!</definedName>
    <definedName name="LinkMdbField001126" hidden="1">#REF!</definedName>
    <definedName name="LinkMdbField001127" hidden="1">#REF!</definedName>
    <definedName name="LinkMdbField001128" hidden="1">#REF!</definedName>
    <definedName name="LinkMdbField001129" hidden="1">#REF!</definedName>
    <definedName name="LinkMdbField001130" hidden="1">#REF!</definedName>
    <definedName name="LinkMdbField001131" hidden="1">#REF!</definedName>
    <definedName name="LinkMdbField001132" hidden="1">#REF!</definedName>
    <definedName name="LinkMdbField001133" hidden="1">#REF!</definedName>
    <definedName name="LinkMdbField001134" hidden="1">#REF!</definedName>
    <definedName name="LinkMdbField001135" hidden="1">#REF!</definedName>
    <definedName name="LinkMdbField001136" hidden="1">#REF!</definedName>
    <definedName name="LinkMdbField001137" hidden="1">#REF!</definedName>
    <definedName name="LinkMdbField001138" hidden="1">#REF!</definedName>
    <definedName name="LinkMdbField001139" hidden="1">#REF!</definedName>
    <definedName name="LinkMdbField001140" hidden="1">#REF!</definedName>
    <definedName name="LinkMdbField001141" hidden="1">#REF!</definedName>
    <definedName name="LinkMdbField001142" hidden="1">#REF!</definedName>
    <definedName name="LinkMdbField001143" hidden="1">#REF!</definedName>
    <definedName name="LinkMdbField001144" hidden="1">#REF!</definedName>
    <definedName name="LinkMdbField001145" hidden="1">#REF!</definedName>
    <definedName name="LinkMdbField001146" hidden="1">#REF!</definedName>
    <definedName name="LinkMdbField001147" hidden="1">#REF!</definedName>
    <definedName name="LinkMdbField001148" hidden="1">#REF!</definedName>
    <definedName name="LinkMdbField001149" hidden="1">#REF!</definedName>
    <definedName name="LinkMdbField001150" hidden="1">#REF!</definedName>
    <definedName name="LinkMdbField001151" hidden="1">#REF!</definedName>
    <definedName name="LinkMdbField001152" hidden="1">#REF!</definedName>
    <definedName name="LinkMdbField001153" hidden="1">#REF!</definedName>
    <definedName name="LinkMdbField001154" hidden="1">#REF!</definedName>
    <definedName name="LinkMdbField001155" hidden="1">#REF!</definedName>
    <definedName name="LinkMdbField001156" hidden="1">#REF!</definedName>
    <definedName name="LinkMdbField001157" hidden="1">#REF!</definedName>
    <definedName name="LinkMdbField001158" hidden="1">#REF!</definedName>
    <definedName name="LinkMdbField001159" hidden="1">#REF!</definedName>
    <definedName name="LinkMdbField001160" hidden="1">#REF!</definedName>
    <definedName name="LinkMdbField001161" hidden="1">#REF!</definedName>
    <definedName name="LinkMdbField001162" hidden="1">#REF!</definedName>
    <definedName name="LinkMdbField001163" hidden="1">#REF!</definedName>
    <definedName name="LinkMdbField001164" hidden="1">#REF!</definedName>
    <definedName name="LinkMdbField001165" hidden="1">#REF!</definedName>
    <definedName name="LinkMdbField001166" hidden="1">#REF!</definedName>
    <definedName name="LinkMdbField001167" hidden="1">#REF!</definedName>
    <definedName name="LinkMdbField001168" hidden="1">#REF!</definedName>
    <definedName name="LinkMdbField001169" hidden="1">#REF!</definedName>
    <definedName name="LinkMdbField001170" hidden="1">#REF!</definedName>
    <definedName name="LinkMdbField001171" hidden="1">#REF!</definedName>
    <definedName name="LinkMdbField001172" hidden="1">#REF!</definedName>
    <definedName name="LinkMdbField001173" hidden="1">#REF!</definedName>
    <definedName name="LinkMdbField001174" hidden="1">#REF!</definedName>
    <definedName name="LinkMdbField001175" hidden="1">#REF!</definedName>
    <definedName name="LinkMdbField001176" hidden="1">#REF!</definedName>
    <definedName name="LinkMdbField001177" hidden="1">#REF!</definedName>
    <definedName name="LinkMdbField001178" hidden="1">#REF!</definedName>
    <definedName name="LinkMdbField001179" hidden="1">#REF!</definedName>
    <definedName name="LinkMdbField001180" hidden="1">#REF!</definedName>
    <definedName name="LinkMdbField001181" hidden="1">#REF!</definedName>
    <definedName name="LinkMdbField001182" hidden="1">#REF!</definedName>
    <definedName name="LinkMdbField001183" hidden="1">#REF!</definedName>
    <definedName name="LinkMdbField001184" hidden="1">#REF!</definedName>
    <definedName name="LinkMdbField001185" hidden="1">#REF!</definedName>
    <definedName name="LinkMdbField001186" hidden="1">#REF!</definedName>
    <definedName name="LinkMdbField001187" hidden="1">#REF!</definedName>
    <definedName name="LinkMdbField001188" hidden="1">#REF!</definedName>
    <definedName name="LinkMdbField001189" hidden="1">#REF!</definedName>
    <definedName name="LinkMdbField001190" hidden="1">#REF!</definedName>
    <definedName name="LinkMdbField001191" hidden="1">#REF!</definedName>
    <definedName name="LinkMdbField001192" hidden="1">#REF!</definedName>
    <definedName name="LinkMdbField001193" hidden="1">#REF!</definedName>
    <definedName name="LinkMdbField001194" hidden="1">#REF!</definedName>
    <definedName name="LinkMdbField001195" hidden="1">#REF!</definedName>
    <definedName name="LinkMdbField001196" hidden="1">#REF!</definedName>
    <definedName name="LinkMdbField001197" hidden="1">#REF!</definedName>
    <definedName name="LinkMdbField001198" hidden="1">#REF!</definedName>
    <definedName name="LinkMdbField001199" hidden="1">#REF!</definedName>
    <definedName name="LinkMdbField001200" hidden="1">#REF!</definedName>
    <definedName name="LinkMdbField001201" hidden="1">#REF!</definedName>
    <definedName name="LinkMdbField001202" hidden="1">#REF!</definedName>
    <definedName name="LinkMdbField001203" hidden="1">#REF!</definedName>
    <definedName name="LinkMdbField001204" hidden="1">#REF!</definedName>
    <definedName name="LinkMdbField001205" hidden="1">#REF!</definedName>
    <definedName name="LinkMdbField001206" hidden="1">#REF!</definedName>
    <definedName name="LinkMdbField001207" hidden="1">#REF!</definedName>
    <definedName name="LinkMdbField001208" hidden="1">#REF!</definedName>
    <definedName name="LinkMdbField001209" hidden="1">#REF!</definedName>
    <definedName name="LinkMdbField001210" hidden="1">#REF!</definedName>
    <definedName name="LinkMdbField001211" hidden="1">#REF!</definedName>
    <definedName name="LinkMdbField001212" hidden="1">#REF!</definedName>
    <definedName name="LinkMdbField001213" hidden="1">#REF!</definedName>
    <definedName name="LinkMdbField001214" hidden="1">#REF!</definedName>
    <definedName name="LinkMdbField001215" hidden="1">#REF!</definedName>
    <definedName name="LinkMdbField001216" hidden="1">#REF!</definedName>
    <definedName name="LinkMdbField001217" hidden="1">#REF!</definedName>
    <definedName name="LinkMdbField001218" hidden="1">#REF!</definedName>
    <definedName name="LinkMdbField001219" hidden="1">#REF!</definedName>
    <definedName name="LinkMdbField001220" hidden="1">#REF!</definedName>
    <definedName name="LinkMdbField001221" hidden="1">#REF!</definedName>
    <definedName name="LinkMdbField001222" hidden="1">#REF!</definedName>
    <definedName name="LinkMdbField001223" hidden="1">#REF!</definedName>
    <definedName name="LinkMdbField001224" hidden="1">#REF!</definedName>
    <definedName name="LinkMdbField001225" hidden="1">#REF!</definedName>
    <definedName name="LinkMdbField001226" hidden="1">#REF!</definedName>
    <definedName name="LinkMdbField001227" hidden="1">#REF!</definedName>
    <definedName name="LinkMdbField001228" hidden="1">#REF!</definedName>
    <definedName name="LinkMdbField001229" hidden="1">#REF!</definedName>
    <definedName name="LinkMdbField001230" hidden="1">#REF!</definedName>
    <definedName name="LinkMdbField001231" hidden="1">#REF!</definedName>
    <definedName name="LinkMdbField0101" hidden="1">#REF!</definedName>
    <definedName name="LinkMdbField0102" hidden="1">#REF!</definedName>
    <definedName name="LinkMdbField0103" hidden="1">#REF!</definedName>
    <definedName name="LinkMdbField0104" hidden="1">#REF!</definedName>
    <definedName name="LinkMdbField0105" hidden="1">#REF!</definedName>
    <definedName name="LinkMdbField0106" hidden="1">#REF!</definedName>
    <definedName name="LinkMdbField0107" hidden="1">#REF!</definedName>
    <definedName name="LinkMdbField0108" hidden="1">#REF!</definedName>
    <definedName name="LinkMdbField0109" hidden="1">#REF!</definedName>
    <definedName name="LinkMdbField0110" hidden="1">#REF!</definedName>
    <definedName name="LinkMdbField01100" hidden="1">#REF!</definedName>
    <definedName name="LinkMdbField01101" hidden="1">#REF!</definedName>
    <definedName name="LinkMdbField01102" hidden="1">#REF!</definedName>
    <definedName name="LinkMdbField01103" hidden="1">#REF!</definedName>
    <definedName name="LinkMdbField01104" hidden="1">#REF!</definedName>
    <definedName name="LinkMdbField01105" hidden="1">#REF!</definedName>
    <definedName name="LinkMdbField01106" hidden="1">#REF!</definedName>
    <definedName name="LinkMdbField01107" hidden="1">#REF!</definedName>
    <definedName name="LinkMdbField01108" hidden="1">#REF!</definedName>
    <definedName name="LinkMdbField01109" hidden="1">#REF!</definedName>
    <definedName name="LinkMdbField0111" hidden="1">#REF!</definedName>
    <definedName name="LinkMdbField01110" hidden="1">#REF!</definedName>
    <definedName name="LinkMdbField01111" hidden="1">#REF!</definedName>
    <definedName name="LinkMdbField01112" hidden="1">#REF!</definedName>
    <definedName name="LinkMdbField01113" hidden="1">#REF!</definedName>
    <definedName name="LinkMdbField01114" hidden="1">#REF!</definedName>
    <definedName name="LinkMdbField01115" hidden="1">#REF!</definedName>
    <definedName name="LinkMdbField01116" hidden="1">#REF!</definedName>
    <definedName name="LinkMdbField01117" hidden="1">#REF!</definedName>
    <definedName name="LinkMdbField01118" hidden="1">#REF!</definedName>
    <definedName name="LinkMdbField01119" hidden="1">#REF!</definedName>
    <definedName name="LinkMdbField0112" hidden="1">#REF!</definedName>
    <definedName name="LinkMdbField01120" hidden="1">#REF!</definedName>
    <definedName name="LinkMdbField01121" hidden="1">#REF!</definedName>
    <definedName name="LinkMdbField01122" hidden="1">#REF!</definedName>
    <definedName name="LinkMdbField01123" hidden="1">#REF!</definedName>
    <definedName name="LinkMdbField01124" hidden="1">#REF!</definedName>
    <definedName name="LinkMdbField01125" hidden="1">#REF!</definedName>
    <definedName name="LinkMdbField01126" hidden="1">#REF!</definedName>
    <definedName name="LinkMdbField01127" hidden="1">#REF!</definedName>
    <definedName name="LinkMdbField01128" hidden="1">#REF!</definedName>
    <definedName name="LinkMdbField01129" hidden="1">#REF!</definedName>
    <definedName name="LinkMdbField0113" hidden="1">#REF!</definedName>
    <definedName name="LinkMdbField01130" hidden="1">#REF!</definedName>
    <definedName name="LinkMdbField01131" hidden="1">#REF!</definedName>
    <definedName name="LinkMdbField01132" hidden="1">#REF!</definedName>
    <definedName name="LinkMdbField01133" hidden="1">#REF!</definedName>
    <definedName name="LinkMdbField01134" hidden="1">#REF!</definedName>
    <definedName name="LinkMdbField01135" hidden="1">#REF!</definedName>
    <definedName name="LinkMdbField01136" hidden="1">#REF!</definedName>
    <definedName name="LinkMdbField01137" hidden="1">#REF!</definedName>
    <definedName name="LinkMdbField01138" hidden="1">#REF!</definedName>
    <definedName name="LinkMdbField01139" hidden="1">#REF!</definedName>
    <definedName name="LinkMdbField0114" hidden="1">#REF!</definedName>
    <definedName name="LinkMdbField01140" hidden="1">#REF!</definedName>
    <definedName name="LinkMdbField01141" hidden="1">#REF!</definedName>
    <definedName name="LinkMdbField01142" hidden="1">#REF!</definedName>
    <definedName name="LinkMdbField01143" hidden="1">#REF!</definedName>
    <definedName name="LinkMdbField01144" hidden="1">#REF!</definedName>
    <definedName name="LinkMdbField01145" hidden="1">#REF!</definedName>
    <definedName name="LinkMdbField01146" hidden="1">#REF!</definedName>
    <definedName name="LinkMdbField01147" hidden="1">#REF!</definedName>
    <definedName name="LinkMdbField01148" hidden="1">#REF!</definedName>
    <definedName name="LinkMdbField01149" hidden="1">#REF!</definedName>
    <definedName name="LinkMdbField0115" hidden="1">#REF!</definedName>
    <definedName name="LinkMdbField01150" hidden="1">#REF!</definedName>
    <definedName name="LinkMdbField01151" hidden="1">#REF!</definedName>
    <definedName name="LinkMdbField01152" hidden="1">#REF!</definedName>
    <definedName name="LinkMdbField01153" hidden="1">#REF!</definedName>
    <definedName name="LinkMdbField01154" hidden="1">#REF!</definedName>
    <definedName name="LinkMdbField01155" hidden="1">#REF!</definedName>
    <definedName name="LinkMdbField01156" hidden="1">#REF!</definedName>
    <definedName name="LinkMdbField01157" hidden="1">#REF!</definedName>
    <definedName name="LinkMdbField01158" hidden="1">#REF!</definedName>
    <definedName name="LinkMdbField01159" hidden="1">#REF!</definedName>
    <definedName name="LinkMdbField0116" hidden="1">#REF!</definedName>
    <definedName name="LinkMdbField01160" hidden="1">#REF!</definedName>
    <definedName name="LinkMdbField01161" hidden="1">#REF!</definedName>
    <definedName name="LinkMdbField01162" hidden="1">#REF!</definedName>
    <definedName name="LinkMdbField01163" hidden="1">#REF!</definedName>
    <definedName name="LinkMdbField01164" hidden="1">#REF!</definedName>
    <definedName name="LinkMdbField01165" hidden="1">#REF!</definedName>
    <definedName name="LinkMdbField01166" hidden="1">#REF!</definedName>
    <definedName name="LinkMdbField01167" hidden="1">#REF!</definedName>
    <definedName name="LinkMdbField01168" hidden="1">#REF!</definedName>
    <definedName name="LinkMdbField01169" hidden="1">#REF!</definedName>
    <definedName name="LinkMdbField0117" hidden="1">#REF!</definedName>
    <definedName name="LinkMdbField01170" hidden="1">#REF!</definedName>
    <definedName name="LinkMdbField01171" hidden="1">#REF!</definedName>
    <definedName name="LinkMdbField01172" hidden="1">#REF!</definedName>
    <definedName name="LinkMdbField01173" hidden="1">#REF!</definedName>
    <definedName name="LinkMdbField01174" hidden="1">#REF!</definedName>
    <definedName name="LinkMdbField01175" hidden="1">#REF!</definedName>
    <definedName name="LinkMdbField01176" hidden="1">#REF!</definedName>
    <definedName name="LinkMdbField01177" hidden="1">#REF!</definedName>
    <definedName name="LinkMdbField01178" hidden="1">#REF!</definedName>
    <definedName name="LinkMdbField01179" hidden="1">#REF!</definedName>
    <definedName name="LinkMdbField0118" hidden="1">#REF!</definedName>
    <definedName name="LinkMdbField01180" hidden="1">#REF!</definedName>
    <definedName name="LinkMdbField01181" hidden="1">#REF!</definedName>
    <definedName name="LinkMdbField01182" hidden="1">#REF!</definedName>
    <definedName name="LinkMdbField01183" hidden="1">#REF!</definedName>
    <definedName name="LinkMdbField01184" hidden="1">#REF!</definedName>
    <definedName name="LinkMdbField01185" hidden="1">#REF!</definedName>
    <definedName name="LinkMdbField01186" hidden="1">#REF!</definedName>
    <definedName name="LinkMdbField01187" hidden="1">#REF!</definedName>
    <definedName name="LinkMdbField01188" hidden="1">#REF!</definedName>
    <definedName name="LinkMdbField01189" hidden="1">#REF!</definedName>
    <definedName name="LinkMdbField0119" hidden="1">#REF!</definedName>
    <definedName name="LinkMdbField01190" hidden="1">#REF!</definedName>
    <definedName name="LinkMdbField01191" hidden="1">#REF!</definedName>
    <definedName name="LinkMdbField01192" hidden="1">#REF!</definedName>
    <definedName name="LinkMdbField01193" hidden="1">#REF!</definedName>
    <definedName name="LinkMdbField01194" hidden="1">#REF!</definedName>
    <definedName name="LinkMdbField01195" hidden="1">#REF!</definedName>
    <definedName name="LinkMdbField01196" hidden="1">#REF!</definedName>
    <definedName name="LinkMdbField01197" hidden="1">#REF!</definedName>
    <definedName name="LinkMdbField01198" hidden="1">#REF!</definedName>
    <definedName name="LinkMdbField01199" hidden="1">#REF!</definedName>
    <definedName name="LinkMdbField0120" hidden="1">#REF!</definedName>
    <definedName name="LinkMdbField01200" hidden="1">#REF!</definedName>
    <definedName name="LinkMdbField01201" hidden="1">#REF!</definedName>
    <definedName name="LinkMdbField01202" hidden="1">#REF!</definedName>
    <definedName name="LinkMdbField01203" hidden="1">#REF!</definedName>
    <definedName name="LinkMdbField01204" hidden="1">#REF!</definedName>
    <definedName name="LinkMdbField01205" hidden="1">#REF!</definedName>
    <definedName name="LinkMdbField01206" hidden="1">#REF!</definedName>
    <definedName name="LinkMdbField01207" hidden="1">#REF!</definedName>
    <definedName name="LinkMdbField01208" hidden="1">#REF!</definedName>
    <definedName name="LinkMdbField01209" hidden="1">#REF!</definedName>
    <definedName name="LinkMdbField0121" hidden="1">#REF!</definedName>
    <definedName name="LinkMdbField01210" hidden="1">#REF!</definedName>
    <definedName name="LinkMdbField01211" hidden="1">#REF!</definedName>
    <definedName name="LinkMdbField01212" hidden="1">#REF!</definedName>
    <definedName name="LinkMdbField01213" hidden="1">#REF!</definedName>
    <definedName name="LinkMdbField01214" hidden="1">#REF!</definedName>
    <definedName name="LinkMdbField01215" hidden="1">#REF!</definedName>
    <definedName name="LinkMdbField01216" hidden="1">#REF!</definedName>
    <definedName name="LinkMdbField01217" hidden="1">#REF!</definedName>
    <definedName name="LinkMdbField01218" hidden="1">#REF!</definedName>
    <definedName name="LinkMdbField01219" hidden="1">#REF!</definedName>
    <definedName name="LinkMdbField0122" hidden="1">#REF!</definedName>
    <definedName name="LinkMdbField01220" hidden="1">#REF!</definedName>
    <definedName name="LinkMdbField01221" hidden="1">#REF!</definedName>
    <definedName name="LinkMdbField01222" hidden="1">#REF!</definedName>
    <definedName name="LinkMdbField01223" hidden="1">#REF!</definedName>
    <definedName name="LinkMdbField01224" hidden="1">#REF!</definedName>
    <definedName name="LinkMdbField01225" hidden="1">#REF!</definedName>
    <definedName name="LinkMdbField01226" hidden="1">#REF!</definedName>
    <definedName name="LinkMdbField01227" hidden="1">#REF!</definedName>
    <definedName name="LinkMdbField01228" hidden="1">#REF!</definedName>
    <definedName name="LinkMdbField01229" hidden="1">#REF!</definedName>
    <definedName name="LinkMdbField0123" hidden="1">#REF!</definedName>
    <definedName name="LinkMdbField01230" hidden="1">#REF!</definedName>
    <definedName name="LinkMdbField01231" hidden="1">#REF!</definedName>
    <definedName name="LinkMdbField0124" hidden="1">#REF!</definedName>
    <definedName name="LinkMdbField0125" hidden="1">#REF!</definedName>
    <definedName name="LinkMdbField0126" hidden="1">#REF!</definedName>
    <definedName name="LinkMdbField0127" hidden="1">#REF!</definedName>
    <definedName name="LinkMdbField0128" hidden="1">#REF!</definedName>
    <definedName name="LinkMdbField0129" hidden="1">#REF!</definedName>
    <definedName name="LinkMdbField0130" hidden="1">#REF!</definedName>
    <definedName name="LinkMdbField0131" hidden="1">#REF!</definedName>
    <definedName name="LinkMdbField0132" hidden="1">#REF!</definedName>
    <definedName name="LinkMdbField0133" hidden="1">#REF!</definedName>
    <definedName name="LinkMdbField0134" hidden="1">#REF!</definedName>
    <definedName name="LinkMdbField0135" hidden="1">#REF!</definedName>
    <definedName name="LinkMdbField0136" hidden="1">#REF!</definedName>
    <definedName name="LinkMdbField0137" hidden="1">#REF!</definedName>
    <definedName name="LinkMdbField0138" hidden="1">#REF!</definedName>
    <definedName name="LinkMdbField0139" hidden="1">#REF!</definedName>
    <definedName name="LinkMdbField0140" hidden="1">#REF!</definedName>
    <definedName name="LinkMdbField0141" hidden="1">#REF!</definedName>
    <definedName name="LinkMdbField0142" hidden="1">#REF!</definedName>
    <definedName name="LinkMdbField0143" hidden="1">#REF!</definedName>
    <definedName name="LinkMdbField0144" hidden="1">#REF!</definedName>
    <definedName name="LinkMdbField0145" hidden="1">#REF!</definedName>
    <definedName name="LinkMdbField0146" hidden="1">#REF!</definedName>
    <definedName name="LinkMdbField0147" hidden="1">#REF!</definedName>
    <definedName name="LinkMdbField0148" hidden="1">#REF!</definedName>
    <definedName name="LinkMdbField0149" hidden="1">#REF!</definedName>
    <definedName name="LinkMdbField0150" hidden="1">#REF!</definedName>
    <definedName name="LinkMdbField0151" hidden="1">#REF!</definedName>
    <definedName name="LinkMdbField0152" hidden="1">#REF!</definedName>
    <definedName name="LinkMdbField0153" hidden="1">#REF!</definedName>
    <definedName name="LinkMdbField0154" hidden="1">#REF!</definedName>
    <definedName name="LinkMdbField0155" hidden="1">#REF!</definedName>
    <definedName name="LinkMdbField0156" hidden="1">#REF!</definedName>
    <definedName name="LinkMdbField0157" hidden="1">#REF!</definedName>
    <definedName name="LinkMdbField0158" hidden="1">#REF!</definedName>
    <definedName name="LinkMdbField0159" hidden="1">#REF!</definedName>
    <definedName name="LinkMdbField0160" hidden="1">#REF!</definedName>
    <definedName name="LinkMdbField0161" hidden="1">#REF!</definedName>
    <definedName name="LinkMdbField0162" hidden="1">#REF!</definedName>
    <definedName name="LinkMdbField0163" hidden="1">#REF!</definedName>
    <definedName name="LinkMdbField0164" hidden="1">#REF!</definedName>
    <definedName name="LinkMdbField0165" hidden="1">#REF!</definedName>
    <definedName name="LinkMdbField0166" hidden="1">#REF!</definedName>
    <definedName name="LinkMdbField0167" hidden="1">#REF!</definedName>
    <definedName name="LinkMdbField0168" hidden="1">#REF!</definedName>
    <definedName name="LinkMdbField0169" hidden="1">#REF!</definedName>
    <definedName name="LinkMdbField0170" hidden="1">#REF!</definedName>
    <definedName name="LinkMdbField0171" hidden="1">#REF!</definedName>
    <definedName name="LinkMdbField0172" hidden="1">#REF!</definedName>
    <definedName name="LinkMdbField0173" hidden="1">#REF!</definedName>
    <definedName name="LinkMdbField0174" hidden="1">#REF!</definedName>
    <definedName name="LinkMdbField0175" hidden="1">#REF!</definedName>
    <definedName name="LinkMdbField0176" hidden="1">#REF!</definedName>
    <definedName name="LinkMdbField0177" hidden="1">#REF!</definedName>
    <definedName name="LinkMdbField0178" hidden="1">#REF!</definedName>
    <definedName name="LinkMdbField0179" hidden="1">#REF!</definedName>
    <definedName name="LinkMdbField0180" hidden="1">#REF!</definedName>
    <definedName name="LinkMdbField0181" hidden="1">#REF!</definedName>
    <definedName name="LinkMdbField0182" hidden="1">#REF!</definedName>
    <definedName name="LinkMdbField0183" hidden="1">#REF!</definedName>
    <definedName name="LinkMdbField0184" hidden="1">#REF!</definedName>
    <definedName name="LinkMdbField0185" hidden="1">#REF!</definedName>
    <definedName name="LinkMdbField0186" hidden="1">#REF!</definedName>
    <definedName name="LinkMdbField0187" hidden="1">#REF!</definedName>
    <definedName name="LinkMdbField0188" hidden="1">#REF!</definedName>
    <definedName name="LinkMdbField0189" hidden="1">#REF!</definedName>
    <definedName name="LinkMdbField0190" hidden="1">#REF!</definedName>
    <definedName name="LinkMdbField0191" hidden="1">#REF!</definedName>
    <definedName name="LinkMdbField0192" hidden="1">#REF!</definedName>
    <definedName name="LinkMdbField0193" hidden="1">#REF!</definedName>
    <definedName name="LinkMdbField0194" hidden="1">#REF!</definedName>
    <definedName name="LinkMdbField0195" hidden="1">#REF!</definedName>
    <definedName name="LinkMdbField0196" hidden="1">#REF!</definedName>
    <definedName name="LinkMdbField0197" hidden="1">#REF!</definedName>
    <definedName name="LinkMdbField0198" hidden="1">#REF!</definedName>
    <definedName name="LinkMdbField0199" hidden="1">#REF!</definedName>
    <definedName name="lisa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lisa2" hidden="1">{"View1",#N/A,FALSE,"Sheet1";"View2",#N/A,FALSE,"Sheet1"}</definedName>
    <definedName name="lisa3" hidden="1">{"View1",#N/A,FALSE,"Sheet1";"View2",#N/A,FALSE,"Sheet1"}</definedName>
    <definedName name="List">#REF!</definedName>
    <definedName name="List_AUS">#REF!</definedName>
    <definedName name="List_BLT">#REF!</definedName>
    <definedName name="List_CAMNonrecov">#REF!</definedName>
    <definedName name="List_CAMRecovNonrecur">#REF!</definedName>
    <definedName name="List_CAMRecovRecur">#REF!</definedName>
    <definedName name="List_CategoryCapital">#REF!</definedName>
    <definedName name="List_CategoryExpense">#REF!</definedName>
    <definedName name="List_CHH">#REF!</definedName>
    <definedName name="List_CHI">#REF!</definedName>
    <definedName name="List_DFW">#REF!</definedName>
    <definedName name="List_Electrical">#REF!</definedName>
    <definedName name="List_ELP">#REF!</definedName>
    <definedName name="List_FireSystems">#REF!</definedName>
    <definedName name="List_HOU">#REF!</definedName>
    <definedName name="List_IEE">#REF!</definedName>
    <definedName name="List_IEW">#REF!</definedName>
    <definedName name="List_Insurance">#REF!</definedName>
    <definedName name="List_JRZ">#REF!</definedName>
    <definedName name="List_LAX">#REF!</definedName>
    <definedName name="List_Leasing">#REF!</definedName>
    <definedName name="List_LRD">#REF!</definedName>
    <definedName name="List_Makeready">#REF!</definedName>
    <definedName name="List_MCA">#REF!</definedName>
    <definedName name="List_Mechanical">#REF!</definedName>
    <definedName name="List_MEP">#REF!</definedName>
    <definedName name="List_MgmtFees">#REF!</definedName>
    <definedName name="List_NCA">#REF!</definedName>
    <definedName name="List_Other">#REF!</definedName>
    <definedName name="List_Paint">#REF!</definedName>
    <definedName name="List_ParkingLot">#REF!</definedName>
    <definedName name="List_PaymentTiming">#REF!</definedName>
    <definedName name="List_PHX">#REF!</definedName>
    <definedName name="List_PropID">#REF!</definedName>
    <definedName name="List_Recoverable">#REF!</definedName>
    <definedName name="List_Recurring">#REF!</definedName>
    <definedName name="List_REY">#REF!</definedName>
    <definedName name="List_Roof">#REF!</definedName>
    <definedName name="List_SAT">#REF!</definedName>
    <definedName name="List_SLC">#REF!</definedName>
    <definedName name="List_Taxes">#REF!</definedName>
    <definedName name="List_TIJ">#REF!</definedName>
    <definedName name="List_TiltWalls">#REF!</definedName>
    <definedName name="List_TruckCourt">#REF!</definedName>
    <definedName name="List_Units">#REF!</definedName>
    <definedName name="List_Utilities">#REF!</definedName>
    <definedName name="List.Category.CapexRecoverable">#REF!</definedName>
    <definedName name="List.Category.ConstructionPeriodInterest">#REF!</definedName>
    <definedName name="List.Category.DevelopmentContingency">#REF!</definedName>
    <definedName name="List.Category.DevelopmentFee">#REF!</definedName>
    <definedName name="List.Category.Expenses">#REF!</definedName>
    <definedName name="List.Category.ExtraordinaryEvents">#REF!</definedName>
    <definedName name="List.Category.HardCosts">#REF!</definedName>
    <definedName name="List.Category.Land">#REF!</definedName>
    <definedName name="List.Category.LeasingCommissions">#REF!</definedName>
    <definedName name="List.Category.NonRecoverable">#REF!</definedName>
    <definedName name="List.Category.PursuitExpenses">#REF!</definedName>
    <definedName name="List.Category.SoftCosts">#REF!</definedName>
    <definedName name="List.Category.TenantImprovements">#REF!</definedName>
    <definedName name="List.Category.TIMakeReady">#REF!</definedName>
    <definedName name="List.CategoryIDName">#REF!</definedName>
    <definedName name="ListOffset" hidden="1">9</definedName>
    <definedName name="ListSheetsMacroButton">#REF!</definedName>
    <definedName name="LiveIndex">#REF!</definedName>
    <definedName name="ljl" hidden="1">{#N/A,#N/A,FALSE,"Expense Detail ";#N/A,#N/A,FALSE,"Worksheet";#N/A,#N/A,FALSE,"Audit";#N/A,#N/A,FALSE,"Exclusions";#N/A,#N/A,FALSE,"Variance";#N/A,#N/A,FALSE,"Reconciliation"}</definedName>
    <definedName name="ll" hidden="1">#REF!</definedName>
    <definedName name="LLL" hidden="1">#REF!</definedName>
    <definedName name="lllll" hidden="1">{"sheet a",#N/A,FALSE,"A";"sheet b 1",#N/A,FALSE,"B";"sheet b 2",#N/A,FALSE,"B"}</definedName>
    <definedName name="llllllllllllllllllllllllllllll" hidden="1">{#N/A,#N/A,FALSE,"LP Exp";#N/A,#N/A,FALSE,"Salary";#N/A,#N/A,FALSE,"Admin Exp";#N/A,#N/A,FALSE,"QTS Bud";#N/A,#N/A,FALSE,"Marketing"}</definedName>
    <definedName name="lmo" hidden="1">{"P_L Account",#N/A,FALSE,"Prime";"Assets",#N/A,FALSE,"Prime";"Liabilities",#N/A,FALSE,"Prime";"Capital and Reserves",#N/A,FALSE,"Prime";"Rec. of S_Holders Funds",#N/A,FALSE,"Prime";"Rec. of Pre and Post Tax Result",#N/A,FALSE,"Prime"}</definedName>
    <definedName name="LOADCHOICE">#REF!</definedName>
    <definedName name="LOADRESULT">#REF!</definedName>
    <definedName name="LOAN">#REF!</definedName>
    <definedName name="Loan_Amount">#REF!</definedName>
    <definedName name="Loan_Start">#REF!</definedName>
    <definedName name="Loan_Term">#REF!</definedName>
    <definedName name="Loan_Years">#REF!</definedName>
    <definedName name="Loan1_Amt">#REF!</definedName>
    <definedName name="Loan1_FDate">#REF!</definedName>
    <definedName name="Loan1_IntRate">#REF!</definedName>
    <definedName name="Loan1_Points">#REF!</definedName>
    <definedName name="Loan2_FDate">#REF!</definedName>
    <definedName name="Loan3_FDate">#REF!</definedName>
    <definedName name="Loan3_Name">#REF!</definedName>
    <definedName name="Loan3_PMO">#REF!</definedName>
    <definedName name="LoanAmnt">#REF!</definedName>
    <definedName name="LoanAmnt2">#REF!</definedName>
    <definedName name="LoanBal">#REF!</definedName>
    <definedName name="loanPAYMENTtable">#REF!</definedName>
    <definedName name="Location">#REF!</definedName>
    <definedName name="Locations">#REF!</definedName>
    <definedName name="lockard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lookback">#REF!</definedName>
    <definedName name="Losses" hidden="1">{"TAB 1",#N/A,FALSE,"1";"tab 2",#N/A,FALSE,"2";"TAB 3",#N/A,FALSE,"3";"tab 4",#N/A,FALSE,"4";"tab 5",#N/A,FALSE,"5";"tab 6",#N/A,FALSE,"6";"tab 7",#N/A,FALSE,"7";"TAB 8",#N/A,FALSE,"8"}</definedName>
    <definedName name="lot">#REF!</definedName>
    <definedName name="Louvers" hidden="1">{#N/A,#N/A,TRUE,"Ericsson Stadium PCD ";#N/A,#N/A,TRUE,"Ericsson Stadium IOR"}</definedName>
    <definedName name="Louversa" hidden="1">{#N/A,#N/A,TRUE,"Ericsson Stadium PCD ";#N/A,#N/A,TRUE,"Ericsson Stadium IOR"}</definedName>
    <definedName name="LS_Delinq">#REF!</definedName>
    <definedName name="LS_Repos">#REF!</definedName>
    <definedName name="Lse_Term">#REF!</definedName>
    <definedName name="LTC">#REF!</definedName>
    <definedName name="ltm_BalanceSheet" hidden="1">#REF!</definedName>
    <definedName name="ltm_IncomeStatement" hidden="1">#REF!</definedName>
    <definedName name="ltmnonasset1" hidden="1">#REF!</definedName>
    <definedName name="ltmnonliab1" hidden="1">#REF!</definedName>
    <definedName name="LTV">#REF!</definedName>
    <definedName name="lu" hidden="1">{"'Directory'!$A$72:$E$91"}</definedName>
    <definedName name="LY">#REF!</definedName>
    <definedName name="m">#REF!</definedName>
    <definedName name="M_PlaceofPath" hidden="1">"\\SNYCEQT0100\HOME\DANDERS\COMPANY\IGT\IGT_VDF.xls"</definedName>
    <definedName name="Mai">#REF!</definedName>
    <definedName name="MAN_INPUT">#REF!</definedName>
    <definedName name="marcapty" hidden="1">#REF!</definedName>
    <definedName name="marearntwo" hidden="1">#REF!</definedName>
    <definedName name="marebitdaty" hidden="1">#REF!</definedName>
    <definedName name="marebitty" hidden="1">#REF!</definedName>
    <definedName name="marformrow2" hidden="1">#REF!</definedName>
    <definedName name="margrossty" hidden="1">#REF!</definedName>
    <definedName name="market">#REF!</definedName>
    <definedName name="market1" hidden="1">{"Zone1",#N/A,FALSE,"Parameters";"Zone2",#N/A,FALSE,"Parameters"}</definedName>
    <definedName name="MarketRentPSF">#REF!</definedName>
    <definedName name="marnwcty" hidden="1">#REF!</definedName>
    <definedName name="marrevtwo" hidden="1">#REF!</definedName>
    <definedName name="MarshR">#REF!</definedName>
    <definedName name="MarshU">#REF!</definedName>
    <definedName name="martyrange" hidden="1">#REF!</definedName>
    <definedName name="martyrangeone" hidden="1">#REF!</definedName>
    <definedName name="März">#REF!</definedName>
    <definedName name="matrices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matricies" hidden="1">{#N/A,#N/A,FALSE,"matx B4 DS";#N/A,#N/A,FALSE,"matx B4 DS Hac";#N/A,#N/A,FALSE,"matx B4 DS Chabot";#N/A,#N/A,FALSE,"matx B4 DS Diablo"}</definedName>
    <definedName name="matrix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aturity">#REF!</definedName>
    <definedName name="Max_Incr">#REF!</definedName>
    <definedName name="MCUwork1" hidden="1">{#N/A,#N/A,TRUE,"Summary";#N/A,#N/A,TRUE,"Program Scheme";#N/A,#N/A,TRUE,"Assumptions";#N/A,#N/A,TRUE,"Development Budget &amp; Timing";#N/A,#N/A,TRUE,"Cash Flow";#N/A,#N/A,TRUE,"Cash Flow to Debt &amp; Equity"}</definedName>
    <definedName name="medmult" hidden="1">#REF!</definedName>
    <definedName name="meg" hidden="1">#REF!</definedName>
    <definedName name="men" hidden="1">{"Error Report",#N/A,FALSE,"Report"}</definedName>
    <definedName name="meow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MerrillPrintIt" hidden="1">#N/A</definedName>
    <definedName name="metro">#REF!</definedName>
    <definedName name="MEWarning" hidden="1">1</definedName>
    <definedName name="Mezz_debt_paydown">#REF!</definedName>
    <definedName name="Mezzanine_Debt">#REF!</definedName>
    <definedName name="Mezzanine_Financing_Proceeds">#REF!</definedName>
    <definedName name="mezzanine_rate">#REF!</definedName>
    <definedName name="mezzfinancing">#REF!</definedName>
    <definedName name="mezzinterest">#REF!</definedName>
    <definedName name="mezzmosofIO">#REF!</definedName>
    <definedName name="mezzorigfee">#REF!</definedName>
    <definedName name="mezzpandi">#REF!</definedName>
    <definedName name="mezzterm">#REF!</definedName>
    <definedName name="MGDV_IRR" hidden="1">{"Zone1",#N/A,FALSE,"Parameters";"Zone2",#N/A,FALSE,"Parameters"}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gmntCo">#REF!</definedName>
    <definedName name="MgmntCoDistriOper">#REF!</definedName>
    <definedName name="MgmntCoDistriSale">#REF!</definedName>
    <definedName name="MgmntCoEq">#REF!</definedName>
    <definedName name="MgmntCoOwn">#REF!</definedName>
    <definedName name="MgmntCoPrefer">#REF!</definedName>
    <definedName name="MgmntFee1">#REF!</definedName>
    <definedName name="MgmntFee2">#REF!</definedName>
    <definedName name="MgmntFee3">#REF!</definedName>
    <definedName name="MgmntFee4">#REF!</definedName>
    <definedName name="MGMT">#REF!</definedName>
    <definedName name="MgmtIncentiveFee">#REF!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ichael" hidden="1">{"GENERAL INPUT",#N/A,FALSE,"GENERAL INPUT";"PROFORMA DRAW SCHEDULE",#N/A,FALSE,"WORKSHEET";"BUDGET ALL",#N/A,FALSE,"BUDGET";"OPERATING ALL",#N/A,FALSE,"OPERATING";"DRAW ESTIMATES",#N/A,FALSE,"DRAWS";"SOURCES &amp; USES",#N/A,FALSE,"SOURCES &amp; USES"}</definedName>
    <definedName name="midpointvalue" hidden="1">{#N/A,#N/A,FALSE,"Cashflow Analysis";#N/A,#N/A,FALSE,"Sensitivity Analysis";#N/A,#N/A,FALSE,"PV";#N/A,#N/A,FALSE,"Pro Forma"}</definedName>
    <definedName name="Mietsoll_._._Leerstand__03.05">#REF!</definedName>
    <definedName name="MILF1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MILF1_1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MILF1_2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MILF1_3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milner" hidden="1">{#N/A,#N/A,FALSE,"Aging Summary";#N/A,#N/A,FALSE,"Ratio Analysis";#N/A,#N/A,FALSE,"Test 120 Day Accts";#N/A,#N/A,FALSE,"Tickmarks"}</definedName>
    <definedName name="minadj" hidden="1">#REF!</definedName>
    <definedName name="minadj2" hidden="1">#REF!</definedName>
    <definedName name="MiniPerm">#REF!</definedName>
    <definedName name="MiniPerm2">#REF!</definedName>
    <definedName name="MiniPerm3">#REF!</definedName>
    <definedName name="minorityintyes" hidden="1">#REF!</definedName>
    <definedName name="MISC.NON_RECOV">#REF!</definedName>
    <definedName name="MKT">#REF!</definedName>
    <definedName name="Mkt_Lsd_Rnt_Calcs">#REF!</definedName>
    <definedName name="Mkt_Lsd_Rnt_Data">#REF!</definedName>
    <definedName name="Mkt_Rnt_Data">#REF!</definedName>
    <definedName name="Mkt_Rnt_Formula">#REF!</definedName>
    <definedName name="Mkt_Rnt_Tbl">#REF!</definedName>
    <definedName name="Mkt_Rnt_Unit_Dtl">#REF!</definedName>
    <definedName name="Mkt_Rnt_Unit1">#REF!</definedName>
    <definedName name="mktdisc" hidden="1">#REF!</definedName>
    <definedName name="mktdisc2" hidden="1">#REF!</definedName>
    <definedName name="mktformat" hidden="1">#REF!</definedName>
    <definedName name="mktformat2" hidden="1">#REF!</definedName>
    <definedName name="MKTG2000">#REF!</definedName>
    <definedName name="MKTG2001">#REF!</definedName>
    <definedName name="mktrentyr1">#REF!</definedName>
    <definedName name="mktrentyr10">#REF!</definedName>
    <definedName name="mktrentyr11">#REF!</definedName>
    <definedName name="mktrentyr12">#REF!</definedName>
    <definedName name="mktrentyr2">#REF!</definedName>
    <definedName name="mktrentyr3">#REF!</definedName>
    <definedName name="mktrentyr4">#REF!</definedName>
    <definedName name="mktrentyr5">#REF!</definedName>
    <definedName name="mktrentyr6">#REF!</definedName>
    <definedName name="mktrentyr7">#REF!</definedName>
    <definedName name="mktrentyr8">#REF!</definedName>
    <definedName name="mktrentyr9">#REF!</definedName>
    <definedName name="mm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mm" hidden="1">{"View1",#N/A,FALSE,"Sheet1";"View2",#N/A,FALSE,"Sheet1"}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nths_qtr">#REF!</definedName>
    <definedName name="mnths_quarter">#REF!</definedName>
    <definedName name="mo" hidden="1">{"fis.dbo.r1_datasum"}</definedName>
    <definedName name="mo_CurrMo">#REF!</definedName>
    <definedName name="mo_PriorMo">#REF!</definedName>
    <definedName name="Mo_Rents">#REF!</definedName>
    <definedName name="monday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mondayjvcopy" hidden="1">{"View1",#N/A,FALSE,"Sheet1";"View2",#N/A,FALSE,"Sheet1"}</definedName>
    <definedName name="mondaypark" hidden="1">{"View1",#N/A,FALSE,"Sheet1";"View2",#N/A,FALSE,"Sheet1"}</definedName>
    <definedName name="mondaytest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month">#REF!</definedName>
    <definedName name="monthdes">#REF!</definedName>
    <definedName name="Monthly_">#REF!</definedName>
    <definedName name="Monthly_Taxes">#REF!</definedName>
    <definedName name="monthocc">#REF!</definedName>
    <definedName name="monthocc2">#REF!</definedName>
    <definedName name="monthocc3">#REF!</definedName>
    <definedName name="Monthpy">#REF!</definedName>
    <definedName name="Months_Constr">#REF!</definedName>
    <definedName name="Months_Entitle">#REF!</definedName>
    <definedName name="months_qtr">#REF!</definedName>
    <definedName name="months_year">#REF!</definedName>
    <definedName name="MoPymnt2">#REF!</definedName>
    <definedName name="MoPymt">#REF!</definedName>
    <definedName name="MoPymt2">#REF!</definedName>
    <definedName name="MortCalc">#REF!</definedName>
    <definedName name="MortCalc2">#REF!</definedName>
    <definedName name="MortCalc3">#REF!</definedName>
    <definedName name="Mos_Remain">#REF!</definedName>
    <definedName name="MosHeld">#REF!</definedName>
    <definedName name="MosIn1stYr">#REF!</definedName>
    <definedName name="MOVED" hidden="1">{"CHART",#N/A,FALSE,"Arch Communications"}</definedName>
    <definedName name="moved2" hidden="1">{"CHART",#N/A,FALSE,"Arch Communications"}</definedName>
    <definedName name="mps" hidden="1">{#N/A,#N/A,FALSE,"INDEX";#N/A,#N/A,FALSE,"CONTROL";#N/A,#N/A,FALSE,"COMPLIANCE";#N/A,#N/A,FALSE,"OVERVIEW";#N/A,#N/A,FALSE,"OVERVIEW 1";#N/A,#N/A,FALSE,"1995 Rev &amp; Exp";#N/A,#N/A,FALSE,"HISTORICAL REV &amp; EXP";#N/A,#N/A,FALSE,"LEASES";#N/A,#N/A,FALSE,"APPRAISAL";#N/A,#N/A,FALSE,"APPRAISAL 2";#N/A,#N/A,FALSE,"APPRAISAL 3";#N/A,#N/A,FALSE,"ENGINEERING";#N/A,#N/A,FALSE,"ENVIRONMENTAL";#N/A,#N/A,FALSE,"CREDIT";#N/A,#N/A,FALSE,"ASSET MGMT.";#N/A,#N/A,FALSE,"LOAN ANALYSIS";#N/A,#N/A,FALSE,"SOURCES &amp; USES";#N/A,#N/A,FALSE,"Working List"}</definedName>
    <definedName name="MRG" hidden="1">{"INCOME",#N/A,FALSE,"ProNet";"VALUE",#N/A,FALSE,"ProNet"}</definedName>
    <definedName name="MRG_old" hidden="1">{"INCOME",#N/A,FALSE,"ProNet";"VALUE",#N/A,FALSE,"ProNet"}</definedName>
    <definedName name="MRG2_old" hidden="1">{"INCOME",#N/A,FALSE,"ProNet";"VALUE",#N/A,FALSE,"ProNet"}</definedName>
    <definedName name="MSforecast" hidden="1">{"'Sheet1'!$A$1:$I$10","'Sheet1'!$A$1:$I$11"}</definedName>
    <definedName name="Mt.Todd" hidden="1">{"p1TOC",#N/A,FALSE,"DCF_Summary";"p23summary",#N/A,FALSE,"DCF_Summary";"p4contact",#N/A,FALSE,"Contact Lake";"p5kumtor",#N/A,FALSE,"Kumtor";#N/A,#N/A,FALSE,"CCAU_NAV";"p8compdata",#N/A,FALSE,"Gold_Comps";#N/A,#N/A,FALSE,"Comp_Valuation"}</definedName>
    <definedName name="mth">MONTH(#REF!)</definedName>
    <definedName name="mthno">#REF!</definedName>
    <definedName name="MTM">#REF!</definedName>
    <definedName name="Müllabfuhr">#REF!</definedName>
    <definedName name="multcash1" hidden="1">#REF!</definedName>
    <definedName name="multformrow" hidden="1">#REF!</definedName>
    <definedName name="multtable" hidden="1">#REF!</definedName>
    <definedName name="MVAR725">#REF!</definedName>
    <definedName name="MVAR777">#REF!</definedName>
    <definedName name="mvicebit_col" hidden="1">#REF!</definedName>
    <definedName name="mvicebitda_col" hidden="1">#REF!</definedName>
    <definedName name="mvicprojebitda_col" hidden="1">#REF!</definedName>
    <definedName name="mvicrev_col" hidden="1">#REF!</definedName>
    <definedName name="n">#REF!</definedName>
    <definedName name="NA" hidden="1">#REF!</definedName>
    <definedName name="NAME">#N/A</definedName>
    <definedName name="name1" localSheetId="0" hidden="1">{"SIMPLIFD_P1",#N/A,FALSE,"SIMPLIFD"}</definedName>
    <definedName name="name1" hidden="1">{"SIMPLIFD_P1",#N/A,FALSE,"SIMPLIFD"}</definedName>
    <definedName name="name1_1" hidden="1">{"SIMPLIFD_P1",#N/A,FALSE,"SIMPLIFD"}</definedName>
    <definedName name="name1_2" hidden="1">{"SIMPLIFD_P1",#N/A,FALSE,"SIMPLIFD"}</definedName>
    <definedName name="name1_3" hidden="1">{"SIMPLIFD_P1",#N/A,FALSE,"SIMPLIFD"}</definedName>
    <definedName name="name1_4" hidden="1">{"SIMPLIFD_P1",#N/A,FALSE,"SIMPLIFD"}</definedName>
    <definedName name="name2" hidden="1">{#N/A,#N/A,FALSE,"Assumptions";#N/A,#N/A,FALSE,"Promote Assumptions";#N/A,#N/A,FALSE,"Residual Analysis";#N/A,#N/A,FALSE,"ROC";#N/A,#N/A,FALSE,"Project Costs";#N/A,#N/A,FALSE,"Annual CF";#N/A,#N/A,FALSE,"Stab Proforma"}</definedName>
    <definedName name="Nane2" localSheetId="0" hidden="1">{"TEST1",#N/A,FALSE,"SIMPLIFD"}</definedName>
    <definedName name="Nane2" hidden="1">{"TEST1",#N/A,FALSE,"SIMPLIFD"}</definedName>
    <definedName name="Nane2_1" hidden="1">{"TEST1",#N/A,FALSE,"SIMPLIFD"}</definedName>
    <definedName name="Nane2_2" hidden="1">{"TEST1",#N/A,FALSE,"SIMPLIFD"}</definedName>
    <definedName name="Nane2_3" hidden="1">{"TEST1",#N/A,FALSE,"SIMPLIFD"}</definedName>
    <definedName name="Nane2_4" hidden="1">{"TEST1",#N/A,FALSE,"SIMPLIFD"}</definedName>
    <definedName name="NashEquity">#REF!</definedName>
    <definedName name="National_Sales___Marketing_Fee">#REF!</definedName>
    <definedName name="NAV">#REF!</definedName>
    <definedName name="naveeds" hidden="1">{"CSheet",#N/A,FALSE,"C";"SmCap",#N/A,FALSE,"VAL1";"GulfCoast",#N/A,FALSE,"VAL1";"nav",#N/A,FALSE,"NAV";"Summary",#N/A,FALSE,"NAV"}</definedName>
    <definedName name="nb" hidden="1">#REF!</definedName>
    <definedName name="nbmvcmnb" hidden="1">{#N/A,#N/A,TRUE,"10 Yr Hold";#N/A,#N/A,TRUE,"7 Yr Hold";#N/A,#N/A,TRUE,"5 Yr Hold";#N/A,#N/A,TRUE,"3 Yr Hold"}</definedName>
    <definedName name="nbvn" hidden="1">{#N/A,#N/A,TRUE,"CostSumm";#N/A,#N/A,TRUE,"Land";#N/A,#N/A,TRUE,"Construction";#N/A,#N/A,TRUE,"A&amp;E";#N/A,#N/A,TRUE,"Indirect";#N/A,#N/A,TRUE,"Marketing";#N/A,#N/A,TRUE,"Finance";#N/A,#N/A,TRUE,"Gen and Admin"}</definedName>
    <definedName name="ncas" hidden="1">{"FCB_ALL",#N/A,FALSE,"FCB";"GREY_ALL",#N/A,FALSE,"GREY"}</definedName>
    <definedName name="NCF">#REF!</definedName>
    <definedName name="ncfyr1">#REF!</definedName>
    <definedName name="ncfyr10">#REF!</definedName>
    <definedName name="ncfyr11">#REF!</definedName>
    <definedName name="ncfyr2">#REF!</definedName>
    <definedName name="ncfyr3">#REF!</definedName>
    <definedName name="ncfyr4">#REF!</definedName>
    <definedName name="ncfyr5">#REF!</definedName>
    <definedName name="ncfyr6">#REF!</definedName>
    <definedName name="ncfyr7">#REF!</definedName>
    <definedName name="ncfyr8">#REF!</definedName>
    <definedName name="ncfyr9">#REF!</definedName>
    <definedName name="NCREIF_Region">#REF!</definedName>
    <definedName name="ND">#REF!</definedName>
    <definedName name="net_rent00">#REF!</definedName>
    <definedName name="net_rent01">#REF!</definedName>
    <definedName name="net_rent02">#REF!</definedName>
    <definedName name="net_rent03">#REF!</definedName>
    <definedName name="net_rent04">#REF!</definedName>
    <definedName name="net_rent05">#REF!</definedName>
    <definedName name="net_rent06">#REF!</definedName>
    <definedName name="net_rent07">#REF!</definedName>
    <definedName name="net_rent97">#REF!</definedName>
    <definedName name="net_rent98">#REF!</definedName>
    <definedName name="net_rent99">#REF!</definedName>
    <definedName name="Net.Asset.Value">#REF!</definedName>
    <definedName name="netdebt1">#REF!</definedName>
    <definedName name="NETLAND">#REF!</definedName>
    <definedName name="NEToperatingINCOME">#REF!</definedName>
    <definedName name="NetReversion">#REF!</definedName>
    <definedName name="NetSaleProceeds">#REF!</definedName>
    <definedName name="NetSalesProceeds">#REF!</definedName>
    <definedName name="netsf">#REF!</definedName>
    <definedName name="new" hidden="1">{"Spread Dollars",#N/A,FALSE,"Budget";"Spread Ratios",#N/A,FALSE,"Budget";"Target Comparison",#N/A,FALSE,"Summary"}</definedName>
    <definedName name="NEW_1" hidden="1">#REF!</definedName>
    <definedName name="New_Equity">#REF!</definedName>
    <definedName name="new_order1" hidden="1">255</definedName>
    <definedName name="New_Parking_Stalls" localSheetId="0">#REF!</definedName>
    <definedName name="New_Parking_Stalls">#REF!</definedName>
    <definedName name="New_Taxes">#REF!</definedName>
    <definedName name="Newcap" hidden="1">{"'2ND_QUAR'!$A$1:$P$106"}</definedName>
    <definedName name="newdebt" hidden="1">{"Spread Dollars",#N/A,FALSE,"Budget";"Spread Ratios",#N/A,FALSE,"Budget";"Target Comparison",#N/A,FALSE,"Summary"}</definedName>
    <definedName name="newer" hidden="1">#REF!</definedName>
    <definedName name="newhtml" hidden="1">{"'Assump'!$F$6:$J$6"}</definedName>
    <definedName name="newname" hidden="1">{"Financials",#N/A,FALSE,"Financials";"AVP",#N/A,FALSE,"AVP";"DCF",#N/A,FALSE,"DCF";"CSC",#N/A,FALSE,"CSC";"Deal_Comp",#N/A,FALSE,"DealComp"}</definedName>
    <definedName name="newrange" hidden="1">{"Annual Cash Flows",#N/A,FALSE,"Annual Summary"}</definedName>
    <definedName name="nhjythh" hidden="1">{"DCF","UPSIDE CASE",FALSE,"Sheet1";"DCF","BASE CASE",FALSE,"Sheet1";"DCF","DOWNSIDE CASE",FALSE,"Sheet1"}</definedName>
    <definedName name="Niederschlagswasser">#REF!</definedName>
    <definedName name="Night">#REF!</definedName>
    <definedName name="NISSAN">#REF!</definedName>
    <definedName name="NJ" hidden="1">{#N/A,#N/A,FALSE}</definedName>
    <definedName name="NLTradingChart" localSheetId="0">Word</definedName>
    <definedName name="NLTradingChart" localSheetId="1">Word</definedName>
    <definedName name="NLTradingChart">Word</definedName>
    <definedName name="nn" hidden="1">{#N/A,#N/A,FALSE,"Cover";#N/A,#N/A,FALSE,"Table";#N/A,#N/A,FALSE,"sec 1";#N/A,#N/A,FALSE,"Summary Schedule";#N/A,#N/A,FALSE,"Sec 2";#N/A,#N/A,FALSE,"Use of Proceeds";#N/A,#N/A,FALSE,"Sec 3";#N/A,#N/A,FALSE,"Yield Cal";#N/A,#N/A,FALSE,"Sec 4";#N/A,#N/A,FALSE,"Qtrly Distributions";#N/A,#N/A,FALSE,"Sec 5";#N/A,#N/A,FALSE,"RATE";#N/A,#N/A,FALSE,"Sec 6";#N/A,#N/A,FALSE,"OPERATIONS";#N/A,#N/A,FALSE,"Sec 7";#N/A,#N/A,FALSE,"Dev. Budget";#N/A,#N/A,FALSE,"Sec 8";#N/A,#N/A,FALSE,"Draw";#N/A,#N/A,FALSE,"Sec 9";#N/A,#N/A,FALSE,"COMPARISON SCHEDULE";#N/A,#N/A,FALSE,"Sec 10";#N/A,#N/A,FALSE,"Investor10";#N/A,#N/A,FALSE,"Sec 11";#N/A,#N/A,FALSE,"10 year a";#N/A,#N/A,FALSE,"Sec 12";#N/A,#N/A,FALSE,"Assum."}</definedName>
    <definedName name="nnn" hidden="1">{#N/A,#N/A,FALSE,"CCC Variance";#N/A,#N/A,FALSE,"CCC Notes"}</definedName>
    <definedName name="NNN_MarketRent">#REF!</definedName>
    <definedName name="nnnn" hidden="1">{#N/A,#N/A,FALSE,"A";#N/A,#N/A,FALSE,"C"}</definedName>
    <definedName name="nnnnnnn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nnnnnnnnnnnnnnnnnnn" hidden="1">{"LIBOR",#N/A,TRUE,"Model";"Caps",#N/A,TRUE,"Model";"Assets",#N/A,TRUE,"Model";"Liabilities",#N/A,TRUE,"Model";"Tests",#N/A,TRUE,"Model";"Results",#N/A,TRUE,"Model"}</definedName>
    <definedName name="No_SF">#REF!</definedName>
    <definedName name="No_Units">#REF!</definedName>
    <definedName name="NOI">#REF!</definedName>
    <definedName name="noi_table">#REF!</definedName>
    <definedName name="noicf">#REF!</definedName>
    <definedName name="noijnio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noiyr1">#REF!</definedName>
    <definedName name="noiyr10">#REF!</definedName>
    <definedName name="noiyr11">#REF!</definedName>
    <definedName name="noiyr2">#REF!</definedName>
    <definedName name="noiyr3">#REF!</definedName>
    <definedName name="noiyr4">#REF!</definedName>
    <definedName name="noiyr5">#REF!</definedName>
    <definedName name="noiyr6">#REF!</definedName>
    <definedName name="noiyr7">#REF!</definedName>
    <definedName name="noiyr8">#REF!</definedName>
    <definedName name="noiyr9">#REF!</definedName>
    <definedName name="notdoug" hidden="1">{#N/A,#N/A,FALSE,"Consolidated";#N/A,#N/A,FALSE,"Available Credit";#N/A,#N/A,FALSE,"100% Owned";#N/A,#N/A,FALSE,"Bentall U.S. LLC";#N/A,#N/A,FALSE,"Bentall Properties (U.S.) Ltd.";#N/A,#N/A,FALSE,"Schedule I"}</definedName>
    <definedName name="Nov.">#REF!</definedName>
    <definedName name="Now" hidden="1">{"Assumptions",#N/A,TRUE,"Returns";"Tables",#N/A,TRUE,"Returns"}</definedName>
    <definedName name="nowe" hidden="1">{#N/A,#N/A,TRUE,"Krycí list"}</definedName>
    <definedName name="NRA">#REF!</definedName>
    <definedName name="nrAcqFeeBasis">#REF!</definedName>
    <definedName name="nrAMFeeCalcMethod">#REF!</definedName>
    <definedName name="nrAnalysisStartDate">#REF!</definedName>
    <definedName name="nrAssetName">#REF!</definedName>
    <definedName name="nrCBREMetroDataRange">#REF!</definedName>
    <definedName name="nrCBRESubMarketDataRange">#REF!</definedName>
    <definedName name="nrCFCapitalAdjustment">#REF!</definedName>
    <definedName name="nrCityName">#REF!</definedName>
    <definedName name="nrClientList">#REF!</definedName>
    <definedName name="nrClientRange">#REF!</definedName>
    <definedName name="nrContDistAdjustment">#REF!</definedName>
    <definedName name="nrDispFeeCalcMethod">#REF!</definedName>
    <definedName name="nrDistributionSequence">#REF!</definedName>
    <definedName name="nrEquityTiming">#REF!</definedName>
    <definedName name="nrFinancingCostSwitch">#REF!</definedName>
    <definedName name="nrFundName">#REF!</definedName>
    <definedName name="nrInflationRate">#REF!</definedName>
    <definedName name="nrInputDebtLookupRange">#REF!</definedName>
    <definedName name="nrInputDebtOptions">#REF!</definedName>
    <definedName name="nrInputReturns">#REF!</definedName>
    <definedName name="nrIRRYear">#REF!</definedName>
    <definedName name="nrKeyNumberReturnsRange">#REF!</definedName>
    <definedName name="nrKeyNumberReturnType1">#REF!</definedName>
    <definedName name="nrKeyNumberReturnType2">#REF!</definedName>
    <definedName name="nrKeyNumberYearRange">#REF!</definedName>
    <definedName name="nrMaxPerformanceFee">#REF!</definedName>
    <definedName name="nrMinPerformanceFee">#REF!</definedName>
    <definedName name="nrMonthRange">#REF!</definedName>
    <definedName name="nrPerformanceFeeTiming">#REF!</definedName>
    <definedName name="nrPkgReturnsRange">#REF!</definedName>
    <definedName name="nrPkgReturnsYearRange">#REF!</definedName>
    <definedName name="nrProjectionStartDate">#REF!</definedName>
    <definedName name="nrPurchasePrice">#REF!</definedName>
    <definedName name="nrQuarterRange">#REF!</definedName>
    <definedName name="nrRebuyCalcRange">#REF!</definedName>
    <definedName name="nrReturnsRange">#REF!</definedName>
    <definedName name="nrStabilizedYear">#REF!</definedName>
    <definedName name="nrState">#REF!</definedName>
    <definedName name="nrTotalArea">#REF!</definedName>
    <definedName name="nrYearRange">#REF!</definedName>
    <definedName name="nrYears10">#REF!</definedName>
    <definedName name="nrYears14">#REF!</definedName>
    <definedName name="NSP">#REF!</definedName>
    <definedName name="NTA00">#REF!</definedName>
    <definedName name="Num_Pmt_Per_Year">#REF!</definedName>
    <definedName name="Number_of_Payments">MATCH(0.01,End_Bal,-1)+1</definedName>
    <definedName name="number_range">#REF!</definedName>
    <definedName name="number_range2">#REF!</definedName>
    <definedName name="numberINTonlyPAYMENTS">#REF!</definedName>
    <definedName name="NvsASD">"V2001-12-31"</definedName>
    <definedName name="NvsAutoDrillOk">"VN"</definedName>
    <definedName name="NvsElapsedTime">0.00043518518214114</definedName>
    <definedName name="NvsEndTime">37546.5793412037</definedName>
    <definedName name="NvsInstanceHook">"ColumnFormat"</definedName>
    <definedName name="NvsInstSpec">"%,FBUSINESS_UNIT,VAUBLP"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"%,X,RPF..,CZF.."</definedName>
    <definedName name="NvsPanelEffdt">"V2020-12-31"</definedName>
    <definedName name="NvsPanelSetid">"VCPSTD"</definedName>
    <definedName name="NvsReqBU">"VAUBLP"</definedName>
    <definedName name="NvsReqBUOnly">"VY"</definedName>
    <definedName name="NvsTransLed">"VN"</definedName>
    <definedName name="NvsTreeASD">"V2001-12-31"</definedName>
    <definedName name="NvsValTbl.ACCOUNT">"GL_ACCOUNT_TBL"</definedName>
    <definedName name="NvsValTbl.AFFILIATE">"AFFILIATE_VW"</definedName>
    <definedName name="NvsValTbl.BUSINESS_UNIT">"BUS_UNIT_TBL_GL"</definedName>
    <definedName name="NvsValTbl.DEPTID">"DEPARTMENT_TBL"</definedName>
    <definedName name="NvsValTbl.PRODUCT">"PRODUCT_TBL"</definedName>
    <definedName name="NvsValTbl.PROJECT_ID">"PROJECT"</definedName>
    <definedName name="NW" hidden="1">#REF!</definedName>
    <definedName name="O">#REF!</definedName>
    <definedName name="occ_2005">#REF!</definedName>
    <definedName name="Occ_Units">#REF!</definedName>
    <definedName name="OCCNRA">#REF!</definedName>
    <definedName name="Occup">#REF!</definedName>
    <definedName name="OCCUPANCY">#REF!</definedName>
    <definedName name="OCCUPIED">#REF!</definedName>
    <definedName name="OCP">#REF!</definedName>
    <definedName name="oct02b" hidden="1">{#N/A,#N/A,FALSE,"Class A";#N/A,#N/A,FALSE,"Class B";#N/A,#N/A,FALSE,"Class C"}</definedName>
    <definedName name="oen" hidden="1">{"Ops_S.Holders Assets and Income",#N/A,FALSE,"ops_shf"}</definedName>
    <definedName name="OER">#REF!</definedName>
    <definedName name="OfferPrice">#REF!</definedName>
    <definedName name="office1" hidden="1">{#N/A,#N/A,FALSE,"Cashflow Analysis";#N/A,#N/A,FALSE,"Sensitivity Analysis";#N/A,#N/A,FALSE,"PV";#N/A,#N/A,FALSE,"Pro Forma"}</definedName>
    <definedName name="ogmkcjr" hidden="1">{#N/A,#N/A,FALSE,"Chart 2 by Prop Type"}</definedName>
    <definedName name="oipp" hidden="1">{#N/A,#N/A,FALSE,"Chart 2 by Prop Type"}</definedName>
    <definedName name="oiwea" hidden="1">{"FCB_ALL",#N/A,FALSE,"FCB";"GREY_ALL",#N/A,FALSE,"GREY"}</definedName>
    <definedName name="ok" hidden="1">{"Page1",#N/A,TRUE,"Sheet1";"Page2",#N/A,TRUE,"Sheet1";"Page3",#N/A,TRUE,"Sheet1"}</definedName>
    <definedName name="OKAY" hidden="1">#REF!</definedName>
    <definedName name="okp" hidden="1">{#N/A,#N/A,FALSE,"Chart 2 by Prop Type"}</definedName>
    <definedName name="Okt.">#REF!</definedName>
    <definedName name="ol" hidden="1">{#N/A,#N/A,FALSE,"Chart 2 by Prop Type"}</definedName>
    <definedName name="old">#REF!</definedName>
    <definedName name="oldhtl" hidden="1">{"'Assump'!$F$6:$J$6"}</definedName>
    <definedName name="oldkill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oldkill2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oldkill3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oldname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table" hidden="1">#REF!</definedName>
    <definedName name="oldtable1" hidden="1">#REF!</definedName>
    <definedName name="One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OnePager_Mobile" hidden="1">{#N/A,#N/A,FALSE,"Loan Summary";#N/A,#N/A,FALSE,"NOI";"RR and Expir",#N/A,FALSE,"Rental";"Sales History",#N/A,FALSE,"Rental";#N/A,#N/A,FALSE,"Reserves"}</definedName>
    <definedName name="oo" hidden="1">#REF!</definedName>
    <definedName name="ooooooooo" hidden="1">{"SITQ view of BCLP 4 months income statement",#N/A,TRUE,"BCLP 4 MO IS";#N/A,#N/A,TRUE,"Comparison to March Fcst";#N/A,#N/A,TRUE,"BCLP Forecast";"Mgnt view of BCLP 4 month income statement",#N/A,TRUE,"BCLP 4 MO IS";#N/A,#N/A,TRUE,"Closing Adjustments";#N/A,#N/A,TRUE,"Accounting entry"}</definedName>
    <definedName name="OpDeficit">#REF!</definedName>
    <definedName name="OpenDate">#REF!</definedName>
    <definedName name="opendbs" hidden="1">{"fis.dbo.r1_datasum"}</definedName>
    <definedName name="opendbs1" hidden="1">{"fis.dbo.r1_datasum"}</definedName>
    <definedName name="Operating2" hidden="1">#REF!</definedName>
    <definedName name="OPERBGT">#REF!</definedName>
    <definedName name="OPERBGT1">#REF!</definedName>
    <definedName name="OPERBGT2">#REF!</definedName>
    <definedName name="OPERBGT3">#REF!</definedName>
    <definedName name="OPERBGTSUM">#REF!</definedName>
    <definedName name="OPsData">#REF!</definedName>
    <definedName name="opsyr1">#REF!</definedName>
    <definedName name="opsyr10">#REF!</definedName>
    <definedName name="opsyr11">#REF!</definedName>
    <definedName name="opsyr2">#REF!</definedName>
    <definedName name="opsyr3">#REF!</definedName>
    <definedName name="opsyr4">#REF!</definedName>
    <definedName name="opsyr5">#REF!</definedName>
    <definedName name="opsyr6">#REF!</definedName>
    <definedName name="opsyr7">#REF!</definedName>
    <definedName name="opsyr8">#REF!</definedName>
    <definedName name="opsyr9">#REF!</definedName>
    <definedName name="Option_dates">#REF!</definedName>
    <definedName name="ORDER" hidden="1">0</definedName>
    <definedName name="Order2" hidden="1">255</definedName>
    <definedName name="OrderTable" hidden="1">#REF!</definedName>
    <definedName name="Origination_Fee">#REF!</definedName>
    <definedName name="Orix" hidden="1">{#N/A,#N/A,FALSE,"SPacific";#N/A,#N/A,FALSE,"Hanover";#N/A,#N/A,FALSE,"Fairbanks";#N/A,#N/A,FALSE,"Life Savings";#N/A,#N/A,FALSE,"Ocwen";#N/A,#N/A,FALSE,"EMACC";#N/A,#N/A,FALSE,"CREC";#N/A,#N/A,FALSE,"SPTL";#N/A,#N/A,FALSE,"Thornberg";#N/A,#N/A,FALSE,"Conti Res";#N/A,#N/A,FALSE,"Conti Com";#N/A,#N/A,FALSE,"EMAQ";#N/A,#N/A,FALSE,"Fair1"}</definedName>
    <definedName name="Orrick">#REF!</definedName>
    <definedName name="OrrickR">#REF!</definedName>
    <definedName name="OrrickU">#REF!</definedName>
    <definedName name="Other_Co_finhigh_pg4">#REF!</definedName>
    <definedName name="Other_Income_Growth">#REF!</definedName>
    <definedName name="other.income.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other.whatever.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output" hidden="1">{#N/A,#N/A,FALSE,"Matrix";#N/A,#N/A,FALSE,"Cash Flow";#N/A,#N/A,FALSE,"10 Year Cost Analysis"}</definedName>
    <definedName name="owl">#REF!</definedName>
    <definedName name="OwnerEntity">#REF!</definedName>
    <definedName name="OwnerPriority">#REF!</definedName>
    <definedName name="ownership">#REF!</definedName>
    <definedName name="P">#REF!</definedName>
    <definedName name="p.Covenants" hidden="1">#REF!</definedName>
    <definedName name="p.Covenants_Titles" hidden="1">#REF!</definedName>
    <definedName name="p.CreditStats" hidden="1">#REF!</definedName>
    <definedName name="p.LTM_BS" hidden="1">#REF!</definedName>
    <definedName name="p.LTM_IS" hidden="1">#REF!</definedName>
    <definedName name="p.Summary" hidden="1">#REF!</definedName>
    <definedName name="p.Summary_Titles" hidden="1">#REF!</definedName>
    <definedName name="Package" hidden="1">{#N/A,#N/A,FALSE,"Cover Page";#N/A,#N/A,FALSE,"Table of Contents";#N/A,#N/A,FALSE,"Executive Summary";#N/A,#N/A,FALSE,"Investment-Acquisition Costs";#N/A,#N/A,FALSE,"Financing Assumptions";#N/A,#N/A,FALSE,"Rent Roll";#N/A,#N/A,FALSE,"Taxes and Assessments"}</definedName>
    <definedName name="pafssdkp" hidden="1">#REF!</definedName>
    <definedName name="page1">#REF!</definedName>
    <definedName name="Page2">#REF!</definedName>
    <definedName name="palisades" hidden="1">{#N/A,#N/A,FALSE,"WATCHDSC";#N/A,#N/A,FALSE,"2LOSSMOD";#N/A,#N/A,FALSE,"2LOSS";#N/A,#N/A,FALSE,"DSC";#N/A,#N/A,FALSE,"OPERAT";#N/A,#N/A,FALSE,"ADJUST";#N/A,#N/A,FALSE,"LEASE EXPIRE"}</definedName>
    <definedName name="Param_CumRent" hidden="1">#REF!</definedName>
    <definedName name="Param_CurrentDat" hidden="1">#REF!</definedName>
    <definedName name="Param_CurrentDate" hidden="1">#REF!</definedName>
    <definedName name="Param_DRCredit" hidden="1">#REF!</definedName>
    <definedName name="Param_DRNonCredit" hidden="1">#REF!</definedName>
    <definedName name="Param_IncludeCPI" hidden="1">#REF!</definedName>
    <definedName name="Param_IncludePercentRent" hidden="1">#REF!</definedName>
    <definedName name="Param_IncludePW" hidden="1">#REF!</definedName>
    <definedName name="Param_Inclusion" hidden="1">#REF!</definedName>
    <definedName name="Param_PVAbatement" hidden="1">#REF!</definedName>
    <definedName name="Param_SLAbatement" hidden="1">#REF!</definedName>
    <definedName name="Param_VacMarket" hidden="1">#REF!</definedName>
    <definedName name="Param_VacRenew" hidden="1">#REF!</definedName>
    <definedName name="Param_VacVacate" hidden="1">#REF!</definedName>
    <definedName name="PARK_STATS">#REF!</definedName>
    <definedName name="PARK_VAR">#REF!</definedName>
    <definedName name="parkavecopy" hidden="1">{"View1",#N/A,FALSE,"Sheet1";"View2",#N/A,FALSE,"Sheet1"}</definedName>
    <definedName name="parkcopy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parking">#REF!</definedName>
    <definedName name="Parking_NOI">#REF!</definedName>
    <definedName name="parking2">#REF!</definedName>
    <definedName name="ParkingSpaces">#REF!</definedName>
    <definedName name="parkjvcopy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parktest" hidden="1">{"View1",#N/A,FALSE,"Sheet1";"View2",#N/A,FALSE,"Sheet1"}</definedName>
    <definedName name="parktestave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PARTEQUITY">#REF!</definedName>
    <definedName name="PARTEQUITYA">#REF!</definedName>
    <definedName name="partnertier1">#REF!</definedName>
    <definedName name="partnertier2">#REF!</definedName>
    <definedName name="partnertier3">#REF!</definedName>
    <definedName name="partnertier4">#REF!</definedName>
    <definedName name="Pasterange">#REF!</definedName>
    <definedName name="Pay_Num">#REF!</definedName>
    <definedName name="Payment_Date">DATE(YEAR(Loan_Start),MONTH(Loan_Start)+Payment_Number,DAY(Loan_Start))</definedName>
    <definedName name="Payment_Number">ROW()-[0]!Header_Row</definedName>
    <definedName name="Payments_per_year">#REF!</definedName>
    <definedName name="PCap" hidden="1">#REF!</definedName>
    <definedName name="PCM">#REF!</definedName>
    <definedName name="pct_mkt">#REF!</definedName>
    <definedName name="pen" hidden="1">{"Logo",#N/A,FALSE,"Logo";"Exchange",#N/A,FALSE,"Logo";#N/A,#N/A,FALSE,"overview"}</definedName>
    <definedName name="perbolag" hidden="1">{#N/A,#N/A,FALSE,"intag";#N/A,#N/A,FALSE,"budg";#N/A,#N/A,FALSE,"samtl"}</definedName>
    <definedName name="perbolagneu" hidden="1">{#N/A,#N/A,FALSE,"intag";#N/A,#N/A,FALSE,"budg";#N/A,#N/A,FALSE,"samtl"}</definedName>
    <definedName name="PercentageRent">#REF!</definedName>
    <definedName name="Period">#REF!</definedName>
    <definedName name="Period_Size">#REF!</definedName>
    <definedName name="PeriodArray">#REF!</definedName>
    <definedName name="Perm_Beg">#REF!</definedName>
    <definedName name="Perm_Equity">#REF!</definedName>
    <definedName name="Perm_IR">#REF!</definedName>
    <definedName name="Perm_Loan">#REF!</definedName>
    <definedName name="Perm_LoanAvailable">#REF!</definedName>
    <definedName name="Perm_TermYrs">#REF!</definedName>
    <definedName name="PERS2000">#REF!</definedName>
    <definedName name="PERS2001">#REF!</definedName>
    <definedName name="petersen">#REF!</definedName>
    <definedName name="PeterTEST" hidden="1">{#N/A,#N/A,TRUE,"Acq-Ass";#N/A,#N/A,TRUE,"Acq-IS";#N/A,#N/A,TRUE,"Acq-BS";#N/A,#N/A,TRUE,"Acq-CF"}</definedName>
    <definedName name="PEXPBGT">#REF!</definedName>
    <definedName name="PHUNT">#REF!</definedName>
    <definedName name="Pie" hidden="1">{"Financials",#N/A,FALSE,"Financials";"AVP",#N/A,FALSE,"AVP";"DCF",#N/A,FALSE,"DCF";"CSC",#N/A,FALSE,"CSC";"Deal_Comp",#N/A,FALSE,"DealComp"}</definedName>
    <definedName name="pier90" hidden="1">{"excavation",#N/A,FALSE,"DETAIL.XLS"}</definedName>
    <definedName name="pii" hidden="1">#REF!</definedName>
    <definedName name="pijm" hidden="1">{"lot inventory",#N/A,FALSE,"Lot List"}</definedName>
    <definedName name="pio" hidden="1">#REF!</definedName>
    <definedName name="PIRR">#REF!</definedName>
    <definedName name="Pitchbook" hidden="1">{#N/A,#N/A,TRUE,"Sheet16"}</definedName>
    <definedName name="pj" hidden="1">{"INCOME",#N/A,FALSE,"ProNet";"VALUE",#N/A,FALSE,"ProNet"}</definedName>
    <definedName name="PJAM3Yr" hidden="1">{"INCOME",#N/A,FALSE,"ProNet";"VALUE",#N/A,FALSE,"ProNet"}</definedName>
    <definedName name="PJAM3Yr_old" hidden="1">{"INCOME",#N/A,FALSE,"ProNet";"VALUE",#N/A,FALSE,"ProNet"}</definedName>
    <definedName name="pjam3yr2" hidden="1">{"INCOME",#N/A,FALSE,"ProNet";"VALUE",#N/A,FALSE,"ProNet"}</definedName>
    <definedName name="PJDATA">#REF!</definedName>
    <definedName name="pky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pl" hidden="1">#REF!</definedName>
    <definedName name="Platform">#REF!</definedName>
    <definedName name="platforma" hidden="1">{#N/A,#N/A,TRUE,"Ericsson Stadium PCD ";#N/A,#N/A,TRUE,"Ericsson Stadium IOR"}</definedName>
    <definedName name="please" hidden="1">{"Assumptions",#N/A,TRUE,"Returns";"Tables",#N/A,TRUE,"Returns"}</definedName>
    <definedName name="pm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PMACRO">#REF!</definedName>
    <definedName name="pmf">#REF!</definedName>
    <definedName name="Pmt_to_use">#REF!</definedName>
    <definedName name="pn" hidden="1">#REF!</definedName>
    <definedName name="POPERBGT">#REF!</definedName>
    <definedName name="Port_fill" hidden="1">#REF!</definedName>
    <definedName name="Port_Fill2" hidden="1">#REF!</definedName>
    <definedName name="Portfolio" hidden="1">#REF!</definedName>
    <definedName name="Portfolio_NRA">#REF!</definedName>
    <definedName name="pou" hidden="1">#REF!</definedName>
    <definedName name="Power_Plant_Name">"Ilijan, Phillipines (1200 MW)"</definedName>
    <definedName name="PPACKAGE">#REF!</definedName>
    <definedName name="ppdins" hidden="1">#REF!</definedName>
    <definedName name="PPT" hidden="1">{#N/A,#N/A,FALSE,"Chart 2 by Prop Type"}</definedName>
    <definedName name="Pref">#REF!</definedName>
    <definedName name="PREFCFDIST">#REF!</definedName>
    <definedName name="PREFEQUITY">#REF!</definedName>
    <definedName name="PREFEQUITYA">#REF!</definedName>
    <definedName name="Preferred">#REF!</definedName>
    <definedName name="PREFRETURN">#REF!</definedName>
    <definedName name="prefyes" hidden="1">#REF!</definedName>
    <definedName name="preopen">#REF!</definedName>
    <definedName name="previous">#REF!</definedName>
    <definedName name="Price" hidden="1">{"AnnualRentRoll",#N/A,FALSE,"RentRoll"}</definedName>
    <definedName name="pricebook_col" hidden="1">#REF!</definedName>
    <definedName name="priceearnings_col" hidden="1">#REF!</definedName>
    <definedName name="PricePSF">#REF!</definedName>
    <definedName name="PrimaryComp" hidden="1">{"Primarily Competition",#N/A,FALSE,"Comp.&amp; Market Penet."}</definedName>
    <definedName name="Princ">#REF!</definedName>
    <definedName name="PRINCIPAL">#REF!</definedName>
    <definedName name="PRINT">#REF!,#REF!,#REF!</definedName>
    <definedName name="_xlnm.Print_Area">#REF!</definedName>
    <definedName name="Print_Area_MI">#REF!</definedName>
    <definedName name="Print_Area_Reset">OFFSET(Full_Print,0,0,Last_Row)</definedName>
    <definedName name="_xlnm.Print_Titles">#N/A</definedName>
    <definedName name="Print_Titles_MI">#REF!</definedName>
    <definedName name="PRINT1">#REF!</definedName>
    <definedName name="PRINT2">#REF!</definedName>
    <definedName name="printarea">#REF!</definedName>
    <definedName name="PRINTBUDGET">#REF!</definedName>
    <definedName name="PrintManagerQuery">#REF!</definedName>
    <definedName name="PRINTPROFORMA">#REF!</definedName>
    <definedName name="PRINTPROJCOSTS">#REF!</definedName>
    <definedName name="PrintProjection">#REF!</definedName>
    <definedName name="PRINTRENTUP">#REF!</definedName>
    <definedName name="PrintSelectedSheetsMacroButton">#REF!</definedName>
    <definedName name="PRINTSUMMARY">#REF!</definedName>
    <definedName name="PriorYr">#REF!</definedName>
    <definedName name="Private" hidden="1">{"Page 1",#N/A,FALSE,"92264 Page 1";"Page 2",#N/A,FALSE,"92264 Page 2";"Page 3",#N/A,FALSE,"92264 Page 3";"Page 4",#N/A,FALSE,"92264 Page 4";"Page 5",#N/A,FALSE,"92264 Page 5";"Page 6",#N/A,FALSE,"92264 Page 6";"Page 7",#N/A,FALSE,"92264 Page 7";"Page 8",#N/A,FALSE,"92264 Page 8"}</definedName>
    <definedName name="prmote">#REF!</definedName>
    <definedName name="Prn_Assump_10Yr">#REF!,#REF!</definedName>
    <definedName name="Prn_Assump_Static">#REF!,#REF!</definedName>
    <definedName name="Prn_Op_Stmnt_Dtl">#REF!,#REF!</definedName>
    <definedName name="Prn_Rent_Roll">#REF!</definedName>
    <definedName name="prntall" hidden="1">{#N/A,#N/A,FALSE,"Land";#N/A,#N/A,FALSE,"Cost Analysis";"Summary",#N/A,FALSE,"Equipment"}</definedName>
    <definedName name="problem" hidden="1">{"View1",#N/A,FALSE,"Sheet1";"View2",#N/A,FALSE,"Sheet1"}</definedName>
    <definedName name="ProdForm" hidden="1">#REF!</definedName>
    <definedName name="Product" hidden="1">#REF!</definedName>
    <definedName name="Profit" hidden="1">#REF!</definedName>
    <definedName name="proformrow" hidden="1">#REF!</definedName>
    <definedName name="Proj_Size">#REF!</definedName>
    <definedName name="projdepamort" hidden="1">#REF!</definedName>
    <definedName name="PROJECT">#REF!</definedName>
    <definedName name="Project_Address">#REF!</definedName>
    <definedName name="Project_CashFlow">#REF!</definedName>
    <definedName name="Project_City">#REF!</definedName>
    <definedName name="Project_Descr">#REF!</definedName>
    <definedName name="Project_Description">#REF!</definedName>
    <definedName name="Project_Name">#REF!</definedName>
    <definedName name="Project_Name_1">#REF!</definedName>
    <definedName name="Project_State">#REF!</definedName>
    <definedName name="Project_StName">#REF!</definedName>
    <definedName name="Project_StNo_1">#REF!</definedName>
    <definedName name="Project_StNo_2">#REF!</definedName>
    <definedName name="Project_ZipCode">#REF!</definedName>
    <definedName name="PROJECTION">#REF!</definedName>
    <definedName name="ProjectName">{"Client Name or Project Name"}</definedName>
    <definedName name="projepsstart" hidden="1">#REF!</definedName>
    <definedName name="projint" hidden="1">#REF!</definedName>
    <definedName name="projrev" hidden="1">#REF!</definedName>
    <definedName name="projtax" hidden="1">#REF!</definedName>
    <definedName name="PROM">#REF!</definedName>
    <definedName name="PROM2">#REF!</definedName>
    <definedName name="PROMOTE">#REF!</definedName>
    <definedName name="promote1">#REF!</definedName>
    <definedName name="promte" hidden="1">{"Assumptions",#N/A,FALSE,"Assumptions"}</definedName>
    <definedName name="Prop">#REF!</definedName>
    <definedName name="Prop_13">#REF!</definedName>
    <definedName name="Prop_Acq_Cost">#REF!</definedName>
    <definedName name="Property_Description">#REF!</definedName>
    <definedName name="property_name">#REF!</definedName>
    <definedName name="PropertyName">#REF!</definedName>
    <definedName name="propertytable">#REF!</definedName>
    <definedName name="propname">#REF!</definedName>
    <definedName name="proptable">#REF!</definedName>
    <definedName name="PropTax">#REF!</definedName>
    <definedName name="PropTypes">#REF!</definedName>
    <definedName name="proxy1" localSheetId="0" hidden="1">{"Full Sheet",#N/A,FALSE,"Expense Comparison"}</definedName>
    <definedName name="proxy1" hidden="1">{"Full Sheet",#N/A,FALSE,"Expense Comparison"}</definedName>
    <definedName name="proxy1_1" hidden="1">{"Full Sheet",#N/A,FALSE,"Expense Comparison"}</definedName>
    <definedName name="proxy1_2" hidden="1">{"Full Sheet",#N/A,FALSE,"Expense Comparison"}</definedName>
    <definedName name="proxy1_3" hidden="1">{"Full Sheet",#N/A,FALSE,"Expense Comparison"}</definedName>
    <definedName name="proxy1_4" hidden="1">{"Full Sheet",#N/A,FALSE,"Expense Comparison"}</definedName>
    <definedName name="proxy2" localSheetId="0" hidden="1">{#N/A,#N/A,FALSE,"Expense Comparison"}</definedName>
    <definedName name="proxy2" hidden="1">{#N/A,#N/A,FALSE,"Expense Comparison"}</definedName>
    <definedName name="proxy2_1" hidden="1">{#N/A,#N/A,FALSE,"Expense Comparison"}</definedName>
    <definedName name="proxy2_2" hidden="1">{#N/A,#N/A,FALSE,"Expense Comparison"}</definedName>
    <definedName name="proxy2_3" hidden="1">{#N/A,#N/A,FALSE,"Expense Comparison"}</definedName>
    <definedName name="proxy2_4" hidden="1">{#N/A,#N/A,FALSE,"Expense Comparison"}</definedName>
    <definedName name="proxy3" localSheetId="0" hidden="1">{"Full Sheet",#N/A,FALSE,"Expense Comparison"}</definedName>
    <definedName name="proxy3" hidden="1">{"Full Sheet",#N/A,FALSE,"Expense Comparison"}</definedName>
    <definedName name="proxy3_1" hidden="1">{"Full Sheet",#N/A,FALSE,"Expense Comparison"}</definedName>
    <definedName name="proxy3_2" hidden="1">{"Full Sheet",#N/A,FALSE,"Expense Comparison"}</definedName>
    <definedName name="proxy3_3" hidden="1">{"Full Sheet",#N/A,FALSE,"Expense Comparison"}</definedName>
    <definedName name="proxy3_4" hidden="1">{"Full Sheet",#N/A,FALSE,"Expense Comparison"}</definedName>
    <definedName name="proxy4" localSheetId="0" hidden="1">{#N/A,#N/A,FALSE,"Expense Comparison"}</definedName>
    <definedName name="proxy4" hidden="1">{#N/A,#N/A,FALSE,"Expense Comparison"}</definedName>
    <definedName name="proxy4_1" hidden="1">{#N/A,#N/A,FALSE,"Expense Comparison"}</definedName>
    <definedName name="proxy4_2" hidden="1">{#N/A,#N/A,FALSE,"Expense Comparison"}</definedName>
    <definedName name="proxy4_3" hidden="1">{#N/A,#N/A,FALSE,"Expense Comparison"}</definedName>
    <definedName name="proxy4_4" hidden="1">{#N/A,#N/A,FALSE,"Expense Comparison"}</definedName>
    <definedName name="PSALARYDET">#REF!</definedName>
    <definedName name="PSUMMARIES">#REF!</definedName>
    <definedName name="PUB_FileID" hidden="1">"L10004431.xls"</definedName>
    <definedName name="PUB_UserID" hidden="1">"MAYERX"</definedName>
    <definedName name="Purch_Price">#REF!</definedName>
    <definedName name="Purchase_Date">#REF!</definedName>
    <definedName name="PURCHASE_PRICE">#REF!</definedName>
    <definedName name="Purchaser_costs">#REF!</definedName>
    <definedName name="PYADM">#REF!</definedName>
    <definedName name="PYCON">#REF!</definedName>
    <definedName name="PYMKTG">#REF!</definedName>
    <definedName name="PYMR">#REF!</definedName>
    <definedName name="PYPERS">#REF!</definedName>
    <definedName name="PYRM">#REF!</definedName>
    <definedName name="PYUTIL">#REF!</definedName>
    <definedName name="q" hidden="1">{#N/A,#N/A,FALSE,"SPacific";#N/A,#N/A,FALSE,"Hanover";#N/A,#N/A,FALSE,"Fairbanks";#N/A,#N/A,FALSE,"Life Savings";#N/A,#N/A,FALSE,"Ocwen";#N/A,#N/A,FALSE,"EMACC";#N/A,#N/A,FALSE,"CREC";#N/A,#N/A,FALSE,"SPTL";#N/A,#N/A,FALSE,"Thornberg";#N/A,#N/A,FALSE,"Conti Res";#N/A,#N/A,FALSE,"Conti Com";#N/A,#N/A,FALSE,"EMAQ";#N/A,#N/A,FALSE,"Fair1"}</definedName>
    <definedName name="Q3ADM">#REF!</definedName>
    <definedName name="Q3CON">#REF!</definedName>
    <definedName name="Q3GASMASTER">#REF!</definedName>
    <definedName name="Q3GASRUB">#REF!</definedName>
    <definedName name="Q3GASVACANT">#REF!</definedName>
    <definedName name="Q3GREV">#REF!</definedName>
    <definedName name="Q3GROSSREV">#REF!</definedName>
    <definedName name="Q3MKTG">#REF!</definedName>
    <definedName name="Q3MR">#REF!</definedName>
    <definedName name="Q3OPEXPENSE">#REF!</definedName>
    <definedName name="Q3PERS">#REF!</definedName>
    <definedName name="Q3RM">#REF!</definedName>
    <definedName name="Q3SEWERMASTER">#REF!</definedName>
    <definedName name="Q3TRASHMASTER">#REF!</definedName>
    <definedName name="Q3TRRUB\">#REF!</definedName>
    <definedName name="Q3UTIL">#REF!</definedName>
    <definedName name="Q3WATERMASTER">#REF!</definedName>
    <definedName name="Q3WATERVACANT">#REF!</definedName>
    <definedName name="Q3WATRUB">#REF!</definedName>
    <definedName name="qa" hidden="1">{#N/A,#N/A,FALSE,"Chart 2 by Prop Type"}</definedName>
    <definedName name="QEWQEW" hidden="1">{#N/A,#N/A,FALSE,"1995 Rev &amp; Exp"}</definedName>
    <definedName name="qewrga" hidden="1">#REF!</definedName>
    <definedName name="QLGC" hidden="1">{"CHART",#N/A,FALSE,"Arch Communications"}</definedName>
    <definedName name="qq" localSheetId="0" hidden="1">{"SIMPLIFD_P1",#N/A,FALSE,"SIMPLIFD"}</definedName>
    <definedName name="qq" hidden="1">{"SIMPLIFD_P1",#N/A,FALSE,"SIMPLIFD"}</definedName>
    <definedName name="qq_1" hidden="1">{"SIMPLIFD_P1",#N/A,FALSE,"SIMPLIFD"}</definedName>
    <definedName name="qq_2" hidden="1">{"SIMPLIFD_P1",#N/A,FALSE,"SIMPLIFD"}</definedName>
    <definedName name="qq_3" hidden="1">{"SIMPLIFD_P1",#N/A,FALSE,"SIMPLIFD"}</definedName>
    <definedName name="qq_4" hidden="1">{"SIMPLIFD_P1",#N/A,FALSE,"SIMPLIFD"}</definedName>
    <definedName name="qqq" localSheetId="0" hidden="1">{"TEST1",#N/A,FALSE,"SIMPLIFD"}</definedName>
    <definedName name="qqq" hidden="1">{"TEST1",#N/A,FALSE,"SIMPLIFD"}</definedName>
    <definedName name="qqq_1" hidden="1">{"TEST1",#N/A,FALSE,"SIMPLIFD"}</definedName>
    <definedName name="qqq_2" hidden="1">{"TEST1",#N/A,FALSE,"SIMPLIFD"}</definedName>
    <definedName name="qqq_3" hidden="1">{"TEST1",#N/A,FALSE,"SIMPLIFD"}</definedName>
    <definedName name="qqq_4" hidden="1">{"TEST1",#N/A,FALSE,"SIMPLIFD"}</definedName>
    <definedName name="qqqq" hidden="1">{#N/A,#N/A,FALSE,"Chart 2 by Prop Type"}</definedName>
    <definedName name="qqqqq" hidden="1">#REF!</definedName>
    <definedName name="qqqqqqqqqqq" hidden="1">{#N/A,#N/A,FALSE,"Title";#N/A,#N/A,FALSE,"Summary";#N/A,#N/A,FALSE,"Tower V";#N/A,#N/A,FALSE,"Steeles Phase I";#N/A,#N/A,FALSE,"IBM - Bldg A";#N/A,#N/A,FALSE,"IBM - Bldg B";#N/A,#N/A,FALSE,"YVR Lands";#N/A,#N/A,FALSE,"Delf Project";#N/A,#N/A,FALSE,"Maycrest";#N/A,#N/A,FALSE,"Guildford Bldg 1";#N/A,#N/A,FALSE,"Guildford Bldg 2";#N/A,#N/A,FALSE,"Guildford Bldg 3";#N/A,#N/A,FALSE,"Summit Ridge";#N/A,#N/A,FALSE,"Millennium G";#N/A,#N/A,FALSE,"Virginia Phase I (CB)";#N/A,#N/A,FALSE,"Ballard";#N/A,#N/A,FALSE,"Westlake"}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SDQS" hidden="1">#REF!</definedName>
    <definedName name="qselReportLeasingByBuilding">#REF!</definedName>
    <definedName name="QTR">#REF!</definedName>
    <definedName name="qtrs_year">#REF!</definedName>
    <definedName name="Quarterly" hidden="1">{"Annual",#N/A,FALSE,"Sales &amp; Market";"Quarterly",#N/A,FALSE,"Sales &amp; Market"}</definedName>
    <definedName name="Quarterly1" hidden="1">{"Annual",#N/A,FALSE,"Sales &amp; Market";"Quarterly",#N/A,FALSE,"Sales &amp; Market"}</definedName>
    <definedName name="qw" hidden="1">{#N/A,#N/A,FALSE,"Chart 2 by Prop Type"}</definedName>
    <definedName name="QWE" hidden="1">{#N/A,#N/A,FALSE,"APPRAISAL";#N/A,#N/A,FALSE,"APPRAISAL 2";#N/A,#N/A,FALSE,"APPRAISAL 3"}</definedName>
    <definedName name="qwer" hidden="1">{"Estimated Proforma",#N/A,TRUE,"Prelim. Proforma";"Sales and Marketing Budget",#N/A,TRUE,"S&amp;M Budget";"Summary Cash Flow Grid",#N/A,TRUE,"Cash Flow Grid";"Detail Project Cash Flow",#N/A,TRUE,"Cash Flow Grid";"Financing Calculation",#N/A,TRUE,"Cash Flow Grid";"Cash Flow Graph",#N/A,TRUE,"Cash Flow Graphic";"Final Proforma",#N/A,TRUE,"Final Proforma"}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qws" hidden="1">{#N/A,#N/A,FALSE,"Chart 2 by Prop Type"}</definedName>
    <definedName name="r.CashFlow" hidden="1">#REF!</definedName>
    <definedName name="r.Leverage" hidden="1">#REF!</definedName>
    <definedName name="r.Liquidity" hidden="1">#REF!</definedName>
    <definedName name="r.LTM" hidden="1">#REF!</definedName>
    <definedName name="r.LTMInterim" hidden="1">#REF!</definedName>
    <definedName name="r.Market" hidden="1">#REF!</definedName>
    <definedName name="r.Profitability" hidden="1">#REF!</definedName>
    <definedName name="R.SMBC" hidden="1">{"Analysis of Non Group Investments",#N/A,TRUE,"Support";"Income And Gains",#N/A,TRUE,"Support";"Inter Coy Interest and Divs",#N/A,TRUE,"Support";"Divs paid and payable",#N/A,TRUE,"Support";"Amounts due to Group Coys",#N/A,TRUE,"Support";"Amounts due from Group Coys.",#N/A,TRUE,"Support";"Holdings In Group Coys",#N/A,TRUE,"Support";"Cash Flow",#N/A,TRUE,"Support";"Staff Nos.",#N/A,TRUE,"Support"}</definedName>
    <definedName name="r.Summary" hidden="1">#REF!</definedName>
    <definedName name="RAAAAA" hidden="1">{"CHART",#N/A,FALSE,"Arch Communications"}</definedName>
    <definedName name="radg" hidden="1">{"FCB_ALL",#N/A,FALSE,"FCB";"GREY_ALL",#N/A,FALSE,"GREY"}</definedName>
    <definedName name="Radnor" localSheetId="0" hidden="1">binary</definedName>
    <definedName name="Radnor" localSheetId="1" hidden="1">binary</definedName>
    <definedName name="Radnor" hidden="1">binary</definedName>
    <definedName name="RANGE">#N/A</definedName>
    <definedName name="Range_Control">#REF!</definedName>
    <definedName name="Rangecount">#REF!</definedName>
    <definedName name="RATES">#REF!</definedName>
    <definedName name="Rating" hidden="1">{"Assumptions",#N/A,FALSE,"input page";"1998",#N/A,FALSE,"1998";"1999",#N/A,FALSE,"1999";"2000",#N/A,FALSE,"2000";"2001",#N/A,FALSE,"2001"}</definedName>
    <definedName name="RBC" hidden="1">{#N/A,#N/A,FALSE,"ATW";#N/A,#N/A,FALSE,"DO";#N/A,#N/A,FALSE,"ESV";#N/A,#N/A,FALSE,"GLM";#N/A,#N/A,FALSE,"MRL";#N/A,#N/A,FALSE,"NE";#N/A,#N/A,FALSE,"PDE";#N/A,#N/A,FALSE,"FLC";#N/A,#N/A,FALSE,"RDC";#N/A,#N/A,FALSE,"SDC";#N/A,#N/A,FALSE,"RIG"}</definedName>
    <definedName name="RCArea" hidden="1">#REF!</definedName>
    <definedName name="RCIII" hidden="1">{"ba1",#N/A,TRUE,"B-A";"ba2",#N/A,TRUE,"B-A"}</definedName>
    <definedName name="RCT">#REF!</definedName>
    <definedName name="re" hidden="1">#REF!</definedName>
    <definedName name="Recycling">#REF!</definedName>
    <definedName name="RedefinePrintTableRange" hidden="1">#N/A</definedName>
    <definedName name="redo" hidden="1">{#N/A,#N/A,FALSE,"ACQ_GRAPHS";#N/A,#N/A,FALSE,"T_1 GRAPHS";#N/A,#N/A,FALSE,"T_2 GRAPHS";#N/A,#N/A,FALSE,"COMB_GRAPHS"}</definedName>
    <definedName name="REFI">#REF!</definedName>
    <definedName name="REFIcost">#REF!</definedName>
    <definedName name="refiPAYMENTtable">#REF!</definedName>
    <definedName name="RegionList" hidden="1">#REF!</definedName>
    <definedName name="regmult" hidden="1">#REF!</definedName>
    <definedName name="Regression" hidden="1">#REF!</definedName>
    <definedName name="RegY" hidden="1">#REF!</definedName>
    <definedName name="Rehab101">#REF!</definedName>
    <definedName name="Rehab102">#REF!</definedName>
    <definedName name="Rehab103">#REF!</definedName>
    <definedName name="Rehab104">#REF!</definedName>
    <definedName name="Rehab105">#REF!</definedName>
    <definedName name="Rehab106">#REF!</definedName>
    <definedName name="Rehab107">#REF!</definedName>
    <definedName name="Rehab108">#REF!</definedName>
    <definedName name="Rehab109">#REF!</definedName>
    <definedName name="Rehab110">#REF!</definedName>
    <definedName name="Rehab111">#REF!</definedName>
    <definedName name="Rehab112">#REF!</definedName>
    <definedName name="Rehab201">#REF!</definedName>
    <definedName name="Rehab202">#REF!</definedName>
    <definedName name="Rehab203">#REF!</definedName>
    <definedName name="Rehab204">#REF!</definedName>
    <definedName name="Rehab205">#REF!</definedName>
    <definedName name="Rehab206">#REF!</definedName>
    <definedName name="Rehab207">#REF!</definedName>
    <definedName name="Rehab208">#REF!</definedName>
    <definedName name="Rehab209">#REF!</definedName>
    <definedName name="Rehab210">#REF!</definedName>
    <definedName name="Rehab211">#REF!</definedName>
    <definedName name="Rehab212">#REF!</definedName>
    <definedName name="Reim" hidden="1">{#N/A,#N/A,FALSE,"SUMMARY 4a";#N/A,#N/A,FALSE,"GBA 4b";#N/A,#N/A,FALSE,"TENANT 4c";#N/A,#N/A,FALSE,"BUDGET DETAIL";#N/A,#N/A,FALSE,"PRO FORMA"}</definedName>
    <definedName name="rel" hidden="1">#REF!</definedName>
    <definedName name="rem" hidden="1">{"Assumptions",#N/A,FALSE,"input page";"1998",#N/A,FALSE,"1998";"1999",#N/A,FALSE,"1999";"2000",#N/A,FALSE,"2000";"2001",#N/A,FALSE,"2001"}</definedName>
    <definedName name="Remim" hidden="1">{#N/A,#N/A,FALSE,"Leasing 6A"}</definedName>
    <definedName name="remit_address">#REF!</definedName>
    <definedName name="ren" hidden="1">{"rec. of 310",#N/A,FALSE,"Resanal"}</definedName>
    <definedName name="RENT_DEL">#REF!</definedName>
    <definedName name="Rent_Raised">#REF!</definedName>
    <definedName name="RENT_ROLL">#REF!</definedName>
    <definedName name="Rent_Roll_Hdr">#REF!</definedName>
    <definedName name="RENT601" hidden="1">#REF!</definedName>
    <definedName name="RentalStartMonth">#REF!</definedName>
    <definedName name="RENTDATA">#REF!</definedName>
    <definedName name="RentInc01">#REF!</definedName>
    <definedName name="RentInc02">#REF!</definedName>
    <definedName name="RentInc03">#REF!</definedName>
    <definedName name="RentInc04">#REF!</definedName>
    <definedName name="RentInc05">#REF!</definedName>
    <definedName name="RentInc06">#REF!</definedName>
    <definedName name="RentInc07">#REF!</definedName>
    <definedName name="RentInc08">#REF!</definedName>
    <definedName name="RentInc09">#REF!</definedName>
    <definedName name="RentInc10">#REF!</definedName>
    <definedName name="RentInc11">#REF!</definedName>
    <definedName name="RentInc12">#REF!</definedName>
    <definedName name="RentInc13">#REF!</definedName>
    <definedName name="RentInc14">#REF!</definedName>
    <definedName name="RentInc15">#REF!</definedName>
    <definedName name="RentInc16">#REF!</definedName>
    <definedName name="RentInc17">#REF!</definedName>
    <definedName name="RentInc18">#REF!</definedName>
    <definedName name="RentInc19">#REF!</definedName>
    <definedName name="RentInc20">#REF!</definedName>
    <definedName name="RentInc21">#REF!</definedName>
    <definedName name="RentInc22">#REF!</definedName>
    <definedName name="Rentindex">#REF!</definedName>
    <definedName name="RENTPSF">#REF!</definedName>
    <definedName name="RentRoll">#REF!</definedName>
    <definedName name="report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_Tab.City">#REF!</definedName>
    <definedName name="Report_Tab.GenAdmin">#REF!</definedName>
    <definedName name="Report_Tab.GrossPotentialRents">#REF!</definedName>
    <definedName name="Report_Tab.Insurance">#REF!</definedName>
    <definedName name="Report_Tab.Maintenance">#REF!</definedName>
    <definedName name="Report_Tab.ManagementFee">#REF!</definedName>
    <definedName name="Report_Tab.Marketing">#REF!</definedName>
    <definedName name="Report_Tab.NCF">#REF!</definedName>
    <definedName name="Report_Tab.NetRentalIncome">#REF!</definedName>
    <definedName name="Report_Tab.NOI">#REF!</definedName>
    <definedName name="Report_Tab.OccupancyPct">#REF!</definedName>
    <definedName name="Report_Tab.OtherIncome">#REF!</definedName>
    <definedName name="Report_Tab.Payroll">#REF!</definedName>
    <definedName name="Report_Tab.Property_Name">#REF!</definedName>
    <definedName name="Report_Tab.ReplacementReserves">#REF!</definedName>
    <definedName name="Report_Tab.ReportData">#REF!</definedName>
    <definedName name="Report_Tab.ReportHeadersAndData">#REF!</definedName>
    <definedName name="Report_Tab.State">#REF!</definedName>
    <definedName name="Report_Tab.Taxes">#REF!</definedName>
    <definedName name="Report_Tab.Units">#REF!</definedName>
    <definedName name="Report_Tab.Utilities">#REF!</definedName>
    <definedName name="Report_Tab.WaterSewer">#REF!</definedName>
    <definedName name="Report_Version_4">"A1"</definedName>
    <definedName name="report1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Group" hidden="1">0</definedName>
    <definedName name="Reserved">#REF!</definedName>
    <definedName name="Residents">#REF!</definedName>
    <definedName name="Residu" hidden="1">{#N/A,#N/A,TRUE,"Summary";"AnnualRentRoll",#N/A,TRUE,"RentRoll";#N/A,#N/A,TRUE,"ExitStratigy";#N/A,#N/A,TRUE,"OperatingAssumptions"}</definedName>
    <definedName name="ResidualCFPercent">#REF!</definedName>
    <definedName name="ResidualPSF">#REF!</definedName>
    <definedName name="resort" hidden="1">{"Output-3Column",#N/A,FALSE,"Output"}</definedName>
    <definedName name="RESTART">#REF!</definedName>
    <definedName name="RESULTS">#REF!</definedName>
    <definedName name="RESULTS02">#REF!</definedName>
    <definedName name="RET_SF">#REF!</definedName>
    <definedName name="retail" hidden="1">#REF!</definedName>
    <definedName name="retewr" hidden="1">#REF!</definedName>
    <definedName name="retha" hidden="1">#REF!</definedName>
    <definedName name="retl" hidden="1">#REF!</definedName>
    <definedName name="REV_1">#REF!</definedName>
    <definedName name="REV_2">#REF!</definedName>
    <definedName name="REV_3">#REF!</definedName>
    <definedName name="REV_NOI">#REF!</definedName>
    <definedName name="REV_NOI_3">#REF!</definedName>
    <definedName name="Revenue_Category_1">#REF!</definedName>
    <definedName name="Revenue_Category_2">#REF!</definedName>
    <definedName name="Revenue_Category_3">#REF!</definedName>
    <definedName name="Revenue_Category_4">#REF!</definedName>
    <definedName name="Revenue_Category_5">#REF!</definedName>
    <definedName name="Revenue_Category_6">#REF!</definedName>
    <definedName name="Revenue_Category_7">#REF!</definedName>
    <definedName name="Revenue_Category_8">#REF!</definedName>
    <definedName name="Revenue_Dummy_Data" hidden="1">OFFSET(#REF!,0,0,COUNTA(#REF!)-1,1)</definedName>
    <definedName name="revenues">#REF!</definedName>
    <definedName name="reversion">#REF!</definedName>
    <definedName name="rez" hidden="1">{#N/A,#N/A,FALSE,"Sheet39";#N/A,#N/A,FALSE,"Sheet40";#N/A,#N/A,FALSE,"Sheet38";#N/A,#N/A,FALSE,"Sheet37";#N/A,#N/A,FALSE,"Sheet31";#N/A,#N/A,FALSE,"Sheet36";#N/A,#N/A,FALSE,"Sheet35";#N/A,#N/A,FALSE,"Sheet34";#N/A,#N/A,FALSE,"Sheet33";#N/A,#N/A,FALSE,"Sheet32";#N/A,#N/A,FALSE,"Sheet31";#N/A,#N/A,FALSE,"Sheet29";#N/A,#N/A,FALSE,"Sheet30";#N/A,#N/A,FALSE,"Sheet28";#N/A,#N/A,FALSE,"Sheet27";#N/A,#N/A,FALSE,"Sheet26";#N/A,#N/A,FALSE,"Sheet25";#N/A,#N/A,FALSE,"Sheet20";#N/A,#N/A,FALSE,"Sheet19";#N/A,#N/A,FALSE,"Sheet18";#N/A,#N/A,FALSE,"Sheet17";#N/A,#N/A,FALSE,"Sheet16";#N/A,#N/A,FALSE,"Sheet15";#N/A,#N/A,FALSE,"Sheet14";#N/A,#N/A,FALSE,"Sheet13";#N/A,#N/A,FALSE,"Sheet12";#N/A,#N/A,FALSE,"Sheet11";#N/A,#N/A,FALSE,"Sheet8";#N/A,#N/A,FALSE,"Sheet7";#N/A,#N/A,FALSE,"Sheet6";#N/A,#N/A,FALSE,"Sheet5";#N/A,#N/A,FALSE,"Sheet4";#N/A,#N/A,FALSE,"Sheet3";#N/A,#N/A,FALSE,"Sheet2";#N/A,#N/A,FALSE,"Sheet1"}</definedName>
    <definedName name="reza" hidden="1">{#N/A,#N/A,FALSE,"BALLY COSTS";#N/A,#N/A,FALSE,"FF&amp;E";#N/A,#N/A,FALSE,"FEES";#N/A,#N/A,FALSE,"CONTINGENCY";#N/A,#N/A,FALSE,"SOFT COSTS";#N/A,#N/A,FALSE,"DETAIL";#N/A,#N/A,FALSE,"sum12-3"}</definedName>
    <definedName name="rezab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REZTEZRT" hidden="1">#REF!</definedName>
    <definedName name="rgdhgsrt" hidden="1">{"Assump",#N/A,TRUE,"Proforma";"first",#N/A,TRUE,"Proforma";"second",#N/A,TRUE,"Proforma";"lease1",#N/A,TRUE,"Proforma";"lease2",#N/A,TRUE,"Proforma"}</definedName>
    <definedName name="rgdr" hidden="1">#REF!</definedName>
    <definedName name="rgerg" hidden="1">{"Investor",#N/A,FALSE,"Model";"Property",#N/A,FALSE,"Model";"Incentive Taxes",#N/A,FALSE,"Model"}</definedName>
    <definedName name="rget" hidden="1">{0,0,0,0}</definedName>
    <definedName name="rgr" hidden="1">{"ReportTop",#N/A,FALSE,"report top"}</definedName>
    <definedName name="right" hidden="1">{"CHART",#N/A,FALSE,"Arch Communications"}</definedName>
    <definedName name="RiskAfterRecalcMacro" hidden="1">""</definedName>
    <definedName name="RiskAfterSimMacro" hidden="1">""</definedName>
    <definedName name="riskATSTbaselineRequested">TRUE</definedName>
    <definedName name="riskATSTboxGraph">TRUE</definedName>
    <definedName name="riskATSTcomparisonGraph">TRUE</definedName>
    <definedName name="riskATSThistogramGraph">FALSE</definedName>
    <definedName name="riskATSToutputStatistic">4</definedName>
    <definedName name="riskATSTprintReport">FALSE</definedName>
    <definedName name="riskATSTreportsInActiveBook">FALSE</definedName>
    <definedName name="riskATSTreportsSelected">TRUE</definedName>
    <definedName name="riskATSTsequentialStress">TRUE</definedName>
    <definedName name="riskATSTsummaryReport">TRUE</definedName>
    <definedName name="RiskAutoStopPercChange">1.5</definedName>
    <definedName name="RiskBeforeRecalcMacro" hidden="1">""</definedName>
    <definedName name="RiskBeforeSimMacro" hidden="1">""</definedName>
    <definedName name="RiskCollectDistributionSamples">2</definedName>
    <definedName name="RiskExcelReportsGoInNewWorkbook">TRUE</definedName>
    <definedName name="RiskExcelReportsToGenerate">6145</definedName>
    <definedName name="RiskFixedSeed">1</definedName>
    <definedName name="RiskGenerateExcelReportsAtEndOfSimulation">FALSE</definedName>
    <definedName name="RiskHasSettings">TRUE</definedName>
    <definedName name="RiskMinimizeOnStart">FALSE</definedName>
    <definedName name="RiskMonitorConvergence">FALSE</definedName>
    <definedName name="RiskMultipleCPUSupportEnabled" hidden="1">TRUE</definedName>
    <definedName name="RiskNumIterations">5000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1</definedName>
    <definedName name="RiskTemplateSheetName">"myTemplate"</definedName>
    <definedName name="RiskUpdateDisplay">FALSE</definedName>
    <definedName name="RiskUseDifferentSeedForEachSim">FALSE</definedName>
    <definedName name="RiskUseFixedSeed">FALSE</definedName>
    <definedName name="RiskUseMultipleCPUs">FALSE</definedName>
    <definedName name="Riverway" hidden="1">{"Table of Contents",#N/A,FALSE,"Table of Contents";"Assumptions Checklist",#N/A,FALSE,"Projected Acq_Dis";"Yearly Assumptions",#N/A,FALSE,"Other Assumptions";"Annual Summary",#N/A,FALSE,"Summary";"1999 by Quarter Summary",#N/A,FALSE,"Summary";"2000 by Quarter Summary",#N/A,FALSE,"Summary";"Contribution to FFO",#N/A,FALSE,"CONT SUMMARY";"Contribution to FFO-Acq. &amp; Disp.",#N/A,FALSE,"CONT SUMMARY";"Contribution to FFO-Developments",#N/A,FALSE,"CONT SUMMARY";"Pivot Table Pro-Forma",#N/A,FALSE,"Pivot Table Proforma";"Pivot Table-Dispositions",#N/A,FALSE,"Pivot Table Dispositions";"Development Cash Flows",#N/A,FALSE,"Development Cash Flows";"Income from JVs",#N/A,FALSE,"Income from JV's";"Fee Income",#N/A,FALSE,"Fees noncombined affiliates";"Interest Income",#N/A,FALSE,"Interest Income";"Unsecured Debentures",#N/A,FALSE,"Unsecured Debentures";"secured interest",#N/A,FALSE,"Secured Existing Interest Pivot";"Extended Secured Debt",#N/A,FALSE,"Extended Secured Debt";"Capitalized Interest",#N/A,FALSE,"Capitalized Interest";"Secured Existing Debt",#N/A,FALSE,"Secured Existing Debt";"Secured Debt-Refinanced",#N/A,FALSE,"Secured Debt Refinanced";"principal payments",#N/A,FALSE,"Secured PrincPay Pivot";"Covenant Ratios",#N/A,FALSE,"Covenant Ratios";"Covenant Calculation",#N/A,FALSE,"Covenant Calculations";"Margins",#N/A,FALSE,"Margins";"GAAP to TAX",#N/A,FALSE,"GAAP to TAX";"Net Free CF-Paydown",#N/A,FALSE,"Net Free CF Revolver Paydown";"CAPX",#N/A,FALSE,"CAP X";"Balance Sheet",#N/A,FALSE,"Balance Sheet";"BSA99",#N/A,FALSE,"Balance Sheet Analysis";"BSA2000",#N/A,FALSE,"Balance Sheet Analysis";"BSA2001",#N/A,FALSE,"Balance Sheet Analysis";"Unencumbered Portfolio",#N/A,FALSE,"Unencumbered Portfolio "}</definedName>
    <definedName name="RLAINPUT_DebtLoan1CapEx" hidden="1">#REF!</definedName>
    <definedName name="RLAINPUT_DebtLoan1Funding" hidden="1">#REF!,#REF!,#REF!</definedName>
    <definedName name="RLAINPUT_DebtLoan1Gen1" hidden="1">#REF!</definedName>
    <definedName name="RLAINPUT_DebtLoan1Gen2" hidden="1">#REF!</definedName>
    <definedName name="RLAINPUT_DebtLoan1Payment" hidden="1">#REF!</definedName>
    <definedName name="RLAINPUT_DebtLoan2CapEx" hidden="1">#REF!</definedName>
    <definedName name="RLAINPUT_DebtLoan2Funding" hidden="1">#REF!,#REF!,#REF!</definedName>
    <definedName name="RLAINPUT_DebtLoan2Gen1" hidden="1">#REF!</definedName>
    <definedName name="RLAINPUT_DebtLoan2Gen2" hidden="1">#REF!</definedName>
    <definedName name="RLAINPUT_DebtLoan2Payment" hidden="1">#REF!</definedName>
    <definedName name="RLAINPUT_DebtLoan3CapEx" hidden="1">#REF!</definedName>
    <definedName name="RLAINPUT_DebtLoan3Funding" hidden="1">#REF!,#REF!,#REF!</definedName>
    <definedName name="RLAINPUT_DebtLoan3Gen1" hidden="1">#REF!</definedName>
    <definedName name="RLAINPUT_DebtLoan3Gen2" hidden="1">#REF!</definedName>
    <definedName name="RLAINPUT_DebtLoan3Payment" hidden="1">#REF!</definedName>
    <definedName name="RLAINPUT_DebtRateIndex" hidden="1">#REF!</definedName>
    <definedName name="RLAINPUT_EquityCatchUp1" hidden="1">#REF!,#REF!</definedName>
    <definedName name="RLAINPUT_EquityCatchUp2" hidden="1">#REF!,#REF!</definedName>
    <definedName name="RLAINPUT_EquityCatchUp3" hidden="1">#REF!,#REF!</definedName>
    <definedName name="RLAINPUT_EquityInputs" hidden="1">#REF!,#REF!,#REF!</definedName>
    <definedName name="RLAINPUT_EquityPartnerNames" hidden="1">#REF!,#REF!</definedName>
    <definedName name="RLAINPUT_EquityPercent" hidden="1">#REF!</definedName>
    <definedName name="RLAINPUT_EquityRemainder" hidden="1">#REF!,#REF!</definedName>
    <definedName name="RLAINPUT_EquityTier1" hidden="1">#REF!,#REF!</definedName>
    <definedName name="RLAINPUT_EquityTier2" hidden="1">#REF!,#REF!,#REF!</definedName>
    <definedName name="RLAINPUT_EquityTier3" hidden="1">#REF!,#REF!,#REF!</definedName>
    <definedName name="RLAINPUT_InPlaceRecovery" hidden="1">#REF!</definedName>
    <definedName name="RLAINPUT_Loan3Refi" hidden="1">#REF!,#REF!,#REF!</definedName>
    <definedName name="RLAINPUT_PortfolioInputs" hidden="1">#REF!</definedName>
    <definedName name="RLAINPUT_PortfolioPropertyInputs" hidden="1">#REF!</definedName>
    <definedName name="RM_Corrected?">TRUE</definedName>
    <definedName name="rngCommunity">#REF!</definedName>
    <definedName name="Rnt_Lse">#REF!</definedName>
    <definedName name="Rnt_Mkt">#REF!</definedName>
    <definedName name="Rnt_Unit_Mo">#REF!</definedName>
    <definedName name="Rnt_Var">#REF!</definedName>
    <definedName name="Rock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ockwell" hidden="1">{"LBO Summary",#N/A,FALSE,"Summary"}</definedName>
    <definedName name="Rollfile">#REF!</definedName>
    <definedName name="rollingEQUITYvalue">#REF!</definedName>
    <definedName name="RollingNPV">#REF!</definedName>
    <definedName name="Rooms">#REF!</definedName>
    <definedName name="RootDir">#REF!</definedName>
    <definedName name="ROWS">#REF!</definedName>
    <definedName name="rozp" hidden="1">{#N/A,#N/A,TRUE,"Krycí list"}</definedName>
    <definedName name="rozpp" hidden="1">{#N/A,#N/A,TRUE,"Krycí list"}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_Date">#REF!</definedName>
    <definedName name="rrg" hidden="1">#REF!</definedName>
    <definedName name="RRoll_Data">#REF!</definedName>
    <definedName name="RRoll_Vac_Calc">#REF!</definedName>
    <definedName name="RRoll_Vac_Data">#REF!</definedName>
    <definedName name="rrr" hidden="1">{#N/A,#N/A,FALSE,"ExecutiveSummary";#N/A,#N/A,FALSE,"CostDetail";#N/A,#N/A,FALSE,"IncomeDetail"}</definedName>
    <definedName name="rrrr" hidden="1">#N/A</definedName>
    <definedName name="rs" hidden="1">{"FCB_ALL",#N/A,FALSE,"FCB"}</definedName>
    <definedName name="rse" hidden="1">{"FCB_ALL",#N/A,FALSE,"FCB"}</definedName>
    <definedName name="RSF">#REF!</definedName>
    <definedName name="rt" hidden="1">#REF!</definedName>
    <definedName name="rtartg" hidden="1">#REF!</definedName>
    <definedName name="rtha" hidden="1">#REF!</definedName>
    <definedName name="rther" hidden="1">{"Investor",#N/A,FALSE,"Model";"Property",#N/A,FALSE,"Model";"Incentive Taxes",#N/A,FALSE,"Model"}</definedName>
    <definedName name="rthsrth" hidden="1">#REF!</definedName>
    <definedName name="rtl" hidden="1">#REF!</definedName>
    <definedName name="rtxfdgth" hidden="1">#REF!</definedName>
    <definedName name="rtyr" hidden="1">{"sheet a",#N/A,FALSE,"A";"sheet b 1",#N/A,FALSE,"B";"sheet b 2",#N/A,FALSE,"B"}</definedName>
    <definedName name="RUT">#REF!</definedName>
    <definedName name="RW_INFO_1">#REF!</definedName>
    <definedName name="rwe" hidden="1">{"Grant",#N/A,FALSE,"Grant";"GP Developer",#N/A,FALSE,"GP &amp; Dev Loans";"Operating Analysis",#N/A,FALSE,"Operations";"Tax Credit",#N/A,FALSE,"Tax Credits";"Tax Credit Analysis",#N/A,FALSE,"TC Analysis"}</definedName>
    <definedName name="Rwvu._Current_." hidden="1">#REF!</definedName>
    <definedName name="Rwvu.ALL." hidden="1">#REF!,#REF!</definedName>
    <definedName name="Rwvu.CAM._.RATES." hidden="1">#REF!,#REF!,#REF!</definedName>
    <definedName name="Rwvu.CAM._.RECOVERIES." hidden="1">#REF!,#REF!,#REF!</definedName>
    <definedName name="Rwvu.CAM._.RECOVERY." hidden="1">#REF!,#REF!,#REF!</definedName>
    <definedName name="Rwvu.CAM._.TABLE." hidden="1">#REF!,#REF!,#REF!</definedName>
    <definedName name="Rwvu.FRP_backlog2." hidden="1">#REF!</definedName>
    <definedName name="Rwvu.INSURANCE._.RECOVERIES." hidden="1">#REF!,#REF!,#REF!,#REF!</definedName>
    <definedName name="Rwvu.LSMEET." hidden="1">#REF!,#REF!,#REF!,#REF!</definedName>
    <definedName name="Rwvu.MARKETING._.REVENUE." hidden="1">#REF!,#REF!,#REF!</definedName>
    <definedName name="Rwvu.MINIMUM._.RENT." hidden="1">#REF!,#REF!</definedName>
    <definedName name="Rwvu.OCCUPANCY." hidden="1">#REF!,#REF!,#REF!</definedName>
    <definedName name="Rwvu.OCCUPANCY._.ANALYSIS." hidden="1">#REF!,#REF!,#REF!</definedName>
    <definedName name="Rwvu.Overhead._.detail." hidden="1">#REF!,#REF!</definedName>
    <definedName name="Rwvu.PERCENTAGE._.RENT." hidden="1">#REF!,#REF!,#REF!</definedName>
    <definedName name="Rwvu.Profit._.report._.detailed." hidden="1">#REF!,#REF!</definedName>
    <definedName name="Rwvu.Sommaire." hidden="1">#REF!,#REF!,#REF!,#REF!,#REF!</definedName>
    <definedName name="Rwvu.TAX._.RATES." hidden="1">#REF!,#REF!,#REF!</definedName>
    <definedName name="Rwvu.TAX._.RECOVERIES." hidden="1">#REF!,#REF!,#REF!,#REF!</definedName>
    <definedName name="Rwvu.TAX._.RECOVERY." hidden="1">#REF!,#REF!,#REF!</definedName>
    <definedName name="Rwvu.WAT." hidden="1">#REF!</definedName>
    <definedName name="ryui" hidden="1">{0,#N/A,FALSE,0}</definedName>
    <definedName name="s" hidden="1">#REF!</definedName>
    <definedName name="s_old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sa" hidden="1">{"cap_structure",#N/A,FALSE,"Graph-Mkt Cap";"price",#N/A,FALSE,"Graph-Price";"ebit",#N/A,FALSE,"Graph-EBITDA";"ebitda",#N/A,FALSE,"Graph-EBITDA"}</definedName>
    <definedName name="saa" localSheetId="0" hidden="1">{"rtn",#N/A,FALSE,"RTN";"tables",#N/A,FALSE,"RTN";"cf",#N/A,FALSE,"CF";"stats",#N/A,FALSE,"Stats";"prop",#N/A,FALSE,"Prop"}</definedName>
    <definedName name="saa" hidden="1">{"rtn",#N/A,FALSE,"RTN";"tables",#N/A,FALSE,"RTN";"cf",#N/A,FALSE,"CF";"stats",#N/A,FALSE,"Stats";"prop",#N/A,FALSE,"Prop"}</definedName>
    <definedName name="saa_1" hidden="1">{"rtn",#N/A,FALSE,"RTN";"tables",#N/A,FALSE,"RTN";"cf",#N/A,FALSE,"CF";"stats",#N/A,FALSE,"Stats";"prop",#N/A,FALSE,"Prop"}</definedName>
    <definedName name="saa_2" hidden="1">{"rtn",#N/A,FALSE,"RTN";"tables",#N/A,FALSE,"RTN";"cf",#N/A,FALSE,"CF";"stats",#N/A,FALSE,"Stats";"prop",#N/A,FALSE,"Prop"}</definedName>
    <definedName name="saa_3" hidden="1">{"rtn",#N/A,FALSE,"RTN";"tables",#N/A,FALSE,"RTN";"cf",#N/A,FALSE,"CF";"stats",#N/A,FALSE,"Stats";"prop",#N/A,FALSE,"Prop"}</definedName>
    <definedName name="saa_4" hidden="1">{"rtn",#N/A,FALSE,"RTN";"tables",#N/A,FALSE,"RTN";"cf",#N/A,FALSE,"CF";"stats",#N/A,FALSE,"Stats";"prop",#N/A,FALSE,"Prop"}</definedName>
    <definedName name="sadasd" hidden="1">#REF!</definedName>
    <definedName name="sadd" localSheetId="0" hidden="1">{"MonthlyRentRoll",#N/A,FALSE,"RentRoll"}</definedName>
    <definedName name="sadd" hidden="1">{"MonthlyRentRoll",#N/A,FALSE,"RentRoll"}</definedName>
    <definedName name="sadd_1" hidden="1">{"MonthlyRentRoll",#N/A,FALSE,"RentRoll"}</definedName>
    <definedName name="sadd_2" hidden="1">{"MonthlyRentRoll",#N/A,FALSE,"RentRoll"}</definedName>
    <definedName name="sadd_3" hidden="1">{"MonthlyRentRoll",#N/A,FALSE,"RentRoll"}</definedName>
    <definedName name="sadd_4" hidden="1">{"MonthlyRentRoll",#N/A,FALSE,"RentRoll"}</definedName>
    <definedName name="sadd1" hidden="1">{"MonthlyRentRoll",#N/A,FALSE,"RentRoll"}</definedName>
    <definedName name="sadd2" localSheetId="0" hidden="1">{"MonthlyRentRoll",#N/A,FALSE,"RentRoll"}</definedName>
    <definedName name="sadd2" hidden="1">{"MonthlyRentRoll",#N/A,FALSE,"RentRoll"}</definedName>
    <definedName name="sadd2_1" hidden="1">{"MonthlyRentRoll",#N/A,FALSE,"RentRoll"}</definedName>
    <definedName name="sadd2_2" hidden="1">{"MonthlyRentRoll",#N/A,FALSE,"RentRoll"}</definedName>
    <definedName name="sadd2_3" hidden="1">{"MonthlyRentRoll",#N/A,FALSE,"RentRoll"}</definedName>
    <definedName name="sadd2_4" hidden="1">{"MonthlyRentRoll",#N/A,FALSE,"RentRoll"}</definedName>
    <definedName name="sadd22" hidden="1">{"MonthlyRentRoll",#N/A,FALSE,"RentRoll"}</definedName>
    <definedName name="saddd" localSheetId="0" hidden="1">{"AnnualRentRoll",#N/A,FALSE,"RentRoll"}</definedName>
    <definedName name="saddd" hidden="1">{"AnnualRentRoll",#N/A,FALSE,"RentRoll"}</definedName>
    <definedName name="saddd_1" hidden="1">{"AnnualRentRoll",#N/A,FALSE,"RentRoll"}</definedName>
    <definedName name="saddd_2" hidden="1">{"AnnualRentRoll",#N/A,FALSE,"RentRoll"}</definedName>
    <definedName name="saddd_3" hidden="1">{"AnnualRentRoll",#N/A,FALSE,"RentRoll"}</definedName>
    <definedName name="saddd_4" hidden="1">{"AnnualRentRoll",#N/A,FALSE,"RentRoll"}</definedName>
    <definedName name="saddd2" localSheetId="0" hidden="1">{"AnnualRentRoll",#N/A,FALSE,"RentRoll"}</definedName>
    <definedName name="saddd2" hidden="1">{"AnnualRentRoll",#N/A,FALSE,"RentRoll"}</definedName>
    <definedName name="saddd2_1" hidden="1">{"AnnualRentRoll",#N/A,FALSE,"RentRoll"}</definedName>
    <definedName name="saddd2_2" hidden="1">{"AnnualRentRoll",#N/A,FALSE,"RentRoll"}</definedName>
    <definedName name="saddd2_3" hidden="1">{"AnnualRentRoll",#N/A,FALSE,"RentRoll"}</definedName>
    <definedName name="saddd2_4" hidden="1">{"AnnualRentRoll",#N/A,FALSE,"RentRoll"}</definedName>
    <definedName name="sadddd2" localSheetId="0" hidden="1">{"AnnualRentRoll",#N/A,FALSE,"RentRoll"}</definedName>
    <definedName name="sadddd2" hidden="1">{"AnnualRentRoll",#N/A,FALSE,"RentRoll"}</definedName>
    <definedName name="sadddd2_1" hidden="1">{"AnnualRentRoll",#N/A,FALSE,"RentRoll"}</definedName>
    <definedName name="sadddd2_2" hidden="1">{"AnnualRentRoll",#N/A,FALSE,"RentRoll"}</definedName>
    <definedName name="sadddd2_3" hidden="1">{"AnnualRentRoll",#N/A,FALSE,"RentRoll"}</definedName>
    <definedName name="sadddd2_4" hidden="1">{"AnnualRentRoll",#N/A,FALSE,"RentRoll"}</definedName>
    <definedName name="saddddd" localSheetId="0" hidden="1">{"AnnualRentRoll",#N/A,FALSE,"RentRoll"}</definedName>
    <definedName name="saddddd" hidden="1">{"AnnualRentRoll",#N/A,FALSE,"RentRoll"}</definedName>
    <definedName name="saddddd_1" hidden="1">{"AnnualRentRoll",#N/A,FALSE,"RentRoll"}</definedName>
    <definedName name="saddddd_2" hidden="1">{"AnnualRentRoll",#N/A,FALSE,"RentRoll"}</definedName>
    <definedName name="saddddd_3" hidden="1">{"AnnualRentRoll",#N/A,FALSE,"RentRoll"}</definedName>
    <definedName name="saddddd_4" hidden="1">{"AnnualRentRoll",#N/A,FALSE,"RentRoll"}</definedName>
    <definedName name="saddddddd2" localSheetId="0" hidden="1">{#N/A,#N/A,FALSE,"ExitStratigy"}</definedName>
    <definedName name="saddddddd2" hidden="1">{#N/A,#N/A,FALSE,"ExitStratigy"}</definedName>
    <definedName name="saddddddd2_1" hidden="1">{#N/A,#N/A,FALSE,"ExitStratigy"}</definedName>
    <definedName name="saddddddd2_2" hidden="1">{#N/A,#N/A,FALSE,"ExitStratigy"}</definedName>
    <definedName name="saddddddd2_3" hidden="1">{#N/A,#N/A,FALSE,"ExitStratigy"}</definedName>
    <definedName name="saddddddd2_4" hidden="1">{#N/A,#N/A,FALSE,"ExitStratigy"}</definedName>
    <definedName name="sadddddddd" localSheetId="0" hidden="1">{#N/A,#N/A,FALSE,"ExitStratigy"}</definedName>
    <definedName name="sadddddddd" hidden="1">{#N/A,#N/A,FALSE,"ExitStratigy"}</definedName>
    <definedName name="sadddddddd_1" hidden="1">{#N/A,#N/A,FALSE,"ExitStratigy"}</definedName>
    <definedName name="sadddddddd_2" hidden="1">{#N/A,#N/A,FALSE,"ExitStratigy"}</definedName>
    <definedName name="sadddddddd_3" hidden="1">{#N/A,#N/A,FALSE,"ExitStratigy"}</definedName>
    <definedName name="sadddddddd_4" hidden="1">{#N/A,#N/A,FALSE,"ExitStratigy"}</definedName>
    <definedName name="saddddddddd2" localSheetId="0" hidden="1">{#N/A,#N/A,FALSE,"LoanAssumptions"}</definedName>
    <definedName name="saddddddddd2" hidden="1">{#N/A,#N/A,FALSE,"LoanAssumptions"}</definedName>
    <definedName name="saddddddddd2_1" hidden="1">{#N/A,#N/A,FALSE,"LoanAssumptions"}</definedName>
    <definedName name="saddddddddd2_2" hidden="1">{#N/A,#N/A,FALSE,"LoanAssumptions"}</definedName>
    <definedName name="saddddddddd2_3" hidden="1">{#N/A,#N/A,FALSE,"LoanAssumptions"}</definedName>
    <definedName name="saddddddddd2_4" hidden="1">{#N/A,#N/A,FALSE,"LoanAssumptions"}</definedName>
    <definedName name="sadddddddddd" localSheetId="0" hidden="1">{#N/A,#N/A,FALSE,"LoanAssumptions"}</definedName>
    <definedName name="sadddddddddd" hidden="1">{#N/A,#N/A,FALSE,"LoanAssumptions"}</definedName>
    <definedName name="sadddddddddd_1" hidden="1">{#N/A,#N/A,FALSE,"LoanAssumptions"}</definedName>
    <definedName name="sadddddddddd_2" hidden="1">{#N/A,#N/A,FALSE,"LoanAssumptions"}</definedName>
    <definedName name="sadddddddddd_3" hidden="1">{#N/A,#N/A,FALSE,"LoanAssumptions"}</definedName>
    <definedName name="sadddddddddd_4" hidden="1">{#N/A,#N/A,FALSE,"LoanAssumptions"}</definedName>
    <definedName name="saddddddddddd2" localSheetId="0" hidden="1">{#N/A,#N/A,FALSE,"OperatingAssumptions"}</definedName>
    <definedName name="saddddddddddd2" hidden="1">{#N/A,#N/A,FALSE,"OperatingAssumptions"}</definedName>
    <definedName name="saddddddddddd2_1" hidden="1">{#N/A,#N/A,FALSE,"OperatingAssumptions"}</definedName>
    <definedName name="saddddddddddd2_2" hidden="1">{#N/A,#N/A,FALSE,"OperatingAssumptions"}</definedName>
    <definedName name="saddddddddddd2_3" hidden="1">{#N/A,#N/A,FALSE,"OperatingAssumptions"}</definedName>
    <definedName name="saddddddddddd2_4" hidden="1">{#N/A,#N/A,FALSE,"OperatingAssumptions"}</definedName>
    <definedName name="saddddddddddddd" localSheetId="0" hidden="1">{#N/A,#N/A,FALSE,"OperatingAssumptions"}</definedName>
    <definedName name="saddddddddddddd" hidden="1">{#N/A,#N/A,FALSE,"OperatingAssumptions"}</definedName>
    <definedName name="saddddddddddddd_1" hidden="1">{#N/A,#N/A,FALSE,"OperatingAssumptions"}</definedName>
    <definedName name="saddddddddddddd_2" hidden="1">{#N/A,#N/A,FALSE,"OperatingAssumptions"}</definedName>
    <definedName name="saddddddddddddd_3" hidden="1">{#N/A,#N/A,FALSE,"OperatingAssumptions"}</definedName>
    <definedName name="saddddddddddddd_4" hidden="1">{#N/A,#N/A,FALSE,"OperatingAssumptions"}</definedName>
    <definedName name="sadfs" hidden="1">{"Const_Monthly",#N/A,FALSE,"Construction";"Construction_Summary",#N/A,FALSE,"Construction";"Cash_Flow",#N/A,FALSE,"Cash Flow";"Summary",#N/A,FALSE,"Summary";"Finsumm",#N/A,FALSE,"Summary Analysis";"Loanrecap",#N/A,FALSE,"Construction"}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dfz" hidden="1">{0,#N/A,FALSE,0;0,#N/A,FALSE,0}</definedName>
    <definedName name="sadgsdffsd" hidden="1">{#N/A,#N/A,FALSE,"Consolidated";#N/A,#N/A,FALSE,"Available Credit";#N/A,#N/A,FALSE,"100% Owned";#N/A,#N/A,FALSE,"Bentall U.S. LLC";#N/A,#N/A,FALSE,"Bentall Properties (U.S.) Ltd.";#N/A,#N/A,FALSE,"Schedule I"}</definedName>
    <definedName name="sadsadsa" hidden="1">{"'Assump'!$F$6:$J$6"}</definedName>
    <definedName name="saery" hidden="1">{"Investor",#N/A,FALSE,"Model";"Property",#N/A,FALSE,"Model";"Incentive Taxes",#N/A,FALSE,"Model"}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LARY">#REF!</definedName>
    <definedName name="SALARYPRINT">#REF!</definedName>
    <definedName name="Sale">#REF!</definedName>
    <definedName name="SALE_CAP">#REF!</definedName>
    <definedName name="Sale_CapRate">#REF!</definedName>
    <definedName name="Sale_Exp">#REF!</definedName>
    <definedName name="Sale_Mo">#REF!</definedName>
    <definedName name="SALE_YEAR">#REF!</definedName>
    <definedName name="SaleCost">#REF!</definedName>
    <definedName name="salecosts">#REF!</definedName>
    <definedName name="SaleDate">#REF!</definedName>
    <definedName name="SaleMonth">[1]Inputs!$R$40</definedName>
    <definedName name="SALEPRICE01">#REF!</definedName>
    <definedName name="Sales_Cost">#REF!</definedName>
    <definedName name="Sales_Price">#REF!</definedName>
    <definedName name="Sales_Proceeds_after_Debt">#REF!</definedName>
    <definedName name="SalesCost">#REF!</definedName>
    <definedName name="sam" hidden="1">{"Full Gross to Net",#N/A,TRUE,"GtoN";"R_I Accepted from Group Coys",#N/A,TRUE,"GtoN";"R_I Ceded to Group Coys",#N/A,TRUE,"GtoN";"Closing Loss Reserves and Gross Claims Incurred",#N/A,TRUE,"GtoN"}</definedName>
    <definedName name="SAPBEXdnldView" hidden="1">"CT2YB164SH65T9MQ85IJ9K1BH"</definedName>
    <definedName name="SAPBEXhrIndnt" hidden="1">1</definedName>
    <definedName name="SAPBEXrevision" hidden="1">1</definedName>
    <definedName name="SAPBEXsysID" hidden="1">"BWP"</definedName>
    <definedName name="SAPBEXwbID" hidden="1">"97TGO3MUQQJKGLDFZCKVCYHCU"</definedName>
    <definedName name="sas" localSheetId="0" hidden="1">{"Outflow 1",#N/A,FALSE,"Outflows-Inflows";"Outflow 2",#N/A,FALSE,"Outflows-Inflows";"Inflow 1",#N/A,FALSE,"Outflows-Inflows";"Inflow 2",#N/A,FALSE,"Outflows-Inflows"}</definedName>
    <definedName name="sas" hidden="1">{"Outflow 1",#N/A,FALSE,"Outflows-Inflows";"Outflow 2",#N/A,FALSE,"Outflows-Inflows";"Inflow 1",#N/A,FALSE,"Outflows-Inflows";"Inflow 2",#N/A,FALSE,"Outflows-Inflows"}</definedName>
    <definedName name="sas_1" hidden="1">{"Outflow 1",#N/A,FALSE,"Outflows-Inflows";"Outflow 2",#N/A,FALSE,"Outflows-Inflows";"Inflow 1",#N/A,FALSE,"Outflows-Inflows";"Inflow 2",#N/A,FALSE,"Outflows-Inflows"}</definedName>
    <definedName name="sas_2" hidden="1">{"Outflow 1",#N/A,FALSE,"Outflows-Inflows";"Outflow 2",#N/A,FALSE,"Outflows-Inflows";"Inflow 1",#N/A,FALSE,"Outflows-Inflows";"Inflow 2",#N/A,FALSE,"Outflows-Inflows"}</definedName>
    <definedName name="sas_3" hidden="1">{"Outflow 1",#N/A,FALSE,"Outflows-Inflows";"Outflow 2",#N/A,FALSE,"Outflows-Inflows";"Inflow 1",#N/A,FALSE,"Outflows-Inflows";"Inflow 2",#N/A,FALSE,"Outflows-Inflows"}</definedName>
    <definedName name="sas_4" hidden="1">{"Outflow 1",#N/A,FALSE,"Outflows-Inflows";"Outflow 2",#N/A,FALSE,"Outflows-Inflows";"Inflow 1",#N/A,FALSE,"Outflows-Inflows";"Inflow 2",#N/A,FALSE,"Outflows-Inflows"}</definedName>
    <definedName name="sasdfkj" hidden="1">{"FCB_ALL",#N/A,FALSE,"FCB"}</definedName>
    <definedName name="sbgsdgfgbb" hidden="1">#REF!</definedName>
    <definedName name="SC_Fill" hidden="1">#REF!</definedName>
    <definedName name="SC_Fill2" hidden="1">#REF!</definedName>
    <definedName name="scen_change" hidden="1">#REF!,#REF!,#REF!,#REF!,#REF!</definedName>
    <definedName name="scen_date1" hidden="1">34379.7786921296</definedName>
    <definedName name="scen_name1" hidden="1">"SOLV 1"</definedName>
    <definedName name="scen_num" hidden="1">1</definedName>
    <definedName name="scen_result" hidden="1">#REF!</definedName>
    <definedName name="scen_user1" hidden="1">"JEAN-LOUIS TORRES"</definedName>
    <definedName name="scen_value1" hidden="1">{"0,0525";"0";"0";"20";"0";"0,025";"7"}</definedName>
    <definedName name="scen1">#REF!</definedName>
    <definedName name="scen2">#REF!</definedName>
    <definedName name="scen3">#REF!</definedName>
    <definedName name="SCENARIO">#REF!</definedName>
    <definedName name="scenariocoverpage">#REF!</definedName>
    <definedName name="ScenarioNumber" hidden="1">#REF!</definedName>
    <definedName name="Sched_Pay">#REF!</definedName>
    <definedName name="Scheduled_Extra_Payments">#REF!</definedName>
    <definedName name="Scheduled_Monthly_Payment">#REF!</definedName>
    <definedName name="Schornsteinfeger">#REF!</definedName>
    <definedName name="scott" hidden="1">{#N/A,#N/A,TRUE,"Val - sum";#N/A,#N/A,TRUE,"Val - Sum1";#N/A,#N/A,TRUE,"Val - sum2";#N/A,#N/A,TRUE,"Val - Sum3";#N/A,#N/A,TRUE,"Tar-DCF";#N/A,#N/A,TRUE,"Tar-Val LBO";#N/A,#N/A,TRUE,"Tar-Mult Val"}</definedName>
    <definedName name="scottsdaleAP" hidden="1">#REF!</definedName>
    <definedName name="sd" hidden="1">{"Assump",#N/A,TRUE,"Proforma";"first",#N/A,TRUE,"Proforma";"second",#N/A,TRUE,"Proforma";"lease1",#N/A,TRUE,"Proforma";"lease2",#N/A,TRUE,"Proforma"}</definedName>
    <definedName name="SD_1x1_11x1_3_G_9003" hidden="1">#REF!</definedName>
    <definedName name="SD_1x1_2_G_0" hidden="1">#REF!</definedName>
    <definedName name="SD_1x1_3_G_0" hidden="1">#REF!</definedName>
    <definedName name="SD_1x1_62_G_0" hidden="1">#REF!</definedName>
    <definedName name="SD_1x1_6x1_1_B_9000" hidden="1">#REF!</definedName>
    <definedName name="SD_1x1_6x1_10_B_20" hidden="1">#REF!</definedName>
    <definedName name="SD_1x1_6x1_11_B_0" hidden="1">#REF!</definedName>
    <definedName name="SD_1x1_6x1_12_B_0" hidden="1">#REF!</definedName>
    <definedName name="SD_1x1_6x1_13_B_0" hidden="1">#REF!</definedName>
    <definedName name="SD_1x1_6x1_14_B_0" hidden="1">#REF!</definedName>
    <definedName name="SD_1x1_6x1_15_B_0" hidden="1">#REF!</definedName>
    <definedName name="SD_1x1_6x1_16_B_0" hidden="1">#REF!</definedName>
    <definedName name="SD_1x1_6x1_17_B_0" hidden="1">#REF!</definedName>
    <definedName name="SD_1x1_6x1_18_B_0" hidden="1">#REF!</definedName>
    <definedName name="SD_1x1_6x1_19_B_0" hidden="1">#REF!</definedName>
    <definedName name="SD_1x1_6x1_20_B_0" hidden="1">#REF!</definedName>
    <definedName name="SD_1x1_6x1_21_B_0" hidden="1">#REF!</definedName>
    <definedName name="SD_1x1_6x1_22_B_0" hidden="1">#REF!</definedName>
    <definedName name="SD_1x1_6x1_25_B_0" hidden="1">#REF!</definedName>
    <definedName name="SD_1x1_6x1_3_B_0" hidden="1">#REF!</definedName>
    <definedName name="SD_1x1_6x1_4_B_0" hidden="1">#REF!</definedName>
    <definedName name="SD_1x1_6x1_5_B_0" hidden="1">#REF!</definedName>
    <definedName name="SD_1x1_6x1_6_B_0" hidden="1">#REF!</definedName>
    <definedName name="SD_1x1_6x1_7_B_14" hidden="1">#REF!</definedName>
    <definedName name="SD_1x1_6x1_8_B_11" hidden="1">#REF!</definedName>
    <definedName name="SD_1x1_6x1_9_B_0" hidden="1">#REF!</definedName>
    <definedName name="SD_1x1_6x10_1_B_9000" hidden="1">#REF!</definedName>
    <definedName name="SD_1x1_6x10_10_B_20" hidden="1">#REF!</definedName>
    <definedName name="SD_1x1_6x10_11_B_0" hidden="1">#REF!</definedName>
    <definedName name="SD_1x1_6x10_12_B_0" hidden="1">#REF!</definedName>
    <definedName name="SD_1x1_6x10_13_B_0" hidden="1">#REF!</definedName>
    <definedName name="SD_1x1_6x10_14_B_0" hidden="1">#REF!</definedName>
    <definedName name="SD_1x1_6x10_15_B_0" hidden="1">#REF!</definedName>
    <definedName name="SD_1x1_6x10_16_B_0" hidden="1">#REF!</definedName>
    <definedName name="SD_1x1_6x10_17_B_0" hidden="1">#REF!</definedName>
    <definedName name="SD_1x1_6x10_18_B_0" hidden="1">#REF!</definedName>
    <definedName name="SD_1x1_6x10_19_B_0" hidden="1">#REF!</definedName>
    <definedName name="SD_1x1_6x10_20_B_0" hidden="1">#REF!</definedName>
    <definedName name="SD_1x1_6x10_21_B_0" hidden="1">#REF!</definedName>
    <definedName name="SD_1x1_6x10_22_B_0" hidden="1">#REF!</definedName>
    <definedName name="SD_1x1_6x10_25_B_0" hidden="1">#REF!</definedName>
    <definedName name="SD_1x1_6x10_3_B_0" hidden="1">#REF!</definedName>
    <definedName name="SD_1x1_6x10_4_B_0" hidden="1">#REF!</definedName>
    <definedName name="SD_1x1_6x10_5_B_0" hidden="1">#REF!</definedName>
    <definedName name="SD_1x1_6x10_6_B_0" hidden="1">#REF!</definedName>
    <definedName name="SD_1x1_6x10_7_B_14" hidden="1">#REF!</definedName>
    <definedName name="SD_1x1_6x10_8_B_11" hidden="1">#REF!</definedName>
    <definedName name="SD_1x1_6x10_9_B_0" hidden="1">#REF!</definedName>
    <definedName name="SD_1x1_6x11_1_B_9000" hidden="1">#REF!</definedName>
    <definedName name="SD_1x1_6x11_10_B_20" hidden="1">#REF!</definedName>
    <definedName name="SD_1x1_6x11_11_B_0" hidden="1">#REF!</definedName>
    <definedName name="SD_1x1_6x11_12_B_0" hidden="1">#REF!</definedName>
    <definedName name="SD_1x1_6x11_13_B_0" hidden="1">#REF!</definedName>
    <definedName name="SD_1x1_6x11_14_B_0" hidden="1">#REF!</definedName>
    <definedName name="SD_1x1_6x11_15_B_0" hidden="1">#REF!</definedName>
    <definedName name="SD_1x1_6x11_16_B_0" hidden="1">#REF!</definedName>
    <definedName name="SD_1x1_6x11_17_B_0" hidden="1">#REF!</definedName>
    <definedName name="SD_1x1_6x11_18_B_0" hidden="1">#REF!</definedName>
    <definedName name="SD_1x1_6x11_19_B_0" hidden="1">#REF!</definedName>
    <definedName name="SD_1x1_6x11_20_B_0" hidden="1">#REF!</definedName>
    <definedName name="SD_1x1_6x11_21_B_0" hidden="1">#REF!</definedName>
    <definedName name="SD_1x1_6x11_22_B_0" hidden="1">#REF!</definedName>
    <definedName name="SD_1x1_6x11_25_B_0" hidden="1">#REF!</definedName>
    <definedName name="SD_1x1_6x11_3_B_0" hidden="1">#REF!</definedName>
    <definedName name="SD_1x1_6x11_4_B_0" hidden="1">#REF!</definedName>
    <definedName name="SD_1x1_6x11_5_B_0" hidden="1">#REF!</definedName>
    <definedName name="SD_1x1_6x11_6_B_0" hidden="1">#REF!</definedName>
    <definedName name="SD_1x1_6x11_7_B_14" hidden="1">#REF!</definedName>
    <definedName name="SD_1x1_6x11_8_B_11" hidden="1">#REF!</definedName>
    <definedName name="SD_1x1_6x11_9_B_0" hidden="1">#REF!</definedName>
    <definedName name="SD_1x1_6x12_1_B_9000" hidden="1">#REF!</definedName>
    <definedName name="SD_1x1_6x12_10_B_20" hidden="1">#REF!</definedName>
    <definedName name="SD_1x1_6x12_11_B_0" hidden="1">#REF!</definedName>
    <definedName name="SD_1x1_6x12_12_B_0" hidden="1">#REF!</definedName>
    <definedName name="SD_1x1_6x12_13_B_0" hidden="1">#REF!</definedName>
    <definedName name="SD_1x1_6x12_14_B_0" hidden="1">#REF!</definedName>
    <definedName name="SD_1x1_6x12_15_B_0" hidden="1">#REF!</definedName>
    <definedName name="SD_1x1_6x12_16_B_0" hidden="1">#REF!</definedName>
    <definedName name="SD_1x1_6x12_17_B_0" hidden="1">#REF!</definedName>
    <definedName name="SD_1x1_6x12_18_B_0" hidden="1">#REF!</definedName>
    <definedName name="SD_1x1_6x12_19_B_0" hidden="1">#REF!</definedName>
    <definedName name="SD_1x1_6x12_20_B_0" hidden="1">#REF!</definedName>
    <definedName name="SD_1x1_6x12_21_B_0" hidden="1">#REF!</definedName>
    <definedName name="SD_1x1_6x12_22_B_0" hidden="1">#REF!</definedName>
    <definedName name="SD_1x1_6x12_25_B_0" hidden="1">#REF!</definedName>
    <definedName name="SD_1x1_6x12_3_B_0" hidden="1">#REF!</definedName>
    <definedName name="SD_1x1_6x12_4_B_0" hidden="1">#REF!</definedName>
    <definedName name="SD_1x1_6x12_5_B_0" hidden="1">#REF!</definedName>
    <definedName name="SD_1x1_6x12_6_B_0" hidden="1">#REF!</definedName>
    <definedName name="SD_1x1_6x12_7_B_14" hidden="1">#REF!</definedName>
    <definedName name="SD_1x1_6x12_8_B_11" hidden="1">#REF!</definedName>
    <definedName name="SD_1x1_6x12_9_B_0" hidden="1">#REF!</definedName>
    <definedName name="SD_1x1_6x13_1_B_9000" hidden="1">#REF!</definedName>
    <definedName name="SD_1x1_6x13_10_B_20" hidden="1">#REF!</definedName>
    <definedName name="SD_1x1_6x13_11_B_0" hidden="1">#REF!</definedName>
    <definedName name="SD_1x1_6x13_12_B_0" hidden="1">#REF!</definedName>
    <definedName name="SD_1x1_6x13_13_B_0" hidden="1">#REF!</definedName>
    <definedName name="SD_1x1_6x13_14_B_0" hidden="1">#REF!</definedName>
    <definedName name="SD_1x1_6x13_15_B_0" hidden="1">#REF!</definedName>
    <definedName name="SD_1x1_6x13_16_B_0" hidden="1">#REF!</definedName>
    <definedName name="SD_1x1_6x13_17_B_0" hidden="1">#REF!</definedName>
    <definedName name="SD_1x1_6x13_18_B_0" hidden="1">#REF!</definedName>
    <definedName name="SD_1x1_6x13_19_B_0" hidden="1">#REF!</definedName>
    <definedName name="SD_1x1_6x13_20_B_0" hidden="1">#REF!</definedName>
    <definedName name="SD_1x1_6x13_21_B_0" hidden="1">#REF!</definedName>
    <definedName name="SD_1x1_6x13_22_B_0" hidden="1">#REF!</definedName>
    <definedName name="SD_1x1_6x13_25_B_0" hidden="1">#REF!</definedName>
    <definedName name="SD_1x1_6x13_3_B_0" hidden="1">#REF!</definedName>
    <definedName name="SD_1x1_6x13_4_B_0" hidden="1">#REF!</definedName>
    <definedName name="SD_1x1_6x13_5_B_0" hidden="1">#REF!</definedName>
    <definedName name="SD_1x1_6x13_6_B_0" hidden="1">#REF!</definedName>
    <definedName name="SD_1x1_6x13_7_B_14" hidden="1">#REF!</definedName>
    <definedName name="SD_1x1_6x13_8_B_11" hidden="1">#REF!</definedName>
    <definedName name="SD_1x1_6x13_9_B_0" hidden="1">#REF!</definedName>
    <definedName name="SD_1x1_6x14_1_B_9000" hidden="1">#REF!</definedName>
    <definedName name="SD_1x1_6x14_10_B_20" hidden="1">#REF!</definedName>
    <definedName name="SD_1x1_6x14_11_B_0" hidden="1">#REF!</definedName>
    <definedName name="SD_1x1_6x14_12_B_0" hidden="1">#REF!</definedName>
    <definedName name="SD_1x1_6x14_13_B_0" hidden="1">#REF!</definedName>
    <definedName name="SD_1x1_6x14_14_B_0" hidden="1">#REF!</definedName>
    <definedName name="SD_1x1_6x14_15_B_0" hidden="1">#REF!</definedName>
    <definedName name="SD_1x1_6x14_16_B_0" hidden="1">#REF!</definedName>
    <definedName name="SD_1x1_6x14_17_B_0" hidden="1">#REF!</definedName>
    <definedName name="SD_1x1_6x14_18_B_0" hidden="1">#REF!</definedName>
    <definedName name="SD_1x1_6x14_19_B_0" hidden="1">#REF!</definedName>
    <definedName name="SD_1x1_6x14_20_B_0" hidden="1">#REF!</definedName>
    <definedName name="SD_1x1_6x14_21_B_0" hidden="1">#REF!</definedName>
    <definedName name="SD_1x1_6x14_22_B_0" hidden="1">#REF!</definedName>
    <definedName name="SD_1x1_6x14_25_B_0" hidden="1">#REF!</definedName>
    <definedName name="SD_1x1_6x14_3_B_0" hidden="1">#REF!</definedName>
    <definedName name="SD_1x1_6x14_4_B_0" hidden="1">#REF!</definedName>
    <definedName name="SD_1x1_6x14_5_B_0" hidden="1">#REF!</definedName>
    <definedName name="SD_1x1_6x14_6_B_0" hidden="1">#REF!</definedName>
    <definedName name="SD_1x1_6x14_7_B_14" hidden="1">#REF!</definedName>
    <definedName name="SD_1x1_6x14_8_B_11" hidden="1">#REF!</definedName>
    <definedName name="SD_1x1_6x14_9_B_0" hidden="1">#REF!</definedName>
    <definedName name="SD_1x1_6x15_1_B_9000" hidden="1">#REF!</definedName>
    <definedName name="SD_1x1_6x15_10_B_20" hidden="1">#REF!</definedName>
    <definedName name="SD_1x1_6x15_11_B_0" hidden="1">#REF!</definedName>
    <definedName name="SD_1x1_6x15_12_B_0" hidden="1">#REF!</definedName>
    <definedName name="SD_1x1_6x15_13_B_0" hidden="1">#REF!</definedName>
    <definedName name="SD_1x1_6x15_14_B_0" hidden="1">#REF!</definedName>
    <definedName name="SD_1x1_6x15_15_B_0" hidden="1">#REF!</definedName>
    <definedName name="SD_1x1_6x15_16_B_0" hidden="1">#REF!</definedName>
    <definedName name="SD_1x1_6x15_17_B_0" hidden="1">#REF!</definedName>
    <definedName name="SD_1x1_6x15_18_B_0" hidden="1">#REF!</definedName>
    <definedName name="SD_1x1_6x15_19_B_0" hidden="1">#REF!</definedName>
    <definedName name="SD_1x1_6x15_20_B_0" hidden="1">#REF!</definedName>
    <definedName name="SD_1x1_6x15_21_B_0" hidden="1">#REF!</definedName>
    <definedName name="SD_1x1_6x15_22_B_0" hidden="1">#REF!</definedName>
    <definedName name="SD_1x1_6x15_25_B_0" hidden="1">#REF!</definedName>
    <definedName name="SD_1x1_6x15_3_B_0" hidden="1">#REF!</definedName>
    <definedName name="SD_1x1_6x15_4_B_0" hidden="1">#REF!</definedName>
    <definedName name="SD_1x1_6x15_5_B_0" hidden="1">#REF!</definedName>
    <definedName name="SD_1x1_6x15_6_B_0" hidden="1">#REF!</definedName>
    <definedName name="SD_1x1_6x15_7_B_14" hidden="1">#REF!</definedName>
    <definedName name="SD_1x1_6x15_8_B_11" hidden="1">#REF!</definedName>
    <definedName name="SD_1x1_6x15_9_B_0" hidden="1">#REF!</definedName>
    <definedName name="SD_1x1_6x2_1_B_9000" hidden="1">#REF!</definedName>
    <definedName name="SD_1x1_6x2_10_B_20" hidden="1">#REF!</definedName>
    <definedName name="SD_1x1_6x2_11_B_0" hidden="1">#REF!</definedName>
    <definedName name="SD_1x1_6x2_12_B_0" hidden="1">#REF!</definedName>
    <definedName name="SD_1x1_6x2_13_B_0" hidden="1">#REF!</definedName>
    <definedName name="SD_1x1_6x2_14_B_0" hidden="1">#REF!</definedName>
    <definedName name="SD_1x1_6x2_15_B_0" hidden="1">#REF!</definedName>
    <definedName name="SD_1x1_6x2_16_B_0" hidden="1">#REF!</definedName>
    <definedName name="SD_1x1_6x2_17_B_0" hidden="1">#REF!</definedName>
    <definedName name="SD_1x1_6x2_18_B_0" hidden="1">#REF!</definedName>
    <definedName name="SD_1x1_6x2_19_B_0" hidden="1">#REF!</definedName>
    <definedName name="SD_1x1_6x2_20_B_0" hidden="1">#REF!</definedName>
    <definedName name="SD_1x1_6x2_21_B_0" hidden="1">#REF!</definedName>
    <definedName name="SD_1x1_6x2_22_B_0" hidden="1">#REF!</definedName>
    <definedName name="SD_1x1_6x2_25_B_0" hidden="1">#REF!</definedName>
    <definedName name="SD_1x1_6x2_3_B_0" hidden="1">#REF!</definedName>
    <definedName name="SD_1x1_6x2_4_B_0" hidden="1">#REF!</definedName>
    <definedName name="SD_1x1_6x2_5_B_0" hidden="1">#REF!</definedName>
    <definedName name="SD_1x1_6x2_6_B_0" hidden="1">#REF!</definedName>
    <definedName name="SD_1x1_6x2_7_B_14" hidden="1">#REF!</definedName>
    <definedName name="SD_1x1_6x2_8_B_11" hidden="1">#REF!</definedName>
    <definedName name="SD_1x1_6x2_9_B_0" hidden="1">#REF!</definedName>
    <definedName name="SD_1x1_6x3_1_B_9000" hidden="1">#REF!</definedName>
    <definedName name="SD_1x1_6x3_10_B_20" hidden="1">#REF!</definedName>
    <definedName name="SD_1x1_6x3_11_B_0" hidden="1">#REF!</definedName>
    <definedName name="SD_1x1_6x3_12_B_0" hidden="1">#REF!</definedName>
    <definedName name="SD_1x1_6x3_13_B_0" hidden="1">#REF!</definedName>
    <definedName name="SD_1x1_6x3_14_B_0" hidden="1">#REF!</definedName>
    <definedName name="SD_1x1_6x3_15_B_0" hidden="1">#REF!</definedName>
    <definedName name="SD_1x1_6x3_16_B_0" hidden="1">#REF!</definedName>
    <definedName name="SD_1x1_6x3_17_B_0" hidden="1">#REF!</definedName>
    <definedName name="SD_1x1_6x3_18_B_0" hidden="1">#REF!</definedName>
    <definedName name="SD_1x1_6x3_19_B_0" hidden="1">#REF!</definedName>
    <definedName name="SD_1x1_6x3_20_B_0" hidden="1">#REF!</definedName>
    <definedName name="SD_1x1_6x3_21_B_0" hidden="1">#REF!</definedName>
    <definedName name="SD_1x1_6x3_22_B_0" hidden="1">#REF!</definedName>
    <definedName name="SD_1x1_6x3_25_B_0" hidden="1">#REF!</definedName>
    <definedName name="SD_1x1_6x3_3_B_0" hidden="1">#REF!</definedName>
    <definedName name="SD_1x1_6x3_4_B_0" hidden="1">#REF!</definedName>
    <definedName name="SD_1x1_6x3_5_B_0" hidden="1">#REF!</definedName>
    <definedName name="SD_1x1_6x3_6_B_0" hidden="1">#REF!</definedName>
    <definedName name="SD_1x1_6x3_7_B_14" hidden="1">#REF!</definedName>
    <definedName name="SD_1x1_6x3_8_B_11" hidden="1">#REF!</definedName>
    <definedName name="SD_1x1_6x3_9_B_0" hidden="1">#REF!</definedName>
    <definedName name="SD_1x1_6x4_1_B_9000" hidden="1">#REF!</definedName>
    <definedName name="SD_1x1_6x4_10_B_20" hidden="1">#REF!</definedName>
    <definedName name="SD_1x1_6x4_11_B_0" hidden="1">#REF!</definedName>
    <definedName name="SD_1x1_6x4_12_B_0" hidden="1">#REF!</definedName>
    <definedName name="SD_1x1_6x4_13_B_0" hidden="1">#REF!</definedName>
    <definedName name="SD_1x1_6x4_14_B_0" hidden="1">#REF!</definedName>
    <definedName name="SD_1x1_6x4_15_B_0" hidden="1">#REF!</definedName>
    <definedName name="SD_1x1_6x4_16_B_0" hidden="1">#REF!</definedName>
    <definedName name="SD_1x1_6x4_17_B_0" hidden="1">#REF!</definedName>
    <definedName name="SD_1x1_6x4_18_B_0" hidden="1">#REF!</definedName>
    <definedName name="SD_1x1_6x4_19_B_0" hidden="1">#REF!</definedName>
    <definedName name="SD_1x1_6x4_20_B_0" hidden="1">#REF!</definedName>
    <definedName name="SD_1x1_6x4_21_B_0" hidden="1">#REF!</definedName>
    <definedName name="SD_1x1_6x4_22_B_0" hidden="1">#REF!</definedName>
    <definedName name="SD_1x1_6x4_25_B_0" hidden="1">#REF!</definedName>
    <definedName name="SD_1x1_6x4_3_B_0" hidden="1">#REF!</definedName>
    <definedName name="SD_1x1_6x4_4_B_0" hidden="1">#REF!</definedName>
    <definedName name="SD_1x1_6x4_5_B_0" hidden="1">#REF!</definedName>
    <definedName name="SD_1x1_6x4_6_B_0" hidden="1">#REF!</definedName>
    <definedName name="SD_1x1_6x4_7_B_14" hidden="1">#REF!</definedName>
    <definedName name="SD_1x1_6x4_8_B_11" hidden="1">#REF!</definedName>
    <definedName name="SD_1x1_6x4_9_B_0" hidden="1">#REF!</definedName>
    <definedName name="SD_1x1_6x5_1_B_9000" hidden="1">#REF!</definedName>
    <definedName name="SD_1x1_6x5_10_B_20" hidden="1">#REF!</definedName>
    <definedName name="SD_1x1_6x5_11_B_0" hidden="1">#REF!</definedName>
    <definedName name="SD_1x1_6x5_12_B_0" hidden="1">#REF!</definedName>
    <definedName name="SD_1x1_6x5_13_B_0" hidden="1">#REF!</definedName>
    <definedName name="SD_1x1_6x5_14_B_0" hidden="1">#REF!</definedName>
    <definedName name="SD_1x1_6x5_15_B_0" hidden="1">#REF!</definedName>
    <definedName name="SD_1x1_6x5_16_B_0" hidden="1">#REF!</definedName>
    <definedName name="SD_1x1_6x5_17_B_0" hidden="1">#REF!</definedName>
    <definedName name="SD_1x1_6x5_18_B_0" hidden="1">#REF!</definedName>
    <definedName name="SD_1x1_6x5_19_B_0" hidden="1">#REF!</definedName>
    <definedName name="SD_1x1_6x5_20_B_0" hidden="1">#REF!</definedName>
    <definedName name="SD_1x1_6x5_21_B_0" hidden="1">#REF!</definedName>
    <definedName name="SD_1x1_6x5_22_B_0" hidden="1">#REF!</definedName>
    <definedName name="SD_1x1_6x5_25_B_0" hidden="1">#REF!</definedName>
    <definedName name="SD_1x1_6x5_3_B_0" hidden="1">#REF!</definedName>
    <definedName name="SD_1x1_6x5_4_B_0" hidden="1">#REF!</definedName>
    <definedName name="SD_1x1_6x5_5_B_0" hidden="1">#REF!</definedName>
    <definedName name="SD_1x1_6x5_6_B_0" hidden="1">#REF!</definedName>
    <definedName name="SD_1x1_6x5_7_B_14" hidden="1">#REF!</definedName>
    <definedName name="SD_1x1_6x5_8_B_11" hidden="1">#REF!</definedName>
    <definedName name="SD_1x1_6x5_9_B_0" hidden="1">#REF!</definedName>
    <definedName name="SD_1x1_6x6_1_B_9000" hidden="1">#REF!</definedName>
    <definedName name="SD_1x1_6x6_10_B_20" hidden="1">#REF!</definedName>
    <definedName name="SD_1x1_6x6_11_B_0" hidden="1">#REF!</definedName>
    <definedName name="SD_1x1_6x6_12_B_0" hidden="1">#REF!</definedName>
    <definedName name="SD_1x1_6x6_13_B_0" hidden="1">#REF!</definedName>
    <definedName name="SD_1x1_6x6_14_B_0" hidden="1">#REF!</definedName>
    <definedName name="SD_1x1_6x6_15_B_0" hidden="1">#REF!</definedName>
    <definedName name="SD_1x1_6x6_16_B_0" hidden="1">#REF!</definedName>
    <definedName name="SD_1x1_6x6_17_B_0" hidden="1">#REF!</definedName>
    <definedName name="SD_1x1_6x6_18_B_0" hidden="1">#REF!</definedName>
    <definedName name="SD_1x1_6x6_19_B_0" hidden="1">#REF!</definedName>
    <definedName name="SD_1x1_6x6_20_B_0" hidden="1">#REF!</definedName>
    <definedName name="SD_1x1_6x6_21_B_0" hidden="1">#REF!</definedName>
    <definedName name="SD_1x1_6x6_22_B_0" hidden="1">#REF!</definedName>
    <definedName name="SD_1x1_6x6_25_B_0" hidden="1">#REF!</definedName>
    <definedName name="SD_1x1_6x6_3_B_0" hidden="1">#REF!</definedName>
    <definedName name="SD_1x1_6x6_4_B_0" hidden="1">#REF!</definedName>
    <definedName name="SD_1x1_6x6_5_B_0" hidden="1">#REF!</definedName>
    <definedName name="SD_1x1_6x6_6_B_0" hidden="1">#REF!</definedName>
    <definedName name="SD_1x1_6x6_7_B_14" hidden="1">#REF!</definedName>
    <definedName name="SD_1x1_6x6_8_B_11" hidden="1">#REF!</definedName>
    <definedName name="SD_1x1_6x6_9_B_0" hidden="1">#REF!</definedName>
    <definedName name="SD_1x1_6x7_1_B_9000" hidden="1">#REF!</definedName>
    <definedName name="SD_1x1_6x7_10_B_20" hidden="1">#REF!</definedName>
    <definedName name="SD_1x1_6x7_11_B_0" hidden="1">#REF!</definedName>
    <definedName name="SD_1x1_6x7_12_B_0" hidden="1">#REF!</definedName>
    <definedName name="SD_1x1_6x7_13_B_0" hidden="1">#REF!</definedName>
    <definedName name="SD_1x1_6x7_14_B_0" hidden="1">#REF!</definedName>
    <definedName name="SD_1x1_6x7_15_B_0" hidden="1">#REF!</definedName>
    <definedName name="SD_1x1_6x7_16_B_0" hidden="1">#REF!</definedName>
    <definedName name="SD_1x1_6x7_17_B_0" hidden="1">#REF!</definedName>
    <definedName name="SD_1x1_6x7_18_B_0" hidden="1">#REF!</definedName>
    <definedName name="SD_1x1_6x7_19_B_0" hidden="1">#REF!</definedName>
    <definedName name="SD_1x1_6x7_20_B_0" hidden="1">#REF!</definedName>
    <definedName name="SD_1x1_6x7_21_B_0" hidden="1">#REF!</definedName>
    <definedName name="SD_1x1_6x7_22_B_0" hidden="1">#REF!</definedName>
    <definedName name="SD_1x1_6x7_25_B_0" hidden="1">#REF!</definedName>
    <definedName name="SD_1x1_6x7_3_B_0" hidden="1">#REF!</definedName>
    <definedName name="SD_1x1_6x7_4_B_0" hidden="1">#REF!</definedName>
    <definedName name="SD_1x1_6x7_5_B_0" hidden="1">#REF!</definedName>
    <definedName name="SD_1x1_6x7_6_B_0" hidden="1">#REF!</definedName>
    <definedName name="SD_1x1_6x7_7_B_14" hidden="1">#REF!</definedName>
    <definedName name="SD_1x1_6x7_8_B_11" hidden="1">#REF!</definedName>
    <definedName name="SD_1x1_6x7_9_B_0" hidden="1">#REF!</definedName>
    <definedName name="SD_1x1_6x8_1_B_9000" hidden="1">#REF!</definedName>
    <definedName name="SD_1x1_6x8_10_B_20" hidden="1">#REF!</definedName>
    <definedName name="SD_1x1_6x8_11_B_0" hidden="1">#REF!</definedName>
    <definedName name="SD_1x1_6x8_12_B_0" hidden="1">#REF!</definedName>
    <definedName name="SD_1x1_6x8_13_B_0" hidden="1">#REF!</definedName>
    <definedName name="SD_1x1_6x8_14_B_0" hidden="1">#REF!</definedName>
    <definedName name="SD_1x1_6x8_15_B_0" hidden="1">#REF!</definedName>
    <definedName name="SD_1x1_6x8_16_B_0" hidden="1">#REF!</definedName>
    <definedName name="SD_1x1_6x8_17_B_0" hidden="1">#REF!</definedName>
    <definedName name="SD_1x1_6x8_18_B_0" hidden="1">#REF!</definedName>
    <definedName name="SD_1x1_6x8_19_B_0" hidden="1">#REF!</definedName>
    <definedName name="SD_1x1_6x8_20_B_0" hidden="1">#REF!</definedName>
    <definedName name="SD_1x1_6x8_21_B_0" hidden="1">#REF!</definedName>
    <definedName name="SD_1x1_6x8_22_B_0" hidden="1">#REF!</definedName>
    <definedName name="SD_1x1_6x8_25_B_0" hidden="1">#REF!</definedName>
    <definedName name="SD_1x1_6x8_3_B_0" hidden="1">#REF!</definedName>
    <definedName name="SD_1x1_6x8_4_B_0" hidden="1">#REF!</definedName>
    <definedName name="SD_1x1_6x8_5_B_0" hidden="1">#REF!</definedName>
    <definedName name="SD_1x1_6x8_6_B_0" hidden="1">#REF!</definedName>
    <definedName name="SD_1x1_6x8_7_B_14" hidden="1">#REF!</definedName>
    <definedName name="SD_1x1_6x8_8_B_11" hidden="1">#REF!</definedName>
    <definedName name="SD_1x1_6x8_9_B_0" hidden="1">#REF!</definedName>
    <definedName name="SD_1x1_6x9_1_B_9000" hidden="1">#REF!</definedName>
    <definedName name="SD_1x1_6x9_10_B_20" hidden="1">#REF!</definedName>
    <definedName name="SD_1x1_6x9_11_B_0" hidden="1">#REF!</definedName>
    <definedName name="SD_1x1_6x9_12_B_0" hidden="1">#REF!</definedName>
    <definedName name="SD_1x1_6x9_13_B_0" hidden="1">#REF!</definedName>
    <definedName name="SD_1x1_6x9_14_B_0" hidden="1">#REF!</definedName>
    <definedName name="SD_1x1_6x9_15_B_0" hidden="1">#REF!</definedName>
    <definedName name="SD_1x1_6x9_16_B_0" hidden="1">#REF!</definedName>
    <definedName name="SD_1x1_6x9_17_B_0" hidden="1">#REF!</definedName>
    <definedName name="SD_1x1_6x9_18_B_0" hidden="1">#REF!</definedName>
    <definedName name="SD_1x1_6x9_19_B_0" hidden="1">#REF!</definedName>
    <definedName name="SD_1x1_6x9_20_B_0" hidden="1">#REF!</definedName>
    <definedName name="SD_1x1_6x9_21_B_0" hidden="1">#REF!</definedName>
    <definedName name="SD_1x1_6x9_22_B_0" hidden="1">#REF!</definedName>
    <definedName name="SD_1x1_6x9_25_B_0" hidden="1">#REF!</definedName>
    <definedName name="SD_1x1_6x9_3_B_0" hidden="1">#REF!</definedName>
    <definedName name="SD_1x1_6x9_4_B_0" hidden="1">#REF!</definedName>
    <definedName name="SD_1x1_6x9_5_B_0" hidden="1">#REF!</definedName>
    <definedName name="SD_1x1_6x9_6_B_0" hidden="1">#REF!</definedName>
    <definedName name="SD_1x1_6x9_7_B_14" hidden="1">#REF!</definedName>
    <definedName name="SD_1x1_6x9_8_B_11" hidden="1">#REF!</definedName>
    <definedName name="SD_1x1_6x9_9_B_0" hidden="1">#REF!</definedName>
    <definedName name="SD_1x1_8_G_12" hidden="1">#REF!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cds" hidden="1">{"'Assump'!$F$6:$J$6"}</definedName>
    <definedName name="sdf" hidden="1">{"sheet a",#N/A,FALSE,"A";"sheet b 1",#N/A,FALSE,"B";"sheet b 2",#N/A,FALSE,"B"}</definedName>
    <definedName name="sdfasr" hidden="1">{"FCB_ALL",#N/A,FALSE,"FCB"}</definedName>
    <definedName name="sdfass" localSheetId="0" hidden="1">{"Outflow 1",#N/A,FALSE,"Outflows-Inflows";"Outflow 2",#N/A,FALSE,"Outflows-Inflows";"Inflow 1",#N/A,FALSE,"Outflows-Inflows";"Inflow 2",#N/A,FALSE,"Outflows-Inflows"}</definedName>
    <definedName name="sdfass" hidden="1">{"Outflow 1",#N/A,FALSE,"Outflows-Inflows";"Outflow 2",#N/A,FALSE,"Outflows-Inflows";"Inflow 1",#N/A,FALSE,"Outflows-Inflows";"Inflow 2",#N/A,FALSE,"Outflows-Inflows"}</definedName>
    <definedName name="sdfass_1" hidden="1">{"Outflow 1",#N/A,FALSE,"Outflows-Inflows";"Outflow 2",#N/A,FALSE,"Outflows-Inflows";"Inflow 1",#N/A,FALSE,"Outflows-Inflows";"Inflow 2",#N/A,FALSE,"Outflows-Inflows"}</definedName>
    <definedName name="sdfass_2" hidden="1">{"Outflow 1",#N/A,FALSE,"Outflows-Inflows";"Outflow 2",#N/A,FALSE,"Outflows-Inflows";"Inflow 1",#N/A,FALSE,"Outflows-Inflows";"Inflow 2",#N/A,FALSE,"Outflows-Inflows"}</definedName>
    <definedName name="sdfass_3" hidden="1">{"Outflow 1",#N/A,FALSE,"Outflows-Inflows";"Outflow 2",#N/A,FALSE,"Outflows-Inflows";"Inflow 1",#N/A,FALSE,"Outflows-Inflows";"Inflow 2",#N/A,FALSE,"Outflows-Inflows"}</definedName>
    <definedName name="sdfass_4" hidden="1">{"Outflow 1",#N/A,FALSE,"Outflows-Inflows";"Outflow 2",#N/A,FALSE,"Outflows-Inflows";"Inflow 1",#N/A,FALSE,"Outflows-Inflows";"Inflow 2",#N/A,FALSE,"Outflows-Inflows"}</definedName>
    <definedName name="sdfd" hidden="1">{"Summary",#N/A,FALSE,"Summary"}</definedName>
    <definedName name="sdf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f" hidden="1">{"FCB_ALL",#N/A,FALSE,"FCB";"GREY_ALL",#N/A,FALSE,"GREY"}</definedName>
    <definedName name="sdff" hidden="1">{#N/A,#N/A,TRUE,"Krycí list"}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gdsf" hidden="1">#REF!</definedName>
    <definedName name="sdfgdsfg" hidden="1">#REF!</definedName>
    <definedName name="SDFGFG" hidden="1">#REF!</definedName>
    <definedName name="sdfgsdfhhsfd" hidden="1">#REF!</definedName>
    <definedName name="sdfh" hidden="1">{"FCB_ALL",#N/A,FALSE,"FCB"}</definedName>
    <definedName name="sdfh2wh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sdfhshcdddcd" hidden="1">#REF!</definedName>
    <definedName name="sdflk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sdf" hidden="1">#REF!</definedName>
    <definedName name="sdfsdfsdfsafsdf" hidden="1">{"FCB_ALL",#N/A,FALSE,"FCB"}</definedName>
    <definedName name="sdfsds" hidden="1">#REF!</definedName>
    <definedName name="sdfv" hidden="1">{0,#N/A,FALSE,0;0,#N/A,FALSE,0}</definedName>
    <definedName name="sdgasfhadsfhgerh" hidden="1">#REF!</definedName>
    <definedName name="sdgdfg" hidden="1">{"new",#N/A,FALSE,"D";"PROFORMA",#N/A,FALSE,"A";"partial 1",#N/A,FALSE,"B";"partial 2",#N/A,FALSE,"B";"partial 3",#N/A,FALSE,"B";"SMALL CF 1",#N/A,FALSE,"C"}</definedName>
    <definedName name="sdgfr" hidden="1">{"sheet a",#N/A,FALSE,"A";"sheet b 1",#N/A,FALSE,"B";"sheet b 2",#N/A,FALSE,"B"}</definedName>
    <definedName name="sdgg" hidden="1">{"P_L Account",#N/A,FALSE,"Prime";"Assets",#N/A,FALSE,"Prime";"Liabilities",#N/A,FALSE,"Prime";"Capital and Reserves",#N/A,FALSE,"Prime";"Rec. of S_Holders Funds",#N/A,FALSE,"Prime";"Rec. of Pre and Post Tax Result",#N/A,FALSE,"Prime"}</definedName>
    <definedName name="sdgs" hidden="1">{0,0,0,0}</definedName>
    <definedName name="sdhr" hidden="1">{"FCB_ALL",#N/A,FALSE,"FCB";"GREY_ALL",#N/A,FALSE,"GREY"}</definedName>
    <definedName name="sdvsfdvfdsb" hidden="1">#REF!</definedName>
    <definedName name="sdz" hidden="1">{"FCB_ALL",#N/A,FALSE,"FCB"}</definedName>
    <definedName name="se" hidden="1">#REF!</definedName>
    <definedName name="SECONDLIEN">#REF!</definedName>
    <definedName name="SecondLoanSchedule">#REF!</definedName>
    <definedName name="seee" hidden="1">{#N/A,#N/A,FALSE,"Title Page - Sitq";#N/A,#N/A,FALSE,"Index - Sitq";#N/A,#N/A,FALSE,"Stmt of Income";#N/A,#N/A,FALSE,"Balance Sheet - Audit Comm";#N/A,#N/A,FALSE,"Stmt of Retained Earnings";#N/A,#N/A,FALSE,"Total Cash Flow";#N/A,#N/A,FALSE,"S.C.F.P.";#N/A,#N/A,FALSE,"Budget to Actual";#N/A,#N/A,FALSE,"Appraisal surplus";#N/A,#N/A,FALSE,"FMV";#N/A,#N/A,FALSE,"Ratios";#N/A,#N/A,FALSE,"Properties";#N/A,#N/A,FALSE,"Secured Debt";#N/A,#N/A,FALSE,"Mortgage Bonds";#N/A,#N/A,FALSE,"Bank Operating Lines";#N/A,#N/A,FALSE,"Share Capital";#N/A,#N/A,FALSE,"Rental Operating Results";#N/A,#N/A,FALSE,"G. &amp;  A.";#N/A,#N/A,FALSE,"Property Sales";#N/A,#N/A,FALSE,"Accounts receivable ";#N/A,#N/A,FALSE,"Accounts payable";#N/A,#N/A,FALSE,"Budget Analysis";#N/A,#N/A,FALSE,"Mezzanine"}</definedName>
    <definedName name="Seg_LBO_Summ" hidden="1">{"LBO Summary",#N/A,FALSE,"Summary"}</definedName>
    <definedName name="Segment_Pie_Data" hidden="1">OFFSET(#REF!,0,0,COUNTA(#REF!)-1,1)</definedName>
    <definedName name="Segment_Pie_X_Data" hidden="1">OFFSET(#REF!,0,0,COUNTA(#REF!)-1,1)</definedName>
    <definedName name="SELECTION_ENTITY">#REF!</definedName>
    <definedName name="Sell_Date">#REF!</definedName>
    <definedName name="selrange" hidden="1">#REF!</definedName>
    <definedName name="Semiprivate" hidden="1">{"Page 1",#N/A,FALSE,"92264 Page 1";"Page 2",#N/A,FALSE,"92264 Page 2";"Page 3",#N/A,FALSE,"92264 Page 3";"Page 4",#N/A,FALSE,"92264 Page 4";"Page 5",#N/A,FALSE,"92264 Page 5";"Page 6",#N/A,FALSE,"92264 Page 6";"Page 7",#N/A,FALSE,"92264 Page 7";"Page 8",#N/A,FALSE,"92264 Page 8"}</definedName>
    <definedName name="sencount" hidden="1">1</definedName>
    <definedName name="senfinancing">#REF!</definedName>
    <definedName name="senInterest">#REF!</definedName>
    <definedName name="SenLTV">#REF!</definedName>
    <definedName name="senmosofIO">#REF!</definedName>
    <definedName name="senorigfee">#REF!</definedName>
    <definedName name="senpandi">#REF!</definedName>
    <definedName name="SENSITIVITY">#REF!</definedName>
    <definedName name="senterm">#REF!</definedName>
    <definedName name="Sept.">#REF!</definedName>
    <definedName name="sese" hidden="1">{"mgmt forecast",#N/A,FALSE,"Mgmt Forecast";"dcf table",#N/A,FALSE,"Mgmt Forecast";"sensitivity",#N/A,FALSE,"Mgmt Forecast";"table inputs",#N/A,FALSE,"Mgmt Forecast";"calculations",#N/A,FALSE,"Mgmt Forecast"}</definedName>
    <definedName name="Set">" "</definedName>
    <definedName name="SetExitLables">#N/A</definedName>
    <definedName name="setExitValue">#N/A</definedName>
    <definedName name="setheth" hidden="1">#REF!</definedName>
    <definedName name="sf">#REF!</definedName>
    <definedName name="SF_2">#REF!</definedName>
    <definedName name="SF_Additional">#REF!</definedName>
    <definedName name="SF_Build">#REF!</definedName>
    <definedName name="SF_Current_Industrial">#REF!</definedName>
    <definedName name="SF_Current_Office">#REF!</definedName>
    <definedName name="SF_Existing">#REF!</definedName>
    <definedName name="SF_FAR">#REF!</definedName>
    <definedName name="SF_Gross">#REF!</definedName>
    <definedName name="SF_Lot">#REF!</definedName>
    <definedName name="SF_Net">#REF!</definedName>
    <definedName name="SF_Raised">#REF!</definedName>
    <definedName name="sfbgsfbgsfbg" hidden="1">#REF!</definedName>
    <definedName name="sfd" hidden="1">{"Const_Monthly",#N/A,FALSE,"Construction"}</definedName>
    <definedName name="sfdag" hidden="1">{#N/A,#N/A,TRUE,"FR_HC";#N/A,#N/A,TRUE,"FR_REST";#N/A,#N/A,TRUE,"FR_RETA";#N/A,#N/A,TRUE,"FR_TECSOF";#N/A,#N/A,TRUE,"FR_NETTEC";#N/A,#N/A,TRUE,"FR_CLISER"}</definedName>
    <definedName name="SFDGDSG" hidden="1">#REF!</definedName>
    <definedName name="sfdgsar" hidden="1">{"FCB_ALL",#N/A,FALSE,"FCB";"GREY_ALL",#N/A,FALSE,"GREY"}</definedName>
    <definedName name="sfds" hidden="1">{#N/A,#N/A,FALSE,"Cash Flow"}</definedName>
    <definedName name="SFDsum" hidden="1">{#N/A,#N/A,FALSE,"Static Proforma";#N/A,#N/A,FALSE,"Bldg Dev DCF";#N/A,#N/A,FALSE,"Land Sales DCF"}</definedName>
    <definedName name="Sfe" hidden="1">{#N/A,#N/A,FALSE,"Notes";"CashFlowSummary Annually",#N/A,FALSE,"CashFlowSummary";"InvestorSummary Annually",#N/A,FALSE,"InvestorSummary";#N/A,#N/A,FALSE,"RevenueAssumptions";"MasterCostAssmp Annually",#N/A,FALSE,"MasterCostAssmp";#N/A,#N/A,FALSE,"InTractCstAssmp";"LotTakedowns Annually",#N/A,FALSE,"LotTakedowns"}</definedName>
    <definedName name="sffsd">INDEX({12,6,3,2,1},MATCH(#REF!,battery1,0))</definedName>
    <definedName name="sfg" hidden="1">{#N/A,#N/A,FALSE,"Aging Summary";#N/A,#N/A,FALSE,"Ratio Analysis";#N/A,#N/A,FALSE,"Test 120 Day Accts";#N/A,#N/A,FALSE,"Tickmarks"}</definedName>
    <definedName name="sfg." hidden="1">{"Construction_Short",#N/A,FALSE,"Construction"}</definedName>
    <definedName name="sg" hidden="1">{#N/A,#N/A,FALSE,"Chart 2 by Prop Type"}</definedName>
    <definedName name="SG_Fill" hidden="1">#REF!</definedName>
    <definedName name="sgs" hidden="1">{#N/A,#N/A,FALSE,"Chart 2 by Prop Type"}</definedName>
    <definedName name="shaci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mrock" hidden="1">{#N/A,#N/A,TRUE,"Val - sum";#N/A,#N/A,TRUE,"Val - Sum1";#N/A,#N/A,TRUE,"Val - sum2";#N/A,#N/A,TRUE,"Val - Sum3";#N/A,#N/A,TRUE,"Tar-DCF";#N/A,#N/A,TRUE,"Tar-Val LBO";#N/A,#N/A,TRUE,"Tar-Mult Val"}</definedName>
    <definedName name="shareoutltm" hidden="1">#REF!</definedName>
    <definedName name="sharepriceltm" hidden="1">#REF!</definedName>
    <definedName name="Sheet" hidden="1">#N/A</definedName>
    <definedName name="sheet2" hidden="1">{"CF",#N/A,FALSE,"Cash Flow";"RET",#N/A,FALSE,"Returns";"NPV",#N/A,FALSE,"Values";"ASMPT",#N/A,FALSE,"Assumptions"}</definedName>
    <definedName name="shit" hidden="1">{"'Assump'!$F$6:$J$6"}</definedName>
    <definedName name="ShortfallMo1Y1">#REF!</definedName>
    <definedName name="ShortfallMo1Y2">#REF!</definedName>
    <definedName name="ShortfallMo2Y1">#REF!</definedName>
    <definedName name="ShortfallMo2Y2">#REF!</definedName>
    <definedName name="ShortfallMo3Y1">#REF!</definedName>
    <definedName name="ShortfallMo3Y2">#REF!</definedName>
    <definedName name="ShortfallYr">#REF!</definedName>
    <definedName name="ShortfallYr2">#REF!</definedName>
    <definedName name="ShortfallYr3">#REF!</definedName>
    <definedName name="Sites">#REF!</definedName>
    <definedName name="sjsryhry" hidden="1">#REF!</definedName>
    <definedName name="sk" hidden="1">"1, 3, 1, False, 2, False, False, , 0, False, True, 3, 2"</definedName>
    <definedName name="skxcbwjkcb" hidden="1">#REF!</definedName>
    <definedName name="slkdhvoislsfjpsojflmnfsofjhsofbs" hidden="1">{#N/A,#N/A,FALSE,"Chart 2 by Prop Type"}</definedName>
    <definedName name="SMBC" hidden="1">{"Ops_S.Holders Assets and Income",#N/A,FALSE,"ops_shf"}</definedName>
    <definedName name="SMBCR" hidden="1">{"P_L Account",#N/A,FALSE,"Prime";"Assets",#N/A,FALSE,"Prime";"Liabilities",#N/A,FALSE,"Prime";"Capital and Reserves",#N/A,FALSE,"Prime";"Rec. of S_Holders Funds",#N/A,FALSE,"Prime";"Rec. of Pre and Post Tax Result",#N/A,FALSE,"Prime"}</definedName>
    <definedName name="SMtoSF">#REF!</definedName>
    <definedName name="SOBID">#REF!</definedName>
    <definedName name="sofj" hidden="1">{#N/A,#N/A,FALSE,"Chart 2 by Prop Type"}</definedName>
    <definedName name="SOlive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hs10" hidden="1">#REF!</definedName>
    <definedName name="solver_lhs11" hidden="1">#REF!</definedName>
    <definedName name="solver_lhs12" hidden="1">#REF!</definedName>
    <definedName name="solver_lhs13" hidden="1">#REF!</definedName>
    <definedName name="solver_lhs14" hidden="1">#REF!</definedName>
    <definedName name="solver_lhs15" hidden="1">#REF!</definedName>
    <definedName name="solver_lhs16" hidden="1">#REF!</definedName>
    <definedName name="solver_lhs17" hidden="1">#REF!</definedName>
    <definedName name="solver_lhs18" hidden="1">#REF!</definedName>
    <definedName name="solver_lhs19" hidden="1">#REF!</definedName>
    <definedName name="solver_lhs2" hidden="1">#REF!</definedName>
    <definedName name="solver_lhs20" hidden="1">#REF!</definedName>
    <definedName name="solver_lhs21" hidden="1">#REF!</definedName>
    <definedName name="solver_lhs22" hidden="1">#REF!</definedName>
    <definedName name="solver_lhs23" hidden="1">#REF!</definedName>
    <definedName name="solver_lhs24" hidden="1">#REF!</definedName>
    <definedName name="solver_lhs25" hidden="1">#REF!</definedName>
    <definedName name="solver_lhs26" hidden="1">#REF!</definedName>
    <definedName name="solver_lhs27" hidden="1">#REF!</definedName>
    <definedName name="solver_lhs28" hidden="1">#REF!</definedName>
    <definedName name="solver_lhs29" hidden="1">#REF!</definedName>
    <definedName name="solver_lhs3" hidden="1">#REF!</definedName>
    <definedName name="solver_lhs30" hidden="1">#REF!</definedName>
    <definedName name="solver_lhs31" hidden="1">#REF!</definedName>
    <definedName name="solver_lhs32" hidden="1">#REF!</definedName>
    <definedName name="solver_lhs33" hidden="1">#REF!</definedName>
    <definedName name="solver_lhs34" hidden="1">#REF!</definedName>
    <definedName name="solver_lhs35" hidden="1">#REF!</definedName>
    <definedName name="solver_lhs36" hidden="1">#REF!</definedName>
    <definedName name="solver_lhs37" hidden="1">#REF!</definedName>
    <definedName name="solver_lhs38" hidden="1">#REF!</definedName>
    <definedName name="solver_lhs39" hidden="1">#REF!</definedName>
    <definedName name="solver_lhs4" hidden="1">#REF!</definedName>
    <definedName name="solver_lhs40" hidden="1">#REF!</definedName>
    <definedName name="solver_lhs41" hidden="1">#REF!</definedName>
    <definedName name="solver_lhs42" hidden="1">#REF!</definedName>
    <definedName name="solver_lhs43" hidden="1">#REF!</definedName>
    <definedName name="solver_lhs44" hidden="1">#REF!</definedName>
    <definedName name="solver_lhs45" hidden="1">#REF!</definedName>
    <definedName name="solver_lhs46" hidden="1">#REF!</definedName>
    <definedName name="solver_lhs47" hidden="1">#REF!</definedName>
    <definedName name="solver_lhs48" hidden="1">#REF!</definedName>
    <definedName name="solver_lhs49" hidden="1">#REF!</definedName>
    <definedName name="solver_lhs5" hidden="1">#REF!</definedName>
    <definedName name="solver_lhs50" hidden="1">#REF!</definedName>
    <definedName name="solver_lhs51" hidden="1">#REF!</definedName>
    <definedName name="solver_lhs52" hidden="1">#REF!</definedName>
    <definedName name="solver_lhs53" hidden="1">#REF!</definedName>
    <definedName name="solver_lhs54" hidden="1">#REF!</definedName>
    <definedName name="solver_lhs55" hidden="1">#REF!</definedName>
    <definedName name="solver_lhs56" hidden="1">#REF!</definedName>
    <definedName name="solver_lhs57" hidden="1">#REF!</definedName>
    <definedName name="solver_lhs58" hidden="1">#REF!</definedName>
    <definedName name="solver_lhs59" hidden="1">#REF!</definedName>
    <definedName name="solver_lhs6" hidden="1">#REF!</definedName>
    <definedName name="solver_lhs60" hidden="1">#REF!</definedName>
    <definedName name="solver_lhs61" hidden="1">#REF!</definedName>
    <definedName name="solver_lhs62" hidden="1">#REF!</definedName>
    <definedName name="solver_lhs63" hidden="1">#REF!</definedName>
    <definedName name="solver_lhs64" hidden="1">#REF!</definedName>
    <definedName name="solver_lhs65" hidden="1">#REF!</definedName>
    <definedName name="solver_lhs66" hidden="1">#REF!</definedName>
    <definedName name="solver_lhs67" hidden="1">#REF!</definedName>
    <definedName name="solver_lhs68" hidden="1">#REF!</definedName>
    <definedName name="solver_lhs69" hidden="1">#REF!</definedName>
    <definedName name="solver_lhs7" hidden="1">#REF!</definedName>
    <definedName name="solver_lhs70" hidden="1">#REF!</definedName>
    <definedName name="solver_lhs71" hidden="1">#REF!</definedName>
    <definedName name="solver_lhs72" hidden="1">#REF!</definedName>
    <definedName name="solver_lhs73" hidden="1">#REF!</definedName>
    <definedName name="solver_lhs74" hidden="1">#REF!</definedName>
    <definedName name="solver_lhs75" hidden="1">#REF!</definedName>
    <definedName name="solver_lhs76" hidden="1">#REF!</definedName>
    <definedName name="solver_lhs77" hidden="1">#REF!</definedName>
    <definedName name="solver_lhs78" hidden="1">#REF!</definedName>
    <definedName name="solver_lhs79" hidden="1">#REF!</definedName>
    <definedName name="solver_lhs8" hidden="1">#REF!</definedName>
    <definedName name="solver_lhs80" hidden="1">#REF!</definedName>
    <definedName name="solver_lhs81" hidden="1">#REF!</definedName>
    <definedName name="solver_lhs82" hidden="1">#REF!</definedName>
    <definedName name="solver_lhs83" hidden="1">#REF!</definedName>
    <definedName name="solver_lhs84" hidden="1">#REF!</definedName>
    <definedName name="solver_lhs85" hidden="1">#REF!</definedName>
    <definedName name="solver_lhs86" hidden="1">#REF!</definedName>
    <definedName name="solver_lhs87" hidden="1">#REF!</definedName>
    <definedName name="solver_lhs88" hidden="1">#REF!</definedName>
    <definedName name="solver_lhs9" hidden="1">#REF!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rel1" hidden="1">1</definedName>
    <definedName name="solver_rel10" hidden="1">5</definedName>
    <definedName name="solver_rel11" hidden="1">5</definedName>
    <definedName name="solver_rel12" hidden="1">5</definedName>
    <definedName name="solver_rel13" hidden="1">5</definedName>
    <definedName name="solver_rel14" hidden="1">5</definedName>
    <definedName name="solver_rel15" hidden="1">5</definedName>
    <definedName name="solver_rel16" hidden="1">5</definedName>
    <definedName name="solver_rel17" hidden="1">5</definedName>
    <definedName name="solver_rel18" hidden="1">5</definedName>
    <definedName name="solver_rel19" hidden="1">5</definedName>
    <definedName name="solver_rel2" hidden="1">5</definedName>
    <definedName name="solver_rel20" hidden="1">5</definedName>
    <definedName name="solver_rel21" hidden="1">5</definedName>
    <definedName name="solver_rel22" hidden="1">5</definedName>
    <definedName name="solver_rel23" hidden="1">1</definedName>
    <definedName name="solver_rel24" hidden="1">5</definedName>
    <definedName name="solver_rel25" hidden="1">5</definedName>
    <definedName name="solver_rel26" hidden="1">5</definedName>
    <definedName name="solver_rel27" hidden="1">5</definedName>
    <definedName name="solver_rel28" hidden="1">5</definedName>
    <definedName name="solver_rel29" hidden="1">5</definedName>
    <definedName name="solver_rel3" hidden="1">5</definedName>
    <definedName name="solver_rel30" hidden="1">5</definedName>
    <definedName name="solver_rel31" hidden="1">5</definedName>
    <definedName name="solver_rel32" hidden="1">5</definedName>
    <definedName name="solver_rel33" hidden="1">5</definedName>
    <definedName name="solver_rel34" hidden="1">5</definedName>
    <definedName name="solver_rel35" hidden="1">5</definedName>
    <definedName name="solver_rel36" hidden="1">5</definedName>
    <definedName name="solver_rel37" hidden="1">5</definedName>
    <definedName name="solver_rel38" hidden="1">5</definedName>
    <definedName name="solver_rel39" hidden="1">5</definedName>
    <definedName name="solver_rel4" hidden="1">5</definedName>
    <definedName name="solver_rel40" hidden="1">5</definedName>
    <definedName name="solver_rel41" hidden="1">5</definedName>
    <definedName name="solver_rel42" hidden="1">5</definedName>
    <definedName name="solver_rel43" hidden="1">5</definedName>
    <definedName name="solver_rel44" hidden="1">5</definedName>
    <definedName name="solver_rel45" hidden="1">1</definedName>
    <definedName name="solver_rel46" hidden="1">5</definedName>
    <definedName name="solver_rel47" hidden="1">5</definedName>
    <definedName name="solver_rel48" hidden="1">5</definedName>
    <definedName name="solver_rel49" hidden="1">5</definedName>
    <definedName name="solver_rel5" hidden="1">5</definedName>
    <definedName name="solver_rel50" hidden="1">5</definedName>
    <definedName name="solver_rel51" hidden="1">5</definedName>
    <definedName name="solver_rel52" hidden="1">5</definedName>
    <definedName name="solver_rel53" hidden="1">5</definedName>
    <definedName name="solver_rel54" hidden="1">5</definedName>
    <definedName name="solver_rel55" hidden="1">5</definedName>
    <definedName name="solver_rel56" hidden="1">5</definedName>
    <definedName name="solver_rel57" hidden="1">5</definedName>
    <definedName name="solver_rel58" hidden="1">5</definedName>
    <definedName name="solver_rel59" hidden="1">5</definedName>
    <definedName name="solver_rel6" hidden="1">5</definedName>
    <definedName name="solver_rel60" hidden="1">5</definedName>
    <definedName name="solver_rel61" hidden="1">5</definedName>
    <definedName name="solver_rel62" hidden="1">5</definedName>
    <definedName name="solver_rel63" hidden="1">5</definedName>
    <definedName name="solver_rel64" hidden="1">5</definedName>
    <definedName name="solver_rel65" hidden="1">5</definedName>
    <definedName name="solver_rel66" hidden="1">5</definedName>
    <definedName name="solver_rel67" hidden="1">1</definedName>
    <definedName name="solver_rel68" hidden="1">5</definedName>
    <definedName name="solver_rel69" hidden="1">5</definedName>
    <definedName name="solver_rel7" hidden="1">5</definedName>
    <definedName name="solver_rel70" hidden="1">5</definedName>
    <definedName name="solver_rel71" hidden="1">5</definedName>
    <definedName name="solver_rel72" hidden="1">5</definedName>
    <definedName name="solver_rel73" hidden="1">5</definedName>
    <definedName name="solver_rel74" hidden="1">5</definedName>
    <definedName name="solver_rel75" hidden="1">5</definedName>
    <definedName name="solver_rel76" hidden="1">5</definedName>
    <definedName name="solver_rel77" hidden="1">5</definedName>
    <definedName name="solver_rel78" hidden="1">5</definedName>
    <definedName name="solver_rel79" hidden="1">5</definedName>
    <definedName name="solver_rel8" hidden="1">5</definedName>
    <definedName name="solver_rel80" hidden="1">5</definedName>
    <definedName name="solver_rel81" hidden="1">5</definedName>
    <definedName name="solver_rel82" hidden="1">5</definedName>
    <definedName name="solver_rel83" hidden="1">5</definedName>
    <definedName name="solver_rel84" hidden="1">5</definedName>
    <definedName name="solver_rel85" hidden="1">5</definedName>
    <definedName name="solver_rel86" hidden="1">5</definedName>
    <definedName name="solver_rel87" hidden="1">5</definedName>
    <definedName name="solver_rel88" hidden="1">5</definedName>
    <definedName name="solver_rel9" hidden="1">5</definedName>
    <definedName name="solver_rhs1" hidden="1">0.15</definedName>
    <definedName name="solver_rhs10" localSheetId="0" hidden="1">binary</definedName>
    <definedName name="solver_rhs10" localSheetId="1" hidden="1">binary</definedName>
    <definedName name="solver_rhs10" hidden="1">binary</definedName>
    <definedName name="solver_rhs11" localSheetId="0" hidden="1">binary</definedName>
    <definedName name="solver_rhs11" localSheetId="1" hidden="1">binary</definedName>
    <definedName name="solver_rhs11" hidden="1">binary</definedName>
    <definedName name="solver_rhs12" localSheetId="0" hidden="1">binary</definedName>
    <definedName name="solver_rhs12" localSheetId="1" hidden="1">binary</definedName>
    <definedName name="solver_rhs12" hidden="1">binary</definedName>
    <definedName name="solver_rhs13" localSheetId="0" hidden="1">binary</definedName>
    <definedName name="solver_rhs13" localSheetId="1" hidden="1">binary</definedName>
    <definedName name="solver_rhs13" hidden="1">binary</definedName>
    <definedName name="solver_rhs14" localSheetId="0" hidden="1">binary</definedName>
    <definedName name="solver_rhs14" localSheetId="1" hidden="1">binary</definedName>
    <definedName name="solver_rhs14" hidden="1">binary</definedName>
    <definedName name="solver_rhs15" localSheetId="0" hidden="1">binary</definedName>
    <definedName name="solver_rhs15" localSheetId="1" hidden="1">binary</definedName>
    <definedName name="solver_rhs15" hidden="1">binary</definedName>
    <definedName name="solver_rhs16" localSheetId="0" hidden="1">binary</definedName>
    <definedName name="solver_rhs16" localSheetId="1" hidden="1">binary</definedName>
    <definedName name="solver_rhs16" hidden="1">binary</definedName>
    <definedName name="solver_rhs17" localSheetId="0" hidden="1">binary</definedName>
    <definedName name="solver_rhs17" localSheetId="1" hidden="1">binary</definedName>
    <definedName name="solver_rhs17" hidden="1">binary</definedName>
    <definedName name="solver_rhs18" localSheetId="0" hidden="1">binary</definedName>
    <definedName name="solver_rhs18" localSheetId="1" hidden="1">binary</definedName>
    <definedName name="solver_rhs18" hidden="1">binary</definedName>
    <definedName name="solver_rhs19" localSheetId="0" hidden="1">binary</definedName>
    <definedName name="solver_rhs19" localSheetId="1" hidden="1">binary</definedName>
    <definedName name="solver_rhs19" hidden="1">binary</definedName>
    <definedName name="solver_rhs2" localSheetId="0" hidden="1">binary</definedName>
    <definedName name="solver_rhs2" localSheetId="1" hidden="1">binary</definedName>
    <definedName name="solver_rhs2" hidden="1">binary</definedName>
    <definedName name="solver_rhs20" localSheetId="0" hidden="1">binary</definedName>
    <definedName name="solver_rhs20" localSheetId="1" hidden="1">binary</definedName>
    <definedName name="solver_rhs20" hidden="1">binary</definedName>
    <definedName name="solver_rhs21" localSheetId="0" hidden="1">binary</definedName>
    <definedName name="solver_rhs21" localSheetId="1" hidden="1">binary</definedName>
    <definedName name="solver_rhs21" hidden="1">binary</definedName>
    <definedName name="solver_rhs22" localSheetId="0" hidden="1">binary</definedName>
    <definedName name="solver_rhs22" localSheetId="1" hidden="1">binary</definedName>
    <definedName name="solver_rhs22" hidden="1">binary</definedName>
    <definedName name="solver_rhs23" hidden="1">#REF!</definedName>
    <definedName name="solver_rhs24" localSheetId="0" hidden="1">binary</definedName>
    <definedName name="solver_rhs24" localSheetId="1" hidden="1">binary</definedName>
    <definedName name="solver_rhs24" hidden="1">binary</definedName>
    <definedName name="solver_rhs25" localSheetId="0" hidden="1">binary</definedName>
    <definedName name="solver_rhs25" localSheetId="1" hidden="1">binary</definedName>
    <definedName name="solver_rhs25" hidden="1">binary</definedName>
    <definedName name="solver_rhs26" localSheetId="0" hidden="1">binary</definedName>
    <definedName name="solver_rhs26" localSheetId="1" hidden="1">binary</definedName>
    <definedName name="solver_rhs26" hidden="1">binary</definedName>
    <definedName name="solver_rhs27" localSheetId="0" hidden="1">binary</definedName>
    <definedName name="solver_rhs27" localSheetId="1" hidden="1">binary</definedName>
    <definedName name="solver_rhs27" hidden="1">binary</definedName>
    <definedName name="solver_rhs28" localSheetId="0" hidden="1">binary</definedName>
    <definedName name="solver_rhs28" localSheetId="1" hidden="1">binary</definedName>
    <definedName name="solver_rhs28" hidden="1">binary</definedName>
    <definedName name="solver_rhs29" localSheetId="0" hidden="1">binary</definedName>
    <definedName name="solver_rhs29" localSheetId="1" hidden="1">binary</definedName>
    <definedName name="solver_rhs29" hidden="1">binary</definedName>
    <definedName name="solver_rhs3" localSheetId="0" hidden="1">binary</definedName>
    <definedName name="solver_rhs3" localSheetId="1" hidden="1">binary</definedName>
    <definedName name="solver_rhs3" hidden="1">binary</definedName>
    <definedName name="solver_rhs30" localSheetId="0" hidden="1">binary</definedName>
    <definedName name="solver_rhs30" localSheetId="1" hidden="1">binary</definedName>
    <definedName name="solver_rhs30" hidden="1">binary</definedName>
    <definedName name="solver_rhs31" localSheetId="0" hidden="1">binary</definedName>
    <definedName name="solver_rhs31" localSheetId="1" hidden="1">binary</definedName>
    <definedName name="solver_rhs31" hidden="1">binary</definedName>
    <definedName name="solver_rhs32" localSheetId="0" hidden="1">binary</definedName>
    <definedName name="solver_rhs32" localSheetId="1" hidden="1">binary</definedName>
    <definedName name="solver_rhs32" hidden="1">binary</definedName>
    <definedName name="solver_rhs33" localSheetId="0" hidden="1">binary</definedName>
    <definedName name="solver_rhs33" localSheetId="1" hidden="1">binary</definedName>
    <definedName name="solver_rhs33" hidden="1">binary</definedName>
    <definedName name="solver_rhs34" localSheetId="0" hidden="1">binary</definedName>
    <definedName name="solver_rhs34" localSheetId="1" hidden="1">binary</definedName>
    <definedName name="solver_rhs34" hidden="1">binary</definedName>
    <definedName name="solver_rhs35" localSheetId="0" hidden="1">binary</definedName>
    <definedName name="solver_rhs35" localSheetId="1" hidden="1">binary</definedName>
    <definedName name="solver_rhs35" hidden="1">binary</definedName>
    <definedName name="solver_rhs36" localSheetId="0" hidden="1">binary</definedName>
    <definedName name="solver_rhs36" localSheetId="1" hidden="1">binary</definedName>
    <definedName name="solver_rhs36" hidden="1">binary</definedName>
    <definedName name="solver_rhs37" localSheetId="0" hidden="1">binary</definedName>
    <definedName name="solver_rhs37" localSheetId="1" hidden="1">binary</definedName>
    <definedName name="solver_rhs37" hidden="1">binary</definedName>
    <definedName name="solver_rhs38" localSheetId="0" hidden="1">binary</definedName>
    <definedName name="solver_rhs38" localSheetId="1" hidden="1">binary</definedName>
    <definedName name="solver_rhs38" hidden="1">binary</definedName>
    <definedName name="solver_rhs39" localSheetId="0" hidden="1">binary</definedName>
    <definedName name="solver_rhs39" localSheetId="1" hidden="1">binary</definedName>
    <definedName name="solver_rhs39" hidden="1">binary</definedName>
    <definedName name="solver_rhs4" localSheetId="0" hidden="1">binary</definedName>
    <definedName name="solver_rhs4" localSheetId="1" hidden="1">binary</definedName>
    <definedName name="solver_rhs4" hidden="1">binary</definedName>
    <definedName name="solver_rhs40" localSheetId="0" hidden="1">binary</definedName>
    <definedName name="solver_rhs40" localSheetId="1" hidden="1">binary</definedName>
    <definedName name="solver_rhs40" hidden="1">binary</definedName>
    <definedName name="solver_rhs41" localSheetId="0" hidden="1">binary</definedName>
    <definedName name="solver_rhs41" localSheetId="1" hidden="1">binary</definedName>
    <definedName name="solver_rhs41" hidden="1">binary</definedName>
    <definedName name="solver_rhs42" localSheetId="0" hidden="1">binary</definedName>
    <definedName name="solver_rhs42" localSheetId="1" hidden="1">binary</definedName>
    <definedName name="solver_rhs42" hidden="1">binary</definedName>
    <definedName name="solver_rhs43" localSheetId="0" hidden="1">binary</definedName>
    <definedName name="solver_rhs43" localSheetId="1" hidden="1">binary</definedName>
    <definedName name="solver_rhs43" hidden="1">binary</definedName>
    <definedName name="solver_rhs44" localSheetId="0" hidden="1">binary</definedName>
    <definedName name="solver_rhs44" localSheetId="1" hidden="1">binary</definedName>
    <definedName name="solver_rhs44" hidden="1">binary</definedName>
    <definedName name="solver_rhs45" hidden="1">#REF!</definedName>
    <definedName name="solver_rhs46" localSheetId="0" hidden="1">binary</definedName>
    <definedName name="solver_rhs46" localSheetId="1" hidden="1">binary</definedName>
    <definedName name="solver_rhs46" hidden="1">binary</definedName>
    <definedName name="solver_rhs47" localSheetId="0" hidden="1">binary</definedName>
    <definedName name="solver_rhs47" localSheetId="1" hidden="1">binary</definedName>
    <definedName name="solver_rhs47" hidden="1">binary</definedName>
    <definedName name="solver_rhs48" localSheetId="0" hidden="1">binary</definedName>
    <definedName name="solver_rhs48" localSheetId="1" hidden="1">binary</definedName>
    <definedName name="solver_rhs48" hidden="1">binary</definedName>
    <definedName name="solver_rhs49" localSheetId="0" hidden="1">binary</definedName>
    <definedName name="solver_rhs49" localSheetId="1" hidden="1">binary</definedName>
    <definedName name="solver_rhs49" hidden="1">binary</definedName>
    <definedName name="solver_rhs5" localSheetId="0" hidden="1">binary</definedName>
    <definedName name="solver_rhs5" localSheetId="1" hidden="1">binary</definedName>
    <definedName name="solver_rhs5" hidden="1">binary</definedName>
    <definedName name="solver_rhs50" localSheetId="0" hidden="1">binary</definedName>
    <definedName name="solver_rhs50" localSheetId="1" hidden="1">binary</definedName>
    <definedName name="solver_rhs50" hidden="1">binary</definedName>
    <definedName name="solver_rhs51" localSheetId="0" hidden="1">binary</definedName>
    <definedName name="solver_rhs51" localSheetId="1" hidden="1">binary</definedName>
    <definedName name="solver_rhs51" hidden="1">binary</definedName>
    <definedName name="solver_rhs52" localSheetId="0" hidden="1">binary</definedName>
    <definedName name="solver_rhs52" localSheetId="1" hidden="1">binary</definedName>
    <definedName name="solver_rhs52" hidden="1">binary</definedName>
    <definedName name="solver_rhs53" localSheetId="0" hidden="1">binary</definedName>
    <definedName name="solver_rhs53" localSheetId="1" hidden="1">binary</definedName>
    <definedName name="solver_rhs53" hidden="1">binary</definedName>
    <definedName name="solver_rhs54" localSheetId="0" hidden="1">binary</definedName>
    <definedName name="solver_rhs54" localSheetId="1" hidden="1">binary</definedName>
    <definedName name="solver_rhs54" hidden="1">binary</definedName>
    <definedName name="solver_rhs55" localSheetId="0" hidden="1">binary</definedName>
    <definedName name="solver_rhs55" localSheetId="1" hidden="1">binary</definedName>
    <definedName name="solver_rhs55" hidden="1">binary</definedName>
    <definedName name="solver_rhs56" localSheetId="0" hidden="1">binary</definedName>
    <definedName name="solver_rhs56" localSheetId="1" hidden="1">binary</definedName>
    <definedName name="solver_rhs56" hidden="1">binary</definedName>
    <definedName name="solver_rhs57" localSheetId="0" hidden="1">binary</definedName>
    <definedName name="solver_rhs57" localSheetId="1" hidden="1">binary</definedName>
    <definedName name="solver_rhs57" hidden="1">binary</definedName>
    <definedName name="solver_rhs58" localSheetId="0" hidden="1">binary</definedName>
    <definedName name="solver_rhs58" localSheetId="1" hidden="1">binary</definedName>
    <definedName name="solver_rhs58" hidden="1">binary</definedName>
    <definedName name="solver_rhs59" localSheetId="0" hidden="1">binary</definedName>
    <definedName name="solver_rhs59" localSheetId="1" hidden="1">binary</definedName>
    <definedName name="solver_rhs59" hidden="1">binary</definedName>
    <definedName name="solver_rhs6" localSheetId="0" hidden="1">binary</definedName>
    <definedName name="solver_rhs6" localSheetId="1" hidden="1">binary</definedName>
    <definedName name="solver_rhs6" hidden="1">binary</definedName>
    <definedName name="solver_rhs60" localSheetId="0" hidden="1">binary</definedName>
    <definedName name="solver_rhs60" localSheetId="1" hidden="1">binary</definedName>
    <definedName name="solver_rhs60" hidden="1">binary</definedName>
    <definedName name="solver_rhs61" localSheetId="0" hidden="1">binary</definedName>
    <definedName name="solver_rhs61" localSheetId="1" hidden="1">binary</definedName>
    <definedName name="solver_rhs61" hidden="1">binary</definedName>
    <definedName name="solver_rhs62" localSheetId="0" hidden="1">binary</definedName>
    <definedName name="solver_rhs62" localSheetId="1" hidden="1">binary</definedName>
    <definedName name="solver_rhs62" hidden="1">binary</definedName>
    <definedName name="solver_rhs63" localSheetId="0" hidden="1">binary</definedName>
    <definedName name="solver_rhs63" localSheetId="1" hidden="1">binary</definedName>
    <definedName name="solver_rhs63" hidden="1">binary</definedName>
    <definedName name="solver_rhs64" localSheetId="0" hidden="1">binary</definedName>
    <definedName name="solver_rhs64" localSheetId="1" hidden="1">binary</definedName>
    <definedName name="solver_rhs64" hidden="1">binary</definedName>
    <definedName name="solver_rhs65" localSheetId="0" hidden="1">binary</definedName>
    <definedName name="solver_rhs65" localSheetId="1" hidden="1">binary</definedName>
    <definedName name="solver_rhs65" hidden="1">binary</definedName>
    <definedName name="solver_rhs66" localSheetId="0" hidden="1">binary</definedName>
    <definedName name="solver_rhs66" localSheetId="1" hidden="1">binary</definedName>
    <definedName name="solver_rhs66" hidden="1">binary</definedName>
    <definedName name="solver_rhs67" hidden="1">#REF!</definedName>
    <definedName name="solver_rhs68" localSheetId="0" hidden="1">binary</definedName>
    <definedName name="solver_rhs68" localSheetId="1" hidden="1">binary</definedName>
    <definedName name="solver_rhs68" hidden="1">binary</definedName>
    <definedName name="solver_rhs69" localSheetId="0" hidden="1">binary</definedName>
    <definedName name="solver_rhs69" localSheetId="1" hidden="1">binary</definedName>
    <definedName name="solver_rhs69" hidden="1">binary</definedName>
    <definedName name="solver_rhs7" localSheetId="0" hidden="1">binary</definedName>
    <definedName name="solver_rhs7" localSheetId="1" hidden="1">binary</definedName>
    <definedName name="solver_rhs7" hidden="1">binary</definedName>
    <definedName name="solver_rhs70" localSheetId="0" hidden="1">binary</definedName>
    <definedName name="solver_rhs70" localSheetId="1" hidden="1">binary</definedName>
    <definedName name="solver_rhs70" hidden="1">binary</definedName>
    <definedName name="solver_rhs71" localSheetId="0" hidden="1">binary</definedName>
    <definedName name="solver_rhs71" localSheetId="1" hidden="1">binary</definedName>
    <definedName name="solver_rhs71" hidden="1">binary</definedName>
    <definedName name="solver_rhs72" localSheetId="0" hidden="1">binary</definedName>
    <definedName name="solver_rhs72" localSheetId="1" hidden="1">binary</definedName>
    <definedName name="solver_rhs72" hidden="1">binary</definedName>
    <definedName name="solver_rhs73" localSheetId="0" hidden="1">binary</definedName>
    <definedName name="solver_rhs73" localSheetId="1" hidden="1">binary</definedName>
    <definedName name="solver_rhs73" hidden="1">binary</definedName>
    <definedName name="solver_rhs74" localSheetId="0" hidden="1">binary</definedName>
    <definedName name="solver_rhs74" localSheetId="1" hidden="1">binary</definedName>
    <definedName name="solver_rhs74" hidden="1">binary</definedName>
    <definedName name="solver_rhs75" localSheetId="0" hidden="1">binary</definedName>
    <definedName name="solver_rhs75" localSheetId="1" hidden="1">binary</definedName>
    <definedName name="solver_rhs75" hidden="1">binary</definedName>
    <definedName name="solver_rhs76" localSheetId="0" hidden="1">binary</definedName>
    <definedName name="solver_rhs76" localSheetId="1" hidden="1">binary</definedName>
    <definedName name="solver_rhs76" hidden="1">binary</definedName>
    <definedName name="solver_rhs77" localSheetId="0" hidden="1">binary</definedName>
    <definedName name="solver_rhs77" localSheetId="1" hidden="1">binary</definedName>
    <definedName name="solver_rhs77" hidden="1">binary</definedName>
    <definedName name="solver_rhs78" localSheetId="0" hidden="1">binary</definedName>
    <definedName name="solver_rhs78" localSheetId="1" hidden="1">binary</definedName>
    <definedName name="solver_rhs78" hidden="1">binary</definedName>
    <definedName name="solver_rhs79" localSheetId="0" hidden="1">binary</definedName>
    <definedName name="solver_rhs79" localSheetId="1" hidden="1">binary</definedName>
    <definedName name="solver_rhs79" hidden="1">binary</definedName>
    <definedName name="solver_rhs8" localSheetId="0" hidden="1">binary</definedName>
    <definedName name="solver_rhs8" localSheetId="1" hidden="1">binary</definedName>
    <definedName name="solver_rhs8" hidden="1">binary</definedName>
    <definedName name="solver_rhs80" localSheetId="0" hidden="1">binary</definedName>
    <definedName name="solver_rhs80" localSheetId="1" hidden="1">binary</definedName>
    <definedName name="solver_rhs80" hidden="1">binary</definedName>
    <definedName name="solver_rhs81" localSheetId="0" hidden="1">binary</definedName>
    <definedName name="solver_rhs81" localSheetId="1" hidden="1">binary</definedName>
    <definedName name="solver_rhs81" hidden="1">binary</definedName>
    <definedName name="solver_rhs82" localSheetId="0" hidden="1">binary</definedName>
    <definedName name="solver_rhs82" localSheetId="1" hidden="1">binary</definedName>
    <definedName name="solver_rhs82" hidden="1">binary</definedName>
    <definedName name="solver_rhs83" localSheetId="0" hidden="1">binary</definedName>
    <definedName name="solver_rhs83" localSheetId="1" hidden="1">binary</definedName>
    <definedName name="solver_rhs83" hidden="1">binary</definedName>
    <definedName name="solver_rhs84" localSheetId="0" hidden="1">binary</definedName>
    <definedName name="solver_rhs84" localSheetId="1" hidden="1">binary</definedName>
    <definedName name="solver_rhs84" hidden="1">binary</definedName>
    <definedName name="solver_rhs85" localSheetId="0" hidden="1">binary</definedName>
    <definedName name="solver_rhs85" localSheetId="1" hidden="1">binary</definedName>
    <definedName name="solver_rhs85" hidden="1">binary</definedName>
    <definedName name="solver_rhs86" localSheetId="0" hidden="1">binary</definedName>
    <definedName name="solver_rhs86" localSheetId="1" hidden="1">binary</definedName>
    <definedName name="solver_rhs86" hidden="1">binary</definedName>
    <definedName name="solver_rhs87" localSheetId="0" hidden="1">binary</definedName>
    <definedName name="solver_rhs87" localSheetId="1" hidden="1">binary</definedName>
    <definedName name="solver_rhs87" hidden="1">binary</definedName>
    <definedName name="solver_rhs88" localSheetId="0" hidden="1">binary</definedName>
    <definedName name="solver_rhs88" localSheetId="1" hidden="1">binary</definedName>
    <definedName name="solver_rhs88" hidden="1">binary</definedName>
    <definedName name="solver_rhs9" localSheetId="0" hidden="1">binary</definedName>
    <definedName name="solver_rhs9" localSheetId="1" hidden="1">binary</definedName>
    <definedName name="solver_rhs9" hidden="1">binary</definedName>
    <definedName name="solver_scl" hidden="1">2</definedName>
    <definedName name="solver_sho" hidden="1">2</definedName>
    <definedName name="solver_tim" hidden="1">100</definedName>
    <definedName name="solver_tmp" hidden="1">0.15</definedName>
    <definedName name="solver_tol" hidden="1">0.05</definedName>
    <definedName name="solver_typ" hidden="1">3</definedName>
    <definedName name="solver_val" hidden="1">0</definedName>
    <definedName name="solver2" hidden="1">#REF!</definedName>
    <definedName name="sort">#REF!</definedName>
    <definedName name="sot" hidden="1">#REF!</definedName>
    <definedName name="SpecialPrice" hidden="1">#REF!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ponsortier1">#REF!</definedName>
    <definedName name="sponsortier2">#REF!</definedName>
    <definedName name="sponsortier3">#REF!</definedName>
    <definedName name="sponsortier4">#REF!</definedName>
    <definedName name="SPWS_WBID">"8129601D-092E-4067-B84D-9BC90C2562C1"</definedName>
    <definedName name="SqFt">#REF!</definedName>
    <definedName name="sql_statement" hidden="1">"select distinct acct_cat,sum(cyr),sum(lyr),sum(cbd),mult_x000D_
from r1_datasum_x000D_
group by acct_cat_x000D_
_x000D_
"</definedName>
    <definedName name="SR_Lookup">#REF!</definedName>
    <definedName name="srhtjdtyjn" hidden="1">#REF!</definedName>
    <definedName name="srt" hidden="1">#REF!</definedName>
    <definedName name="ss" hidden="1">{"'Lennar U.S. Partners'!$A$1:$N$53"}</definedName>
    <definedName name="SS_fin_high_pg2">#REF!</definedName>
    <definedName name="SS_finhigh_pg1">#REF!</definedName>
    <definedName name="SS_mthoprslt_pg2">#REF!</definedName>
    <definedName name="SS_ytdoprslt_pg3">#REF!</definedName>
    <definedName name="ssm" hidden="1">#REF!</definedName>
    <definedName name="SSO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sss" hidden="1">{#N/A,#N/A,TRUE,"10 Yr Hold";#N/A,#N/A,TRUE,"7 Yr Hold";#N/A,#N/A,TRUE,"5 Yr Hold";#N/A,#N/A,TRUE,"3 Yr Hold"}</definedName>
    <definedName name="ssss" hidden="1">{#N/A,#N/A,FALSE,"Class A";#N/A,#N/A,FALSE,"Class B";#N/A,#N/A,FALSE,"Class C"}</definedName>
    <definedName name="SSSSSVS" hidden="1">{"print annual inc. statement",#N/A,FALSE,"Summary";"print annual stats",#N/A,FALSE,"Summary";"print quarterly inc. statement",#N/A,FALSE,"Summary";"print quarterly stats",#N/A,FALSE,"Summary"}</definedName>
    <definedName name="st" hidden="1">#REF!</definedName>
    <definedName name="ST_INPUT">#REF!</definedName>
    <definedName name="STAB">#REF!</definedName>
    <definedName name="STAB_ROLL_SF">#REF!</definedName>
    <definedName name="StableYr">#REF!</definedName>
    <definedName name="Stacked_Blue" hidden="1">"c1449"</definedName>
    <definedName name="Stadium" hidden="1">{#N/A,#N/A,TRUE,"Ericsson Stadium PCD ";#N/A,#N/A,TRUE,"Ericsson Stadium IOR"}</definedName>
    <definedName name="stadiuma" hidden="1">{#N/A,#N/A,TRUE,"Ericsson Stadium PCD ";#N/A,#N/A,TRUE,"Ericsson Stadium IOR"}</definedName>
    <definedName name="STANDARDS">#REF!</definedName>
    <definedName name="stands" hidden="1">{"FCB_ALL",#N/A,FALSE,"FCB";"GREY_ALL",#N/A,FALSE,"GREY"}</definedName>
    <definedName name="stands1" hidden="1">{"FCB_ALL",#N/A,FALSE,"FCB";"GREY_ALL",#N/A,FALSE,"GREY"}</definedName>
    <definedName name="stare" hidden="1">{#N/A,#N/A,TRUE,"A-site";#N/A,#N/A,TRUE,"B-Buildings";#N/A,#N/A,TRUE,"c-out-of-fence";#N/A,#N/A,TRUE,"d-proj.infr.";#N/A,#N/A,TRUE,"e- land"}</definedName>
    <definedName name="Start">#REF!</definedName>
    <definedName name="Start_Date">#REF!</definedName>
    <definedName name="Startcell">#REF!</definedName>
    <definedName name="StartCol">#REF!</definedName>
    <definedName name="StartDate">#REF!</definedName>
    <definedName name="StartRow">#REF!</definedName>
    <definedName name="StartYr">#REF!</definedName>
    <definedName name="State_List">#REF!</definedName>
    <definedName name="Statistics">#REF!</definedName>
    <definedName name="Status">#REF!</definedName>
    <definedName name="Status_Unit1">#REF!</definedName>
    <definedName name="Status1">#REF!</definedName>
    <definedName name="Status2">#REF!</definedName>
    <definedName name="Status3">#REF!</definedName>
    <definedName name="Status4">#REF!</definedName>
    <definedName name="Status5">#REF!</definedName>
    <definedName name="Status6">#REF!</definedName>
    <definedName name="Status7">#REF!</definedName>
    <definedName name="STNDRDPRS">#REF!</definedName>
    <definedName name="stop" hidden="1">#REF!</definedName>
    <definedName name="Straßenreinigung">#REF!</definedName>
    <definedName name="Strike">#REF!</definedName>
    <definedName name="StudentValueBasis">#REF!</definedName>
    <definedName name="stuff" hidden="1">{"CSheet",#N/A,FALSE,"C";"SmCap",#N/A,FALSE,"VAL1";"GulfCoast",#N/A,FALSE,"VAL1";"nav",#N/A,FALSE,"NAV";"Summary",#N/A,FALSE,"NAV"}</definedName>
    <definedName name="stupid" hidden="1">{"cap_structure",#N/A,FALSE,"Graph-Mkt Cap";"price",#N/A,FALSE,"Graph-Price";"ebit",#N/A,FALSE,"Graph-EBITDA";"ebitda",#N/A,FALSE,"Graph-EBITDA"}</definedName>
    <definedName name="subj_EBITDA" hidden="1">#REF!</definedName>
    <definedName name="SubsGrowth" hidden="1">#REF!</definedName>
    <definedName name="SUl" hidden="1">{#N/A,#N/A,FALSE,"Fund-II"}</definedName>
    <definedName name="SUMM">#REF!</definedName>
    <definedName name="SUMMARY">#REF!</definedName>
    <definedName name="SUMMARY_BOOK" hidden="1">{"page1",#N/A,FALSE,"GIRLBO";"page2",#N/A,FALSE,"GIRLBO";"page3",#N/A,FALSE,"GIRLBO";"page4",#N/A,FALSE,"GIRLBO";"page5",#N/A,FALSE,"GIRLBO"}</definedName>
    <definedName name="Summary2" hidden="1">{"INCOME",#N/A,FALSE,"ProNet";"VALUE",#N/A,FALSE,"ProNet"}</definedName>
    <definedName name="summary3" hidden="1">{"INCOME",#N/A,FALSE,"ProNet";"VALUE",#N/A,FALSE,"ProNet"}</definedName>
    <definedName name="summaryy" hidden="1">{#N/A,#N/A,TRUE,"Krycí list"}</definedName>
    <definedName name="Support4" hidden="1">{"BS_00",#N/A,FALSE,"Consolidated_BS";"BS_01",#N/A,FALSE,"Consolidated_BS";"BS_02",#N/A,FALSE,"Consolidated_BS";"IS_00",#N/A,FALSE,"Consolidated_IS";"IS_01",#N/A,FALSE,"Consolidated_IS";"IS_02",#N/A,FALSE,"Consolidated_IS";"SanMarcos_00",#N/A,FALSE,"San Marcos_IS";"SanMarcos_01",#N/A,FALSE,"San Marcos_IS";"SanMarcos_02",#N/A,FALSE,"San Marcos_IS";"Hagerstown_00",#N/A,FALSE,"Hagerstown_IS";"Hagerstown_01",#N/A,FALSE,"Hagerstown_IS";"Hagerstown_02",#N/A,FALSE,"Hagerstown_IS";"Corporate_00",#N/A,FALSE,"Corporate_IS";"Corporate_01",#N/A,FALSE,"Corporate_IS";"Corporate_02",#N/A,FALSE,"Corporate_IS";"Cash_Flow_00",#N/A,FALSE,"Consolidated_CashFlow";"Store#3_02",#N/A,FALSE,"Store#3";"Store#3_01",#N/A,FALSE,"Store#3";"Store#4_01",#N/A,FALSE,"Store#4";"Store#4_02",#N/A,FALSE,"Store#4";"Store#5_02",#N/A,FALSE,"Store#5";"Store#6_02",#N/A,FALSE,"Store#6";"San_Marcos_99",#N/A,FALSE,"San Marcos_IS _99";"Corporate_99",#N/A,FALSE,"Corp_IS_99"}</definedName>
    <definedName name="Susie" hidden="1">{#N/A,#N/A,FALSE,"ZellLurieFinSummary";#N/A,#N/A,FALSE,"FirstCapFinSummary";#N/A,#N/A,FALSE,"ZM I-III Consol FinSummary"}</definedName>
    <definedName name="switch">#REF!</definedName>
    <definedName name="Swvu.ALL." hidden="1">#REF!</definedName>
    <definedName name="Swvu.CAM._.RATES." hidden="1">#REF!</definedName>
    <definedName name="Swvu.CAM._.RECOVERIES." hidden="1">#REF!</definedName>
    <definedName name="Swvu.CAM._.RECOVERY." hidden="1">#REF!</definedName>
    <definedName name="Swvu.CAM._.TABLE." hidden="1">#REF!</definedName>
    <definedName name="Swvu.FRP_BACKLOG1." hidden="1">#REF!</definedName>
    <definedName name="Swvu.FRP_backlog2." hidden="1">#REF!</definedName>
    <definedName name="Swvu.inputs._.raw._.data." hidden="1">#REF!</definedName>
    <definedName name="Swvu.INSURANCE._.RECOVERIES." hidden="1">#REF!</definedName>
    <definedName name="Swvu.LSMEET." hidden="1">#REF!</definedName>
    <definedName name="Swvu.MARKETING._.REVENUE." hidden="1">#REF!</definedName>
    <definedName name="Swvu.MINIMUM._.RENT." hidden="1">#REF!</definedName>
    <definedName name="Swvu.OCCUPANCY." hidden="1">#REF!</definedName>
    <definedName name="Swvu.OCCUPANCY._.ANALYSIS." hidden="1">#REF!</definedName>
    <definedName name="Swvu.Overhead._.detail." hidden="1">#REF!</definedName>
    <definedName name="Swvu.PERCENTAGE._.RENT." hidden="1">#REF!</definedName>
    <definedName name="Swvu.Profit._.report._.detailed." hidden="1">#REF!</definedName>
    <definedName name="Swvu.Sommaire." hidden="1">#REF!,#REF!,#REF!,#REF!,#REF!,#REF!</definedName>
    <definedName name="Swvu.summary1." hidden="1">#REF!</definedName>
    <definedName name="Swvu.summary2." hidden="1">#REF!</definedName>
    <definedName name="Swvu.summary3." hidden="1">#REF!</definedName>
    <definedName name="Swvu.TAX._.RATES." hidden="1">#REF!</definedName>
    <definedName name="Swvu.TAX._.RECOVERIES." hidden="1">#REF!</definedName>
    <definedName name="Swvu.TAX._.RECOVERY." hidden="1">#REF!</definedName>
    <definedName name="Swvu.WAT." hidden="1">#REF!</definedName>
    <definedName name="sx" hidden="1">{#N/A,#N/A,FALSE,"Chart 2 by Prop Type"}</definedName>
    <definedName name="sxdfrtxdft" hidden="1">{#N/A,#N/A,FALSE,"CCC ACC Budget";#N/A,#N/A,FALSE,"Variance";#N/A,#N/A,FALSE,"CCC Rent Detail";#N/A,#N/A,FALSE,"COMMON AREA";#N/A,#N/A,FALSE,"CCC Electric Inclusion";#N/A,#N/A,FALSE,"CCC Opex Detail";#N/A,#N/A,FALSE,"CCC RE Tax Detail";#N/A,#N/A,FALSE,"CCC Chilled Wtr Inclusion";#N/A,#N/A,FALSE,"CCC OTHVAC ";#N/A,#N/A,FALSE,"CCC INPUT"}</definedName>
    <definedName name="syb">"MVX-CA"</definedName>
    <definedName name="T">#REF!</definedName>
    <definedName name="TABLE_1">#REF!</definedName>
    <definedName name="TABLE_3">#REF!</definedName>
    <definedName name="Table4">#REF!</definedName>
    <definedName name="Table4a">#REF!</definedName>
    <definedName name="Table5">#REF!</definedName>
    <definedName name="Table5a">#REF!</definedName>
    <definedName name="Table6">#REF!</definedName>
    <definedName name="Table6a">#REF!</definedName>
    <definedName name="TableName">"Dummy"</definedName>
    <definedName name="TableNames">#REF!,#REF!</definedName>
    <definedName name="tableofcontents">#REF!</definedName>
    <definedName name="TablePage2.com" hidden="1">{"COM",#N/A,FALSE,"800 10th"}</definedName>
    <definedName name="tables" hidden="1">#REF!</definedName>
    <definedName name="TableTypes">#REF!,#REF!</definedName>
    <definedName name="tanner">#REF!</definedName>
    <definedName name="Target" hidden="1">{"AnnualRentRoll",#N/A,FALSE,"RentRoll"}</definedName>
    <definedName name="Target.Company">"ETC-CA"</definedName>
    <definedName name="Tax_Rate">#REF!</definedName>
    <definedName name="TAXADJUST">#REF!</definedName>
    <definedName name="taxes">#REF!</definedName>
    <definedName name="TaxInflation">#REF!</definedName>
    <definedName name="TaxRate">#REF!</definedName>
    <definedName name="TAXRATE01">#REF!</definedName>
    <definedName name="TAXVALUE">#REF!</definedName>
    <definedName name="tbl_ProdInfo" hidden="1">#REF!</definedName>
    <definedName name="TC">#REF!</definedName>
    <definedName name="tdyjdtyj" hidden="1">{"Investor",#N/A,FALSE,"Model";"Property",#N/A,FALSE,"Model";"Incentive Taxes",#N/A,FALSE,"Model"}</definedName>
    <definedName name="temp" hidden="1">{"Financials",#N/A,FALSE,"Financials";"AVP",#N/A,FALSE,"AVP";"DCF",#N/A,FALSE,"DCF";"CSC",#N/A,FALSE,"CSC";"Deal_Comp",#N/A,FALSE,"DealComp"}</definedName>
    <definedName name="temp2" hidden="1">{"Print CRXLAND Assumptions",#N/A,FALSE,"CRXLAND Openings";"Print CRXLAND Openings",#N/A,FALSE,"CRXLAND Openings"}</definedName>
    <definedName name="template" hidden="1">{"'Lennar U.S. Partners'!$A$1:$N$53"}</definedName>
    <definedName name="tempor" hidden="1">{"print annual inc. statement",#N/A,FALSE,"Summary";"print annual stats",#N/A,FALSE,"Summary";"print quarterly inc. statement",#N/A,FALSE,"Summary";"print quarterly stats",#N/A,FALSE,"Summary";"print STAY opening assumptions",#N/A,FALSE,"STAY Openings";"print STAY openings",#N/A,FALSE,"STAY Openings";"Print SPHI Assumptions",#N/A,FALSE,"SPHI Openings";"Print SPHI Openings",#N/A,FALSE,"SPHI Openings";"Print CRXLAND Assumptions",#N/A,FALSE,"CRXLAND Openings";"Print CRXLAND Openings",#N/A,FALSE,"CRXLAND Openings"}</definedName>
    <definedName name="temporary" hidden="1">{"Construction Costs",#N/A,FALSE,"Total Costs"}</definedName>
    <definedName name="tenant">#REF!</definedName>
    <definedName name="tenant_address">#REF!</definedName>
    <definedName name="tenant_list">#REF!</definedName>
    <definedName name="Term_in_years">#REF!</definedName>
    <definedName name="TermCap">#REF!</definedName>
    <definedName name="TermCap_yr10">#REF!</definedName>
    <definedName name="TermCap_yr3">#REF!</definedName>
    <definedName name="TermCap_yr5">#REF!</definedName>
    <definedName name="Terminate">#REF!</definedName>
    <definedName name="test" hidden="1">{#N/A,#N/A,FALSE,"HISTORICAL REV &amp; EXP"}</definedName>
    <definedName name="test1" hidden="1">#REF!</definedName>
    <definedName name="test10" hidden="1">{"INCOME",#N/A,FALSE,"ProNet";"VALUE",#N/A,FALSE,"ProNet"}</definedName>
    <definedName name="test100" hidden="1">{"View1",#N/A,FALSE,"Sheet1";"View2",#N/A,FALSE,"Sheet1"}</definedName>
    <definedName name="test11" hidden="1">{#N/A,#N/A,FALSE,"Fund-II"}</definedName>
    <definedName name="Test2" hidden="1">{"INCOME",#N/A,FALSE,"ProNet";"VALUE",#N/A,FALSE,"ProNet"}</definedName>
    <definedName name="Test2_old" hidden="1">{"INCOME",#N/A,FALSE,"ProNet";"VALUE",#N/A,FALSE,"ProNet"}</definedName>
    <definedName name="test20" hidden="1">{"INCOME",#N/A,FALSE,"ProNet";"VALUE",#N/A,FALSE,"ProNet"}</definedName>
    <definedName name="test3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est3_old" hidden="1">{"INCOME",#N/A,FALSE,"ProNet";"VALUE",#N/A,FALSE,"ProNet"}</definedName>
    <definedName name="test30" hidden="1">{"INCOME",#N/A,FALSE,"ProNet";"VALUE",#N/A,FALSE,"ProNet"}</definedName>
    <definedName name="test4" hidden="1">{"CHART",#N/A,FALSE,"Arch Communications"}</definedName>
    <definedName name="test4_old" hidden="1">{"CHART",#N/A,FALSE,"Arch Communications"}</definedName>
    <definedName name="test40" hidden="1">{"CHART",#N/A,FALSE,"Arch Communications"}</definedName>
    <definedName name="test6" hidden="1">{"CHART",#N/A,FALSE,"Arch Communications"}</definedName>
    <definedName name="test60" hidden="1">{"CHART",#N/A,FALSE,"Arch Communications"}</definedName>
    <definedName name="testcopy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TestIIL1">NOT(ISERR(DATEVALUE(LEFT([0]!cc,FIND("|", [0]!cc)-1) &amp; "/01")))</definedName>
    <definedName name="TestIIL2">ISNUMBER(VALUE(MID([0]!cc,FP+1, FIND("|", [0]!cc, FP+1)-FP-1)))</definedName>
    <definedName name="TestIIL3">OR(RIGHT([0]!cc,1)="0", RIGHT([0]!cc,1)="1")</definedName>
    <definedName name="testing2" hidden="1">{"View1",#N/A,FALSE,"Sheet1";"View2",#N/A,FALSE,"Sheet1"}</definedName>
    <definedName name="testnig" hidden="1">{#N/A,#N/A,FALSE,"OVERVIEW"}</definedName>
    <definedName name="testparkave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TextRefCopyRangeCount" hidden="1">9</definedName>
    <definedName name="tgreta" hidden="1">#REF!</definedName>
    <definedName name="th" hidden="1">{#N/A,#N/A,FALSE,"SPacific";#N/A,#N/A,FALSE,"Hanover";#N/A,#N/A,FALSE,"Fairbanks";#N/A,#N/A,FALSE,"Life Savings";#N/A,#N/A,FALSE,"Ocwen";#N/A,#N/A,FALSE,"EMACC";#N/A,#N/A,FALSE,"CREC";#N/A,#N/A,FALSE,"SPTL";#N/A,#N/A,FALSE,"Thornberg";#N/A,#N/A,FALSE,"Conti Res";#N/A,#N/A,FALSE,"Conti Com";#N/A,#N/A,FALSE,"EMAQ";#N/A,#N/A,FALSE,"Fair1"}</definedName>
    <definedName name="Thou">#REF!</definedName>
    <definedName name="Threeyr_Data" hidden="1">#REF!</definedName>
    <definedName name="TI" hidden="1">#REF!</definedName>
    <definedName name="TI_BLEND">#REF!</definedName>
    <definedName name="TI_NEW">#REF!</definedName>
    <definedName name="TI_RENEWAL">#REF!</definedName>
    <definedName name="ticker">"B1Z95S"</definedName>
    <definedName name="tickname" hidden="1">#REF!</definedName>
    <definedName name="tilcdebt">#REF!</definedName>
    <definedName name="title">#REF!</definedName>
    <definedName name="TM1REBUILDOPTION">0</definedName>
    <definedName name="TMS_TEMPLATE_ID">"Workbook"</definedName>
    <definedName name="TOTA196">#REF!</definedName>
    <definedName name="TOTA295">#REF!</definedName>
    <definedName name="TOTA296">#REF!</definedName>
    <definedName name="Total">#REF!</definedName>
    <definedName name="Total_Net_Purchase_Price">#REF!</definedName>
    <definedName name="Total_Parking_Income">#REF!</definedName>
    <definedName name="Total_Pay">#REF!</definedName>
    <definedName name="Total_Payment" localSheetId="0">SCHEDULED_PAYMENT+EXTRA_PAYMENT</definedName>
    <definedName name="Total_Payment" localSheetId="1">SCHEDULED_PAYMENT+EXTRA_PAYMENT</definedName>
    <definedName name="Total_Payment">SCHEDULED_PAYMENT+EXTRA_PAYMENT</definedName>
    <definedName name="Total_Sales_Price">#REF!</definedName>
    <definedName name="Total_Subsidiary_Space_Income">#REF!</definedName>
    <definedName name="Total_Units">#REF!</definedName>
    <definedName name="TotalCF">#REF!</definedName>
    <definedName name="TotalCollected">#REF!</definedName>
    <definedName name="TotalHardCosts" hidden="1">#REF!</definedName>
    <definedName name="TOTALNRA">#REF!</definedName>
    <definedName name="TotalProjectOHLot" hidden="1">#REF!</definedName>
    <definedName name="TOTALrevenue">#REF!</definedName>
    <definedName name="TotalSalesPrice" hidden="1">#REF!</definedName>
    <definedName name="TotalSF">#REF!</definedName>
    <definedName name="TotalUnits">#REF!</definedName>
    <definedName name="totcap" hidden="1">#REF!,#REF!,#REF!,#REF!</definedName>
    <definedName name="TotCost">#REF!</definedName>
    <definedName name="TotEq">#REF!</definedName>
    <definedName name="TOTNRA">#REF!</definedName>
    <definedName name="TOTPRICE">#REF!</definedName>
    <definedName name="TP_Footer_Path" hidden="1">"S:\01534\2003RET\016\PROJ FILE\"</definedName>
    <definedName name="TP_Footer_User" hidden="1">"omichij"</definedName>
    <definedName name="TP_Footer_Version" hidden="1">"v3.00"</definedName>
    <definedName name="Trans_Cost">#REF!</definedName>
    <definedName name="treeList" hidden="1">"11100000000000000000000000000000000000000000000000000000000000000000000000000000000000000000000000000000000000000000000000000000000000000000000000000000000000000000000000000000000000000000000000000000"</definedName>
    <definedName name="trhrwty" hidden="1">#REF!</definedName>
    <definedName name="Trial">#REF!</definedName>
    <definedName name="trtyr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tt" hidden="1">#REF!</definedName>
    <definedName name="tttt" hidden="1">{"data",#N/A,FALSE,"INPUT"}</definedName>
    <definedName name="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vguide">#REF!</definedName>
    <definedName name="twn" hidden="1">{"Analysis of Non Group Investments",#N/A,TRUE,"Support";"Income And Gains",#N/A,TRUE,"Support";"Inter Coy Interest and Divs",#N/A,TRUE,"Support";"Divs paid and payable",#N/A,TRUE,"Support";"Amounts due to Group Coys",#N/A,TRUE,"Support";"Amounts due from Group Coys.",#N/A,TRUE,"Support";"Holdings In Group Coys",#N/A,TRUE,"Support";"Cash Flow",#N/A,TRUE,"Support";"Staff Nos.",#N/A,TRUE,"Support"}</definedName>
    <definedName name="twohy">#REF!</definedName>
    <definedName name="tyjetyj" hidden="1">#REF!</definedName>
    <definedName name="tyjsrty" hidden="1">{"Investor",#N/A,FALSE,"Model";"Property",#N/A,FALSE,"Model";"Incentive Taxes",#N/A,FALSE,"Model"}</definedName>
    <definedName name="tykjthk" hidden="1">{"Investor",#N/A,FALSE,"Model";"Property",#N/A,FALSE,"Model";"Incentive Taxes",#N/A,FALSE,"Model"}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tynonasset" hidden="1">#REF!</definedName>
    <definedName name="Type">#REF!</definedName>
    <definedName name="type_1">#REF!</definedName>
    <definedName name="type_1_breakpoint">#REF!</definedName>
    <definedName name="type_1_SF">#REF!</definedName>
    <definedName name="type_2">#REF!</definedName>
    <definedName name="type_2_breakpoint">#REF!</definedName>
    <definedName name="type_2_SF">#REF!</definedName>
    <definedName name="type_3">#REF!</definedName>
    <definedName name="type_3_breakpoint">#REF!</definedName>
    <definedName name="type_3_SF">#REF!</definedName>
    <definedName name="type_4">#REF!</definedName>
    <definedName name="type_4_breakpoint">#REF!</definedName>
    <definedName name="type_4_SF">#REF!</definedName>
    <definedName name="type_5">#REF!</definedName>
    <definedName name="type_5_breakpoint">#REF!</definedName>
    <definedName name="type_5_SF">#REF!</definedName>
    <definedName name="TypeList">#REF!</definedName>
    <definedName name="tyrt" hidden="1">{"Lot Prices",#N/A,FALSE,"LOTS-PRICING";"lot1",#N/A,FALSE,"Lots";"lot2",#N/A,FALSE,"Lots";"Lot3",#N/A,FALSE,"Lots";"lot4",#N/A,FALSE,"Lots";"lot5",#N/A,FALSE,"Lots";"lot6",#N/A,FALSE,"Lots";"lot7",#N/A,FALSE,"Lots";"lot8",#N/A,FALSE,"Lots";"lot9",#N/A,FALSE,"Lots";"lot10",#N/A,FALSE,"Lots";"lot11",#N/A,FALSE,"Lots";"lot12",#N/A,FALSE,"Lots"}</definedName>
    <definedName name="u" hidden="1">{"CSheet",#N/A,FALSE,"C";"SmCap",#N/A,FALSE,"VAL1";"GulfCoast",#N/A,FALSE,"VAL1";"nav",#N/A,FALSE,"NAV";"Summary",#N/A,FALSE,"NAV"}</definedName>
    <definedName name="Überschuss___Fehlbetrag">#REF!</definedName>
    <definedName name="UCosts">#REF!</definedName>
    <definedName name="uen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ui" hidden="1">{"Total",#N/A,FALSE,"Total Proved";"PDP",#N/A,FALSE,"Total Proved";"PNP",#N/A,FALSE,"Total Proved";"PUD",#N/A,FALSE,"Total Proved"}</definedName>
    <definedName name="uigl" hidden="1">#REF!</definedName>
    <definedName name="uioiuo" hidden="1">{#N/A,#N/A,FALSE,"Highridge Return Analysis";#N/A,#N/A,FALSE,"Sale @ end of year 3 (4yr Plan)";#N/A,#N/A,FALSE,"Highridge Assumption Page"}</definedName>
    <definedName name="uiyui" hidden="1">{"sheet a",#N/A,FALSE,"A";"2 9 casflow",#N/A,FALSE,"B"}</definedName>
    <definedName name="uj" hidden="1">{#N/A,#N/A,FALSE,"Chart 2 by Prop Type"}</definedName>
    <definedName name="uky" hidden="1">#REF!</definedName>
    <definedName name="Unit">#REF!</definedName>
    <definedName name="UNIT_MIX">#REF!</definedName>
    <definedName name="Unit_Number">#REF!</definedName>
    <definedName name="Unit_Type">#REF!</definedName>
    <definedName name="Unit1_Info">#REF!</definedName>
    <definedName name="Unit1_Mo1">#REF!</definedName>
    <definedName name="Unit1_Rents">#REF!</definedName>
    <definedName name="UNIT95">#REF!</definedName>
    <definedName name="unitcount">#REF!</definedName>
    <definedName name="Units">#REF!</definedName>
    <definedName name="unitsav100">#REF!</definedName>
    <definedName name="unitsav101">#REF!</definedName>
    <definedName name="unitsav102">#REF!</definedName>
    <definedName name="unitsav103">#REF!</definedName>
    <definedName name="unitsav104">#REF!</definedName>
    <definedName name="unitsav105">#REF!</definedName>
    <definedName name="unitsav106">#REF!</definedName>
    <definedName name="unitsav107">#REF!</definedName>
    <definedName name="unitsav197">#REF!</definedName>
    <definedName name="unitsav198">#REF!</definedName>
    <definedName name="unitsav199">#REF!</definedName>
    <definedName name="unitsav200">#REF!</definedName>
    <definedName name="unitsav201">#REF!</definedName>
    <definedName name="unitsav202">#REF!</definedName>
    <definedName name="unitsav203">#REF!</definedName>
    <definedName name="unitsav204">#REF!</definedName>
    <definedName name="unitsav205">#REF!</definedName>
    <definedName name="unitsav206">#REF!</definedName>
    <definedName name="unitsav207">#REF!</definedName>
    <definedName name="unitsav297">#REF!</definedName>
    <definedName name="unitsav298">#REF!</definedName>
    <definedName name="unitsav299">#REF!</definedName>
    <definedName name="UNITSORD196">#REF!</definedName>
    <definedName name="Unrec_Costs">#REF!</definedName>
    <definedName name="Unrec_Exp">#REF!</definedName>
    <definedName name="Unrecoverable">#REF!</definedName>
    <definedName name="Unreserved">#REF!</definedName>
    <definedName name="USDollar" hidden="1">#REF!</definedName>
    <definedName name="UTIL2000">#REF!</definedName>
    <definedName name="UTIL2001">#REF!</definedName>
    <definedName name="uu" hidden="1">#REF!</definedName>
    <definedName name="uw4u" hidden="1">{"Investor",#N/A,FALSE,"Model";"Property",#N/A,FALSE,"Model";"Incentive Taxes",#N/A,FALSE,"Model"}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" hidden="1">#REF!</definedName>
    <definedName name="v_Key1" hidden="1">#REF!</definedName>
    <definedName name="v_Key2" hidden="1">#REF!</definedName>
    <definedName name="Vac">#REF!</definedName>
    <definedName name="VACANCY">#REF!</definedName>
    <definedName name="VACANT">#REF!</definedName>
    <definedName name="vacant_unit_count">#REF!</definedName>
    <definedName name="vacant_unit_rent">#REF!</definedName>
    <definedName name="vacant_unit_size">#REF!</definedName>
    <definedName name="vacant_unit_type">#REF!</definedName>
    <definedName name="VACINP">#REF!</definedName>
    <definedName name="VACNRA">#REF!</definedName>
    <definedName name="VALRA1">#REF!</definedName>
    <definedName name="VALRN1">#REF!</definedName>
    <definedName name="VALRN10">#REF!</definedName>
    <definedName name="VALRN11">#REF!</definedName>
    <definedName name="VALRN12">#REF!</definedName>
    <definedName name="VALRN2">#REF!</definedName>
    <definedName name="VALRN3">#REF!</definedName>
    <definedName name="VALRN4">#REF!</definedName>
    <definedName name="VALRN5">#REF!</definedName>
    <definedName name="VALRN6">#REF!</definedName>
    <definedName name="VALRN7">#REF!</definedName>
    <definedName name="VALRN8">#REF!</definedName>
    <definedName name="VALRN9">#REF!</definedName>
    <definedName name="VALRQ1">#REF!</definedName>
    <definedName name="VALRQ2">#REF!</definedName>
    <definedName name="VALRQ3">#REF!</definedName>
    <definedName name="VALRS1">#REF!</definedName>
    <definedName name="VALRS2">#REF!</definedName>
    <definedName name="VALRS3">#REF!</definedName>
    <definedName name="VALRS4">#REF!</definedName>
    <definedName name="VALRV1">#REF!</definedName>
    <definedName name="VALRV2">#REF!</definedName>
    <definedName name="VALRV3">#REF!</definedName>
    <definedName name="VALRV4">#REF!</definedName>
    <definedName name="VALRW1">#REF!</definedName>
    <definedName name="VALUE">#N/A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lues_Entered">IF(Loan_Amount*Interest_Rate*Loan_Years*Loan_Start&gt;0,1,0)</definedName>
    <definedName name="VALUESUM">#REF!</definedName>
    <definedName name="var96_96" hidden="1">{#N/A,#N/A,FALSE,"B_Spread"}</definedName>
    <definedName name="VarExp">#REF!</definedName>
    <definedName name="vasugi" hidden="1">{#N/A,#N/A,FALSE,"Class A";#N/A,#N/A,FALSE,"Class B";#N/A,#N/A,FALSE,"Class C"}</definedName>
    <definedName name="vc" hidden="1">#REF!</definedName>
    <definedName name="Versicherungen">#REF!</definedName>
    <definedName name="VerwGeb_SOLL">#REF!</definedName>
    <definedName name="vghjkvgh" hidden="1">{#N/A,#N/A,FALSE,"Expense Detail ";#N/A,#N/A,FALSE,"Worksheet";#N/A,#N/A,FALSE,"Audit";#N/A,#N/A,FALSE,"Exclusions";#N/A,#N/A,FALSE,"Variance";#N/A,#N/A,FALSE,"Reconciliation"}</definedName>
    <definedName name="vghvgh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vhjh" hidden="1">{#N/A,#N/A,FALSE,"CCC ACC Budget";#N/A,#N/A,FALSE,"Variance";#N/A,#N/A,FALSE,"CCC Rent Detail";#N/A,#N/A,FALSE,"COMMON AREA";#N/A,#N/A,FALSE,"CCC Electric Inclusion";#N/A,#N/A,FALSE,"CCC Opex Detail";#N/A,#N/A,FALSE,"CCC RE Tax Detail";#N/A,#N/A,FALSE,"CCC Chilled Wtr Inclusion";#N/A,#N/A,FALSE,"CCC OTHVAC ";#N/A,#N/A,FALSE,"CCC INPUT"}</definedName>
    <definedName name="viasat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VIGRIN.Operations._.Review" hidden="1">{#N/A,#N/A,FALSE,"Proforma Five Yr";#N/A,#N/A,FALSE,"Occ and Rate";#N/A,#N/A,FALSE,"PF Input";#N/A,#N/A,FALSE,"Hotcomps"}</definedName>
    <definedName name="VIRG.Complete._.Review" hidden="1">{#N/A,#N/A,FALSE,"Occ and Rate";#N/A,#N/A,FALSE,"PF Input";#N/A,#N/A,FALSE,"Capital Input";#N/A,#N/A,FALSE,"Proforma Five Yr";#N/A,#N/A,FALSE,"Calculations";#N/A,#N/A,FALSE,"Transaction Summary-DTW"}</definedName>
    <definedName name="VIRGIN.Investment._.Review" hidden="1">{#N/A,#N/A,FALSE,"Proforma Five Yr";#N/A,#N/A,FALSE,"Capital Input";#N/A,#N/A,FALSE,"Calculations";#N/A,#N/A,FALSE,"Transaction Summary-DTW"}</definedName>
    <definedName name="VIRGIN.Phase._.I." hidden="1">{#N/A,#N/A,FALSE,"Transaction Summary-DTW";#N/A,#N/A,FALSE,"Proforma Five Yr";#N/A,#N/A,FALSE,"Occ and Rate"}</definedName>
    <definedName name="VIRGIN.Proforma._.Review." hidden="1">{#N/A,#N/A,FALSE,"Occ and Rate";#N/A,#N/A,FALSE,"PF Input";#N/A,#N/A,FALSE,"Proforma Five Yr";#N/A,#N/A,FALSE,"Hotcomps"}</definedName>
    <definedName name="vj" hidden="1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vnbs" hidden="1">{"FCB_ALL",#N/A,FALSE,"FCB"}</definedName>
    <definedName name="vsr" hidden="1">{"FCB_ALL",#N/A,FALSE,"FCB"}</definedName>
    <definedName name="vv" hidden="1">#REF!</definedName>
    <definedName name="vvv" hidden="1">{"1998",#N/A,FALSE,"1998"}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vz" hidden="1">{"mgmt forecast",#N/A,FALSE,"Mgmt Forecast";"dcf table",#N/A,FALSE,"Mgmt Forecast";"sensitivity",#N/A,FALSE,"Mgmt Forecast";"table inputs",#N/A,FALSE,"Mgmt Forecast";"calculations",#N/A,FALSE,"Mgmt Forecast"}</definedName>
    <definedName name="vzx" hidden="1">{"mgmt forecast",#N/A,FALSE,"Mgmt Forecast";"dcf table",#N/A,FALSE,"Mgmt Forecast";"sensitivity",#N/A,FALSE,"Mgmt Forecast";"table inputs",#N/A,FALSE,"Mgmt Forecast";"calculations",#N/A,FALSE,"Mgmt Forecast"}</definedName>
    <definedName name="w" hidden="1">{"Assump",#N/A,TRUE,"Proforma";"first",#N/A,TRUE,"Proforma";"second",#N/A,TRUE,"Proforma";"lease1",#N/A,TRUE,"Proforma";"lease2",#N/A,TRUE,"Proforma"}</definedName>
    <definedName name="WACCnew" hidden="1">{"CHART",#N/A,FALSE,"Arch Communications"}</definedName>
    <definedName name="wafe" hidden="1">{"summary1",#N/A,TRUE,"Comps";"summary2",#N/A,TRUE,"Comps";"summary3",#N/A,TRUE,"Comps"}</definedName>
    <definedName name="WageType">#REF!</definedName>
    <definedName name="WalkYTDBudNEW" hidden="1">{"FIXVARIANCE",#N/A,FALSE,"COSTPHSE";"SOURCING",#N/A,FALSE,"COSTPHSE"}</definedName>
    <definedName name="Ward2273" hidden="1">{"Page 1",#N/A,FALSE,"92264 Page 1";"Page 2",#N/A,FALSE,"92264 Page 2";"Page 3",#N/A,FALSE,"92264 Page 3";"Page 4",#N/A,FALSE,"92264 Page 4";"Page 5",#N/A,FALSE,"92264 Page 5";"Page 6",#N/A,FALSE,"92264 Page 6";"Page 7",#N/A,FALSE,"92264 Page 7";"Page 8",#N/A,FALSE,"92264 Page 8"}</definedName>
    <definedName name="Wartung_Aufzug">#REF!</definedName>
    <definedName name="Wartung_Heizung">#REF!</definedName>
    <definedName name="was" hidden="1">{#N/A,#N/A,FALSE,"Chart 2 by Prop Type"}</definedName>
    <definedName name="WatertownIncl.">#REF!</definedName>
    <definedName name="we" hidden="1">{#N/A,#N/A,FALSE,"Chart 2 by Prop Type"}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fdsf" hidden="1">{#N/A,#N/A,FALSE,"Consolidated";#N/A,#N/A,FALSE,"Available Credit";#N/A,#N/A,FALSE,"100% Owned";#N/A,#N/A,FALSE,"Bentall U.S. LLC";#N/A,#N/A,FALSE,"Bentall Properties (U.S.) Ltd.";#N/A,#N/A,FALSE,"Schedule I"}</definedName>
    <definedName name="wegj56" hidden="1">{"scen1",#N/A,FALSE,"Scenarios";"scen2",#N/A,FALSE,"Scenarios"}</definedName>
    <definedName name="wen" hidden="1">{"Assumptions",#N/A,FALSE,"input page"}</definedName>
    <definedName name="wepij" hidden="1">#REF!</definedName>
    <definedName name="WEQQE" hidden="1">{"summary1",#N/A,TRUE,"Comps";"summary2",#N/A,TRUE,"Comps";"summary3",#N/A,TRUE,"Comps"}</definedName>
    <definedName name="wer" hidden="1">{"Total",#N/A,FALSE,"Six Fields";"PDP",#N/A,FALSE,"Six Fields";"PNP",#N/A,FALSE,"Six Fields";"PUD",#N/A,FALSE,"Six Fields";"Prob",#N/A,FALSE,"Six Fields"}</definedName>
    <definedName name="were" hidden="1">{"CHART",#N/A,FALSE,"Arch Communications"}</definedName>
    <definedName name="were2" hidden="1">{"CHART",#N/A,FALSE,"Arch Communications"}</definedName>
    <definedName name="wertewrt" hidden="1">#REF!</definedName>
    <definedName name="wertwert" hidden="1">{0,0,0,0;0,0,0,0;0,0,0,0;0,0,0,0;0,0,0,0}</definedName>
    <definedName name="werw" hidden="1">{#N/A,#N/A,TRUE,"COVER";#N/A,#N/A,TRUE,"PROFORMA";#N/A,#N/A,TRUE,"Construction CF";#N/A,#N/A,TRUE,"CASHFLOW"}</definedName>
    <definedName name="werwer" hidden="1">#N/A</definedName>
    <definedName name="werwerw" hidden="1">#N/A</definedName>
    <definedName name="West" hidden="1">#REF!</definedName>
    <definedName name="wet" hidden="1">{"CSheet",#N/A,FALSE,"C";"SmCap",#N/A,FALSE,"VAL1";"GulfCoast",#N/A,FALSE,"VAL1";"nav",#N/A,FALSE,"NAV";"Summary",#N/A,FALSE,"NAV"}</definedName>
    <definedName name="wetadf" hidden="1">{"Assump",#N/A,TRUE,"Proforma";"first",#N/A,TRUE,"Proforma";"second",#N/A,TRUE,"Proforma";"lease1",#N/A,TRUE,"Proforma";"lease2",#N/A,TRUE,"Proforma"}</definedName>
    <definedName name="WF_2_Inc">#REF!</definedName>
    <definedName name="WF_3_Inc">#REF!</definedName>
    <definedName name="what" hidden="1">{"clp_bs_doc",#N/A,FALSE,"CLP";"clp_is_doc",#N/A,FALSE,"CLP";"clp_cf_doc",#N/A,FALSE,"CLP";"clp_fr_doc",#N/A,FALSE,"CLP"}</definedName>
    <definedName name="what_asdf2" localSheetId="0" hidden="1">{#N/A,#N/A,FALSE,"OperatingAssumptions"}</definedName>
    <definedName name="what_asdf2" hidden="1">{#N/A,#N/A,FALSE,"OperatingAssumptions"}</definedName>
    <definedName name="what_asdf2_1" hidden="1">{#N/A,#N/A,FALSE,"OperatingAssumptions"}</definedName>
    <definedName name="what_asdf2_2" hidden="1">{#N/A,#N/A,FALSE,"OperatingAssumptions"}</definedName>
    <definedName name="what_asdf2_3" hidden="1">{#N/A,#N/A,FALSE,"OperatingAssumptions"}</definedName>
    <definedName name="what_asdf2_4" hidden="1">{#N/A,#N/A,FALSE,"OperatingAssumptions"}</definedName>
    <definedName name="Whatever" hidden="1">#REF!</definedName>
    <definedName name="whatwhat" hidden="1">{"Page1",#N/A,FALSE,"7979";"Page2",#N/A,FALSE,"7979";"Page3",#N/A,FALSE,"7979"}</definedName>
    <definedName name="whitehall">#REF!</definedName>
    <definedName name="WHSPLIT">#REF!</definedName>
    <definedName name="wilshire">#REF!</definedName>
    <definedName name="wmp" hidden="1">{#N/A,#N/A,FALSE,"ENGINEERING"}</definedName>
    <definedName name="wn.all." hidden="1">{#N/A,#N/A,FALSE,"Class A";#N/A,#N/A,FALSE,"Class B";#N/A,#N/A,FALSE,"Class C"}</definedName>
    <definedName name="wn.Management._.Report." hidden="1">{#N/A,#N/A,FALSE,"Title - Management";#N/A,#N/A,FALSE,"Schedule 1a";#N/A,#N/A,FALSE,"Schedule 2 - 2001";#N/A,#N/A,FALSE,"Schedule 2 - 2002";#N/A,#N/A,FALSE,"Schedule 2 - 2003";#N/A,#N/A,FALSE,"Schedule 3 - Mgnt ";#N/A,#N/A,FALSE,"Schedule 3";#N/A,#N/A,FALSE,"Schedule 4";#N/A,#N/A,FALSE,"Schedule 4a - Mgnt";#N/A,#N/A,FALSE,"Schedule 5";#N/A,#N/A,FALSE,"Schedule 5a";#N/A,#N/A,FALSE,"Schedule 6";#N/A,#N/A,FALSE,"Schedule 6a";#N/A,#N/A,FALSE,"Schedule 6b";#N/A,#N/A,FALSE,"Schedule 6c";#N/A,#N/A,FALSE,"Schedule 6d";#N/A,#N/A,FALSE,"Schedule 6e";#N/A,#N/A,FALSE,"Schedule 7";#N/A,#N/A,FALSE,"Schedule 8";#N/A,#N/A,FALSE,"Schedule 9- Mgnt";#N/A,#N/A,FALSE,"Schedule 10 - Mgmt Fees - Mgnt";#N/A,#N/A,FALSE,"Schedule 10- Leasing Fees- Mgnt";#N/A,#N/A,FALSE,"Schedule 10 - Devel Fees- Mgnt"}</definedName>
    <definedName name="woolworth">#REF!</definedName>
    <definedName name="worksheet_signature">#REF!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.all." hidden="1">{#N/A,#N/A,FALSE,"Class A";#N/A,#N/A,FALSE,"Class B";#N/A,#N/A,FALSE,"Class C"}</definedName>
    <definedName name="wr.alll." hidden="1">{#N/A,#N/A,FALSE,"Class A";#N/A,#N/A,FALSE,"Class B";#N/A,#N/A,FALSE,"Class C"}</definedName>
    <definedName name="wr.Basic._.Forecast.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wr.Brookfield._.Notes." hidden="1">{#N/A,#N/A,FALSE,"Note 2";#N/A,#N/A,FALSE,"Note 3";#N/A,#N/A,FALSE,"Note 4";#N/A,#N/A,FALSE,"Note 5";#N/A,#N/A,FALSE,"Note 6";#N/A,#N/A,FALSE,"Note 10"}</definedName>
    <definedName name="wr.Brookfield._.Notes._1" hidden="1">{#N/A,#N/A,FALSE,"Note 2";#N/A,#N/A,FALSE,"Note 3";#N/A,#N/A,FALSE,"Note 4";#N/A,#N/A,FALSE,"Note 5";#N/A,#N/A,FALSE,"Note 6";#N/A,#N/A,FALSE,"Note 10"}</definedName>
    <definedName name="wr.Brookfield._.Notes._2" hidden="1">{#N/A,#N/A,FALSE,"Note 2";#N/A,#N/A,FALSE,"Note 3";#N/A,#N/A,FALSE,"Note 4";#N/A,#N/A,FALSE,"Note 5";#N/A,#N/A,FALSE,"Note 6";#N/A,#N/A,FALSE,"Note 10"}</definedName>
    <definedName name="wrd.2._.pagers.3" hidden="1">{"Cover",#N/A,FALSE,"Cover";"Summary",#N/A,FALSE,"Summarpage"}</definedName>
    <definedName name="wrn" hidden="1">{#N/A,#N/A,FALSE,"ZellLurieFinSummary";#N/A,#N/A,FALSE,"FirstCapFinSummary";#N/A,#N/A,FALSE,"ZM I-III Consol FinSummary"}</definedName>
    <definedName name="wrn_suite" hidden="1">{"2001 Accum",#N/A,FALSE,"ACCUM SUM"}</definedName>
    <definedName name="wrn.042696." hidden="1">{#N/A,#N/A,FALSE,"Master Summ";#N/A,#N/A,FALSE,"Rem Obl";#N/A,#N/A,FALSE,"320 Park";#N/A,#N/A,FALSE,"520 Mad (LL 41)";#N/A,#N/A,FALSE,"520 Mad (Proj 41)";#N/A,#N/A,FALSE,"1 Rock"}</definedName>
    <definedName name="wrn.1._.Page._.Summaries." hidden="1">{"S/A 1 Summary 1P",#N/A,FALSE,"Core Assumptions";"S/A 2 Summary 1P",#N/A,FALSE,"Core Assumptions";"S/A 3 Summary 1P",#N/A,FALSE,"Core Assumptions";"S/A Summary 4 1P",#N/A,FALSE,"Core Assumptions";"Core Assumptions",#N/A,FALSE,"Core Assumptions";"T/O Assumptions",#N/A,FALSE,"Take Over Assumptions"}</definedName>
    <definedName name="wrn.1._.Recap._.Model." hidden="1">{"1 - Summary",#N/A,TRUE,"Project Summary";"1 - Dev Budg",#N/A,TRUE,"Project Summary";"1 - Annual",#N/A,TRUE,"Project Annual";"1 - Leasing",#N/A,TRUE,"Phase I"}</definedName>
    <definedName name="wrn.10._.Year._.Analysis." hidden="1">{"Data Input",#N/A,TRUE,"Data Input";"10-Yr Cash Flow",#N/A,TRUE,"Cash Flow";"10-Yr Value",#N/A,TRUE,"Value "}</definedName>
    <definedName name="wrn.1111._.Report." hidden="1">{#N/A,#N/A,FALSE,"Annualized Flows";#N/A,#N/A,FALSE,"Comparison";#N/A,#N/A,FALSE,"OpEx - Detail";#N/A,#N/A,FALSE,"Overall - Summary";#N/A,#N/A,FALSE,"Revenue - Summary";#N/A,#N/A,FALSE,"Rental - Detail";#N/A,#N/A,FALSE,"Escalate - Template";#N/A,#N/A,FALSE,"Escalate - Tenants";#N/A,#N/A,FALSE,"Escalate - M to M";#N/A,#N/A,FALSE,"Garage - Detail";#N/A,#N/A,FALSE,"Other - Detail";#N/A,#N/A,FALSE,"OpEx - Summary";#N/A,#N/A,FALSE,"Notes (2)";#N/A,#N/A,FALSE,"Notes";#N/A,#N/A,FALSE,"NRExp - Summary";#N/A,#N/A,FALSE,"NRExp - Detail";#N/A,#N/A,FALSE,"Capx - Summary";#N/A,#N/A,FALSE,"Capx - Detail";#N/A,#N/A,FALSE,"Debt";#N/A,#N/A,FALSE,"Forecast - Summary";#N/A,#N/A,FALSE,"Forecast - Detail";#N/A,#N/A,FALSE,"Forecast - Rent";#N/A,#N/A,FALSE,"Forecast - Garage";#N/A,#N/A,FALSE,"Forecast - Capx"}</definedName>
    <definedName name="wrn.1112._.Report." hidden="1">{#N/A,#N/A,FALSE,"Annualized Flows";#N/A,#N/A,FALSE,"Comparison";#N/A,#N/A,FALSE,"OpEx - Detail";#N/A,#N/A,FALSE,"Overall - Summary";#N/A,#N/A,FALSE,"Revenue - Summary";#N/A,#N/A,FALSE,"Rental - Detail";#N/A,#N/A,FALSE,"Escalate - Template";#N/A,#N/A,FALSE,"Escalate - Tenants";#N/A,#N/A,FALSE,"Escalate - M to M";#N/A,#N/A,FALSE,"Garage - Detail";#N/A,#N/A,FALSE,"Other - Detail";#N/A,#N/A,FALSE,"OpEx - Summary";#N/A,#N/A,FALSE,"Notes (2)";#N/A,#N/A,FALSE,"Notes";#N/A,#N/A,FALSE,"NRExp - Summary";#N/A,#N/A,FALSE,"NRExp - Detail";#N/A,#N/A,FALSE,"Capx - Summary";#N/A,#N/A,FALSE,"Capx - Detail";#N/A,#N/A,FALSE,"Debt";#N/A,#N/A,FALSE,"Forecast - Summary";#N/A,#N/A,FALSE,"Forecast - Detail";#N/A,#N/A,FALSE,"Forecast - Rent";#N/A,#N/A,FALSE,"Forecast - Garage";#N/A,#N/A,FALSE,"Forecast - Capx"}</definedName>
    <definedName name="wrn.12._.MONTH._.SPREAD." localSheetId="0" hidden="1">{#N/A,#N/A,FALSE,"CPM";#N/A,#N/A,FALSE,"CVI";#N/A,#N/A,FALSE,"RNL";#N/A,#N/A,FALSE,"HAL";#N/A,#N/A,FALSE,"WPL";#N/A,#N/A,FALSE,"RPL";#N/A,#N/A,FALSE,"GVA";#N/A,#N/A,FALSE,"LRJKL";#N/A,#N/A,FALSE,"LPCVI";#N/A,#N/A,FALSE,"RGW and RGW2";#N/A,#N/A,FALSE,"RHL";#N/A,#N/A,FALSE,"HRP";#N/A,#N/A,FALSE,"WPE";#N/A,#N/A,FALSE,"DEL";#N/A,#N/A,FALSE,"PCA";#N/A,#N/A,FALSE,"PBL";#N/A,#N/A,FALSE,"KLL";#N/A,#N/A,FALSE,"RCR";#N/A,#N/A,FALSE,"LRJ#1";#N/A,#N/A,FALSE,"LRJ#2";#N/A,#N/A,FALSE,"OPL"}</definedName>
    <definedName name="wrn.12._.MONTH._.SPREAD." hidden="1">{#N/A,#N/A,FALSE,"CPM";#N/A,#N/A,FALSE,"CVI";#N/A,#N/A,FALSE,"RNL";#N/A,#N/A,FALSE,"HAL";#N/A,#N/A,FALSE,"WPL";#N/A,#N/A,FALSE,"RPL";#N/A,#N/A,FALSE,"GVA";#N/A,#N/A,FALSE,"LRJKL";#N/A,#N/A,FALSE,"LPCVI";#N/A,#N/A,FALSE,"RGW and RGW2";#N/A,#N/A,FALSE,"RHL";#N/A,#N/A,FALSE,"HRP";#N/A,#N/A,FALSE,"WPE";#N/A,#N/A,FALSE,"DEL";#N/A,#N/A,FALSE,"PCA";#N/A,#N/A,FALSE,"PBL";#N/A,#N/A,FALSE,"KLL";#N/A,#N/A,FALSE,"RCR";#N/A,#N/A,FALSE,"LRJ#1";#N/A,#N/A,FALSE,"LRJ#2";#N/A,#N/A,FALSE,"OPL"}</definedName>
    <definedName name="wrn.12._.MONTH._.SPREAD._1" hidden="1">{#N/A,#N/A,FALSE,"CPM";#N/A,#N/A,FALSE,"CVI";#N/A,#N/A,FALSE,"RNL";#N/A,#N/A,FALSE,"HAL";#N/A,#N/A,FALSE,"WPL";#N/A,#N/A,FALSE,"RPL";#N/A,#N/A,FALSE,"GVA";#N/A,#N/A,FALSE,"LRJKL";#N/A,#N/A,FALSE,"LPCVI";#N/A,#N/A,FALSE,"RGW and RGW2";#N/A,#N/A,FALSE,"RHL";#N/A,#N/A,FALSE,"HRP";#N/A,#N/A,FALSE,"WPE";#N/A,#N/A,FALSE,"DEL";#N/A,#N/A,FALSE,"PCA";#N/A,#N/A,FALSE,"PBL";#N/A,#N/A,FALSE,"KLL";#N/A,#N/A,FALSE,"RCR";#N/A,#N/A,FALSE,"LRJ#1";#N/A,#N/A,FALSE,"LRJ#2";#N/A,#N/A,FALSE,"OPL"}</definedName>
    <definedName name="wrn.12._.MONTH._.SPREAD._2" hidden="1">{#N/A,#N/A,FALSE,"CPM";#N/A,#N/A,FALSE,"CVI";#N/A,#N/A,FALSE,"RNL";#N/A,#N/A,FALSE,"HAL";#N/A,#N/A,FALSE,"WPL";#N/A,#N/A,FALSE,"RPL";#N/A,#N/A,FALSE,"GVA";#N/A,#N/A,FALSE,"LRJKL";#N/A,#N/A,FALSE,"LPCVI";#N/A,#N/A,FALSE,"RGW and RGW2";#N/A,#N/A,FALSE,"RHL";#N/A,#N/A,FALSE,"HRP";#N/A,#N/A,FALSE,"WPE";#N/A,#N/A,FALSE,"DEL";#N/A,#N/A,FALSE,"PCA";#N/A,#N/A,FALSE,"PBL";#N/A,#N/A,FALSE,"KLL";#N/A,#N/A,FALSE,"RCR";#N/A,#N/A,FALSE,"LRJ#1";#N/A,#N/A,FALSE,"LRJ#2";#N/A,#N/A,FALSE,"OPL"}</definedName>
    <definedName name="wrn.12._.MONTH._.SPREAD._3" hidden="1">{#N/A,#N/A,FALSE,"CPM";#N/A,#N/A,FALSE,"CVI";#N/A,#N/A,FALSE,"RNL";#N/A,#N/A,FALSE,"HAL";#N/A,#N/A,FALSE,"WPL";#N/A,#N/A,FALSE,"RPL";#N/A,#N/A,FALSE,"GVA";#N/A,#N/A,FALSE,"LRJKL";#N/A,#N/A,FALSE,"LPCVI";#N/A,#N/A,FALSE,"RGW and RGW2";#N/A,#N/A,FALSE,"RHL";#N/A,#N/A,FALSE,"HRP";#N/A,#N/A,FALSE,"WPE";#N/A,#N/A,FALSE,"DEL";#N/A,#N/A,FALSE,"PCA";#N/A,#N/A,FALSE,"PBL";#N/A,#N/A,FALSE,"KLL";#N/A,#N/A,FALSE,"RCR";#N/A,#N/A,FALSE,"LRJ#1";#N/A,#N/A,FALSE,"LRJ#2";#N/A,#N/A,FALSE,"OPL"}</definedName>
    <definedName name="wrn.12._.MONTH._.SPREAD._4" hidden="1">{#N/A,#N/A,FALSE,"CPM";#N/A,#N/A,FALSE,"CVI";#N/A,#N/A,FALSE,"RNL";#N/A,#N/A,FALSE,"HAL";#N/A,#N/A,FALSE,"WPL";#N/A,#N/A,FALSE,"RPL";#N/A,#N/A,FALSE,"GVA";#N/A,#N/A,FALSE,"LRJKL";#N/A,#N/A,FALSE,"LPCVI";#N/A,#N/A,FALSE,"RGW and RGW2";#N/A,#N/A,FALSE,"RHL";#N/A,#N/A,FALSE,"HRP";#N/A,#N/A,FALSE,"WPE";#N/A,#N/A,FALSE,"DEL";#N/A,#N/A,FALSE,"PCA";#N/A,#N/A,FALSE,"PBL";#N/A,#N/A,FALSE,"KLL";#N/A,#N/A,FALSE,"RCR";#N/A,#N/A,FALSE,"LRJ#1";#N/A,#N/A,FALSE,"LRJ#2";#N/A,#N/A,FALSE,"OPL"}</definedName>
    <definedName name="wrn.120W45." hidden="1">{#N/A,#N/A,FALSE,"1";#N/A,#N/A,FALSE,"1x";#N/A,#N/A,FALSE,"2";#N/A,#N/A,FALSE,"2x";#N/A,#N/A,FALSE,"3";#N/A,#N/A,FALSE,"3x"}</definedName>
    <definedName name="wrn.15._.Year._.Analysis." hidden="1">{"Data Input",#N/A,TRUE,"Data Input";"15-Yr Cash Flow",#N/A,TRUE,"Cash Flow";"15-Yr Value",#N/A,TRUE,"Value "}</definedName>
    <definedName name="wrn.1995._.Analysis." hidden="1">{#N/A,#N/A,FALSE,"1995 Rev &amp; Exp"}</definedName>
    <definedName name="wrn.1997." hidden="1">{"CoverSheet",#N/A,TRUE,"97CoverPage";#N/A,#N/A,TRUE,"97TableOfContents";"CY 1997",#N/A,TRUE,"97CashFlowBeforeFinancing";"CY 1997",#N/A,TRUE,"97CashFlowAfterFinancing ";"CY 1997",#N/A,TRUE,"97Escrow Closings (all) ";"CY 1997",#N/A,TRUE,"97Revenue Summary";"CY 1997",#N/A,TRUE,"97 A-1 Sales";"CY 1997",#N/A,TRUE,"97 A-2 Sales";"CY 1997",#N/A,TRUE,"97 B-1 Sales";"CY 1997",#N/A,TRUE,"97 B-2 Sales";"CY 1997",#N/A,TRUE,"97 D-1 Sales";"CY 1997",#N/A,TRUE,"97 H Sales";"CY 1997",#N/A,TRUE,"97 I Sales";"CY 1997",#N/A,TRUE,"97 J Sales";"CY 1997",#N/A,TRUE,"97 K Sales";"CY 1997",#N/A,TRUE,"97 Land ";"CY 1997",#N/A,TRUE,"97 Pre-Development";"CY 1997",#N/A,TRUE,"97Construction Summary ";"CY 1997",#N/A,TRUE,"97 A-1 DevCosts";"CY 1997",#N/A,TRUE,"97 A-2 DevCosts";"CY 1997",#N/A,TRUE,"97 B-1 DevCosts";"CY 1997",#N/A,TRUE,"97 B-2 DevCosts";"CY 1997",#N/A,TRUE,"97 C DevCosts";#N/A,#N/A,TRUE,"97 D-1 DevCosts";"CY 1997",#N/A,TRUE,"97 E Dev Costs";"CY 1997",#N/A,TRUE,"97 G Dev Costs";#N/A,#N/A,TRUE,"97 H Dev Costs";#N/A,#N/A,TRUE,"97 I Dev Costs";"CY 1997",#N/A,TRUE,"97 J Dev Costs";#N/A,#N/A,TRUE,"97 K Dev Costs";"CY 1997",#N/A,TRUE,"97 Master Dev. Cost Wksht";"CY 1997",#N/A,TRUE,"97 Golf Course Captial ";"CY 1997",#N/A,TRUE,"97 Indirect &amp; Operating Costs ";"CY 1997",#N/A,TRUE,"97 Other SalesRevenue";"CY 1997",#N/A,TRUE,"97 Village Absorption";"CY 1997",#N/A,TRUE,"97 FINANCING";#N/A,#N/A,TRUE,"97 Dev Assumptions";#N/A,#N/A,TRUE,"97 A&amp;B Development Cost";#N/A,#N/A,TRUE,"97 B-2 Bonding ";#N/A,#N/A,TRUE,"97 E Supplemental Schedule";#N/A,#N/A,TRUE,"97 Factors"}</definedName>
    <definedName name="wrn.1998." hidden="1">{"1998",#N/A,FALSE,"1998"}</definedName>
    <definedName name="wrn.1998._.Budget.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wrn.19982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wrn.1999." hidden="1">{"1999",#N/A,FALSE,"1999"}</definedName>
    <definedName name="wrn.2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000_part.2" hidden="1">{"2000 Accum",#N/A,FALSE,"ACCUM SUM"}</definedName>
    <definedName name="wrn.2000." hidden="1">{"2000",#N/A,FALSE,"2000"}</definedName>
    <definedName name="wrn.2000._.Accum." hidden="1">{"2000 Accum",#N/A,FALSE,"ACCUM SUM"}</definedName>
    <definedName name="wrn.2001_NAr" hidden="1">{"2001 Accum",#N/A,FALSE,"ACCUM SUM"}</definedName>
    <definedName name="wrn.2001." hidden="1">{"2001",#N/A,FALSE,"2001"}</definedName>
    <definedName name="wrn.2001._.Accum." hidden="1">{"2001 Accum",#N/A,FALSE,"ACCUM SUM"}</definedName>
    <definedName name="wrn.2007._.all." hidden="1">{"2007",#N/A,FALSE,"SUMMARY";"2007",#N/A,FALSE,"RET ON CAP";"2007",#N/A,FALSE,"PROFORMA";"2007",#N/A,FALSE,"Assumptions";"2007",#N/A,FALSE,"Sales &amp; Marketing";"2007",#N/A,FALSE,"Overhead";"2007",#N/A,FALSE,"General Project";"2007",#N/A,FALSE,"Development"}</definedName>
    <definedName name="wrn.2007._.summaries." hidden="1">{#N/A,#N/A,FALSE,"SUMMARY";#N/A,#N/A,FALSE,"RET ON CAP"}</definedName>
    <definedName name="wrn.2009._.REPORT._.MANAGER." hidden="1">{"Summary - NEW",#N/A,FALSE,"Summary";"Program1",#N/A,FALSE,"Summary";"Land Dev. Budget",#N/A,FALSE,"Summary";"Infrastructure Budget - Annual",#N/A,FALSE,"Summary";"Infrastructure Monthly",#N/A,FALSE,"Monthly Cash Flow";"Project CF - Annual NEW",#N/A,FALSE,"Summary";"Project Revenues - Annual - NEW",#N/A,FALSE,"Summary";"Debt - Annual New",#N/A,FALSE,"Summary";"Summary CF - Monthly",#N/A,FALSE,"Monthly Cash Flow";"Project Revenues - Monthly",#N/A,FALSE,"Monthly Cash Flow";"Debt Monthly - New",#N/A,FALSE,"Monthly Cash Flow";"Residential Summary",#N/A,FALSE,"Residential";"Residental Monthly - New",#N/A,FALSE,"Residential";"Office &amp; Retail Dev. Schedule",#N/A,FALSE,"Office &amp; Retail-Summary";"Office Monthly - New",#N/A,FALSE,"Office &amp; Retail-Summary"}</definedName>
    <definedName name="wrn.275PricingBook.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wrn.275Schedulles." hidden="1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wrn.3._.Year._.Summary." hidden="1">{#N/A,#N/A,FALSE,"3-Year Summary"}</definedName>
    <definedName name="wrn.310._.rec.." hidden="1">{"rec. of 310",#N/A,FALSE,"Resanal"}</definedName>
    <definedName name="wrn.399." hidden="1">{#N/A,#N/A,FALSE,"A";#N/A,#N/A,FALSE,"C"}</definedName>
    <definedName name="wrn.3cases." hidden="1">{#N/A,"Base",FALSE,"Dividend";#N/A,"Conservative",FALSE,"Dividend";#N/A,"Downside",FALSE,"Dividend"}</definedName>
    <definedName name="wrn.3year._.frcst." hidden="1">{#N/A,#N/A,FALSE,"963YR";#N/A,#N/A,FALSE,"mkt mix";#N/A,#N/A,FALSE,"sect 5";#N/A,#N/A,FALSE,"sect 6";#N/A,#N/A,FALSE,"csh";#N/A,#N/A,FALSE,"capx";#N/A,#N/A,FALSE,"bal sheet"}</definedName>
    <definedName name="wrn.3yr.CF." localSheetId="0" hidden="1">{"assume",#N/A,FALSE,"K&amp;20th Month CF";"MoCF",#N/A,FALSE,"K&amp;20th Month CF";"AnCF",#N/A,FALSE,"K&amp;20th Month CF"}</definedName>
    <definedName name="wrn.3yr.CF." hidden="1">{"assume",#N/A,FALSE,"K&amp;20th Month CF";"MoCF",#N/A,FALSE,"K&amp;20th Month CF";"AnCF",#N/A,FALSE,"K&amp;20th Month CF"}</definedName>
    <definedName name="wrn.3yr.CF._1" hidden="1">{"assume",#N/A,FALSE,"K&amp;20th Month CF";"MoCF",#N/A,FALSE,"K&amp;20th Month CF";"AnCF",#N/A,FALSE,"K&amp;20th Month CF"}</definedName>
    <definedName name="wrn.3yr.CF._2" hidden="1">{"assume",#N/A,FALSE,"K&amp;20th Month CF";"MoCF",#N/A,FALSE,"K&amp;20th Month CF";"AnCF",#N/A,FALSE,"K&amp;20th Month CF"}</definedName>
    <definedName name="wrn.3yr.CF._3" hidden="1">{"assume",#N/A,FALSE,"K&amp;20th Month CF";"MoCF",#N/A,FALSE,"K&amp;20th Month CF";"AnCF",#N/A,FALSE,"K&amp;20th Month CF"}</definedName>
    <definedName name="wrn.3yr.CF._4" hidden="1">{"assume",#N/A,FALSE,"K&amp;20th Month CF";"MoCF",#N/A,FALSE,"K&amp;20th Month CF";"AnCF",#N/A,FALSE,"K&amp;20th Month CF"}</definedName>
    <definedName name="wrn.42._.Portfolio." hidden="1">{#N/A,#N/A,FALSE,"Consolidate Portfolio";#N/A,#N/A,FALSE,"Ashley";#N/A,#N/A,FALSE,"Atrium";#N/A,#N/A,FALSE,"Biscayne";#N/A,#N/A,FALSE,"Boulder";#N/A,#N/A,FALSE,"Braden";#N/A,#N/A,FALSE,"Cambridge";#N/A,#N/A,FALSE,"Carnegie";#N/A,#N/A,FALSE,"Charleston";#N/A,#N/A,FALSE,"Chasewood";#N/A,#N/A,FALSE,"ClubNorthHills";#N/A,#N/A,FALSE,"Cornerstone";#N/A,#N/A,FALSE,"Courtyard";#N/A,#N/A,FALSE,"Culpeper ";#N/A,#N/A,FALSE,"DoverFarms";#N/A,#N/A,FALSE,"GreenwayChase";#N/A,#N/A,FALSE,"Island Club 1";#N/A,#N/A,FALSE,"Island Club 2";#N/A,#N/A,FALSE,"IslesGateway";#N/A,#N/A,FALSE,"Kensington";#N/A,#N/A,FALSE,"LakeFront";#N/A,#N/A,FALSE,"LakeMayport";#N/A,#N/A,FALSE,"MadisonPark";#N/A,#N/A,FALSE,"MadisonRidge";#N/A,#N/A,FALSE,"Magnolia";#N/A,#N/A,FALSE,"Oaks";#N/A,#N/A,FALSE,"Paces River 1";#N/A,#N/A,FALSE,"Paces River 2";#N/A,#N/A,FALSE,"PacesRun";#N/A,#N/A,FALSE,"Paddock ";#N/A,#N/A,FALSE,"Park";#N/A,#N/A,FALSE,"PointeWest";#N/A,#N/A,FALSE,"Royal";#N/A,#N/A,FALSE,"Summer";#N/A,#N/A,FALSE,"Sunbrook";#N/A,#N/A,FALSE,"Sundance";#N/A,#N/A,FALSE,"Sutton";#N/A,#N/A,FALSE,"TownPlace";#N/A,#N/A,FALSE,"Valle";#N/A,#N/A,FALSE,"WatPark";#N/A,#N/A,FALSE,"WatPlace";#N/A,#N/A,FALSE,"WatCastleton";#N/A,#N/A,FALSE,"Wellington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520._.Madison." hidden="1">{"520 Madison Summary",#N/A,FALSE,"520 Madison Summary";"520 Madison Partnership Valuation",#N/A,FALSE,"520 Madison Summary";"520 Madison Sensitivities",#N/A,FALSE,"520 Madison Summary";"520 Madison Cash Flow",#N/A,FALSE,"520 Madison Summary";"520 Madison Partnership Equity Value",#N/A,FALSE,"520 Madison Summary";"520 Madison Distributions",#N/A,FALSE,"520 Madison Summary";"520 Madison Assumptions",#N/A,FALSE,"520 Madison Summary"}</definedName>
    <definedName name="wrn.617" hidden="1">{#N/A,#N/A,FALSE,"Income Stmt";#N/A,#N/A,FALSE,"Income Summary"}</definedName>
    <definedName name="wrn.7._.Page._.Proforma." hidden="1">{#N/A,#N/A,FALSE,"Deal Summary";#N/A,#N/A,FALSE,"Unit Mix";#N/A,#N/A,FALSE,"Historical OS";#N/A,#N/A,FALSE,"Sources &amp; Uses";#N/A,#N/A,FALSE,"Proj of Cash Flow";#N/A,#N/A,FALSE,"Allocation";#N/A,#N/A,FALSE,"Debt Financing"}</definedName>
    <definedName name="wrn.892A._.II." hidden="1">{#N/A,#N/A,FALSE,"Fund-II"}</definedName>
    <definedName name="wrn.892B._.II." hidden="1">{#N/A,#N/A,FALSE,"Fund-II"}</definedName>
    <definedName name="wrn.892C._.II." hidden="1">{#N/A,#N/A,FALSE,"Fund-II"}</definedName>
    <definedName name="wrn.92264." hidden="1">{"Page 1",#N/A,FALSE,"92264 Page 1";"Page 2",#N/A,FALSE,"92264 Page 2";"Page 3",#N/A,FALSE,"92264 Page 3";"Page 4",#N/A,FALSE,"92264 Page 4";"Page 5",#N/A,FALSE,"92264 Page 5";"Page 6",#N/A,FALSE,"92264 Page 6";"Page 7",#N/A,FALSE,"92264 Page 7";"Page 8",#N/A,FALSE,"92264 Page 8"}</definedName>
    <definedName name="wrn.98A." hidden="1">{#N/A,#N/A,FALSE,"Title";#N/A,#N/A,FALSE,"VARSUM98";#N/A,#N/A,FALSE,"COMPAR";#N/A,#N/A,FALSE,"51-REVEN";#N/A,#N/A,FALSE,"51-RECOV";#N/A,#N/A,FALSE,"REVENUE";#N/A,#N/A,FALSE,"52-INTRS";#N/A,#N/A,FALSE,"61-98SAL";#N/A,#N/A,FALSE,"62-CLEAN";#N/A,#N/A,FALSE,"63-UTIL";#N/A,#N/A,FALSE,"98UTILBACK";#N/A,#N/A,FALSE,"64-RM&amp;S";#N/A,#N/A,FALSE,"65-BMS";#N/A,#N/A,FALSE,"65-MGFEEX";#N/A,#N/A,FALSE,"66-INSUR";#N/A,#N/A,FALSE,"67-TAXES";#N/A,#N/A,FALSE,"Annual Assess";#N/A,#N/A,FALSE,"71-NON-RECOV EXP";#N/A,#N/A,FALSE,"71-detail";#N/A,#N/A,FALSE,"72-PRTNS";#N/A,#N/A,FALSE,"73-INTRS";#N/A,#N/A,FALSE,"10-CAPEX";#N/A,#N/A,FALSE,"17-INDUC";#N/A,#N/A,FALSE,"OPER. GRAPH";#N/A,#N/A,FALSE,"HistOpExp";#N/A,#N/A,FALSE,"HIST. OP.GRAPH"}</definedName>
    <definedName name="wrn.98BUDGET." hidden="1">{#N/A,#N/A,TRUE,"VARSUM98";#N/A,#N/A,TRUE,"COMPAR";#N/A,#N/A,TRUE,"RECEXP-S";#N/A,#N/A,TRUE,"52-INTRS";#N/A,#N/A,TRUE,"1998 SALARIES";#N/A,#N/A,TRUE,"62-CLEAN";#N/A,#N/A,TRUE,"63-UTIL";#N/A,#N/A,TRUE,"98UTILBACK";#N/A,#N/A,TRUE,"64-RM&amp;S";#N/A,#N/A,TRUE,"65-BMS";#N/A,#N/A,TRUE,"65-MGFEEX";#N/A,#N/A,TRUE,"66-INSUR";#N/A,#N/A,TRUE,"67-TAXES";#N/A,#N/A,TRUE,"Annual Assess";#N/A,#N/A,TRUE,"71-NON-RECOV EXP";#N/A,#N/A,TRUE,"71-detail";#N/A,#N/A,TRUE,"72-PRTNS";#N/A,#N/A,TRUE,"73-INTRS";#N/A,#N/A,TRUE,"10-CAPEX";#N/A,#N/A,TRUE,"17-INDUC"}</definedName>
    <definedName name="wrn.98ESC." hidden="1">{#N/A,#N/A,FALSE,"ope";#N/A,#N/A,FALSE,"ret";#N/A,#N/A,FALSE,"expenses";#N/A,#N/A,FALSE,"BankExpenses";#N/A,#N/A,FALSE,"TennExpenses";#N/A,#N/A,FALSE,"Occupancy"}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3._.Reports." hidden="1">{#N/A,#N/A,FALSE,"ActvBud";#N/A,#N/A,FALSE,"RptSalJC";#N/A,#N/A,FALSE,"RptSalTot ";#N/A,#N/A,FALSE,"RptSumExp";#N/A,#N/A,FALSE,"RptSum"}</definedName>
    <definedName name="wrn.A4._.Reports." hidden="1">{#N/A,#N/A,FALSE,"RptMrgCh";#N/A,#N/A,FALSE,"RptMrg";#N/A,#N/A,FALSE,"RptPLCh";#N/A,#N/A,FALSE,"RptPL";#N/A,#N/A,FALSE,"RptAdv ";#N/A,#N/A,FALSE,"RptSalary";#N/A,#N/A,FALSE,"RptSalExp";#N/A,#N/A,FALSE,"RptNW";#N/A,#N/A,FALSE,"RptSalYr";#N/A,#N/A,FALSE,"RptSales";#N/A,#N/A,FALSE,"RptPostn";#N/A,#N/A,FALSE,"RtpPLA-B";#N/A,#N/A,FALSE,"Rpt%age";#N/A,#N/A,FALSE,"RptPLSum";#N/A,#N/A,FALSE,"Index";#N/A,#N/A,FALSE,"Cover";#N/A,#N/A,FALSE,"Memo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old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." hidden="1">{"ABC1",#N/A,TRUE,"Links";"ABC2",#N/A,TRUE,"Links";"ABC3",#N/A,TRUE,"Links"}</definedName>
    <definedName name="wrn.access." hidden="1">{"Access",#N/A,FALSE,"Access"}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q._.Model." hidden="1">{"RTN",#N/A,FALSE,"RTN";"Inc Stmt",#N/A,FALSE,"Inc Stmt";"Stats",#N/A,FALSE,"Stats";"Rnds",#N/A,FALSE,"Rnds";"Capx",#N/A,FALSE,"CapX";"Dues",#N/A,FALSE,"Dues";"Hist",#N/A,FALSE,"Hist";"Rev1",#N/A,FALSE,"Rev";"Rev2",#N/A,FALSE,"Rev";"Exp",#N/A,FALSE,"Exp";"Rounds",#N/A,FALSE,"Rounds";"Cap Imp",#N/A,FALSE,"Cap Imp"}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._.Model." hidden="1">{"Return",#N/A,FALSE,"RTN";"Inc Stmt",#N/A,FALSE,"Inc Stmt";"Stats",#N/A,FALSE,"Stats";"Rnds",#N/A,FALSE,"Rnds";"Dues",#N/A,FALSE,"Dues";"Capx",#N/A,FALSE,"CapX";"History",#N/A,FALSE,"Hist";"Rev",#N/A,FALSE,"Rev";"Expenses",#N/A,FALSE,"Exp";"Rounds",#N/A,FALSE,"Rounds";"Capex",#N/A,FALSE,"Capex"}</definedName>
    <definedName name="wrn.Acquisitions." hidden="1">{"One",#N/A,FALSE,"Acquisitions";"Two",#N/A,FALSE,"Acquisitions"}</definedName>
    <definedName name="wrn.Acquistion._.Status." hidden="1">{#N/A,#N/A,FALSE,"zm III";#N/A,#N/A,FALSE,"deal flow";#N/A,#N/A,FALSE,"Pending deals"}</definedName>
    <definedName name="wrn.AcqVal." hidden="1">{#N/A,#N/A,FALSE,"Acq-Val";#N/A,#N/A,FALSE,"Acq-Mult Val"}</definedName>
    <definedName name="wrn.Actual._.Data._.Entry." hidden="1">{#N/A,#N/A,FALSE,"Sales"}</definedName>
    <definedName name="wrn.AD._.Tool." hidden="1">{"AD Tool",#N/A,FALSE,"Spreadsheet"}</definedName>
    <definedName name="wrn.AFI._.QUARTERLY._.REPORT." hidden="1">{#N/A,#N/A,TRUE,"TITLE";#N/A,#N/A,TRUE,"SCH 1";#N/A,#N/A,TRUE,"SCH 2";#N/A,#N/A,TRUE,"SCH 3";#N/A,#N/A,TRUE,"SCH3(A)"}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Trend._.Analysis.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old" hidden="1">{"INCOME",#N/A,FALSE,"ProNet";"VALUE",#N/A,FALSE,"ProNet"}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._.Budget._.Detail_Forecast." hidden="1">{"All Budget Detail-Forecast",#N/A,FALSE,"Forecast"}</definedName>
    <definedName name="wrn.All._.Budget._.Detail_Reit." hidden="1">{"All Budget Detail-Reit",#N/A,FALSE,"Forecast"}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s." hidden="1">{#N/A,#N/A,FALSE,"Primary";#N/A,#N/A,FALSE,"Secondary";#N/A,#N/A,FALSE,"Latent";#N/A,#N/A,FALSE,"Demand Inputs";#N/A,#N/A,FALSE,"Supply Addn";#N/A,#N/A,FALSE,"Mkt Pen"}</definedName>
    <definedName name="wrn.All._.Main._.Reports." hidden="1">{"Summary",#N/A,FALSE,"Sheet1";"Budget",#N/A,FALSE,"Sheet1";"Notes 2",#N/A,FALSE,"Sheet1";"Payroll Assumption Summary",#N/A,FALSE,"Sheet1";"Payroll_Assumption1",#N/A,FALSE,"Sheet1";"Rent_Assumptions",#N/A,FALSE,"Sheet1"}</definedName>
    <definedName name="wrn.All._.Non._.Recov._.Op._.Exp_Forecast." hidden="1">{"All Non-Recov. Op. Exp-Forecast",#N/A,FALSE,"Forecast"}</definedName>
    <definedName name="wrn.All._.Non._.Recov._.Op._.Exp_Reit." hidden="1">{"All Non-Recov. Op. Exp-Reit",#N/A,FALSE,"Forecast"}</definedName>
    <definedName name="wrn.ALL._.PAGES.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rn.All._.Payroll._.Reports." hidden="1">{"Payroll Assumption Summary",#N/A,FALSE,"Sheet1";"Payroll_Assumption1",#N/A,FALSE,"Sheet1";"Payroll_Assumption2",#N/A,FALSE,"Sheet1"}</definedName>
    <definedName name="wrn.All._.Pro._.Forma." hidden="1">{#N/A,#N/A,FALSE,"DSCR Sum";#N/A,#N/A,FALSE,"Max  Allocation";#N/A,#N/A,FALSE,"Lake Davis";#N/A,#N/A,FALSE,"Lake Jennie I";#N/A,#N/A,FALSE,"Lake Jennie II";#N/A,#N/A,FALSE,"Gov Man";#N/A,#N/A,FALSE,"Mellonville";#N/A,#N/A,FALSE,"Total"}</definedName>
    <definedName name="wrn.All._.Rent._.Reports." hidden="1">{"Rent_Assumptions",#N/A,FALSE,"Sheet1";"Rent_ChangesPerUnit",#N/A,FALSE,"Sheet1";"Rent_ChangesTotal",#N/A,FALSE,"Sheet1";"Rent_Totals",#N/A,FALSE,"Sheet1"}</definedName>
    <definedName name="wrn.All._.Rental._.Income_Forecast." hidden="1">{"All Rental Income-Reforecast",#N/A,FALSE,"Forecast"}</definedName>
    <definedName name="wrn.All._.Rental._.Income_Reit." hidden="1">{"All Rental Income-Reit",#N/A,FALSE,"Forecast"}</definedName>
    <definedName name="wrn.All._.Reports." hidden="1">{"Estimated Proforma",#N/A,TRUE,"Prelim. Proforma";"Sales and Marketing Budget",#N/A,TRUE,"S&amp;M Budget";"Summary Cash Flow Grid",#N/A,TRUE,"Cash Flow Grid";"Detail Project Cash Flow",#N/A,TRUE,"Cash Flow Grid";"Financing Calculation",#N/A,TRUE,"Cash Flow Grid";"Cash Flow Graph",#N/A,TRUE,"Cash Flow Graphic";"Final Proforma",#N/A,TRUE,"Final Proforma"}</definedName>
    <definedName name="wrn.ALL._.REPORTS._.EXCEPT._.PSF._.TABLES." hidden="1">{"ASSUMPTIONS",#N/A,FALSE,"Assumptions";"NPV",#N/A,FALSE,"npv";"CASH-ANNUAL",#N/A,FALSE,"Cash Financial";"CASH-PSF",#N/A,FALSE,"Cash Financial";"GAAP-ANNUAL",#N/A,FALSE,"Gaap Financial ";"GAAP-PSF",#N/A,FALSE,"Gaap Financial "}</definedName>
    <definedName name="wrn.All._.Schedules." hidden="1">{#N/A,#N/A,FALSE,"Static Proforma";#N/A,#N/A,FALSE,"Bldg Dev DCF";#N/A,#N/A,FALSE,"Land Sales DCF"}</definedName>
    <definedName name="wrn.All._.Sections." hidden="1">{#N/A,#N/A,TRUE,"Table of Contents";"Inn P&amp;L Annual",#N/A,TRUE,"Inn P&amp;L";"Condo P&amp;L Annual",#N/A,TRUE,"Condo P&amp;L";"Townhouse P&amp;L Annual",#N/A,TRUE,"Townhouse P&amp;L";"Ocean Ridge P &amp; L Annual",#N/A,TRUE,"Ocean Ridge P &amp; L";"A-2 to A-4 P&amp;L Annual",#N/A,TRUE," A-2 to A-4 P&amp;L";"Inn P&amp;L Monthly",#N/A,TRUE,"Inn P&amp;L";"Condo P&amp;L Monthly",#N/A,TRUE,"Condo P&amp;L";"Townhouse P&amp;L Monthly",#N/A,TRUE,"Townhouse P&amp;L";"Ocean Ridge Monthly P &amp; L",#N/A,TRUE,"Ocean Ridge P &amp; L";"A-2 to A-4 P&amp;L Monthly",#N/A,TRUE," A-2 to A-4 P&amp;L";"Inn Assumptions",#N/A,TRUE,"Inn Assumptions";"Condo Assumptions",#N/A,TRUE,"Condo Assumptions";"Townhouse Assumptions",#N/A,TRUE,"Townhouse Assumptions";"Ocean Ridge Assumptions",#N/A,TRUE,"Ocean Ridge Assumptions";"A-2 to A-4 Assumptions",#N/A,TRUE,"A-2 to A-4 Assumptions"}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Summary." hidden="1">{"Summary",#N/A,FALSE,"Sheet1"}</definedName>
    <definedName name="wrn.All._1" hidden="1">{#N/A,#N/A,FALSE,"Summary";#N/A,#N/A,FALSE,"Gen. Wash.";#N/A,#N/A,FALSE,"Iris Court";#N/A,#N/A,FALSE,"Castle Court";#N/A,#N/A,FALSE,"Edge Hills";#N/A,#N/A,FALSE,"Talbot Woods";#N/A,#N/A,FALSE,"Edge Terrace";#N/A,#N/A,FALSE,"Edge Village";#N/A,#N/A,FALSE,"Westgate";#N/A,#N/A,FALSE,"Century Hills";#N/A,#N/A,FALSE,"Parkview";#N/A,#N/A,FALSE,"Park Bethesda";#N/A,#N/A,FALSE,"Fairfax";#N/A,#N/A,FALSE,"North Park";#N/A,#N/A,FALSE,"Huntington";#N/A,#N/A,FALSE,"Bennington"}</definedName>
    <definedName name="wrn.all.2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ll.irr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.sched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ll2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mbassador." hidden="1">{#N/A,#N/A,TRUE,"Summary Acquisition Ambassador";#N/A,#N/A,TRUE,"Prime Crest Apartments";#N/A,#N/A,TRUE,"Royal Crest Apartments"}</definedName>
    <definedName name="wrn.AmREIT." hidden="1">{"Summary",#N/A,TRUE,"Summary";"Sensitivities",#N/A,TRUE,"Summary";"Partnership Value",#N/A,TRUE,"Summary";"Cash Flows",#N/A,TRUE,"Summary";"Partnership Equity Value",#N/A,TRUE,"Summary";"MIR Fund Structure",#N/A,TRUE,"Summary";"Assumptions",#N/A,TRUE,"Summary";"Valuation Summary",#N/A,TRUE,"Summary";"MacArthur Park",#N/A,TRUE,"Summary";"Plaza in the Park",#N/A,TRUE,"Summary";"Cinco Ranch",#N/A,TRUE,"Summary";"Uptown Park",#N/A,TRUE,"Summary";"Uptown Plaza Dallas",#N/A,TRUE,"Summary";"Southbank Riverwalk",#N/A,TRUE,"Summary";"Uptown Plaza Houston",#N/A,TRUE,"Summary";"Bakery Square",#N/A,TRUE,"Summary";"Courtyard Square",#N/A,TRUE,"Summary";"Terrace Shops",#N/A,TRUE,"Summary";"Sugar Land Plaza",#N/A,TRUE,"Summary";"Lake Woodlands Plaza",#N/A,TRUE,"Summary";"Woodlands Ring Road",#N/A,TRUE,"Summary";"Ground Leases",#N/A,TRUE,"Summary";"Single-Tenant Fee-Simples",#N/A,TRUE,"Summary";"IHOP Sugarland-Topeka",#N/A,TRUE,"Summary";"IHOP AAA CTL",#N/A,TRUE,"Summary"}</definedName>
    <definedName name="wrn.AmREIT._.excl._.properties." hidden="1">{"Summary",#N/A,TRUE,"Summary";"Sensitivities",#N/A,TRUE,"Summary";"Partnership Value",#N/A,TRUE,"Summary";"Cash Flows",#N/A,TRUE,"Summary";"Partnership Equity Value",#N/A,TRUE,"Summary";"MIR Fund Structure",#N/A,TRUE,"Summary";"Assumptions",#N/A,TRUE,"Summary";"Valuation Summary",#N/A,TRUE,"Summary"}</definedName>
    <definedName name="wrn.Annual_n_Quarterly." hidden="1">{"Annual",#N/A,FALSE,"Sales &amp; Market";"Quarterly",#N/A,FALSE,"Sales &amp; Market"}</definedName>
    <definedName name="wrn.Annual." hidden="1">{"Annual p1",#N/A,TRUE,"Annual CF";"Annual p2",#N/A,TRUE,"Annual CF";"Annual p3",#N/A,TRUE,"Annual CF"}</definedName>
    <definedName name="wrn.Annual._.CF.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1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1_1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1_2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1_3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2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3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4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Report." hidden="1">{"summary",#N/A,FALSE,"Summary";"pro forma annual",#N/A,FALSE,"Pro Forma";"equity annual",#N/A,FALSE,"Equity";"TCC annual",#N/A,FALSE,"TCC"}</definedName>
    <definedName name="wrn.Annual._.Revised." hidden="1">{"Venture Summary",#N/A,FALSE,"Summary";"Development Budget",#N/A,FALSE,"Summary";"Development Proforma",#N/A,FALSE,"Dev PF";"Annual CF",#N/A,FALSE,"Annual"}</definedName>
    <definedName name="wrn.Annual._.Summary." hidden="1">{"INV AUM",#N/A,TRUE,"AUM";"INV S&amp;U",#N/A,TRUE,"S&amp;U";"INV NetCashFlow",#N/A,TRUE,"Net Cash Flow";"INV Waterfall",#N/A,TRUE,"Waterfall";"INV Sensitivity",#N/A,TRUE,"Sensitivity"}</definedName>
    <definedName name="wrn.Annual.CF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1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1_1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1_2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1_3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2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3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4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RentRoll" localSheetId="0" hidden="1">{"AnnualRentRoll",#N/A,FALSE,"RentRoll"}</definedName>
    <definedName name="wrn.AnnualRentRoll" hidden="1">{"AnnualRentRoll",#N/A,FALSE,"RentRoll"}</definedName>
    <definedName name="wrn.AnnualRentRoll_1" hidden="1">{"AnnualRentRoll",#N/A,FALSE,"RentRoll"}</definedName>
    <definedName name="wrn.AnnualRentRoll_2" hidden="1">{"AnnualRentRoll",#N/A,FALSE,"RentRoll"}</definedName>
    <definedName name="wrn.AnnualRentRoll_3" hidden="1">{"AnnualRentRoll",#N/A,FALSE,"RentRoll"}</definedName>
    <definedName name="wrn.AnnualRentRoll_4" hidden="1">{"AnnualRentRoll",#N/A,FALSE,"RentRoll"}</definedName>
    <definedName name="wrn.AnnualRentRoll." localSheetId="0" hidden="1">{"AnnualRentRoll",#N/A,FALSE,"RentRoll"}</definedName>
    <definedName name="wrn.AnnualRentRoll." hidden="1">{"AnnualRentRoll",#N/A,FALSE,"RentRoll"}</definedName>
    <definedName name="wrn.AnnualRentRoll._1" hidden="1">{"AnnualRentRoll",#N/A,FALSE,"RentRoll"}</definedName>
    <definedName name="wrn.AnnualRentRoll._2" hidden="1">{"AnnualRentRoll",#N/A,FALSE,"RentRoll"}</definedName>
    <definedName name="wrn.AnnualRentRoll._3" hidden="1">{"AnnualRentRoll",#N/A,FALSE,"RentRoll"}</definedName>
    <definedName name="wrn.AnnualRentRoll._4" hidden="1">{"AnnualRentRoll",#N/A,FALSE,"RentRoll"}</definedName>
    <definedName name="wrn.annualrentroll2" localSheetId="0" hidden="1">{"AnnualRentRoll",#N/A,FALSE,"RentRoll"}</definedName>
    <definedName name="wrn.annualrentroll2" hidden="1">{"AnnualRentRoll",#N/A,FALSE,"RentRoll"}</definedName>
    <definedName name="wrn.annualrentroll2_1" hidden="1">{"AnnualRentRoll",#N/A,FALSE,"RentRoll"}</definedName>
    <definedName name="wrn.annualrentroll2_2" hidden="1">{"AnnualRentRoll",#N/A,FALSE,"RentRoll"}</definedName>
    <definedName name="wrn.annualrentroll2_3" hidden="1">{"AnnualRentRoll",#N/A,FALSE,"RentRoll"}</definedName>
    <definedName name="wrn.annualrentroll2_4" hidden="1">{"AnnualRentRoll",#N/A,FALSE,"RentRoll"}</definedName>
    <definedName name="wrn.Appraisal." hidden="1">{#N/A,#N/A,FALSE,"APPRAISAL";#N/A,#N/A,FALSE,"APPRAISAL 2";#N/A,#N/A,FALSE,"APPRAISAL 3"}</definedName>
    <definedName name="wrn.Appraisal._.2." hidden="1">{#N/A,#N/A,FALSE,"Appraisal 2"}</definedName>
    <definedName name="wrn.Appraisal._.3." hidden="1">{#N/A,#N/A,FALSE,"Appraisal 3"}</definedName>
    <definedName name="wrn.Apr._.Forecast." hidden="1">{"Apr",#N/A,FALSE,"Manager Report"}</definedName>
    <definedName name="wrn.Arcform1." hidden="1">{"One",#N/A,FALSE,"Property";"Rent Analysis",#N/A,FALSE,"Rent &amp; Income";"Market",#N/A,FALSE,"Market";"Environmental",#N/A,FALSE,"Environmental"}</definedName>
    <definedName name="wrn.Arcform2." hidden="1">{"Development Team",#N/A,FALSE,"Team";"Environmental",#N/A,FALSE,"Environmental";"Permanent",#N/A,FALSE,"Perm Mtg";"Soft",#N/A,FALSE,"Soft Mtg"}</definedName>
    <definedName name="wrn.Arcform3." hidden="1">{"Grant",#N/A,FALSE,"Grant";"GP Developer",#N/A,FALSE,"GP &amp; Dev Loans";"Operating Analysis",#N/A,FALSE,"Operations";"Tax Credit",#N/A,FALSE,"Tax Credits";"Tax Credit Analysis",#N/A,FALSE,"TC Analysis"}</definedName>
    <definedName name="wrn.Arcform4." hidden="1">{"Construction Analysis",#N/A,FALSE,"Constr Analysis";"Construction Financing",#N/A,FALSE,"Constr Finan";"Guarantees and Reserves",#N/A,FALSE,"Guar &amp; Reserves"}</definedName>
    <definedName name="wrn.Arena._.PCD." hidden="1">{#N/A,#N/A,TRUE,"Maritime Park Arena PCD";#N/A,#N/A,TRUE,"Maritime Park Arena IOR"}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et._.Management." hidden="1">{#N/A,#N/A,FALSE,"ASSET MGMT."}</definedName>
    <definedName name="wrn.Asset._.Manager._.Package." hidden="1">{#N/A,#N/A,FALSE,"Assumptions";#N/A,#N/A,FALSE,"DCF 5 YR";#N/A,#N/A,FALSE," DCF 10 YR";#N/A,#N/A,FALSE,"Cashflows";"Asset Review 2",#N/A,FALSE,"Asset Review";"Asset Review 1",#N/A,FALSE,"Asset Review"}</definedName>
    <definedName name="wrn.Asset._.Manager._.Summary." hidden="1">{#N/A,#N/A,FALSE,"Jim Walsh";#N/A,#N/A,FALSE,"Dan Minkoff";#N/A,#N/A,FALSE,"Chip Cinnamond";#N/A,#N/A,FALSE,"Ann Cole";#N/A,#N/A,FALSE,"Jim Rosasco";#N/A,#N/A,FALSE,"George Ochs";#N/A,#N/A,FALSE,"Peter Weed";#N/A,#N/A,FALSE,"Sheryl Crosland";#N/A,#N/A,FALSE,"Jim McLoughlin";#N/A,#N/A,FALSE,"Jim Olson";#N/A,#N/A,FALSE,"Anne Pfeiffer"}</definedName>
    <definedName name="wrn.Assumptions." hidden="1">{"Assumptions",#N/A,FALSE,"Assumptions"}</definedName>
    <definedName name="wrn.Assumptions._.Book." hidden="1">{#N/A,#N/A,FALSE,"Cover";#N/A,#N/A,FALSE,"Contents";#N/A,#N/A,FALSE,"1. Transaction parameters";#N/A,#N/A,FALSE,"2. Revenue";#N/A,#N/A,FALSE,"3. Operational - Orco Valley";#N/A,#N/A,FALSE,"3. Operational - Susa Valley";#N/A,#N/A,FALSE,"3. Operational - Turin";#N/A,#N/A,FALSE,"3. Operational - Pont Ventoux";#N/A,#N/A,FALSE,"4. Operating expenses";#N/A,#N/A,FALSE,"5. Capex";#N/A,#N/A,FALSE,"6. Financing";#N/A,#N/A,FALSE,"7. Economics";#N/A,#N/A,FALSE,"8. Cost of Capital";#N/A,#N/A,FALSE,"9. Accounting";#N/A,#N/A,FALSE,"10. Taxation";#N/A,#N/A,FALSE,"11. Others"}</definedName>
    <definedName name="wrn.Atrium." hidden="1">{"Atrium-Investor",#N/A,FALSE,"Atrium";"Atrium-Property",#N/A,FALSE,"Atrium"}</definedName>
    <definedName name="wrn.Audit._.Committee." hidden="1">{#N/A,#N/A,FALSE,"Title Page - Aud";#N/A,#N/A,FALSE,"Index - Aud";#N/A,#N/A,FALSE,"Stmt of Income";#N/A,#N/A,FALSE,"Balance Sheet - Audit Comm";#N/A,#N/A,FALSE,"Stmt of Retained Earnings";#N/A,#N/A,FALSE,"Total Cash Flow";#N/A,#N/A,FALSE,"S.C.F.P.";#N/A,#N/A,FALSE,"Appraisal surplus";#N/A,#N/A,FALSE,"FMV";#N/A,#N/A,FALSE,"Ratios";#N/A,#N/A,FALSE,"Properties";#N/A,#N/A,FALSE,"Secured Debt";#N/A,#N/A,FALSE,"Mortgage Bonds";#N/A,#N/A,FALSE,"Bank Operating Lines";#N/A,#N/A,FALSE,"Share Capital";#N/A,#N/A,FALSE,"Rental Operating Results";#N/A,#N/A,FALSE,"G. &amp;  A.";#N/A,#N/A,FALSE,"Property Sales"}</definedName>
    <definedName name="wrn.Aug._.Forecast." hidden="1">{"Aug",#N/A,FALSE,"Manager Report"}</definedName>
    <definedName name="wrn.Auto._.Comp." hidden="1">{#N/A,#N/A,FALSE,"Sheet1"}</definedName>
    <definedName name="wrn.autoproj." hidden="1">{#N/A,#N/A,FALSE,"Project Properties";#N/A,#N/A,FALSE,"Eng %";#N/A,#N/A,FALSE,"ENGFORM";#N/A,#N/A,FALSE,"staffing";#N/A,#N/A,FALSE,"spending"}</definedName>
    <definedName name="wrn.B._.Spread._.Worksheet._.Summary." hidden="1">{#N/A,#N/A,FALSE,"B_Spread"}</definedName>
    <definedName name="wrn.B._.Spread._.Worksheets._.Detail." hidden="1">{#N/A,#N/A,FALSE,"B_Spread"}</definedName>
    <definedName name="wrn.BA." hidden="1">{"ba1",#N/A,TRUE,"B-A";"ba2",#N/A,TRUE,"B-A"}</definedName>
    <definedName name="wrn.Balance_Sheet." hidden="1">{"One",#N/A,FALSE,"Balance Sheet"}</definedName>
    <definedName name="wrn.balance._.sheet." hidden="1">{"bs",#N/A,FALSE,"SCF"}</definedName>
    <definedName name="wrn.Balcor.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bankrep." hidden="1">{#N/A,#N/A,FALSE,"ExecSum";#N/A,#N/A,FALSE,"Summary";#N/A,#N/A,FALSE,"Budget";#N/A,#N/A,FALSE,"CashFlow"}</definedName>
    <definedName name="wrn.Base._.Case._.Print." hidden="1">{#N/A,#N/A,FALSE,"Assumptions";#N/A,#N/A,FALSE,"Ground Rent";#N/A,#N/A,FALSE,"SQFT SUMMARY";#N/A,#N/A,FALSE,"PROJECT COSTS";#N/A,#N/A,FALSE,"Financing";#N/A,#N/A,FALSE,"RE Tax Analysis";#N/A,#N/A,FALSE,"Oper Pro Forma";#N/A,#N/A,FALSE,"Sale and IRR";#N/A,#N/A,FALSE,"Int BackUP"}</definedName>
    <definedName name="wrn.BaseYearDemand." hidden="1">{"Base Year Demand",#N/A,FALSE,"Demand-Base Year"}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._.Forecast.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wrn.basics." hidden="1">{#N/A,#N/A,FALSE,"TSUM";#N/A,#N/A,FALSE,"shares";#N/A,#N/A,FALSE,"earnout";#N/A,#N/A,FALSE,"Heaty";#N/A,#N/A,FALSE,"self-tend";#N/A,#N/A,FALSE,"self-sum"}</definedName>
    <definedName name="wrn.BATON._.ROUGE._.1996._.CAP._.EX." hidden="1">{#N/A,#N/A,FALSE,"BATCAPX";#N/A,#N/A,FALSE,"GR&amp;CORR TOTALS";#N/A,#N/A,FALSE,"LUX  KING FF&amp;E";#N/A,#N/A,FALSE,"LUX KING GC";#N/A,#N/A,FALSE,"TYP DBL FF&amp;E ";#N/A,#N/A,FALSE,"TYP DBL GC ";#N/A,#N/A,FALSE,"PETITE W-SOFA FF&amp;E";#N/A,#N/A,FALSE,"PETITE W-SOFA GC";#N/A,#N/A,FALSE,"TYP KING FF&amp;E";#N/A,#N/A,FALSE,"TYP KING GC";#N/A,#N/A,FALSE,"EXEC KING FF&amp;E";#N/A,#N/A,FALSE,"EXEC KING GC";#N/A,#N/A,FALSE,"TOWNHS PARLOR FF&amp;E";#N/A,#N/A,FALSE,"TOWNHS PARLOR GC";#N/A,#N/A,FALSE,"LUX K PAR FF&amp;E ";#N/A,#N/A,FALSE,"LUX K PAR GC ";#N/A,#N/A,FALSE,"PRES SUITE FF&amp;E";#N/A,#N/A,FALSE,"PRES SUITE GC";#N/A,#N/A,FALSE,"CONC LOUNGE FF&amp;E";#N/A,#N/A,FALSE,"CONC LOUNGE GC";#N/A,#N/A,FALSE,"ADA GR  FF&amp;E ";#N/A,#N/A,FALSE,"ADA GR GC ";#N/A,#N/A,FALSE,"GUEST COR FF&amp;E ";#N/A,#N/A,FALSE,"GUEST  CORR GC";#N/A,#N/A,FALSE,"2ND FLR BANQ FF&amp;E L";#N/A,#N/A,FALSE,"2ND FLR BANQ GC L";#N/A,#N/A,FALSE,"2ND FLR BANQ FF&amp;E S";#N/A,#N/A,FALSE,"2ND FLR BANQ GC S"}</definedName>
    <definedName name="wrn.BCN._.REVISED." hidden="1">{#N/A,#N/A,FALSE,"Income Statement - Phase II";#N/A,#N/A,FALSE,"Balance Sheet Phase II";#N/A,#N/A,FALSE,"Transaction Costs";#N/A,#N/A,FALSE,"Debt &amp; Equity Detail";#N/A,#N/A,FALSE,"G&amp;A Reduction - 25%";#N/A,#N/A,FALSE,"G&amp;A Reduction - 50%";#N/A,#N/A,FALSE,"G&amp;A Reduction - 75%";#N/A,#N/A,FALSE,"GandA Reduction Detail"}</definedName>
    <definedName name="wrn.BCNPROJ." hidden="1">{#N/A,#N/A,FALSE,"Income Statement";#N/A,#N/A,FALSE,"Balance Sheet";#N/A,#N/A,FALSE,"Sheet5";#N/A,#N/A,FALSE,"Debt &amp; Equity Detail"}</definedName>
    <definedName name="wrn.BEN._.ELDER." hidden="1">{"Venture Summary",#N/A,FALSE,"Summary";"PI Summary",#N/A,FALSE,"PI Summary";"PI Leasing Summary",#N/A,FALSE,"PI Summary";#N/A,#N/A,FALSE,"PI&amp;II Monthly CF"}</definedName>
    <definedName name="wrn.BidCo." hidden="1">{#N/A,#N/A,FALSE,"BidCo Assumptions";#N/A,#N/A,FALSE,"Credit Stats";#N/A,#N/A,FALSE,"Bidco Summary";#N/A,#N/A,FALSE,"BIDCO Consolidated"}</definedName>
    <definedName name="wrn.BIGGER." hidden="1">{"PROFORMA",#N/A,FALSE,"A";"BIGGER 1",#N/A,FALSE,"B";"BIGGER 2",#N/A,FALSE,"B";"BIGGER 3",#N/A,FALSE,"B";"SMALL CF 1",#N/A,FALSE,"C"}</definedName>
    <definedName name="wrn.Binder." hidden="1">{"Summary",#N/A,FALSE,"Financial Summary";"Income",#N/A,FALSE,"Lease Terms";"Development",#N/A,FALSE,"Development Costs";"Expense",#N/A,FALSE,"Lease Terms";"CFlow",#N/A,FALSE,"5 Year Cash Flow"}</definedName>
    <definedName name="wrn.BINDER._.PRINT_YES." hidden="1">{"Summary",#N/A,TRUE,"Summary";"All Annual",#N/A,TRUE,"Annual"}</definedName>
    <definedName name="wrn.Birdie." hidden="1">{#N/A,#N/A,FALSE,"Trans Summary";#N/A,#N/A,FALSE,"Proforma Five Yr";#N/A,#N/A,FALSE,"Occ and Rate"}</definedName>
    <definedName name="wrn.BlackWhite." hidden="1">{#N/A,#N/A,FALSE,"NNN sum";#N/A,#N/A,FALSE,"10-yr Opt. A Sum";#N/A,#N/A,FALSE,"10-yr Opt A Other Costs";#N/A,#N/A,FALSE,"Purchase Sum";#N/A,#N/A,FALSE,"Purchase Other Costs"}</definedName>
    <definedName name="wrn.BlackWhite5" hidden="1">{#N/A,#N/A,FALSE,"NNN sum";#N/A,#N/A,FALSE,"10-yr Opt. A Sum";#N/A,#N/A,FALSE,"10-yr Opt A Other Costs";#N/A,#N/A,FALSE,"Purchase Sum";#N/A,#N/A,FALSE,"Purchase Other Costs"}</definedName>
    <definedName name="wrn.bleu4." hidden="1">{#N/A,#N/A,FALSE}</definedName>
    <definedName name="wrn.bleu4._1" hidden="1">{#N/A,#N/A,FALSE}</definedName>
    <definedName name="wrn.Blue._.Book._.Sections." localSheetId="0" hidden="1">{#N/A,#N/A,TRUE,"Summary";#N/A,#N/A,TRUE,"Program Scheme";#N/A,#N/A,TRUE,"Assumptions";#N/A,#N/A,TRUE,"Development Budget &amp; Timing";#N/A,#N/A,TRUE,"Cash Flow";#N/A,#N/A,TRUE,"Cash Flow to Debt &amp; Equity"}</definedName>
    <definedName name="wrn.Blue._.Book._.Sections." hidden="1">{#N/A,#N/A,TRUE,"Summary";#N/A,#N/A,TRUE,"Program Scheme";#N/A,#N/A,TRUE,"Assumptions";#N/A,#N/A,TRUE,"Development Budget &amp; Timing";#N/A,#N/A,TRUE,"Cash Flow";#N/A,#N/A,TRUE,"Cash Flow to Debt &amp; Equity"}</definedName>
    <definedName name="wrn.Blue._.Book._.Sections._1" hidden="1">{#N/A,#N/A,TRUE,"Summary";#N/A,#N/A,TRUE,"Program Scheme";#N/A,#N/A,TRUE,"Assumptions";#N/A,#N/A,TRUE,"Development Budget &amp; Timing";#N/A,#N/A,TRUE,"Cash Flow";#N/A,#N/A,TRUE,"Cash Flow to Debt &amp; Equity"}</definedName>
    <definedName name="wrn.Blue._.Book._.Sections._2" hidden="1">{#N/A,#N/A,TRUE,"Summary";#N/A,#N/A,TRUE,"Program Scheme";#N/A,#N/A,TRUE,"Assumptions";#N/A,#N/A,TRUE,"Development Budget &amp; Timing";#N/A,#N/A,TRUE,"Cash Flow";#N/A,#N/A,TRUE,"Cash Flow to Debt &amp; Equity"}</definedName>
    <definedName name="wrn.Blue._.Book._.Sections._3" hidden="1">{#N/A,#N/A,TRUE,"Summary";#N/A,#N/A,TRUE,"Program Scheme";#N/A,#N/A,TRUE,"Assumptions";#N/A,#N/A,TRUE,"Development Budget &amp; Timing";#N/A,#N/A,TRUE,"Cash Flow";#N/A,#N/A,TRUE,"Cash Flow to Debt &amp; Equity"}</definedName>
    <definedName name="wrn.Blue._.Book._.Sections._4" hidden="1">{#N/A,#N/A,TRUE,"Summary";#N/A,#N/A,TRUE,"Program Scheme";#N/A,#N/A,TRUE,"Assumptions";#N/A,#N/A,TRUE,"Development Budget &amp; Timing";#N/A,#N/A,TRUE,"Cash Flow";#N/A,#N/A,TRUE,"Cash Flow to Debt &amp; Equity"}</definedName>
    <definedName name="wrn.Board." hidden="1">{#N/A,#N/A,FALSE,"Title Page - Board";#N/A,#N/A,FALSE,"Index - Board";#N/A,#N/A,FALSE,"Stmt of Income";#N/A,#N/A,FALSE,"Balance Sheet - Audit Comm";#N/A,#N/A,FALSE,"Stmt of Retained Earnings";#N/A,#N/A,FALSE,"Total Cash Flow";#N/A,#N/A,FALSE,"S.C.F.P.";#N/A,#N/A,FALSE,"Appraisal surplus";#N/A,#N/A,FALSE,"FMV";#N/A,#N/A,FALSE,"Ratios"}</definedName>
    <definedName name="wrn.boardPackage." hidden="1">{#N/A,#N/A,FALSE,"ZM I-III Consol FinSummary";#N/A,#N/A,FALSE,"ZM1 FinSummary";#N/A,#N/A,FALSE,"ZM2 FinSummary";#N/A,#N/A,FALSE,"ZM3 FinSummary";#N/A,#N/A,FALSE,"FirstCapFinSummary";#N/A,#N/A,FALSE,"ZellLurieFinSummary";#N/A,#N/A,FALSE,"PortfolioOverview";#N/A,#N/A,FALSE,"Portfolio FinSummary";#N/A,#N/A,FALSE,"OverviewbyState";#N/A,#N/A,FALSE,"portfolio";#N/A,#N/A,FALSE,"ZM123";#N/A,#N/A,FALSE,"FCOccy";#N/A,#N/A,FALSE,"ZL";#N/A,#N/A,FALSE,"ZM ROll SbyS";#N/A,#N/A,FALSE,"zmlConsildated";#N/A,#N/A,FALSE,"FC Roll";#N/A,#N/A,FALSE,"ZL Roll";#N/A,#N/A,FALSE,"Retention";#N/A,#N/A,FALSE,"ConsZM123DebtMaturity";#N/A,#N/A,FALSE,"zm1DebtMaturity";#N/A,#N/A,FALSE,"ZM2DebtMaturity";#N/A,#N/A,FALSE,"ZM3DebtMaturity";#N/A,#N/A,FALSE,"FCDebtMaturity";#N/A,#N/A,FALSE,"ZLDebtMaturity";#N/A,#N/A,FALSE,"Corporate";#N/A,#N/A,FALSE,"SALEDATA";#N/A,#N/A,FALSE,"Pending deals";#N/A,#N/A,FALSE,"zm III";#N/A,#N/A,FALSE,"deal flow";#N/A,#N/A,FALSE,"96Tran";#N/A,#N/A,FALSE,"z4Sources &amp; Uses";#N/A,#N/A,FALSE,"z3 Sources &amp; Uses";#N/A,#N/A,FALSE,"z2 Sources and Uses";#N/A,#N/A,FALSE,"z1 Sources &amp; Uses"}</definedName>
    <definedName name="wrn.Bob." hidden="1">{#N/A,#N/A,TRUE,"33_Cover";#N/A,#N/A,TRUE,"1_Exec_Summ";#N/A,#N/A,TRUE,"2_Assump_Genl";#N/A,#N/A,TRUE,"5_Cash_Flow";#N/A,#N/A,TRUE,"11_Exp_Dtl";#N/A,#N/A,TRUE,"10_Exp_Recov_Dtl";#N/A,#N/A,TRUE,"12_Residual";#N/A,#N/A,TRUE,"14_Pricing_Mtx";#N/A,#N/A,TRUE,"29_Residual_Mtx";#N/A,#N/A,TRUE,"18_Expirations"}</definedName>
    <definedName name="wrn.BofA." hidden="1">{"BofA-Investor",#N/A,FALSE,"BofA Tower";"BofA-Property",#N/A,FALSE,"BofA Tower"}</definedName>
    <definedName name="wrn.Bonds." hidden="1">{#N/A,#N/A,FALSE,"Bonds - Consol";#N/A,#N/A,FALSE,"Bonds - Lakes";#N/A,#N/A,FALSE,"Bonds - Chabot";#N/A,#N/A,FALSE,"Bonds - Diablo"}</definedName>
    <definedName name="wrn.BOOK." hidden="1">{#N/A,#N/A,FALSE,"COVER";#N/A,#N/A,FALSE,"TABLE OF CONTENTS";#N/A,#N/A,FALSE,"EXEC SUMM";#N/A,#N/A,FALSE,"SURVEY";#N/A,#N/A,FALSE,"PROSPECT";#N/A,#N/A,FALSE,"NEW,EXPANSION,RENEWAL,RELET";#N/A,#N/A,FALSE,"EXPIRED,DEFAULTED";#N/A,#N/A,FALSE,"SIGNED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ANALYSIS";#N/A,#N/A,FALSE,"NER_IN_PLACE";#N/A,#N/A,FALSE,"NER_ACQ_DATE";#N/A,#N/A,FALSE,"titles"}</definedName>
    <definedName name="wrn.Book._.Reports." hidden="1">{"Current Month",#N/A,FALSE,"Current Compar.";"Year-To-Date",#N/A,FALSE,"Year Comparison";"Forecast",#N/A,FALSE,"Comparison NOI";"Actual Input",#N/A,FALSE,"Act...Ratios"}</definedName>
    <definedName name="wrn.Boston._.1.4." hidden="1">{"Coversheet",#N/A,TRUE,"Sheet1";"Sensitivity",#N/A,TRUE,"Sheet1";"Value",#N/A,TRUE,"Sheet1";"Asset",#N/A,TRUE,"Sheet1";"Cash+Equity",#N/A,TRUE,"Sheet1";"DCF",#N/A,TRUE,"Sheet1";"Partnership Distribution",#N/A,TRUE,"Sheet1";"Promote1",#N/A,TRUE,"Sheet1";"Promote2",#N/A,TRUE,"Sheet1";"Promote3",#N/A,TRUE,"Sheet1";"Assumptions",#N/A,TRUE,"Sheet1"}</definedName>
    <definedName name="wrn.Boston._.1.4._1" hidden="1">{"Coversheet",#N/A,TRUE,"Sheet1";"Sensitivity",#N/A,TRUE,"Sheet1";"Value",#N/A,TRUE,"Sheet1";"Asset",#N/A,TRUE,"Sheet1";"Cash+Equity",#N/A,TRUE,"Sheet1";"DCF",#N/A,TRUE,"Sheet1";"Partnership Distribution",#N/A,TRUE,"Sheet1";"Promote1",#N/A,TRUE,"Sheet1";"Promote2",#N/A,TRUE,"Sheet1";"Promote3",#N/A,TRUE,"Sheet1";"Assumptions",#N/A,TRUE,"Sheet1"}</definedName>
    <definedName name="wrn.Boston._.1.4._2" hidden="1">{"Coversheet",#N/A,TRUE,"Sheet1";"Sensitivity",#N/A,TRUE,"Sheet1";"Value",#N/A,TRUE,"Sheet1";"Asset",#N/A,TRUE,"Sheet1";"Cash+Equity",#N/A,TRUE,"Sheet1";"DCF",#N/A,TRUE,"Sheet1";"Partnership Distribution",#N/A,TRUE,"Sheet1";"Promote1",#N/A,TRUE,"Sheet1";"Promote2",#N/A,TRUE,"Sheet1";"Promote3",#N/A,TRUE,"Sheet1";"Assumptions",#N/A,TRUE,"Sheet1"}</definedName>
    <definedName name="wrn.Boston._.1.4._3" hidden="1">{"Coversheet",#N/A,TRUE,"Sheet1";"Sensitivity",#N/A,TRUE,"Sheet1";"Value",#N/A,TRUE,"Sheet1";"Asset",#N/A,TRUE,"Sheet1";"Cash+Equity",#N/A,TRUE,"Sheet1";"DCF",#N/A,TRUE,"Sheet1";"Partnership Distribution",#N/A,TRUE,"Sheet1";"Promote1",#N/A,TRUE,"Sheet1";"Promote2",#N/A,TRUE,"Sheet1";"Promote3",#N/A,TRUE,"Sheet1";"Assumptions",#N/A,TRUE,"Sheet1"}</definedName>
    <definedName name="wrn.Both._.Outputs." hidden="1">{"LTV Output",#N/A,FALSE,"Output";"DCR Output",#N/A,FALSE,"Output"}</definedName>
    <definedName name="wrn.BOV.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wrn.Bridge." hidden="1">{"Table of Contents",#N/A,FALSE,"Table of Contents";"Senario",#N/A,FALSE,"Senarios";"Assumptions",#N/A,FALSE,"Assumptions";"Capital Schedule",#N/A,FALSE,"Capital Schedule";"Cash Schedule",#N/A,FALSE,"ScheduleCash";"SummaryCash",#N/A,FALSE,"SummaryCash";"FinancingCash",#N/A,FALSE,"FinancingCash";"Bridge Schedule",#N/A,FALSE,"ScheduleFinanced";"SummaryFinanced",#N/A,FALSE,"SummaryFinanced";"FinancingFinanced",#N/A,FALSE,"FinancingFinanced";"Ownership Schedule",#N/A,FALSE,"ScheduleOwner";"SummaryOwner",#N/A,FALSE,"SummaryOwner";"FinancingOwner",#N/A,FALSE,"FinancingOwner"}</definedName>
    <definedName name="wrn.Brookfield._.Notes." hidden="1">{#N/A,#N/A,FALSE,"Note 2";#N/A,#N/A,FALSE,"Note 3";#N/A,#N/A,FALSE,"Note 4";#N/A,#N/A,FALSE,"Note 5";#N/A,#N/A,FALSE,"Note 6";#N/A,#N/A,FALSE,"Note 10"}</definedName>
    <definedName name="wrn.Budget." hidden="1">{"Spread Dollars",#N/A,FALSE,"Budget";"Spread Ratios",#N/A,FALSE,"Budget";"Target Comparison",#N/A,FALSE,"Summary"}</definedName>
    <definedName name="wrn.Budget._.1997._.Analysis." hidden="1">{#N/A,#N/A,TRUE,"Budget 1997 Class A";#N/A,#N/A,TRUE,"Budgets 1997 Class B &amp; C"}</definedName>
    <definedName name="wrn.Budget._.Report." hidden="1">{#N/A,#N/A,FALSE,"Cover Page";#N/A,#N/A,FALSE,"Brookfield Consolidated";#N/A,#N/A,FALSE,"Marketable Sec.";#N/A,#N/A,FALSE,"Acct. &amp; Loans Rec.";#N/A,#N/A,FALSE,"Brookfield Homes";#N/A,#N/A,FALSE,"Carma Developers";#N/A,#N/A,FALSE,"Brookfield CP";#N/A,#N/A,FALSE,"World Financial Center Props.";#N/A,#N/A,FALSE,"Other Assets";#N/A,#N/A,FALSE,"Accounts Payable";#N/A,#N/A,FALSE,"Liabilities";#N/A,#N/A,FALSE,"Minority Interests";#N/A,#N/A,FALSE,"Conv Debs";#N/A,#N/A,FALSE,"Preferred Shares";#N/A,#N/A,FALSE,"Assumptions"}</definedName>
    <definedName name="wrn.BUDGET97." hidden="1">{"FIXVARIANCE",#N/A,FALSE,"COSTPHSE";"SOURCING",#N/A,FALSE,"COSTPHSE"}</definedName>
    <definedName name="wrn.Buildings._.10._.and._.12." hidden="1">{"B10&amp;12 Summary",#N/A,TRUE,"10 &amp; 12 - CF";"B10&amp;12 Budget",#N/A,TRUE,"10 &amp; 12 - CF";"B10&amp;12 Dev. Costs",#N/A,TRUE,"10 &amp; 12 - CF";"B10&amp;12 CF1",#N/A,TRUE,"10 &amp; 12 - CF";"B10&amp;12 CF2",#N/A,TRUE,"10 &amp; 12 - CF"}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isse._.Report." hidden="1">{#N/A,#N/A,TRUE,"Title - Caisse";#N/A,#N/A,TRUE,"Schedule 1a";#N/A,#N/A,TRUE,"Schedule 2 - 2001";#N/A,#N/A,TRUE,"Schedule 2 - 2002";#N/A,#N/A,TRUE,"Schedule 2 - 2003";#N/A,#N/A,TRUE,"Schedule 3";#N/A,#N/A,TRUE,"Schedule 4";#N/A,#N/A,TRUE,"Schedule 5";#N/A,#N/A,TRUE,"Schedule 5a";#N/A,#N/A,TRUE,"Schedule 6";#N/A,#N/A,TRUE,"Schedule 6a";#N/A,#N/A,TRUE,"Schedule 6b";#N/A,#N/A,TRUE,"Schedule 6c";#N/A,#N/A,TRUE,"Schedule 6d";#N/A,#N/A,TRUE,"Schedule 6e";#N/A,#N/A,TRUE,"Schedule 7";#N/A,#N/A,TRUE,"Schedule 8"}</definedName>
    <definedName name="wrn.Capital_Increm.." hidden="1">{#N/A,#N/A,FALSE,"Capital-Incremental"}</definedName>
    <definedName name="wrn.Capital_Nonincre.." hidden="1">{#N/A,#N/A,FALSE,"Capital-Nonincremental"}</definedName>
    <definedName name="wrn.Capital._.Projections.Base._.Case." hidden="1">{"CapContr.",#N/A,FALSE,"Capital Projections-Base";"LOC Fundings",#N/A,FALSE,"Capital Projections";"LOC Repayments",#N/A,FALSE,"Capital Projections";"LOC 1",#N/A,FALSE,"Capital Projections";"LOC 2",#N/A,FALSE,"Capital Projections";"LOC 3",#N/A,FALSE,"Capital Projections";"Cap.Dis",#N/A,FALSE,"Capital Projections"}</definedName>
    <definedName name="wrn.CapitalProjections.WorseCase." hidden="1">{"Cap.Contr.WorseCase",#N/A,FALSE,"Capital Projections-WorseCase"}</definedName>
    <definedName name="wrn.CAPREIT." hidden="1">{#N/A,#N/A,FALSE,"CAPREIT"}</definedName>
    <definedName name="wrn.CAPREIT._.II." hidden="1">{#N/A,#N/A,FALSE,"Consolidate II";#N/A,#N/A,FALSE,"Atrium";#N/A,#N/A,FALSE,"DoverFarms";#N/A,#N/A,FALSE,"GreenwayChase";#N/A,#N/A,FALSE,"Island Club 1";#N/A,#N/A,FALSE,"IslesGateway";#N/A,#N/A,FALSE,"MadisonPark";#N/A,#N/A,FALSE,"PacesRun";#N/A,#N/A,FALSE,"Park";#N/A,#N/A,FALSE,"Sunbrook";#N/A,#N/A,FALSE,"TownPlace";#N/A,#N/A,FALSE,"WatPark";#N/A,#N/A,FALSE,"WatPlace";#N/A,#N/A,FALSE,"WatCastleton"}</definedName>
    <definedName name="wrn.CAPREIT._.II._.and._.IV." hidden="1">{#N/A,#N/A,FALSE,"Consolidate II &amp; IV";#N/A,#N/A,FALSE,"Atrium";#N/A,#N/A,FALSE,"Chasewood";#N/A,#N/A,FALSE,"ClubNorthHills";#N/A,#N/A,FALSE,"DoverFarms";#N/A,#N/A,FALSE,"GreenwayChase";#N/A,#N/A,FALSE,"Island Club 1";#N/A,#N/A,FALSE,"IslesGateway";#N/A,#N/A,FALSE,"Kensington";#N/A,#N/A,FALSE,"LakeFront";#N/A,#N/A,FALSE,"MadisonPark";#N/A,#N/A,FALSE,"Oaks";#N/A,#N/A,FALSE,"PacesRun";#N/A,#N/A,FALSE,"Park";#N/A,#N/A,FALSE,"PointeWest";#N/A,#N/A,FALSE,"Sunbrook";#N/A,#N/A,FALSE,"Sundance";#N/A,#N/A,FALSE,"TownPlace";#N/A,#N/A,FALSE,"WatPark";#N/A,#N/A,FALSE,"WatPlace";#N/A,#N/A,FALSE,"WatCastleton";#N/A,#N/A,FALSE,"Wellington"}</definedName>
    <definedName name="wrn.CAPREIT._.IV." hidden="1">{#N/A,#N/A,FALSE,"Consolidate IV";#N/A,#N/A,FALSE,"Chasewood";#N/A,#N/A,FALSE,"ClubNorthHills";#N/A,#N/A,FALSE,"Kensington";#N/A,#N/A,FALSE,"LakeFront";#N/A,#N/A,FALSE,"Oaks";#N/A,#N/A,FALSE,"PointeWest";#N/A,#N/A,FALSE,"Sundance";#N/A,#N/A,FALSE,"Wellington"}</definedName>
    <definedName name="wrn.CAPREIT._.TERA." hidden="1">{#N/A,#N/A,FALSE,"Consolidate TERA";#N/A,#N/A,FALSE,"Boulder";#N/A,#N/A,FALSE,"Braden";#N/A,#N/A,FALSE,"Cambridge";#N/A,#N/A,FALSE,"Charleston";#N/A,#N/A,FALSE,"Cornerstone";#N/A,#N/A,FALSE,"Courtyard";#N/A,#N/A,FALSE,"LakeMayport";#N/A,#N/A,FALSE,"Paces River 1";#N/A,#N/A,FALSE,"Paces River 2";#N/A,#N/A,FALSE,"Paddock ";#N/A,#N/A,FALSE,"Summer";#N/A,#N/A,FALSE,"Sutton"}</definedName>
    <definedName name="wrn.CAPREIT._.V." hidden="1">{#N/A,#N/A,FALSE,"Consolidate V";#N/A,#N/A,FALSE,"Ashley";#N/A,#N/A,FALSE,"Biscayne";#N/A,#N/A,FALSE,"Carnegie";#N/A,#N/A,FALSE,"Culpeper ";#N/A,#N/A,FALSE,"Island Club 2";#N/A,#N/A,FALSE,"MadisonRidge";#N/A,#N/A,FALSE,"Magnolia";#N/A,#N/A,FALSE,"Royal";#N/A,#N/A,FALSE,"Valle"}</definedName>
    <definedName name="wrn.CAPREIT2" hidden="1">{#N/A,#N/A,FALSE,"CAPREIT"}</definedName>
    <definedName name="wrn.Capx." hidden="1">{"Capx/exp",#N/A,FALSE,"CapX"}</definedName>
    <definedName name="wrn.cash" hidden="1">{#N/A,#N/A,FALSE,"Matrix";#N/A,#N/A,FALSE,"Cash Flow";#N/A,#N/A,FALSE,"10 Year Cost Analysis"}</definedName>
    <definedName name="wrn.Cash_Flow." hidden="1">{#N/A,#N/A,FALSE,"Cash Flow"}</definedName>
    <definedName name="wrn.Cash._.Flow." hidden="1">{#N/A,#N/A,TRUE,"CashFlowSummary";#N/A,#N/A,TRUE,"FinanceCashFlow";#N/A,#N/A,TRUE,"LandCashFlow";#N/A,#N/A,TRUE,"ConstCashFlow";#N/A,#N/A,TRUE,"A&amp;ECashFlow";#N/A,#N/A,TRUE,"IndirectCashFlow";#N/A,#N/A,TRUE,"MarketingCashFlow";#N/A,#N/A,TRUE,"LeaseUp";#N/A,#N/A,TRUE,"G&amp;ACashFlow"}</definedName>
    <definedName name="wrn.Cash._.Flow._.Anal." hidden="1">{"CF",#N/A,FALSE,"Cash Flow";"RET",#N/A,FALSE,"Returns";"NPV",#N/A,FALSE,"Values";"ASMPT",#N/A,FALSE,"Assumptions"}</definedName>
    <definedName name="wrn.Cash._.Flow._.Analysis." localSheetId="0" hidden="1">{"CF",#N/A,FALSE,"Cash Flow";"RET",#N/A,FALSE,"Returns";"NPV",#N/A,FALSE,"Values";"ASMPT",#N/A,FALSE,"Assumptions"}</definedName>
    <definedName name="wrn.Cash._.Flow._.Analysis." hidden="1">{"CF",#N/A,FALSE,"Cash Flow";"RET",#N/A,FALSE,"Returns";"NPV",#N/A,FALSE,"Values";"ASMPT",#N/A,FALSE,"Assumptions"}</definedName>
    <definedName name="wrn.Cash._.Flow._.Analysis._1" hidden="1">{"CF",#N/A,FALSE,"Cash Flow";"RET",#N/A,FALSE,"Returns";"NPV",#N/A,FALSE,"Values";"ASMPT",#N/A,FALSE,"Assumptions"}</definedName>
    <definedName name="wrn.Cash._.Flow._.Analysis._2" hidden="1">{"CF",#N/A,FALSE,"Cash Flow";"RET",#N/A,FALSE,"Returns";"NPV",#N/A,FALSE,"Values";"ASMPT",#N/A,FALSE,"Assumptions"}</definedName>
    <definedName name="wrn.Cash._.Flow._.Analysis._3" hidden="1">{"CF",#N/A,FALSE,"Cash Flow";"RET",#N/A,FALSE,"Returns";"NPV",#N/A,FALSE,"Values";"ASMPT",#N/A,FALSE,"Assumptions"}</definedName>
    <definedName name="wrn.Cash._.Flow._.Analysis._4" hidden="1">{"CF",#N/A,FALSE,"Cash Flow";"RET",#N/A,FALSE,"Returns";"NPV",#N/A,FALSE,"Values";"ASMPT",#N/A,FALSE,"Assumptions"}</definedName>
    <definedName name="wrn.Cash._.Flow._.and._.Matrix." hidden="1">{#N/A,#N/A,FALSE,"Matrix";#N/A,#N/A,FALSE,"Cash Flow";#N/A,#N/A,FALSE,"10 Year Cost Analysis"}</definedName>
    <definedName name="wrn.Cash._.Flow._.Report." hidden="1">{#N/A,#N/A,FALSE,"Title Page";#N/A,#N/A,FALSE,"Canada - C$";#N/A,#N/A,FALSE,"Canada - US$";#N/A,#N/A,FALSE,"Available Credit"}</definedName>
    <definedName name="wrn.CASH._.FLOWS._.ONLY." hidden="1">{#N/A,#N/A,FALSE,"Assumptions";#N/A,#N/A,FALSE,"Consol CF";#N/A,#N/A,FALSE,"Hacienda CF";#N/A,#N/A,FALSE,"Chabot CF";#N/A,#N/A,FALSE,"Diablo CF"}</definedName>
    <definedName name="wrn.cash.both" hidden="1">{"CF",#N/A,FALSE,"Cash Flow";"RET",#N/A,FALSE,"Returns";"NPV",#N/A,FALSE,"Values";"ASMPT",#N/A,FALSE,"Assumptions"}</definedName>
    <definedName name="wrn.cash.retail" hidden="1">{"CF",#N/A,FALSE,"Cash Flow";"RET",#N/A,FALSE,"Returns";"NPV",#N/A,FALSE,"Values";"ASMPT",#N/A,FALSE,"Assumptions"}</definedName>
    <definedName name="wrn.Cashflow._.Reconciliation." hidden="1">{"cashflow reconciliation",#N/A,FALSE,"cashflow rec"}</definedName>
    <definedName name="wrn.Cashflow._.Rolls." hidden="1">{"investment roll for cashflow",#N/A,FALSE,"detail investment sched";"fixed asset roll for cashflow",#N/A,FALSE,"other schedules";"goodwill roll for cashflow",#N/A,FALSE,"other schedules";"long term debt roll for cashflow",#N/A,FALSE,"other schedules";"minority interest roll for cashflow",#N/A,FALSE,"other schedules";"other long term obligations roll",#N/A,FALSE,"other schedules"}</definedName>
    <definedName name="wrn.Casino." hidden="1">{"Casino (Summary)",#N/A,FALSE,"Casino";"Casino (Budget Sum)",#N/A,FALSE,"Casino";"Casino (Cash Flow)",#N/A,FALSE,"Casino";"Casino (Costs and Sales)",#N/A,FALSE,"Casino";"Casino (Debt)",#N/A,FALSE,"Casino";"Casino (Partner CF)",#N/A,FALSE,"Casino";"Casino (Cost Detail)",#N/A,FALSE,"Casino";"Casino ( Budget Detail)",#N/A,FALSE,"Casino Budget"}</definedName>
    <definedName name="wrn.CCC." hidden="1">{#N/A,#N/A,FALSE,"A";#N/A,#N/A,FALSE,"B"}</definedName>
    <definedName name="wrn.CCC._.OPEX.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wrn.CD." hidden="1">{"CD1",#N/A,TRUE,"C-D (R)";"CD2",#N/A,TRUE,"C-D (R)"}</definedName>
    <definedName name="wrn.CF._.Print.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FB._.150." hidden="1">{"Summary",#N/A,TRUE,"Summary";"Sensitivity",#N/A,TRUE,"Summary";"Valuation",#N/A,TRUE,"Summary";"Cash Flows",#N/A,TRUE,"Summary";"Partnership NCF",#N/A,TRUE,"Summary";"Partnership Equity Value",#N/A,TRUE,"Summary";"Waterfall",#N/A,TRUE,"Summary";"MIR Fund Structure",#N/A,TRUE,"Summary";"Assumptions",#N/A,TRUE,"Summary";"Argus Assumptions",#N/A,TRUE,"Summary"}</definedName>
    <definedName name="wrn.CFD." hidden="1">{"CFD 1",#N/A,FALSE,"CFD";"CFD 2",#N/A,FALSE,"CFD";"CFD 3",#N/A,FALSE,"CFD";"CFD 4",#N/A,FALSE,"CFD"}</definedName>
    <definedName name="wrn.CGR." hidden="1">{#N/A,#N/A,TRUE,"SUMMARY";#N/A,#N/A,TRUE,"LAND";#N/A,#N/A,TRUE,"DIRECT COST";#N/A,#N/A,TRUE,"INDIRECT COST";#N/A,#N/A,TRUE,"PERMIT FEES";#N/A,#N/A,TRUE,"ADDITIONAL PROJECT COST";"LOAN CASH FLOWS",#N/A,TRUE,"PROJECT COSTS";"SUBSUBSCHEDULE",#N/A,TRUE,"INCOME SUMMARY";"EARLY TRADING",#N/A,TRUE,"LEASEUP SCEN1 TARGET";#N/A,#N/A,TRUE,"APPENDIX";#N/A,#N/A,TRUE,"PROJECT COMPONENT BREAKDOWN"}</definedName>
    <definedName name="wrn.CHART_old" hidden="1">{"CHART",#N/A,FALSE,"Arch Communications"}</definedName>
    <definedName name="wrn.CHART." hidden="1">{"CHART",#N/A,FALSE,"Arch Communications"}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2._.detail." hidden="1">{#N/A,#N/A,FALSE,"Chart 2 by Prop Type"}</definedName>
    <definedName name="wrn.check.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heck.2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hecks." hidden="1">{"Checks",#N/A,FALSE,"Checks"}</definedName>
    <definedName name="wrn.Clarie_Bridge." hidden="1">{"One",#N/A,FALSE,"Claire Bridge";"Two",#N/A,FALSE,"Claire Bridge";"Three",#N/A,FALSE,"Claire Bridge";"Four",#N/A,FALSE,"Claire Bridge";"Five",#N/A,FALSE,"Claire Bridge"}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losing._.BW." hidden="1">{#N/A,#N/A,FALSE,"Closing Bentley Wynde";#N/A,#N/A,FALSE,"Closing Bantley Wynde (1)"}</definedName>
    <definedName name="wrn.closing._.statement." hidden="1">{"page1",#N/A,FALSE,"CTT_CLO";"page2",#N/A,FALSE,"CTT_CLO"}</definedName>
    <definedName name="wrn.clp_detail_doc." hidden="1">{"clp_ltd_doc",#N/A,FALSE,"CLP";"clp_om_doc",#N/A,FALSE,"CLP";"clp_ra_doc",#N/A,FALSE,"CLP";"clp_rb_doc",#N/A,FALSE,"CLP";"clp_rev_doc",#N/A,FALSE,"CLP";"clp_tax_doc",#N/A,FALSE,"CLP";"clp_wc_doc",#N/A,FALSE,"CLP";"clp_power_doc",#N/A,FALSE,"CLP"}</definedName>
    <definedName name="wrn.clp_fs_doc." hidden="1">{"clp_bs_doc",#N/A,FALSE,"CLP";"clp_is_doc",#N/A,FALSE,"CLP";"clp_cf_doc",#N/A,FALSE,"CLP";"clp_fr_doc",#N/A,FALSE,"CLP"}</definedName>
    <definedName name="wrn.Co._.Invest." hidden="1">{"Summary - Coinvest",#N/A,FALSE,"Summary";"Sensitivity - Coinvest",#N/A,FALSE,"Summary";"Partnership Value",#N/A,FALSE,"Summary";"Cash Flows",#N/A,FALSE,"Summary";"Partnership Equity Value",#N/A,FALSE,"Summary";"Waterfall - Coinvest",#N/A,FALSE,"Summary";"MIR Fund Structure - Coinvest",#N/A,FALSE,"Summary";"Assumptions - Coinvest",#N/A,FALSE,"Summary"}</definedName>
    <definedName name="wrn.coII._.I." hidden="1">{#N/A,#N/A,FALSE,"Fund-I"}</definedName>
    <definedName name="wrn.CoIV._.II." hidden="1">{#N/A,#N/A,FALSE,"Fund-II"}</definedName>
    <definedName name="wrn.COM." hidden="1">{"COM",#N/A,FALSE,"800 10th"}</definedName>
    <definedName name="wrn.COM._1" hidden="1">{"COM",#N/A,FALSE,"800 10th"}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LAWTC." hidden="1">{"Commish",#N/A,FALSE,"LAWTC"}</definedName>
    <definedName name="wrn.COMLAWTC._1" hidden="1">{"Commish",#N/A,FALSE,"LAWTC"}</definedName>
    <definedName name="wrn.Comp." hidden="1">{"Comp",#N/A,FALSE,"Spreadsheet"}</definedName>
    <definedName name="wrn.Compare._.Hawaiki." hidden="1">{"Divsum Compare Hawaiki",#N/A,FALSE,"Divsum"}</definedName>
    <definedName name="wrn.COMPCO." hidden="1">{"Page1",#N/A,FALSE,"CompCo";"Page2",#N/A,FALSE,"CompCo"}</definedName>
    <definedName name="wrn.Competition." hidden="1">{#N/A,#N/A,FALSE,"CompSummary";#N/A,#N/A,FALSE,"Comp1";#N/A,#N/A,FALSE,"Comp2";#N/A,#N/A,FALSE,"Comp3";#N/A,#N/A,FALSE,"Comp4";#N/A,#N/A,FALSE,"Comp5";#N/A,#N/A,FALSE,"Our Prop";#N/A,#N/A,FALSE,"Projection Sheet"}</definedName>
    <definedName name="wrn.Competition._1" hidden="1">{#N/A,#N/A,FALSE,"CompSummary";#N/A,#N/A,FALSE,"Comp1";#N/A,#N/A,FALSE,"Comp2";#N/A,#N/A,FALSE,"Comp3";#N/A,#N/A,FALSE,"Comp4";#N/A,#N/A,FALSE,"Comp5";#N/A,#N/A,FALSE,"Our Prop";#N/A,#N/A,FALSE,"Projection Sheet"}</definedName>
    <definedName name="wrn.Complete_2." hidden="1">{"Summary",#N/A,TRUE,"Model";"Value",#N/A,TRUE,"Model";"Sensitivity",#N/A,TRUE,"Model";"Asset",#N/A,TRUE,"Model";"Cash_Flows",#N/A,TRUE,"Cash Flow";"Cash",#N/A,TRUE,"Model";"Equity",#N/A,TRUE,"Model";"DCF",#N/A,TRUE,"Model";"Splits 1",#N/A,TRUE,"Model";"Splits 2",#N/A,TRUE,"Model";"Promote1",#N/A,TRUE,"Model";"Promote2",#N/A,TRUE,"Model";"Promote3",#N/A,TRUE,"Model";"Debt",#N/A,TRUE,"Debt";"Assumptions",#N/A,TRUE,"Model"}</definedName>
    <definedName name="wrn.Complete_2._1" hidden="1">{"Summary",#N/A,TRUE,"Model";"Value",#N/A,TRUE,"Model";"Sensitivity",#N/A,TRUE,"Model";"Asset",#N/A,TRUE,"Model";"Cash_Flows",#N/A,TRUE,"Cash Flow";"Cash",#N/A,TRUE,"Model";"Equity",#N/A,TRUE,"Model";"DCF",#N/A,TRUE,"Model";"Splits 1",#N/A,TRUE,"Model";"Splits 2",#N/A,TRUE,"Model";"Promote1",#N/A,TRUE,"Model";"Promote2",#N/A,TRUE,"Model";"Promote3",#N/A,TRUE,"Model";"Debt",#N/A,TRUE,"Debt";"Assumptions",#N/A,TRUE,"Model"}</definedName>
    <definedName name="wrn.Complete_2._2" hidden="1">{"Summary",#N/A,TRUE,"Model";"Value",#N/A,TRUE,"Model";"Sensitivity",#N/A,TRUE,"Model";"Asset",#N/A,TRUE,"Model";"Cash_Flows",#N/A,TRUE,"Cash Flow";"Cash",#N/A,TRUE,"Model";"Equity",#N/A,TRUE,"Model";"DCF",#N/A,TRUE,"Model";"Splits 1",#N/A,TRUE,"Model";"Splits 2",#N/A,TRUE,"Model";"Promote1",#N/A,TRUE,"Model";"Promote2",#N/A,TRUE,"Model";"Promote3",#N/A,TRUE,"Model";"Debt",#N/A,TRUE,"Debt";"Assumptions",#N/A,TRUE,"Model"}</definedName>
    <definedName name="wrn.Complete_2._3" hidden="1">{"Summary",#N/A,TRUE,"Model";"Value",#N/A,TRUE,"Model";"Sensitivity",#N/A,TRUE,"Model";"Asset",#N/A,TRUE,"Model";"Cash_Flows",#N/A,TRUE,"Cash Flow";"Cash",#N/A,TRUE,"Model";"Equity",#N/A,TRUE,"Model";"DCF",#N/A,TRUE,"Model";"Splits 1",#N/A,TRUE,"Model";"Splits 2",#N/A,TRUE,"Model";"Promote1",#N/A,TRUE,"Model";"Promote2",#N/A,TRUE,"Model";"Promote3",#N/A,TRUE,"Model";"Debt",#N/A,TRUE,"Debt";"Assumptions",#N/A,TRUE,"Model"}</definedName>
    <definedName name="wrn.COMPLETE." hidden="1">{#N/A,#N/A,FALSE,"COVER";#N/A,#N/A,FALSE,"PROFORMA";#N/A,#N/A,FALSE,"Construction CF";#N/A,#N/A,FALSE,"CASHFLOW";#N/A,#N/A,FALSE,"Sale &amp; IRR Analysis";#N/A,#N/A,FALSE,"Amortization Table";#N/A,#N/A,FALSE,"Amortization FEMA";#N/A,#N/A,FALSE,"INCOME"}</definedName>
    <definedName name="wrn.Complete._.Budget." hidden="1">{#N/A,#N/A,FALSE,"PropInfo";#N/A,#N/A,FALSE,"Summary";#N/A,#N/A,FALSE,"Comparitive";#N/A,#N/A,FALSE,"RevSummary";#N/A,#N/A,FALSE,"Rooms";#N/A,#N/A,FALSE,"Van";#N/A,#N/A,FALSE,"F&amp;B Rev";#N/A,#N/A,FALSE,"Food";#N/A,#N/A,FALSE,"Bev";#N/A,#N/A,FALSE,"PBX";#N/A,#N/A,FALSE,"Fitness";#N/A,#N/A,FALSE,"Golf #1";#N/A,#N/A,FALSE,"Golf #2 ";#N/A,#N/A,FALSE,"Tennis";#N/A,#N/A,FALSE,"BusCtr";#N/A,#N/A,FALSE,"InRoomVend";#N/A,#N/A,FALSE,"Retail #1";#N/A,#N/A,FALSE,"Retail #2";#N/A,#N/A,FALSE,"Parking";#N/A,#N/A,FALSE,"Rents&amp;Other";#N/A,#N/A,FALSE,"A&amp;G";#N/A,#N/A,FALSE,"A&amp;P";#N/A,#N/A,FALSE,"Comp";#N/A,#N/A,FALSE,"R&amp;M";#N/A,#N/A,FALSE,"Energy";#N/A,#N/A,FALSE,"Capital";#N/A,#N/A,FALSE,"Laundry";#N/A,#N/A,FALSE,"EmpCafe";#N/A,#N/A,FALSE,"PTEB";#N/A,#N/A,FALSE,"Rent Calc"}</definedName>
    <definedName name="wrn.Complete._.Budget.1" hidden="1">{#N/A,#N/A,TRUE,"Budget";#N/A,#N/A,TRUE,"Revenue &amp; COGS"}</definedName>
    <definedName name="wrn.Complete._.Fortress." hidden="1">{"Summary",#N/A,TRUE,"Fund";"Value",#N/A,TRUE,"Fund";"Sensitivity",#N/A,TRUE,"Fund";"Cash_Flows",#N/A,TRUE,"Fund";"Cash/Equity",#N/A,TRUE,"Fund";"DCF/Yield",#N/A,TRUE,"Fund";"Splits 1",#N/A,TRUE,"Fund";"Promote IA",#N/A,TRUE,"Fund";"Assumptions",#N/A,TRUE,"Fund"}</definedName>
    <definedName name="wrn.Complete._.II." hidden="1">{"Summary",#N/A,TRUE,"Fund";"Value",#N/A,TRUE,"Fund";"Sensitivity",#N/A,TRUE,"Fund";"Cash_Flows",#N/A,TRUE,"Fund";"Cash/Equity",#N/A,TRUE,"Fund";"DCF/Yield",#N/A,TRUE,"Fund";"Splits 1",#N/A,TRUE,"Fund";"Promote I",#N/A,TRUE,"Fund";"Promote II",#N/A,TRUE,"Fund";"Promote III",#N/A,TRUE,"Fund";"Assumptions",#N/A,TRUE,"Fund"}</definedName>
    <definedName name="wrn.Complete._.II._1" hidden="1">{"Summary",#N/A,TRUE,"Fund";"Value",#N/A,TRUE,"Fund";"Sensitivity",#N/A,TRUE,"Fund";"Cash_Flows",#N/A,TRUE,"Fund";"Cash/Equity",#N/A,TRUE,"Fund";"DCF/Yield",#N/A,TRUE,"Fund";"Splits 1",#N/A,TRUE,"Fund";"Promote I",#N/A,TRUE,"Fund";"Promote II",#N/A,TRUE,"Fund";"Promote III",#N/A,TRUE,"Fund";"Assumptions",#N/A,TRUE,"Fund"}</definedName>
    <definedName name="wrn.Complete._.II._2" hidden="1">{"Summary",#N/A,TRUE,"Fund";"Value",#N/A,TRUE,"Fund";"Sensitivity",#N/A,TRUE,"Fund";"Cash_Flows",#N/A,TRUE,"Fund";"Cash/Equity",#N/A,TRUE,"Fund";"DCF/Yield",#N/A,TRUE,"Fund";"Splits 1",#N/A,TRUE,"Fund";"Promote I",#N/A,TRUE,"Fund";"Promote II",#N/A,TRUE,"Fund";"Promote III",#N/A,TRUE,"Fund";"Assumptions",#N/A,TRUE,"Fund"}</definedName>
    <definedName name="wrn.Complete._.II._3" hidden="1">{"Summary",#N/A,TRUE,"Fund";"Value",#N/A,TRUE,"Fund";"Sensitivity",#N/A,TRUE,"Fund";"Cash_Flows",#N/A,TRUE,"Fund";"Cash/Equity",#N/A,TRUE,"Fund";"DCF/Yield",#N/A,TRUE,"Fund";"Splits 1",#N/A,TRUE,"Fund";"Promote I",#N/A,TRUE,"Fund";"Promote II",#N/A,TRUE,"Fund";"Promote III",#N/A,TRUE,"Fund";"Assumptions",#N/A,TRUE,"Fund"}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_.Package." hidden="1">{"Summary Including DHC",#N/A,TRUE,"SUMMARY";"Financial Assumptions",#N/A,TRUE,"Financial Assumptions";"Sources &amp; Uses",#N/A,TRUE,"Financial Assumptions";"History &amp; Projection",#N/A,TRUE,"History - Proforma"}</definedName>
    <definedName name="wrn.Complete._.report." hidden="1">{"Plant Parameters",#N/A,FALSE,"Total Project Economics";"summary1",#N/A,FALSE,"Total Project Economics";"Tariffs_Unit Prices_Costs",#N/A,FALSE,"Total Project Economics";"Financials",#N/A,FALSE,"Total Project Economics"}</definedName>
    <definedName name="wrn.Complete._.Review." hidden="1">{#N/A,#N/A,FALSE,"Occ and Rate";#N/A,#N/A,FALSE,"PF Input";#N/A,#N/A,FALSE,"Capital Input";#N/A,#N/A,FALSE,"Proforma Five Yr";#N/A,#N/A,FALSE,"Calculations";#N/A,#N/A,FALSE,"Transaction Summary-DTW"}</definedName>
    <definedName name="wrn.Complete._1" hidden="1">{"Summary",#N/A,TRUE,"Sheet1";"Sensitivity",#N/A,TRUE,"Sheet1";"Value",#N/A,TRUE,"Sheet1";"Asset",#N/A,TRUE,"Sheet1";"Cash",#N/A,TRUE,"Sheet1";"Equity",#N/A,TRUE,"Sheet1";"DCF",#N/A,TRUE,"Sheet1";"Splits",#N/A,TRUE,"Sheet1";"Promote1",#N/A,TRUE,"Sheet1";"Promote2",#N/A,TRUE,"Sheet1";"Promote3",#N/A,TRUE,"Sheet1";"Assumptions",#N/A,TRUE,"Sheet1";"Debt",#N/A,TRUE,"Sheet1";"Cash_Flows",#N/A,TRUE,"Sheet3"}</definedName>
    <definedName name="wrn.Complete._2" hidden="1">{"Summary",#N/A,TRUE,"Sheet1";"Sensitivity",#N/A,TRUE,"Sheet1";"Value",#N/A,TRUE,"Sheet1";"Asset",#N/A,TRUE,"Sheet1";"Cash",#N/A,TRUE,"Sheet1";"Equity",#N/A,TRUE,"Sheet1";"DCF",#N/A,TRUE,"Sheet1";"Splits",#N/A,TRUE,"Sheet1";"Promote1",#N/A,TRUE,"Sheet1";"Promote2",#N/A,TRUE,"Sheet1";"Promote3",#N/A,TRUE,"Sheet1";"Assumptions",#N/A,TRUE,"Sheet1";"Debt",#N/A,TRUE,"Sheet1";"Cash_Flows",#N/A,TRUE,"Sheet3"}</definedName>
    <definedName name="wrn.Complete._3" hidden="1">{"Summary",#N/A,TRUE,"Sheet1";"Sensitivity",#N/A,TRUE,"Sheet1";"Value",#N/A,TRUE,"Sheet1";"Asset",#N/A,TRUE,"Sheet1";"Cash",#N/A,TRUE,"Sheet1";"Equity",#N/A,TRUE,"Sheet1";"DCF",#N/A,TRUE,"Sheet1";"Splits",#N/A,TRUE,"Sheet1";"Promote1",#N/A,TRUE,"Sheet1";"Promote2",#N/A,TRUE,"Sheet1";"Promote3",#N/A,TRUE,"Sheet1";"Assumptions",#N/A,TRUE,"Sheet1";"Debt",#N/A,TRUE,"Sheet1";"Cash_Flows",#N/A,TRUE,"Sheet3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{#N/A,#N/A,FALSE,"Comps"}</definedName>
    <definedName name="wrn.Const_Monthly." hidden="1">{"Const_Monthly",#N/A,FALSE,"Construction"}</definedName>
    <definedName name="wrn.Construction_Summary." hidden="1">{#N/A,#N/A,FALSE,"Construction"}</definedName>
    <definedName name="wrn.Construction._.Costs." hidden="1">{"Construction Costs",#N/A,FALSE,"Total Costs"}</definedName>
    <definedName name="wrn.contribution." hidden="1">{#N/A,#N/A,FALSE,"Contribution Analysis"}</definedName>
    <definedName name="wrn.contribution.1" hidden="1">{#N/A,#N/A,FALSE,"Contribution Analysis"}</definedName>
    <definedName name="wrn.Control_A." hidden="1">{#N/A,#N/A,FALSE,"Notes";#N/A,#N/A,FALSE,"CFD Summary";#N/A,#N/A,FALSE,"Loan Value";#N/A,#N/A,FALSE,"CashFlowSummary";#N/A,#N/A,FALSE,"InvestorSummary";#N/A,#N/A,FALSE,"RevenueAssumptions";#N/A,#N/A,FALSE,"MasterCostAssmp";#N/A,#N/A,FALSE,"InTractCstAssmp";#N/A,#N/A,FALSE,"LotTakedowns"}</definedName>
    <definedName name="wrn.Control_M." hidden="1">{#N/A,#N/A,FALSE,"Notes";#N/A,#N/A,FALSE,"CFD Summary";#N/A,#N/A,FALSE,"BaseAssumptions";#N/A,#N/A,FALSE,"RevenueAssumptions";#N/A,#N/A,FALSE,"MasterCostAssmp";#N/A,#N/A,FALSE,"InTractCstAssmp";#N/A,#N/A,FALSE,"LotTakedowns";#N/A,#N/A,FALSE,"CashFlowSummary";#N/A,#N/A,FALSE,"FlowSummary";#N/A,#N/A,FALSE,"SourcesAndUses";#N/A,#N/A,FALSE,"CashDistribute";#N/A,#N/A,FALSE,"InvestorSummary";#N/A,#N/A,FALSE,"AcqDev Loan";#N/A,#N/A,FALSE,"Finance Summary";#N/A,#N/A,FALSE,"Valuation"}</definedName>
    <definedName name="wrn.Control._.Sheet." hidden="1">{#N/A,#N/A,FALSE,"CONTROL"}</definedName>
    <definedName name="wrn.Converse." hidden="1">{"Cover",#N/A,TRUE,"Sheet1";"Valuation",#N/A,TRUE,"Sheet1";"Sensitivity",#N/A,TRUE,"Sheet1";"Portfolio CF",#N/A,TRUE,"Sheet1";"Pship NCF",#N/A,TRUE,"Sheet1";"Equity &amp; DCF",#N/A,TRUE,"Sheet1";"Pship Dist 1",#N/A,TRUE,"Sheet1";"Pship Dist 2",#N/A,TRUE,"Sheet1";"Pship Dist 3",#N/A,TRUE,"Sheet1";"MIR Splits 1",#N/A,TRUE,"Sheet1";"MIR Splits 2",#N/A,TRUE,"Sheet1";"MIR Splits 3",#N/A,TRUE,"Sheet1";"Assumptions",#N/A,TRUE,"Sheet1"}</definedName>
    <definedName name="wrn.Converse._1" hidden="1">{"Cover",#N/A,TRUE,"Sheet1";"Valuation",#N/A,TRUE,"Sheet1";"Sensitivity",#N/A,TRUE,"Sheet1";"Portfolio CF",#N/A,TRUE,"Sheet1";"Pship NCF",#N/A,TRUE,"Sheet1";"Equity &amp; DCF",#N/A,TRUE,"Sheet1";"Pship Dist 1",#N/A,TRUE,"Sheet1";"Pship Dist 2",#N/A,TRUE,"Sheet1";"Pship Dist 3",#N/A,TRUE,"Sheet1";"MIR Splits 1",#N/A,TRUE,"Sheet1";"MIR Splits 2",#N/A,TRUE,"Sheet1";"MIR Splits 3",#N/A,TRUE,"Sheet1";"Assumptions",#N/A,TRUE,"Sheet1"}</definedName>
    <definedName name="wrn.Converse._2" hidden="1">{"Cover",#N/A,TRUE,"Sheet1";"Valuation",#N/A,TRUE,"Sheet1";"Sensitivity",#N/A,TRUE,"Sheet1";"Portfolio CF",#N/A,TRUE,"Sheet1";"Pship NCF",#N/A,TRUE,"Sheet1";"Equity &amp; DCF",#N/A,TRUE,"Sheet1";"Pship Dist 1",#N/A,TRUE,"Sheet1";"Pship Dist 2",#N/A,TRUE,"Sheet1";"Pship Dist 3",#N/A,TRUE,"Sheet1";"MIR Splits 1",#N/A,TRUE,"Sheet1";"MIR Splits 2",#N/A,TRUE,"Sheet1";"MIR Splits 3",#N/A,TRUE,"Sheet1";"Assumptions",#N/A,TRUE,"Sheet1"}</definedName>
    <definedName name="wrn.Converse._3" hidden="1">{"Cover",#N/A,TRUE,"Sheet1";"Valuation",#N/A,TRUE,"Sheet1";"Sensitivity",#N/A,TRUE,"Sheet1";"Portfolio CF",#N/A,TRUE,"Sheet1";"Pship NCF",#N/A,TRUE,"Sheet1";"Equity &amp; DCF",#N/A,TRUE,"Sheet1";"Pship Dist 1",#N/A,TRUE,"Sheet1";"Pship Dist 2",#N/A,TRUE,"Sheet1";"Pship Dist 3",#N/A,TRUE,"Sheet1";"MIR Splits 1",#N/A,TRUE,"Sheet1";"MIR Splits 2",#N/A,TRUE,"Sheet1";"MIR Splits 3",#N/A,TRUE,"Sheet1";"Assumptions",#N/A,TRUE,"Sheet1"}</definedName>
    <definedName name="wrn.Core." hidden="1">{#N/A,#N/A,FALSE,"Summary (Oblg)";#N/A,#N/A,FALSE,"41 Mad (41)";#N/A,#N/A,FALSE,"41 Mad (27&amp;28)";#N/A,#N/A,FALSE,"41 Mad (29-1)";#N/A,#N/A,FALSE,"41 Mad (29-2A)";#N/A,#N/A,FALSE,"41 Mad (29-2B)";#N/A,#N/A,FALSE,"41 Mad (30)";#N/A,#N/A,FALSE,"41 Mad (42)";#N/A,#N/A,FALSE,"Blend"}</definedName>
    <definedName name="wrn.Core._.Fund." hidden="1">{"Core Assumptions",#N/A,TRUE,"SA1 Quarterly";"Core Annual",#N/A,TRUE,"SA1 Quarterly";"Core Quarterly",#N/A,TRUE,"SA1 Quarterly"}</definedName>
    <definedName name="wrn.CORNELL._.ANALYSIS." hidden="1">{#N/A,#N/A,FALSE,"CORNELL SCENARIO COMPARISON";#N/A,#N/A,FALSE,"SUMMARY";#N/A,#N/A,FALSE,"Returns";#N/A,#N/A,FALSE,"Cash Flow";#N/A,#N/A,FALSE,"Pro-Forma";#N/A,#N/A,FALSE,"Rent Roll"}</definedName>
    <definedName name="wrn.Corporate." hidden="1">{"Corporate",#N/A,FALSE,"Corporate Profile"}</definedName>
    <definedName name="wrn.Cost._.Report." hidden="1">{#N/A,#N/A,TRUE,"CostSumm";#N/A,#N/A,TRUE,"Land";#N/A,#N/A,TRUE,"Construction";#N/A,#N/A,TRUE,"A&amp;E";#N/A,#N/A,TRUE,"Indirect";#N/A,#N/A,TRUE,"Marketing";#N/A,#N/A,TRUE,"Finance";#N/A,#N/A,TRUE,"Gen and Admin"}</definedName>
    <definedName name="wrn.cotop." hidden="1">{"ReportTop",#N/A,FALSE,"report top"}</definedName>
    <definedName name="wrn.cotop2." hidden="1">{"ReportTop",#N/A,FALSE,"report top"}</definedName>
    <definedName name="wrn.Cottage._.Summary." hidden="1">{"cot1",#N/A,FALSE,"Cottages";"cot2",#N/A,FALSE,"Cottages";"cot3",#N/A,FALSE,"Cottages"}</definedName>
    <definedName name="wrn.Country._.consolidation." hidden="1">{#N/A,"Belgium",TRUE,"Country conso graphs";#N/A,"Netherlands",TRUE,"Country conso graphs";#N/A,"Germany",TRUE,"Country conso graphs";#N/A,"France",TRUE,"Country conso graphs";#N/A,"Sweden",TRUE,"Country conso graphs";#N/A,"Denmark",TRUE,"Country conso graphs";#N/A,"UK",TRUE,"Country conso graphs";#N/A,"Italy",TRUE,"Country conso graphs"}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PB." hidden="1">{#N/A,#N/A,FALSE,"CPB"}</definedName>
    <definedName name="wrn.Credit._.Summary." hidden="1">{#N/A,#N/A,FALSE,"CREDIT"}</definedName>
    <definedName name="wrn.Crossings." hidden="1">{"One",#N/A,FALSE,"Crossings";"Two",#N/A,FALSE,"Crossings";"Three",#N/A,FALSE,"Crossings";"Fous",#N/A,FALSE,"Crossings";"Five",#N/A,FALSE,"Crossings"}</definedName>
    <definedName name="wrn.csc." hidden="1">{"orixcsc",#N/A,FALSE,"ORIX CSC";"orixcsc2",#N/A,FALSE,"ORIX CSC"}</definedName>
    <definedName name="wrn.csc.1" hidden="1">{"orixcsc",#N/A,FALSE,"ORIX CSC";"orixcsc2",#N/A,FALSE,"ORIX CSC"}</definedName>
    <definedName name="wrn.csc.3" hidden="1">{#N/A,#N/A,FALSE,"ORIX CSC"}</definedName>
    <definedName name="wrn.csc2." hidden="1">{#N/A,#N/A,FALSE,"ORIX CSC"}</definedName>
    <definedName name="wrn.cssa." hidden="1">{#N/A,#N/A,FALSE,"WATCHDSC";#N/A,#N/A,FALSE,"2LOSSMOD";#N/A,#N/A,FALSE,"2LOSS";#N/A,#N/A,FALSE,"DSC";#N/A,#N/A,FALSE,"OPERAT";#N/A,#N/A,FALSE,"ADJUST";#N/A,#N/A,FALSE,"LEASE EXPIRE"}</definedName>
    <definedName name="wrn.CSSF._.ex._.USGAAP." hidden="1">{#N/A,#N/A,FALSE,"Cover &amp; Contents ex USGAAP";#N/A,#N/A,FALSE,"Mgr";#N/A,#N/A,FALSE,"Audit ex USGAAP";#N/A,#N/A,FALSE,"Net Assets &amp; Ops &amp; #Units";#N/A,#N/A,FALSE,"NAV per unit";#N/A,#N/A,FALSE,"Cashflow &amp; RE";#N/A,#N/A,FALSE,"Notes 1-2";#N/A,#N/A,FALSE,"Notes 3-10";#N/A,#N/A,FALSE,"Notes 10-12";#N/A,#N/A,FALSE,"Notes 13-19";#N/A,#N/A,FALSE,"Notes 20-21";#N/A,#N/A,FALSE,"Note 22 Cos 1";#N/A,#N/A,FALSE,"Cos 2";#N/A,#N/A,FALSE,"App I";#N/A,#N/A,FALSE,"App II"}</definedName>
    <definedName name="wrn.Ctrl._.A._.Annual." hidden="1">{#N/A,#N/A,FALSE,"Sensitivity";#N/A,#N/A,FALSE,"Residual";#N/A,#N/A,FALSE,"RevenueAssumptions";#N/A,#N/A,FALSE,"CFD Summary";#N/A,#N/A,FALSE,"Annual CF";#N/A,#N/A,FALSE,"Annual Delivery";#N/A,#N/A,FALSE,"Annual IS"}</definedName>
    <definedName name="wrn.Ctrl._.A._.Annually." hidden="1">{#N/A,#N/A,FALSE,"Notes";"CashFlowSummary Annually",#N/A,FALSE,"CashFlowSummary";"InvestorSummary Annually",#N/A,FALSE,"InvestorSummary";#N/A,#N/A,FALSE,"RevenueAssumptions";"MasterCostAssmp Annually",#N/A,FALSE,"MasterCostAssmp";#N/A,#N/A,FALSE,"InTractCstAssmp";"LotTakedowns Annually",#N/A,FALSE,"LotTakedowns"}</definedName>
    <definedName name="wrn.Ctrl._.A._.Monthly." hidden="1">{#N/A,#N/A,FALSE,"Sensitivity";#N/A,#N/A,FALSE,"Residual";#N/A,#N/A,FALSE,"RevenueAssumptions";#N/A,#N/A,FALSE,"CFD Summary";#N/A,#N/A,FALSE,"CashFlow";#N/A,#N/A,FALSE,"Lot Take";#N/A,#N/A,FALSE,"MasterCostAssmp";#N/A,#N/A,FALSE,"InTractCstAssmp";#N/A,#N/A,FALSE,"InvestorSummary"}</definedName>
    <definedName name="wrn.Ctrl._.A._.Quarterly." hidden="1">{#N/A,#N/A,FALSE,"Notes";#N/A,#N/A,FALSE,"Loan Value";"CashFlowSummary Quarterly",#N/A,FALSE,"CashFlowSummary";"InvestorSummary Quarterly",#N/A,FALSE,"InvestorSummary";#N/A,#N/A,FALSE,"RevenueAssumptions";"MasterCostAssmp Quarterly",#N/A,FALSE,"MasterCostAssmp";#N/A,#N/A,FALSE,"InTractCstAssmp";"Lot Takedowns Quarterly",#N/A,FALSE,"LotTakedowns"}</definedName>
    <definedName name="wrn.Ctrl._.M." hidden="1">{#N/A,#N/A,FALSE,"Notes";#N/A,#N/A,FALSE,"CFD Summary";#N/A,#N/A,FALSE,"BaseAssumptions";#N/A,#N/A,FALSE,"RevenueAssumptions";#N/A,#N/A,FALSE,"MasterCostAssmp";#N/A,#N/A,FALSE,"InTractCstAssmp";#N/A,#N/A,FALSE,"LotTakedowns";#N/A,#N/A,FALSE,"CashFlowSummary";#N/A,#N/A,FALSE,"Loan #2";#N/A,#N/A,FALSE,"Loan Value";#N/A,#N/A,FALSE,"FlowSummary";#N/A,#N/A,FALSE,"SourcesAndUses";#N/A,#N/A,FALSE,"CashDistribute";#N/A,#N/A,FALSE,"InvestorSummary";#N/A,#N/A,FALSE,"Finance Summary";#N/A,#N/A,FALSE,"SourceAndUse";#N/A,#N/A,FALSE,"Valuation"}</definedName>
    <definedName name="wrn.Ctrl._.M._.Annually." hidden="1">{#N/A,#N/A,FALSE,"Notes";#N/A,#N/A,FALSE,"BaseAssumptions";#N/A,#N/A,FALSE,"CFD";#N/A,#N/A,FALSE,"RevenueAssumptions";"MasterCostAssmp Annually",#N/A,FALSE,"MasterCostAssmp";#N/A,#N/A,FALSE,"InTractCstAssmp";"LotTakedowns Annually",#N/A,FALSE,"LotTakedowns";"CashFlowSummary Annually",#N/A,FALSE,"CashFlowSummary";#N/A,#N/A,FALSE,"Loan Value";"AcqDev Loan Annually",#N/A,FALSE,"AcqDev Loan";"Loan #1 Annually",#N/A,FALSE,"Loan #1";"Loan #2 Annually",#N/A,FALSE,"Loan #2";"Loan #3 Annually",#N/A,FALSE,"Loan #3";"Consolidated Loan Annually",#N/A,FALSE,"Consolidated Loan";"FlowSummary Annually",#N/A,FALSE,"FlowSummary";"SourcesAndUses Annually",#N/A,FALSE,"SourcesAndUses";"CashDistribute Annually",#N/A,FALSE,"CashDistribute";"InvestorSummary Annually",#N/A,FALSE,"InvestorSummary";#N/A,#N/A,FALSE,"Finance Summary";#N/A,#N/A,FALSE,"Valuation"}</definedName>
    <definedName name="wrn.Ctrl._.M._.Quarterly." hidden="1">{#N/A,#N/A,FALSE,"Notes";#N/A,#N/A,FALSE,"BaseAssumptions";#N/A,#N/A,FALSE,"CFD";#N/A,#N/A,FALSE,"RevenueAssumptions";"MasterCostAssmp Quarterly",#N/A,FALSE,"MasterCostAssmp";"Lot Takedowns Quarterly",#N/A,FALSE,"LotTakedowns";#N/A,#N/A,FALSE,"InTractCstAssmp";"CashFlowSummary Quarterly",#N/A,FALSE,"CashFlowSummary";#N/A,#N/A,FALSE,"Loan Value";"AcqDev Loan Quarterly",#N/A,FALSE,"AcqDev Loan";"Loan #1 Quarterly",#N/A,FALSE,"Loan #1";"Loan #2 Quarterly",#N/A,FALSE,"Loan #2";"Loan #3 Quarterly",#N/A,FALSE,"Loan #3";"Consolidated Loan Quarterly",#N/A,FALSE,"Consolidated Loan";"FlowSummary Quarterly",#N/A,FALSE,"FlowSummary";"SourcesAndUses Quarterly",#N/A,FALSE,"SourcesAndUses";"CashDistribute Quarterly",#N/A,FALSE,"CashDistribute";"InvestorSummary Quarterly",#N/A,FALSE,"InvestorSummary";#N/A,#N/A,FALSE,"Finance Summary";#N/A,#N/A,FALSE,"Valuation"}</definedName>
    <definedName name="wrn.Currency._.Analysis." hidden="1">{"Analysis of Assets_Liabilities",#N/A,FALSE,"ccy_anal";"Analysis of Investments",#N/A,FALSE,"ccy_anal"}</definedName>
    <definedName name="wrn.Current." hidden="1">{"Coversheet",#N/A,TRUE,"Sheet1";"Valuation Summary",#N/A,TRUE,"Sheet1";"Cash Flow Projection",#N/A,TRUE,"Sheet1";"Pship Cash &amp; Equity Value",#N/A,TRUE,"Sheet1";"DCF",#N/A,TRUE,"Sheet1";"Partnership Distributions",#N/A,TRUE,"Sheet1";"MIR/Capital Partner Splits",#N/A,TRUE,"Sheet1";"MIR ROC &amp; Pref (3)",#N/A,TRUE,"Sheet1";"MIR Catchup &amp; Promote (4)",#N/A,TRUE,"Sheet1";"Assumptions",#N/A,TRUE,"Sheet1";"Sensitivity",#N/A,TRUE,"Sheet1";"PropertyPage 1",#N/A,TRUE,"Properties";"PropertyPage 2",#N/A,TRUE,"Properties";"PropertyPage 3",#N/A,TRUE,"Properties"}</definedName>
    <definedName name="wrn.Current._.Year._.Plan._.Only." hidden="1">{#N/A,#N/A,FALSE,"Part C";#N/A,#N/A,FALSE,"C.1(a) Key Financial Objectives";#N/A,#N/A,FALSE,"C.1(b) Key HR Objectives";#N/A,#N/A,FALSE,"C.2 Financial Summary";#N/A,#N/A,FALSE,"C.3 Assumptions";#N/A,#N/A,FALSE,"C.4 Sensitivities - 2000";#N/A,#N/A,FALSE,"C.5 Sensitivities - 2001";#N/A,#N/A,FALSE,"C.6 Bal. Sheet";#N/A,#N/A,FALSE,"C.7 Income by Qtr - 2000";#N/A,#N/A,FALSE,"C.8 Income by Qtr - 2001";#N/A,#N/A,FALSE,"C.9 Cash Flows - 2000";#N/A,#N/A,FALSE,"C.10 Cash Flows - 2001"}</definedName>
    <definedName name="wrn.Current._1" hidden="1">{"Coversheet",#N/A,TRUE,"Sheet1";"Valuation Summary",#N/A,TRUE,"Sheet1";"Cash Flow Projection",#N/A,TRUE,"Sheet1";"Pship Cash &amp; Equity Value",#N/A,TRUE,"Sheet1";"DCF",#N/A,TRUE,"Sheet1";"Partnership Distributions",#N/A,TRUE,"Sheet1";"MIR/Capital Partner Splits",#N/A,TRUE,"Sheet1";"MIR ROC &amp; Pref (3)",#N/A,TRUE,"Sheet1";"MIR Catchup &amp; Promote (4)",#N/A,TRUE,"Sheet1";"Assumptions",#N/A,TRUE,"Sheet1";"Sensitivity",#N/A,TRUE,"Sheet1";"PropertyPage 1",#N/A,TRUE,"Properties";"PropertyPage 2",#N/A,TRUE,"Properties";"PropertyPage 3",#N/A,TRUE,"Properties"}</definedName>
    <definedName name="wrn.Current._2" hidden="1">{"Coversheet",#N/A,TRUE,"Sheet1";"Valuation Summary",#N/A,TRUE,"Sheet1";"Cash Flow Projection",#N/A,TRUE,"Sheet1";"Pship Cash &amp; Equity Value",#N/A,TRUE,"Sheet1";"DCF",#N/A,TRUE,"Sheet1";"Partnership Distributions",#N/A,TRUE,"Sheet1";"MIR/Capital Partner Splits",#N/A,TRUE,"Sheet1";"MIR ROC &amp; Pref (3)",#N/A,TRUE,"Sheet1";"MIR Catchup &amp; Promote (4)",#N/A,TRUE,"Sheet1";"Assumptions",#N/A,TRUE,"Sheet1";"Sensitivity",#N/A,TRUE,"Sheet1";"PropertyPage 1",#N/A,TRUE,"Properties";"PropertyPage 2",#N/A,TRUE,"Properties";"PropertyPage 3",#N/A,TRUE,"Properties"}</definedName>
    <definedName name="wrn.Current._3" hidden="1">{"Coversheet",#N/A,TRUE,"Sheet1";"Valuation Summary",#N/A,TRUE,"Sheet1";"Cash Flow Projection",#N/A,TRUE,"Sheet1";"Pship Cash &amp; Equity Value",#N/A,TRUE,"Sheet1";"DCF",#N/A,TRUE,"Sheet1";"Partnership Distributions",#N/A,TRUE,"Sheet1";"MIR/Capital Partner Splits",#N/A,TRUE,"Sheet1";"MIR ROC &amp; Pref (3)",#N/A,TRUE,"Sheet1";"MIR Catchup &amp; Promote (4)",#N/A,TRUE,"Sheet1";"Assumptions",#N/A,TRUE,"Sheet1";"Sensitivity",#N/A,TRUE,"Sheet1";"PropertyPage 1",#N/A,TRUE,"Properties";"PropertyPage 2",#N/A,TRUE,"Properties";"PropertyPage 3",#N/A,TRUE,"Properties"}</definedName>
    <definedName name="wrn.daily." hidden="1">{#N/A,#N/A,FALSE,"Major v. River";#N/A,#N/A,FALSE,"Large Operators";#N/A,#N/A,FALSE,"Smaller Operators";#N/A,#N/A,FALSE,"Equip. Supply";#N/A,#N/A,FALSE,"EBITDA"}</definedName>
    <definedName name="wrn.data." hidden="1">{"data",#N/A,FALSE,"INPUT"}</definedName>
    <definedName name="wrn.data1" hidden="1">{"data",#N/A,FALSE,"INPUT"}</definedName>
    <definedName name="wrn.data5" hidden="1">{"data",#N/A,FALSE,"INPUT"}</definedName>
    <definedName name="wrn.DATABASE." hidden="1">{"DBINPUT1",#N/A,FALSE,"Database";"DBINPUT2",#N/A,FALSE,"Database"}</definedName>
    <definedName name="wrn.Days._.in._.AR." hidden="1">{"Normal",#N/A,TRUE,"Days";"Sold",#N/A,TRUE,"Days"}</definedName>
    <definedName name="wrn.dcf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." hidden="1">{#N/A,#N/A,FALSE,"DCF-COM";#N/A,#N/A,FALSE,"VAC-COM"}</definedName>
    <definedName name="wrn.DCF._.Valuation." hidden="1">{"value box",#N/A,TRUE,"DPL Inc. Fin Statements";"unlevered free cash flows",#N/A,TRUE,"DPL Inc. Fin Statements"}</definedName>
    <definedName name="wrn.dcfiii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R._.Output." hidden="1">{"DCR Output",#N/A,FALSE,"Output"}</definedName>
    <definedName name="wrn.Debt._.Maturity." hidden="1">{#N/A,#N/A,FALSE,"ZLDebtMaturity";#N/A,#N/A,FALSE,"FCDebtMaturity";#N/A,#N/A,FALSE,"ZM3DebtMaturity";#N/A,#N/A,FALSE,"ZM2DebtMaturity";#N/A,#N/A,FALSE,"zm1DebtMaturity";#N/A,#N/A,FALSE,"ConsZM123DebtMaturity"}</definedName>
    <definedName name="wrn.Dec._.Forecast." hidden="1">{"Dec",#N/A,FALSE,"Manager Report"}</definedName>
    <definedName name="wrn.Demand._.Calcs." hidden="1">{#N/A,#N/A,FALSE,"Demand Calcs"}</definedName>
    <definedName name="wrn.Demand._.Inputs." hidden="1">{#N/A,#N/A,FALSE,"Demand Inputs"}</definedName>
    <definedName name="wrn.Depreciation." hidden="1">{"One",#N/A,FALSE,"Depreciation"}</definedName>
    <definedName name="wrn.detail." localSheetId="0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_.SCHEDULES." hidden="1">{"ACCOUNT DETAIL",#N/A,FALSE,"SCHEDULE E";"ACCOUNT DETAIL",#N/A,FALSE,"SCHEDULE G";"ACCOUNT DETAIL",#N/A,FALSE,"SCHEDULE H";"ACCOUNT DETAIL",#N/A,FALSE,"SCHEDULE I"}</definedName>
    <definedName name="wrn.detail._1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_2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_3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_4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ed." hidden="1">{"Detailed",#N/A,FALSE,"Schedule4"}</definedName>
    <definedName name="wrn.Detailed._.Partnership._.Returns._.Leveraged." hidden="1">{"Return Analysis - Leveraged",#N/A,FALSE,"Return Analysis - Leveraged"}</definedName>
    <definedName name="wrn.devdeal." hidden="1">{"top",#N/A,TRUE,"Detail";"next",#N/A,TRUE,"Detail";"then",#N/A,TRUE,"Detail";"and",#N/A,TRUE,"Detail";"inaddition",#N/A,TRUE,"Detail";"finally",#N/A,TRUE,"Detail"}</definedName>
    <definedName name="wrn.Development._.Budget." hidden="1">{"Year 1",#N/A,FALSE,"Budget";"Year 2",#N/A,FALSE,"Budget";"Year 3",#N/A,FALSE,"Budget";"Year 4",#N/A,FALSE,"Budget"}</definedName>
    <definedName name="wrn.Dexter._.Nov._.Fund._.Mtg." hidden="1">{"Venture Summary",#N/A,FALSE,"Summary";"Development Budget",#N/A,FALSE,"Summary";"Annual",#N/A,FALSE,"Annual";"Timeline - Quarterly",#N/A,FALSE,"Timeline - Quarterly";"Argus Assumptions",#N/A,FALSE,"Argus Assumptions"}</definedName>
    <definedName name="wrn.Display." hidden="1">{"Summary",#N/A,TRUE,"Sheet1";"Sens",#N/A,TRUE,"Sheet1";"Summary2",#N/A,TRUE,"Sheet1";"Balance",#N/A,TRUE,"Sheet1";"Partner",#N/A,TRUE,"Sheet1";"Yield",#N/A,TRUE,"Sheet1";"Structure",#N/A,TRUE,"Sheet1";"Split",#N/A,TRUE,"Sheet1"}</definedName>
    <definedName name="wrn.Distribution._.Economics." hidden="1">{#N/A,#N/A,FALSE,"Draw";#N/A,#N/A,FALSE,"PROFORMA";#N/A,#N/A,FALSE,"Assumptions";#N/A,#N/A,FALSE,"Costs"}</definedName>
    <definedName name="wrn.Divsum._.All._.Sections." hidden="1">{"Divsum Complete Divsum",#N/A,FALSE,"Divsum"}</definedName>
    <definedName name="wrn.Downside." hidden="1">{"Downside",#N/A,FALSE,"Downside"}</definedName>
    <definedName name="wrn.dtl.schedules" hidden="1">{"ACCOUNT DETAIL",#N/A,FALSE,"SCHEDULE E";"ACCOUNT DETAIL",#N/A,FALSE,"SCHEDULE G";"ACCOUNT DETAIL",#N/A,FALSE,"SCHEDULE H";"ACCOUNT DETAIL",#N/A,FALSE,"SCHEDULE I"}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Dummy." hidden="1">{"Dummy",#N/A,FALSE,"Summary"}</definedName>
    <definedName name="wrn.Dwight._.print." hidden="1">{"Venture Summary",#N/A,TRUE,"Summary";"Sensitivity Tabels",#N/A,TRUE,"Summary";"Operating Assumptions",#N/A,TRUE,"Summary";#N/A,#N/A,TRUE,"IRR Changes"}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B." hidden="1">{"eb1",#N/A,TRUE,"E-B (R)";"eb2",#N/A,TRUE,"E-B (R)"}</definedName>
    <definedName name="wrn.EC1." hidden="1">{"eca",#N/A,TRUE,"E-C1 (R)";"ecb",#N/A,TRUE,"E-C1 (R)"}</definedName>
    <definedName name="wrn.ED." hidden="1">{"ed1",#N/A,TRUE,"E-D";"ed2",#N/A,TRUE,"E-D"}</definedName>
    <definedName name="wrn.Engineering." hidden="1">{#N/A,#N/A,FALSE,"ENGINEERING"}</definedName>
    <definedName name="wrn.Englese._.Report._.1st._.half." hidden="1">{"CoverSheet",#N/A,FALSE,"Cover Sheet";"AreaSum",#N/A,FALSE,"Master Area Summary";"Exclusions",#N/A,FALSE,"Exclusions";"EngEXsum",#N/A,FALSE,"Executive Summary";"Eng A sum",#N/A,FALSE,"Bldg A Summary";"EngAest",#N/A,FALSE,"BLDG.A";"EngCsum",#N/A,FALSE,"Bldg C Summary";"EngCest",#N/A,FALSE,"BLDG.C";"EngSTsum",#N/A,FALSE,"Site Summary";"Engsite",#N/A,FALSE,"Site work"}</definedName>
    <definedName name="wrn.Englese._.Report._.2nd._.half." hidden="1">{"EngSWsum",#N/A,FALSE,"Sewer Summary";"EngSWest",#N/A,FALSE,"Sewer Estimate";"Eng GRsum",#N/A,FALSE,"Garage Summary";"EngGRest",#N/A,FALSE,"Garage Estimate";"EngPLsum",#N/A,FALSE,"Pool Summary";"EngPLest",#N/A,FALSE,"Pool";"EngPHsum",#N/A,FALSE,"Pool House Summary";"EngPHest",#N/A,FALSE,"Pool House Estimate";"EngMAsum",#N/A,FALSE,"Marina Summary";"EngMAest",#N/A,FALSE,"Marina Estimate"}</definedName>
    <definedName name="wrn.ENTIRE." localSheetId="0" hidden="1">{#N/A,#N/A,FALSE,"SUMMARY";#N/A,#N/A,FALSE,"LEASING SCHEDULE";#N/A,#N/A,FALSE,"EXPLANATION";#N/A,#N/A,FALSE,"EXPLANATION";#N/A,#N/A,FALSE,"ANALYSIS";#N/A,#N/A,FALSE,"SPREAD";#N/A,#N/A,FALSE,"INCOME";#N/A,#N/A,FALSE,"EXPENSES";#N/A,#N/A,FALSE,"CAPITAL";#N/A,#N/A,FALSE,"DEBT SERVICE"}</definedName>
    <definedName name="wrn.ENTIRE." hidden="1">{#N/A,#N/A,FALSE,"SUMMARY";#N/A,#N/A,FALSE,"LEASING SCHEDULE";#N/A,#N/A,FALSE,"EXPLANATION";#N/A,#N/A,FALSE,"EXPLANATION";#N/A,#N/A,FALSE,"ANALYSIS";#N/A,#N/A,FALSE,"SPREAD";#N/A,#N/A,FALSE,"INCOME";#N/A,#N/A,FALSE,"EXPENSES";#N/A,#N/A,FALSE,"CAPITAL";#N/A,#N/A,FALSE,"DEBT SERVICE"}</definedName>
    <definedName name="wrn.Entire._.Package." hidden="1">{#N/A,#N/A,FALSE,"Smry1";#N/A,#N/A,FALSE,"Smry2";#N/A,#N/A,FALSE,"Finance Cash Flow";#N/A,#N/A,FALSE,"ProForma_Input";#N/A,#N/A,FALSE,"prop_input";#N/A,#N/A,FALSE,"regional_input";#N/A,#N/A,FALSE,"LT Cost of Capital_Input";#N/A,#N/A,FALSE,"Debt_Input";#N/A,#N/A,FALSE,"Yr 6 Rent";#N/A,#N/A,FALSE,"Accr_Dil Cmpd"}</definedName>
    <definedName name="wrn.ENTIRE._1" hidden="1">{#N/A,#N/A,FALSE,"SUMMARY";#N/A,#N/A,FALSE,"LEASING SCHEDULE";#N/A,#N/A,FALSE,"EXPLANATION";#N/A,#N/A,FALSE,"EXPLANATION";#N/A,#N/A,FALSE,"ANALYSIS";#N/A,#N/A,FALSE,"SPREAD";#N/A,#N/A,FALSE,"INCOME";#N/A,#N/A,FALSE,"EXPENSES";#N/A,#N/A,FALSE,"CAPITAL";#N/A,#N/A,FALSE,"DEBT SERVICE"}</definedName>
    <definedName name="wrn.ENTIRE._2" hidden="1">{#N/A,#N/A,FALSE,"SUMMARY";#N/A,#N/A,FALSE,"LEASING SCHEDULE";#N/A,#N/A,FALSE,"EXPLANATION";#N/A,#N/A,FALSE,"EXPLANATION";#N/A,#N/A,FALSE,"ANALYSIS";#N/A,#N/A,FALSE,"SPREAD";#N/A,#N/A,FALSE,"INCOME";#N/A,#N/A,FALSE,"EXPENSES";#N/A,#N/A,FALSE,"CAPITAL";#N/A,#N/A,FALSE,"DEBT SERVICE"}</definedName>
    <definedName name="wrn.ENTIRE._3" hidden="1">{#N/A,#N/A,FALSE,"SUMMARY";#N/A,#N/A,FALSE,"LEASING SCHEDULE";#N/A,#N/A,FALSE,"EXPLANATION";#N/A,#N/A,FALSE,"EXPLANATION";#N/A,#N/A,FALSE,"ANALYSIS";#N/A,#N/A,FALSE,"SPREAD";#N/A,#N/A,FALSE,"INCOME";#N/A,#N/A,FALSE,"EXPENSES";#N/A,#N/A,FALSE,"CAPITAL";#N/A,#N/A,FALSE,"DEBT SERVICE"}</definedName>
    <definedName name="wrn.ENTIRE._4" hidden="1">{#N/A,#N/A,FALSE,"SUMMARY";#N/A,#N/A,FALSE,"LEASING SCHEDULE";#N/A,#N/A,FALSE,"EXPLANATION";#N/A,#N/A,FALSE,"EXPLANATION";#N/A,#N/A,FALSE,"ANALYSIS";#N/A,#N/A,FALSE,"SPREAD";#N/A,#N/A,FALSE,"INCOME";#N/A,#N/A,FALSE,"EXPENSES";#N/A,#N/A,FALSE,"CAPITAL";#N/A,#N/A,FALSE,"DEBT SERVICE"}</definedName>
    <definedName name="wrn.Entitlements." hidden="1">{"EB (Summary)",#N/A,FALSE,"Ent Budget";"EB (Budget Detail)",#N/A,FALSE,"Ent Budget";"EB (Budget CF)",#N/A,FALSE,"Ent Budget"}</definedName>
    <definedName name="wrn.Entries." hidden="1">{"entries",#N/A,FALSE,"entries"}</definedName>
    <definedName name="wrn.Environmental." hidden="1">{#N/A,#N/A,FALSE,"ENVIRONMENTAL"}</definedName>
    <definedName name="wrn.Error._.Report." hidden="1">{"Error Report",#N/A,FALSE,"Report"}</definedName>
    <definedName name="wrn.Estimate._.Backup." hidden="1">{"Estimate Backup",#N/A,FALSE,"Divsum"}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ample." hidden="1">{"Assumption Summary",#N/A,TRUE,"FIII Asset CF";"FIII Portfolio CF",#N/A,TRUE,"FIII Asset CF";"FIII Asset CF",#N/A,TRUE,"Rollup CF"}</definedName>
    <definedName name="wrn.Excavation." hidden="1">{"excavation",#N/A,FALSE,"DETAIL.XLS"}</definedName>
    <definedName name="wrn.Exception._.Report." hidden="1">{#N/A,#N/A,FALSE,"Exception Report"}</definedName>
    <definedName name="wrn.Exec._.Summary." hidden="1">{#N/A,#N/A,FALSE,"Index"}</definedName>
    <definedName name="wrn.ExecMgt._.Reports." hidden="1">{#N/A,#N/A,FALSE,"PropInfo";#N/A,#N/A,FALSE,"Summary";#N/A,#N/A,FALSE,"Comparitive";#N/A,#N/A,FALSE,"RevSummary"}</definedName>
    <definedName name="wrn.Executive._.Summary._.Reports." hidden="1">{"Estimated Proforma (Prelim. Proforma)",#N/A,TRUE,"Prelim. Proforma";"Summary Cash Flow Grid",#N/A,TRUE,"Cash Flow Grid";"Final Proforma (Final Proforma)",#N/A,TRUE,"Final Proforma";"Cash Flow Graph (Cash Flow Graphic)",#N/A,TRUE,"Cash Flow Graphic"}</definedName>
    <definedName name="wrn.Exhibits." hidden="1">{#N/A,#N/A,FALSE,"Historical";#N/A,#N/A,FALSE,"Adjusted";#N/A,#N/A,FALSE,"CAM Alloc.";#N/A,#N/A,FALSE,"Projected CAM"}</definedName>
    <definedName name="wrn.ExitAndSalesAssumptions." localSheetId="0" hidden="1">{#N/A,#N/A,FALSE,"ExitStratigy"}</definedName>
    <definedName name="wrn.ExitAndSalesAssumptions." hidden="1">{#N/A,#N/A,FALSE,"ExitStratigy"}</definedName>
    <definedName name="wrn.ExitAndSalesAssumptions._1" hidden="1">{#N/A,#N/A,FALSE,"ExitStratigy"}</definedName>
    <definedName name="wrn.ExitAndSalesAssumptions._2" hidden="1">{#N/A,#N/A,FALSE,"ExitStratigy"}</definedName>
    <definedName name="wrn.ExitAndSalesAssumptions._3" hidden="1">{#N/A,#N/A,FALSE,"ExitStratigy"}</definedName>
    <definedName name="wrn.ExitAndSalesAssumptions._4" hidden="1">{#N/A,#N/A,FALSE,"ExitStratigy"}</definedName>
    <definedName name="wrn.EXPENSE." hidden="1">{#N/A,#N/A,FALSE,"Common Area Accrual";#N/A,#N/A,FALSE,"Unit One LaSalle";#N/A,#N/A,FALSE,"Unit One CW";#N/A,#N/A,FALSE,"Unit One LaSallle + C &amp; W";#N/A,#N/A,FALSE,"Consolidated Accrual"}</definedName>
    <definedName name="wrn.Expense._.Detail." hidden="1">{#N/A,#N/A,FALSE,"Common Area Accrual";#N/A,#N/A,FALSE,"Unit One LaSalle";#N/A,#N/A,FALSE,"Unit One CW";#N/A,#N/A,FALSE,"Unit One LaSalle + C &amp; W";#N/A,#N/A,FALSE,"Consolidated Accrual"}</definedName>
    <definedName name="wrn.Expense._.Input." hidden="1">{#N/A,#N/A,FALSE,"Expense Input"}</definedName>
    <definedName name="wrn.Exterior._.Wall." hidden="1">{#N/A,#N/A,FALSE,"Paramters";"print range",#N/A,FALSE,"GSF.XLS";"exterior wall",#N/A,FALSE,"DETAIL.XLS"}</definedName>
    <definedName name="wrn.F97._.QTR._.2._.Rate." hidden="1">{#N/A,#N/A,FALSE,"F98 Q2";#N/A,#N/A,FALSE,"Worksheet";#N/A,#N/A,FALSE,"Reconciliation";#N/A,#N/A,FALSE,"Minority Interest"}</definedName>
    <definedName name="wrn.Fair._.Share._.Calcs." hidden="1">{#N/A,#N/A,FALSE,"Fair Share"}</definedName>
    <definedName name="wrn.Fairfield._.Business._.Center." hidden="1">{#N/A,#N/A,FALSE,"SUMMARY";#N/A,#N/A,FALSE,"Returns";#N/A,#N/A,FALSE,"Pro-Forma";#N/A,#N/A,FALSE,"Cash Flow";#N/A,#N/A,FALSE,"Rent Roll"}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CG.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._.Express." hidden="1">{#N/A,#N/A,TRUE,"Title Page";#N/A,#N/A,TRUE,"Executive Summary";#N/A,#N/A,TRUE,"Assumptions";#N/A,#N/A,TRUE,"Footnotes";#N/A,#N/A,TRUE,"Narrative Assumptions";#N/A,#N/A,TRUE,"2nd Generation";#N/A,#N/A,TRUE,"Existing vs Mkt";#N/A,#N/A,TRUE,"Cash Flow";#N/A,#N/A,TRUE,"Residual - Marketing";#N/A,#N/A,TRUE,"Pricing Matrix";#N/A,#N/A,TRUE,"Expiration Schedule";#N/A,#N/A,TRUE,"Expiration Graph "}</definedName>
    <definedName name="wrn.FCG._.Express._1" hidden="1">{#N/A,#N/A,TRUE,"Title Page";#N/A,#N/A,TRUE,"Executive Summary";#N/A,#N/A,TRUE,"Assumptions";#N/A,#N/A,TRUE,"Footnotes";#N/A,#N/A,TRUE,"Narrative Assumptions";#N/A,#N/A,TRUE,"2nd Generation";#N/A,#N/A,TRUE,"Existing vs Mkt";#N/A,#N/A,TRUE,"Cash Flow";#N/A,#N/A,TRUE,"Residual - Marketing";#N/A,#N/A,TRUE,"Pricing Matrix";#N/A,#N/A,TRUE,"Expiration Schedule";#N/A,#N/A,TRUE,"Expiration Graph "}</definedName>
    <definedName name="wrn.FCG._.Full." hidden="1">{#N/A,#N/A,TRUE,"Title Page";#N/A,#N/A,TRUE,"Executive Summary";#N/A,#N/A,TRUE,"Assumptions";#N/A,#N/A,TRUE,"Footnotes";#N/A,#N/A,TRUE,"Narrative Assumptions";#N/A,#N/A,TRUE,"Vacant Space";#N/A,#N/A,TRUE,"2nd Generation";#N/A,#N/A,TRUE,"Existing vs Mkt";#N/A,#N/A,TRUE,"Cash Flow";#N/A,#N/A,TRUE,"Residual - Marketing";#N/A,#N/A,TRUE,"Pricing Matrix";#N/A,#N/A,TRUE,"Vacancy Detail";#N/A,#N/A,TRUE,"Expiration Schedule";#N/A,#N/A,TRUE,"Expiration Graph ";#N/A,#N/A,TRUE,"Value Matrix";#N/A,#N/A,TRUE,"Value Matrix (2)";#N/A,#N/A,TRUE,"GI Detail";#N/A,#N/A,TRUE,"Exp Detail";#N/A,#N/A,TRUE,"ALease-up Schedule"}</definedName>
    <definedName name="wrn.FCG._.Full._1" hidden="1">{#N/A,#N/A,TRUE,"Title Page";#N/A,#N/A,TRUE,"Executive Summary";#N/A,#N/A,TRUE,"Assumptions";#N/A,#N/A,TRUE,"Footnotes";#N/A,#N/A,TRUE,"Narrative Assumptions";#N/A,#N/A,TRUE,"Vacant Space";#N/A,#N/A,TRUE,"2nd Generation";#N/A,#N/A,TRUE,"Existing vs Mkt";#N/A,#N/A,TRUE,"Cash Flow";#N/A,#N/A,TRUE,"Residual - Marketing";#N/A,#N/A,TRUE,"Pricing Matrix";#N/A,#N/A,TRUE,"Vacancy Detail";#N/A,#N/A,TRUE,"Expiration Schedule";#N/A,#N/A,TRUE,"Expiration Graph ";#N/A,#N/A,TRUE,"Value Matrix";#N/A,#N/A,TRUE,"Value Matrix (2)";#N/A,#N/A,TRUE,"GI Detail";#N/A,#N/A,TRUE,"Exp Detail";#N/A,#N/A,TRUE,"ALease-up Schedule"}</definedName>
    <definedName name="wrn.FCG._1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2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db1_Imprime_Print." hidden="1">{"fdb1_Rapport_Report",#N/A,FALSE,"Report"}</definedName>
    <definedName name="wrn.fdb2_print_rpt." hidden="1">{"fdb2_print",#N/A,FALSE,"Report"}</definedName>
    <definedName name="wrn.Feb._.09._.Model._.Review." hidden="1">{"Venture Summary",#N/A,FALSE,"Summary";"Development Budget",#N/A,FALSE,"Summary";"Development Proforma",#N/A,FALSE,"Dev PF";"Argus Assumptions",#N/A,FALSE,"Argus Assumptions";"Project Costs",#N/A,FALSE,"Summary"}</definedName>
    <definedName name="wrn.Feb._.2009._.Model._.Review." hidden="1">{"Venture Summary",#N/A,FALSE,"Summary";"Argus Assumptions",#N/A,FALSE,"Argus Assumptions";"Development Budget",#N/A,FALSE,"Summary";"Dev PF",#N/A,FALSE,"Dev PF";"Monthly Venture CFs",#N/A,FALSE,"Summary";"Monthly Project Costs",#N/A,FALSE,"Summary"}</definedName>
    <definedName name="wrn.Feb._.Forecast." hidden="1">{"Feb",#N/A,FALSE,"Manager Report"}</definedName>
    <definedName name="wrn.Feb98." hidden="1">{"sheet a",#N/A,FALSE,"A";"2 9 casflow",#N/A,FALSE,"B"}</definedName>
    <definedName name="wrn.Ferro.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l." hidden="1">{#N/A,#N/A,FALSE,"Total Sum";#N/A,#N/A,FALSE,"NA Summary";#N/A,#N/A,FALSE,"Junior Summary";#N/A,#N/A,FALSE,"FMC -NA Summary";#N/A,#N/A,FALSE,"Pacif Summary";#N/A,#N/A,FALSE,"NAV";#N/A,#N/A,FALSE,"Asset Summary";#N/A,#N/A,FALSE,"Bulawan";#N/A,#N/A,FALSE,"Sibutad";#N/A,#N/A,FALSE,"Prodn &amp; Reserves"}</definedName>
    <definedName name="wrn.Final._.Output." hidden="1">{#N/A,#N/A,FALSE,"Final Output"}</definedName>
    <definedName name="wrn.Finance." hidden="1">{#N/A,#N/A,TRUE,"97 FINANCING";#N/A,#N/A,TRUE,"97 Indirect &amp; Operating Costs";#N/A,#N/A,TRUE,"97 Master Dev. Cost Wksht"}</definedName>
    <definedName name="wrn.Finance._.Meeting._.1." hidden="1">{"Index",#N/A,FALSE,"Index";"Assumptions_country",#N/A,FALSE,"Assump";"Ebit_division_direct",#N/A,FALSE,"P&amp;L";"Reserves",#N/A,FALSE,"Reserves"}</definedName>
    <definedName name="wrn.Finance._.Meeting._.2." hidden="1">{"Reconciliation",#N/A,FALSE,"Rec";"Ebit_detail",#N/A,FALSE,"P&amp;L";"Cash_summary",#N/A,FALSE,"Cash"}</definedName>
    <definedName name="wrn.Financial._.Model." hidden="1">{#N/A,#N/A,TRUE,"Input Sheet Model";#N/A,#N/A,TRUE,"Project Proforma Detail";#N/A,#N/A,TRUE,"Signoff Summary";#N/A,#N/A,TRUE,"Assumptions";#N/A,#N/A,TRUE,"Constr. Int. Inc.";#N/A,#N/A,TRUE,"Cashflow Projection"}</definedName>
    <definedName name="wrn.Financial._.Model._1" hidden="1">{#N/A,#N/A,TRUE,"Input Sheet Model";#N/A,#N/A,TRUE,"Project Proforma Detail";#N/A,#N/A,TRUE,"Signoff Summary";#N/A,#N/A,TRUE,"Assumptions";#N/A,#N/A,TRUE,"Constr. Int. Inc.";#N/A,#N/A,TRUE,"Cashflow Projection"}</definedName>
    <definedName name="wrn.Financial._.Pack." hidden="1">{#N/A,#N/A,FALSE,"pension";#N/A,#N/A,FALSE,"Cover Page";#N/A,#N/A,FALSE,"Index";#N/A,#N/A,FALSE,"Certificate";#N/A,#N/A,FALSE,"Audit Report";#N/A,#N/A,FALSE,"Capital";#N/A,#N/A,FALSE,"Incomestat";#N/A,#N/A,FALSE,"Istatedetail";#N/A,#N/A,FALSE,"interestdividend";#N/A,#N/A,FALSE,"Tax";#N/A,#N/A,FALSE,"taxcomp";#N/A,#N/A,FALSE,"Incometaxac";#N/A,#N/A,FALSE,"Exitem";#N/A,#N/A,FALSE,"sharecap";#N/A,#N/A,FALSE,"distrprofit";#N/A,#N/A,FALSE,"amortis";#N/A,#N/A,FALSE,"deferredtax";#N/A,#N/A,FALSE,"Loans";#N/A,#N/A,FALSE,"fiassets";#N/A,#N/A,FALSE,"Fixedassets";#N/A,#N/A,FALSE,"reval";#N/A,#N/A,FALSE,"deprec";#N/A,#N/A,FALSE,"intercotr";#N/A,#N/A,FALSE,"plossassets";#N/A,#N/A,FALSE,"taxassets";#N/A,#N/A,FALSE,"notes";#N/A,#N/A,FALSE,"otherfixedass";#N/A,#N/A,FALSE,"sharessub";#N/A,#N/A,FALSE,"investments";#N/A,#N/A,FALSE,"STOCKS";#N/A,#N/A,FALSE,"DEBTORS";#N/A,#N/A,FALSE,"CREDITORS";#N/A,#N/A,FALSE,"BANKS&amp;LOANS";#N/A,#N/A,FALSE,"INTRACOMPANY";#N/A,#N/A,FALSE,"DIRECTORS";#N/A,#N/A,FALSE,"CASHFLOW";#N/A,#N/A,FALSE,"conliab"}</definedName>
    <definedName name="wrn.Financial._.Reports." hidden="1">{#N/A,#N/A,FALSE,"Overview";#N/A,#N/A,FALSE,"santafe";#N/A,#N/A,FALSE,"noble";#N/A,#N/A,FALSE,"Combined Results";#N/A,#N/A,FALSE,"Earnings"}</definedName>
    <definedName name="wrn.Financial._.Results." hidden="1">{"Financial Results",#N/A,FALSE,"Total Project Economics"}</definedName>
    <definedName name="wrn.Financial._.Statements." hidden="1">{"balance sheet",#N/A,FALSE,"balance sheet";#N/A,#N/A,FALSE,"income stmt (YTD)";"income stmt",#N/A,FALSE,"income stmt ";"cash flow YTD",#N/A,FALSE,"cash flow (YTD)";"cash flow",#N/A,FALSE,"cash flow "}</definedName>
    <definedName name="wrn.Financials." hidden="1">{#N/A,#N/A,TRUE,"Income Statement";#N/A,#N/A,TRUE,"Balance Sheet";#N/A,#N/A,TRUE,"Cash Flow"}</definedName>
    <definedName name="wrn.Financing_Assumptions." hidden="1">{"One",#N/A,FALSE,"Financing Assumptions";"Two",#N/A,FALSE,"Financing Assumptions";"Three",#N/A,FALSE,"Financing Assumptions";"Four",#N/A,FALSE,"Financing Assumptions"}</definedName>
    <definedName name="wrn.Financing." hidden="1">{"One",#N/A,FALSE,"Financing";"Two",#N/A,FALSE,"Financing";"Three",#N/A,FALSE,"Financing";"Four",#N/A,FALSE,"Financing"}</definedName>
    <definedName name="wrn.Finsumm." hidden="1">{"Finsumm",#N/A,FALSE,"Summary Analysis"}</definedName>
    <definedName name="wrn.First._.3._.Years._.All._.Sheets." hidden="1">{#N/A,#N/A,FALSE,"BaseAssumptions";"MasterCostAssmp_3 Yrs",#N/A,FALSE,"MasterCostAssmp";#N/A,#N/A,FALSE,"InTractCstAssmp";"LotTakedowns_3 Yrs",#N/A,FALSE,"LotTakedowns";"CashFlowSummary_3 Yrs",#N/A,FALSE,"CashFlowSummary";"FlowSummary_3 Yrs",#N/A,FALSE,"FlowSummary";"SourcesAndUses_3 Yrs",#N/A,FALSE,"SourcesAndUses";"CashDistribute_3 Yrs",#N/A,FALSE,"CashDistribute";"InvestorSummary_3 Yrs",#N/A,FALSE,"InvestorSummary";"AcqDev Loan_3 Yrs",#N/A,FALSE,"AcqDev Loan";#N/A,#N/A,FALSE,"Finance Summary";#N/A,#N/A,FALSE,"Valuation"}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ive._.Year._.Plan." hidden="1">{#N/A,#N/A,FALSE,"Part B - Five Year Projections";#N/A,#N/A,FALSE,"B.1 Financial Summary";#N/A,#N/A,FALSE,"B.1a Financial Sum wks";#N/A,#N/A,FALSE,"B.2 Five Year Assumptions";#N/A,#N/A,FALSE,"B.3 Five Year Income";#N/A,#N/A,FALSE,"B.4 Five Year Balance Sheets";#N/A,#N/A,FALSE,"B.5 Five Year Cash Flows"}</definedName>
    <definedName name="wrn.Fleet." hidden="1">{"FleetDetailsNE",#N/A,FALSE,"NEForecast"}</definedName>
    <definedName name="wrn.Fmgmtfee." hidden="1">{#N/A,#N/A,FALSE,"Fmgmtfee"}</definedName>
    <definedName name="wrn.FMJVO._.and._.Summary._.with._.Calculations." hidden="1">{#N/A,#N/A,FALSE,"Summary";#N/A,#N/A,FALSE,"General Inputs &amp; Assumptions";"Franchise All",#N/A,FALSE,"Franchise";"Managed All",#N/A,FALSE,"Managed";"JV All",#N/A,FALSE,"JV";"Owned All",#N/A,FALSE,"Owned"}</definedName>
    <definedName name="wrn.Footnotes." hidden="1">{"Footnotes",#N/A,FALSE,"Foot_Notes"}</definedName>
    <definedName name="wrn.FORECAST._.ONLY." hidden="1">{"SourceUse",#N/A,FALSE,"S &amp; U";"Pricing","Normal",FALSE,"Pricing";"Fund Flow",#N/A,FALSE,"Fund Flow";"Rent","Normal",FALSE,"Rent,Exp";"Operating Exp",#N/A,FALSE,"Oper Exp";"Net Operating Income",#N/A,FALSE,"NOI";"Cashflow",#N/A,FALSE,"C Flow";"Net Income",#N/A,FALSE,"Net Incm";"Benefit Schedule",#N/A,FALSE,"Benefits";"Min Gain",#N/A,FALSE,"Min Gain";"Devt Fee",#N/A,FALSE,"Devt Fee";"Mort 1",#N/A,FALSE,"Mort 1";"RP Depr",#N/A,FALSE,"RP Depr";"PP Amort",#N/A,FALSE,"PP Amort";"RR Depr",#N/A,FALSE,"RR Depr";"Debt Analysis",#N/A,FALSE,"Debt Anal"}</definedName>
    <definedName name="wrn.FORMULAS." hidden="1">{"FORMULAS",#N/A,FALSE,"ESTIMATE"}</definedName>
    <definedName name="wrn.Fortress." hidden="1">{"Summary",#N/A,TRUE,"Sheet1";"Sens",#N/A,TRUE,"Sheet1";"Valuation Summary",#N/A,TRUE,"Sheet1";"Cash Flows and Value",#N/A,TRUE,"Sheet1";"DCF and Yield",#N/A,TRUE,"Sheet1";"JV Structure",#N/A,TRUE,"Sheet1";"Partnership Summary and Cash",#N/A,TRUE,"Sheet1";"Partnership Distributions 1",#N/A,TRUE,"Sheet1";"Partnership Distributions 2",#N/A,TRUE,"Sheet1";"CP Investment Return",#N/A,TRUE,"Sheet1";"Cash Flows Full",#N/A,TRUE,"Sheet2";"Assumptions",#N/A,TRUE,"Sheet1";"RR 1",#N/A,TRUE,"Rent Roll";"RR 2",#N/A,TRUE,"Rent Roll";"RR 3",#N/A,TRUE,"Rent Roll";"RR 4",#N/A,TRUE,"Rent Roll";"RR 5",#N/A,TRUE,"Rent Roll";"RR 6",#N/A,TRUE,"Rent Roll"}</definedName>
    <definedName name="wrn.Fortress._1" hidden="1">{"Summary",#N/A,TRUE,"Sheet1";"Sens",#N/A,TRUE,"Sheet1";"Valuation Summary",#N/A,TRUE,"Sheet1";"Cash Flows and Value",#N/A,TRUE,"Sheet1";"DCF and Yield",#N/A,TRUE,"Sheet1";"JV Structure",#N/A,TRUE,"Sheet1";"Partnership Summary and Cash",#N/A,TRUE,"Sheet1";"Partnership Distributions 1",#N/A,TRUE,"Sheet1";"Partnership Distributions 2",#N/A,TRUE,"Sheet1";"CP Investment Return",#N/A,TRUE,"Sheet1";"Cash Flows Full",#N/A,TRUE,"Sheet2";"Assumptions",#N/A,TRUE,"Sheet1";"RR 1",#N/A,TRUE,"Rent Roll";"RR 2",#N/A,TRUE,"Rent Roll";"RR 3",#N/A,TRUE,"Rent Roll";"RR 4",#N/A,TRUE,"Rent Roll";"RR 5",#N/A,TRUE,"Rent Roll";"RR 6",#N/A,TRUE,"Rent Roll"}</definedName>
    <definedName name="wrn.Fortress._2" hidden="1">{"Summary",#N/A,TRUE,"Sheet1";"Sens",#N/A,TRUE,"Sheet1";"Valuation Summary",#N/A,TRUE,"Sheet1";"Cash Flows and Value",#N/A,TRUE,"Sheet1";"DCF and Yield",#N/A,TRUE,"Sheet1";"JV Structure",#N/A,TRUE,"Sheet1";"Partnership Summary and Cash",#N/A,TRUE,"Sheet1";"Partnership Distributions 1",#N/A,TRUE,"Sheet1";"Partnership Distributions 2",#N/A,TRUE,"Sheet1";"CP Investment Return",#N/A,TRUE,"Sheet1";"Cash Flows Full",#N/A,TRUE,"Sheet2";"Assumptions",#N/A,TRUE,"Sheet1";"RR 1",#N/A,TRUE,"Rent Roll";"RR 2",#N/A,TRUE,"Rent Roll";"RR 3",#N/A,TRUE,"Rent Roll";"RR 4",#N/A,TRUE,"Rent Roll";"RR 5",#N/A,TRUE,"Rent Roll";"RR 6",#N/A,TRUE,"Rent Roll"}</definedName>
    <definedName name="wrn.Fortress._3" hidden="1">{"Summary",#N/A,TRUE,"Sheet1";"Sens",#N/A,TRUE,"Sheet1";"Valuation Summary",#N/A,TRUE,"Sheet1";"Cash Flows and Value",#N/A,TRUE,"Sheet1";"DCF and Yield",#N/A,TRUE,"Sheet1";"JV Structure",#N/A,TRUE,"Sheet1";"Partnership Summary and Cash",#N/A,TRUE,"Sheet1";"Partnership Distributions 1",#N/A,TRUE,"Sheet1";"Partnership Distributions 2",#N/A,TRUE,"Sheet1";"CP Investment Return",#N/A,TRUE,"Sheet1";"Cash Flows Full",#N/A,TRUE,"Sheet2";"Assumptions",#N/A,TRUE,"Sheet1";"RR 1",#N/A,TRUE,"Rent Roll";"RR 2",#N/A,TRUE,"Rent Roll";"RR 3",#N/A,TRUE,"Rent Roll";"RR 4",#N/A,TRUE,"Rent Roll";"RR 5",#N/A,TRUE,"Rent Roll";"RR 6",#N/A,TRUE,"Rent Roll"}</definedName>
    <definedName name="wrn.FOschedules." localSheetId="0" hidden="1">{"FOschedule1",#N/A,FALSE,"Sheet1";"FOschedule2",#N/A,FALSE,"Sheet1";"FOschedule3",#N/A,FALSE,"Sheet1"}</definedName>
    <definedName name="wrn.FOschedules." hidden="1">{"FOschedule1",#N/A,FALSE,"Sheet1";"FOschedule2",#N/A,FALSE,"Sheet1";"FOschedule3",#N/A,FALSE,"Sheet1"}</definedName>
    <definedName name="wrn.FOschedules._1" hidden="1">{"FOschedule1",#N/A,FALSE,"Sheet1";"FOschedule2",#N/A,FALSE,"Sheet1";"FOschedule3",#N/A,FALSE,"Sheet1"}</definedName>
    <definedName name="wrn.FOschedules._2" hidden="1">{"FOschedule1",#N/A,FALSE,"Sheet1";"FOschedule2",#N/A,FALSE,"Sheet1";"FOschedule3",#N/A,FALSE,"Sheet1"}</definedName>
    <definedName name="wrn.FOschedules._3" hidden="1">{"FOschedule1",#N/A,FALSE,"Sheet1";"FOschedule2",#N/A,FALSE,"Sheet1";"FOschedule3",#N/A,FALSE,"Sheet1"}</definedName>
    <definedName name="wrn.FOschedules._4" hidden="1">{"FOschedule1",#N/A,FALSE,"Sheet1";"FOschedule2",#N/A,FALSE,"Sheet1";"FOschedule3",#N/A,FALSE,"Sheet1"}</definedName>
    <definedName name="wrn.FOUR._.CASES.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xmeyer." hidden="1">{#N/A,#N/A,FALSE,"FOXMEYER SCENARIO COMPARISON";#N/A,#N/A,FALSE,"SUMMARY";#N/A,#N/A,FALSE,"Returns";#N/A,#N/A,FALSE,"Cash Flow";#N/A,#N/A,FALSE,"Pro-Forma";#N/A,#N/A,FALSE,"Rent Roll"}</definedName>
    <definedName name="wrn.Freq_Res." hidden="1">{#N/A,#N/A,TRUE,"FR_HC";#N/A,#N/A,TRUE,"FR_REST";#N/A,#N/A,TRUE,"FR_RETA";#N/A,#N/A,TRUE,"FR_TECSOF";#N/A,#N/A,TRUE,"FR_NETTEC";#N/A,#N/A,TRUE,"FR_CLISER"}</definedName>
    <definedName name="wrn.FRI." hidden="1">{"Cover",#N/A,TRUE,"Sheet1";"2. Value",#N/A,TRUE,"Sheet1";"Sensitivities",#N/A,TRUE,"Sheet1";"3. Porfolio CF",#N/A,TRUE,"Sheet1";"4. NCF",#N/A,TRUE,"Sheet1";"5. DCF",#N/A,TRUE,"Sheet1";"6. Partnership Dist",#N/A,TRUE,"Sheet1";"7. MIR Splits",#N/A,TRUE,"Sheet1";"Assumptions",#N/A,TRUE,"Sheet1"}</definedName>
    <definedName name="wrn.FRI._1" hidden="1">{"Cover",#N/A,TRUE,"Sheet1";"2. Value",#N/A,TRUE,"Sheet1";"Sensitivities",#N/A,TRUE,"Sheet1";"3. Porfolio CF",#N/A,TRUE,"Sheet1";"4. NCF",#N/A,TRUE,"Sheet1";"5. DCF",#N/A,TRUE,"Sheet1";"6. Partnership Dist",#N/A,TRUE,"Sheet1";"7. MIR Splits",#N/A,TRUE,"Sheet1";"Assumptions",#N/A,TRUE,"Sheet1"}</definedName>
    <definedName name="wrn.FRI._2" hidden="1">{"Cover",#N/A,TRUE,"Sheet1";"2. Value",#N/A,TRUE,"Sheet1";"Sensitivities",#N/A,TRUE,"Sheet1";"3. Porfolio CF",#N/A,TRUE,"Sheet1";"4. NCF",#N/A,TRUE,"Sheet1";"5. DCF",#N/A,TRUE,"Sheet1";"6. Partnership Dist",#N/A,TRUE,"Sheet1";"7. MIR Splits",#N/A,TRUE,"Sheet1";"Assumptions",#N/A,TRUE,"Sheet1"}</definedName>
    <definedName name="wrn.FRI._3" hidden="1">{"Cover",#N/A,TRUE,"Sheet1";"2. Value",#N/A,TRUE,"Sheet1";"Sensitivities",#N/A,TRUE,"Sheet1";"3. Porfolio CF",#N/A,TRUE,"Sheet1";"4. NCF",#N/A,TRUE,"Sheet1";"5. DCF",#N/A,TRUE,"Sheet1";"6. Partnership Dist",#N/A,TRUE,"Sheet1";"7. MIR Splits",#N/A,TRUE,"Sheet1";"Assumptions",#N/A,TRUE,"Sheet1"}</definedName>
    <definedName name="wrn.Front._.2." hidden="1">{"Summary",#N/A,TRUE,"Sheet1";"Summary2",#N/A,TRUE,"Sheet1"}</definedName>
    <definedName name="wrn.Front._.3." hidden="1">{"Summary",#N/A,TRUE,"Sheet1";"Summary2",#N/A,TRUE,"Sheet1";"Sens",#N/A,TRUE,"Sheet1"}</definedName>
    <definedName name="wrn.FS_2005." hidden="1">{"BS-Yearly",#N/A,TRUE,"BS-Year";"BS-Monthly-2005",#N/A,TRUE,"BS"}</definedName>
    <definedName name="wrn.FS._.Notes." hidden="1">{#N/A,#N/A,FALSE,"Note 2";#N/A,#N/A,FALSE,"Note 3";#N/A,#N/A,FALSE,"Note 4";#N/A,#N/A,FALSE,"Note 5";#N/A,#N/A,FALSE,"Note 6";#N/A,#N/A,FALSE,"Note 10"}</definedName>
    <definedName name="wrn.Full_Template." localSheetId="0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Full_Template.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Full_Template._1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Full_Template._2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Full_Template._3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Full_Template._4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Full." hidden="1">{#N/A,#N/A,FALSE,"ExecutiveSummary";#N/A,#N/A,FALSE,"CostDetail";#N/A,#N/A,FALSE,"IncomeDetail";#N/A,#N/A,FALSE,"InterestCalculation"}</definedName>
    <definedName name="wrn.Full._.Business._.Plan._.Package." hidden="1">{#N/A,#N/A,FALSE,"Cover";#N/A,#N/A,FALSE,"Exception Report";#N/A,#N/A,FALSE,"Index";#N/A,#N/A,FALSE,"Part B - Five Year Projections";#N/A,#N/A,FALSE,"B.1 Financial Summary";#N/A,#N/A,FALSE,"B.1a Financial Sum wks";#N/A,#N/A,FALSE,"B.2 Five Year Assumptions";#N/A,#N/A,FALSE,"B.3 Five Year Income";#N/A,#N/A,FALSE,"B.4 Five Year Balance Sheets";#N/A,#N/A,FALSE,"B.5 Five Year Cash Flows";#N/A,#N/A,FALSE,"Part C";#N/A,#N/A,FALSE,"C.1(a) Key Financial Objectives";#N/A,#N/A,FALSE,"C.1(b) Key HR Objectives";#N/A,#N/A,FALSE,"C.2 Financial Summary";#N/A,#N/A,FALSE,"C.3 Assumptions";#N/A,#N/A,FALSE,"C.4 Sensitivities - 2000";#N/A,#N/A,FALSE,"C.5 Sensitivities - 2001";#N/A,#N/A,FALSE,"C.6 Bal. Sheet";#N/A,#N/A,FALSE,"C.7 Income by Qtr - 2000";#N/A,#N/A,FALSE,"C.8 Income by Qtr - 2001";#N/A,#N/A,FALSE,"C.9 Cash Flows - 2000";#N/A,#N/A,FALSE,"C.10 Cash Flows - 2001";#N/A,#N/A,FALSE,"Part D";#N/A,#N/A,FALSE,"D.1 Monthly Plan - 2000";#N/A,#N/A,FALSE,"D.2 Equity and Min. Int.";#N/A,#N/A,FALSE,"D.3 Long-term Investments";#N/A,#N/A,FALSE,"D.4 Fixed Assets";#N/A,#N/A,FALSE,"D.5 Goodwill";#N/A,#N/A,FALSE,"D.6 Intercompany";#N/A,#N/A,FALSE,"D.7 Long-term Debt";#N/A,#N/A,FALSE,"D.8 Acquisitions";#N/A,#N/A,FALSE,"D.9 Key Expenses";#N/A,#N/A,FALSE,"D.10 Cap. Exp. and R&amp;D";#N/A,#N/A,FALSE,"D.11 Dvlpmt Prgs"}</definedName>
    <definedName name="wrn.FULL._.COMPARISON." localSheetId="0" hidden="1">{"Full Sheet",#N/A,FALSE,"Expense Comparison"}</definedName>
    <definedName name="wrn.FULL._.COMPARISON." hidden="1">{"Full Sheet",#N/A,FALSE,"Expense Comparison"}</definedName>
    <definedName name="wrn.FULL._.COMPARISON._1" hidden="1">{"Full Sheet",#N/A,FALSE,"Expense Comparison"}</definedName>
    <definedName name="wrn.FULL._.COMPARISON._2" hidden="1">{"Full Sheet",#N/A,FALSE,"Expense Comparison"}</definedName>
    <definedName name="wrn.FULL._.COMPARISON._3" hidden="1">{"Full Sheet",#N/A,FALSE,"Expense Comparison"}</definedName>
    <definedName name="wrn.FULL._.COMPARISON._4" hidden="1">{"Full Sheet",#N/A,FALSE,"Expense Comparison"}</definedName>
    <definedName name="wrn.Full._.Model." hidden="1">{"VS (Summary 1)",#N/A,FALSE,"Venture Summary";"VS (Summary 2)",#N/A,FALSE,"Venture Summary";"VS (Project CF)",#N/A,FALSE,"Venture Summary";"VS (NOI and Sales)",#N/A,FALSE,"Venture Summary";"VS (Debt)",#N/A,FALSE,"Venture Summary";"VS (Project Cost Detail)",#N/A,FALSE,"Venture Summary";"EB (Summary)",#N/A,FALSE,"Ent Budget";"CFD 1",#N/A,FALSE,"CFD";"CFD 2",#N/A,FALSE,"CFD";"CFD 3",#N/A,FALSE,"CFD";"CFD 4",#N/A,FALSE,"CFD";"Infra (Summary)",#N/A,FALSE,"Infrastructrue";"Infra (Budget)",#N/A,FALSE,"Infrastructrue";"Res (Summary)",#N/A,FALSE,"Res Phasing Summary";"Res (Tables)",#N/A,FALSE,"Res Phasing Summary";"Retail (Summary)",#N/A,FALSE,"Retail Summary";"Retail (Budget Sum - Cons)",#N/A,FALSE,"Retail Summary";"Retail (Budget Sum - Retail)",#N/A,FALSE,"Retail Summary";"Retail (Budget Sum - Res)",#N/A,FALSE,"Retail Summary";"Retail (Cash Flow)",#N/A,FALSE,"Retail Summary";"Retail (Costs)",#N/A,FALSE,"Retail Summary";"Retail (Sales)",#N/A,FALSE,"Retail Summary";"Retail (Debt)",#N/A,FALSE,"Retail Summary";"Retail (Cost Detail)",#N/A,FALSE,"Retail Summary";"Retail (Budget Detail)",#N/A,FALSE,"Retail Budget";"Retail (Tenant Summary)",#N/A,FALSE,"Retail Tenant Summary";"Casino (Summary)",#N/A,FALSE,"Casino";"Casino (Cash Flow)",#N/A,FALSE,"Casino";"Casino (Budget Sum)",#N/A,FALSE,"Casino";"Casino (Costs and Sales)",#N/A,FALSE,"Casino";"Casino (Debt)",#N/A,FALSE,"Casino";"Casino (Partner CF)",#N/A,FALSE,"Casino";"Casino (Cost Detail)",#N/A,FALSE,"Casino";"Casino ( Budget Detail)",#N/A,FALSE,"Casino Budget";"Overhead",#N/A,FALSE,"Overhead";"Project TL",#N/A,FALSE,"Project Timeline";"Fin TL",#N/A,FALSE,"Financing Timeline"}</definedName>
    <definedName name="wrn.Full._.Print." hidden="1">{#N/A,#N/A,FALSE,"Cover";#N/A,#N/A,FALSE,"Table";#N/A,#N/A,FALSE,"sec 1";#N/A,#N/A,FALSE,"Summary Schedule";#N/A,#N/A,FALSE,"Sec 2";#N/A,#N/A,FALSE,"Use of Proceeds";#N/A,#N/A,FALSE,"Sec 3";#N/A,#N/A,FALSE,"Yield Cal";#N/A,#N/A,FALSE,"Sec 4";#N/A,#N/A,FALSE,"Qtrly Distributions";#N/A,#N/A,FALSE,"Sec 5";#N/A,#N/A,FALSE,"RATE";#N/A,#N/A,FALSE,"Sec 6";#N/A,#N/A,FALSE,"OPERATIONS";#N/A,#N/A,FALSE,"Sec 7";#N/A,#N/A,FALSE,"Dev. Budget";#N/A,#N/A,FALSE,"Sec 8";#N/A,#N/A,FALSE,"Draw";#N/A,#N/A,FALSE,"Sec 9";#N/A,#N/A,FALSE,"COMPARISON SCHEDULE";#N/A,#N/A,FALSE,"Sec 10";#N/A,#N/A,FALSE,"Investor10";#N/A,#N/A,FALSE,"Sec 11";#N/A,#N/A,FALSE,"10 year a";#N/A,#N/A,FALSE,"Sec 12";#N/A,#N/A,FALSE,"Assum."}</definedName>
    <definedName name="wrn.Full._.Report" hidden="1">{#N/A,#N/A,FALSE,"Summary";#N/A,#N/A,FALSE,"Project Summary";#N/A,#N/A,FALSE,"Master Developer Cash Flow";#N/A,#N/A,FALSE,"Development Cost Allocation";#N/A,#N/A,FALSE,"Costs";#N/A,#N/A,FALSE,"Pad Fees";#N/A,#N/A,FALSE,"Parking Budget";#N/A,#N/A,FALSE,"Podium Monthly Development #1";#N/A,#N/A,FALSE,"Podium Monthly Development #2";#N/A,#N/A,FALSE,"Podium Quarterly Development Bu";#N/A,#N/A,FALSE,"Parking Cash Flow";#N/A,#N/A,FALSE,"Parking Assumptions";#N/A,#N/A,FALSE,"Bond Debt Service";#N/A,#N/A,FALSE,"Bond Shortfall";#N/A,#N/A,FALSE,"Retail Development Budget";#N/A,#N/A,FALSE,"Retail Monthly Development Budg";#N/A,#N/A,FALSE,"Retail Quarterly Development Bu";#N/A,#N/A,FALSE,"Retail Cash Flow";#N/A,#N/A,FALSE,"Retail Cash Flow";#N/A,#N/A,FALSE,"Retail Assumptions";#N/A,#N/A,FALSE,"Retail Debt Service";#N/A,#N/A,FALSE,"Office Development Budget";#N/A,#N/A,FALSE,"Office Monthly Development Budg";#N/A,#N/A,FALSE,"Office Quarterly Development Bu";#N/A,#N/A,FALSE,"Office Cash Flow";#N/A,#N/A,FALSE,"Office Assumptions";#N/A,#N/A,FALSE,"Office Debt Service";#N/A,#N/A,FALSE,"Hotel Development Budget";#N/A,#N/A,FALSE,"Hotel Monthly Development Budge";#N/A,#N/A,FALSE,"Hotel Quarterly Development Bud";#N/A,#N/A,FALSE,"Hotel Cash Flow";#N/A,#N/A,FALSE,"Hotel Assumptions";#N/A,#N/A,FALSE,"Hotel Debt Service";#N/A,#N/A,FALSE,"Demographics-Hotel";#N/A,#N/A,FALSE,"Land Lease NPV"}</definedName>
    <definedName name="wrn.Full._.Report." hidden="1">{"Office Properties",#N/A,FALSE,"Consolidation";"Residential Summary",#N/A,FALSE,"Consolidation";"Retail Properties",#N/A,FALSE,"Consolidation";"Pru Loan",#N/A,FALSE,"Pru Loan";"One_Clear",#N/A,FALSE,"One Clearlake";"Comm_Corp",#N/A,FALSE,"Comm Corp Ctr";"San_Jac",#N/A,FALSE,"San Jacinto";"Wilshire",#N/A,FALSE,"8383 Wilshire";"Denver_Corp",#N/A,FALSE,"Denver Corp Center";"san_fel",#N/A,FALSE,"San Felipe";"Preston Bend",#N/A,FALSE,"Preston Bend";"The Willows",#N/A,FALSE,"The Willows";"Windemere",#N/A,FALSE,"Windemere";"Concorde",#N/A,FALSE,"Concorde";"Wyndridge",#N/A,FALSE,"Wyndridge 2 &amp; 3";"Spinnaker",#N/A,FALSE,"Spinnaker Cove";"Sedona",#N/A,FALSE,"Sedona Ridge";"Summer_Tree",#N/A,FALSE,"Summer Tree";"Ridge_Mtn",#N/A,FALSE,"Mountbrook_Ridgemont";"Highline",#N/A,FALSE,"Highline Oaks";"South_Towne",#N/A,FALSE,"South Towne";"Swansea",#N/A,FALSE,"Swansea"}</definedName>
    <definedName name="wrn.Full._.Report._1" hidden="1">{"Summary",#N/A,TRUE,"Debt Model";"Sensitivity",#N/A,TRUE,"Debt Model";"Valuation/Asset Cash Flow",#N/A,TRUE,"Debt Model";"Partnership Cash Flow",#N/A,TRUE,"Debt Model";"Equity Value/DCF",#N/A,TRUE,"Debt Model";"Debt Summary",#N/A,TRUE,"Debt Model";"Madison Cash Flow/FX",#N/A,TRUE,"Debt Model";"Promote 1 - Diez",#N/A,TRUE,"Debt Model";"Promote 2 - Diez",#N/A,TRUE,"Debt Model";"Promote 3 - Diez",#N/A,TRUE,"Debt Model"}</definedName>
    <definedName name="wrn.Full._.Report._2" hidden="1">{"Summary",#N/A,TRUE,"Debt Model";"Sensitivity",#N/A,TRUE,"Debt Model";"Valuation/Asset Cash Flow",#N/A,TRUE,"Debt Model";"Partnership Cash Flow",#N/A,TRUE,"Debt Model";"Equity Value/DCF",#N/A,TRUE,"Debt Model";"Debt Summary",#N/A,TRUE,"Debt Model";"Madison Cash Flow/FX",#N/A,TRUE,"Debt Model";"Promote 1 - Diez",#N/A,TRUE,"Debt Model";"Promote 2 - Diez",#N/A,TRUE,"Debt Model";"Promote 3 - Diez",#N/A,TRUE,"Debt Model"}</definedName>
    <definedName name="wrn.Full._.Report._3" hidden="1">{"Summary",#N/A,TRUE,"Debt Model";"Sensitivity",#N/A,TRUE,"Debt Model";"Valuation/Asset Cash Flow",#N/A,TRUE,"Debt Model";"Partnership Cash Flow",#N/A,TRUE,"Debt Model";"Equity Value/DCF",#N/A,TRUE,"Debt Model";"Debt Summary",#N/A,TRUE,"Debt Model";"Madison Cash Flow/FX",#N/A,TRUE,"Debt Model";"Promote 1 - Diez",#N/A,TRUE,"Debt Model";"Promote 2 - Diez",#N/A,TRUE,"Debt Model";"Promote 3 - Diez",#N/A,TRUE,"Debt Model"}</definedName>
    <definedName name="wrn.Full._.Run." hidden="1">{#N/A,#N/A,FALSE,"Master Summary";#N/A,#N/A,FALSE,"Summary";#N/A,#N/A,FALSE,"245 Park Ave - Remaing Obl.";#N/A,#N/A,FALSE,"245 Park Ave - Sublease";#N/A,#N/A,FALSE,"Sublease Commission";#N/A,#N/A,FALSE,"245 Park Avenue-New Lease";#N/A,#N/A,FALSE,"Blend";#N/A,#N/A,FALSE,"30 Rock.";#N/A,#N/A,FALSE,"320 Park";#N/A,#N/A,FALSE,"250 Park-Existing Law Firm"}</definedName>
    <definedName name="wrn.full._.set." hidden="1">{"qtrs",#N/A,FALSE,"External Mnth-Qtr-Ytd (EBITDA)";"months",#N/A,FALSE,"External Mnth-Qtr-Ytd (EBITDA)";"qtrs",#N/A,FALSE,"External Mnth-Qtr-Ytd (EBIT)";"monthsl",#N/A,FALSE,"External Mnth-Qtr-Ytd (EBIT)";"qtrs",#N/A,FALSE,"Internal Mth-Qtr-Ytd";"months",#N/A,FALSE,"Internal Mth-Qtr-Ytd"}</definedName>
    <definedName name="wrn.FUMC._.Dev._.Model._.Nov._.Fund._.Mtg." hidden="1">{"Venture Summary",#N/A,FALSE,"Summary";"Development Budget",#N/A,FALSE,"Summary";"Timeline - Quarterly",#N/A,FALSE,"Timeline - Quarterly";"Argus Assumptions",#N/A,FALSE,"Argus Assumptions";"Annual",#N/A,FALSE,"Annual"}</definedName>
    <definedName name="wrn.FUMC._.Land._.Sale." hidden="1">{"Venture Summary",#N/A,FALSE,"Summary";"Timeline - Quarterly",#N/A,FALSE,"Timeline - Quarterly";"Development Proforma",#N/A,FALSE,"Dev PF";"Development Budget",#N/A,FALSE,"Summary";"Development Proforma",#N/A,FALSE,"Dev PF"}</definedName>
    <definedName name="wrn.FUMC._.Sale._.Model._.Nov._.Fund._.Mtg." hidden="1">{"Venture Summary",#N/A,FALSE,"Summary";"Development Budget",#N/A,FALSE,"Summary";"Sale Model Annual Costs and CFs",#N/A,FALSE,"Annual"}</definedName>
    <definedName name="wrn.Fundus._.33." hidden="1">{"Summary",#N/A,TRUE,"Fond 33";"Sensitivity",#N/A,TRUE,"Fond 33";"Discount Metrics",#N/A,TRUE,"Fond 33";"Partnership Valuation Summary",#N/A,TRUE,"Fond 33";"Cash Flows",#N/A,TRUE,"Fond 33";"Partnership Net Cash Balance",#N/A,TRUE,"Fond 33";"Equity, DCF &amp; Yield",#N/A,TRUE,"Fond 33";"Partnership Distributions",#N/A,TRUE,"Fond 33";"Splits",#N/A,TRUE,"Fond 33";"MIR Distributions",#N/A,TRUE,"Fond 33";"Assumptions",#N/A,TRUE,"Fond 33"}</definedName>
    <definedName name="wrn.Fundus._.33._1" hidden="1">{"Summary",#N/A,TRUE,"Fond 33";"Sensitivity",#N/A,TRUE,"Fond 33";"Discount Metrics",#N/A,TRUE,"Fond 33";"Partnership Valuation Summary",#N/A,TRUE,"Fond 33";"Cash Flows",#N/A,TRUE,"Fond 33";"Partnership Net Cash Balance",#N/A,TRUE,"Fond 33";"Equity, DCF &amp; Yield",#N/A,TRUE,"Fond 33";"Partnership Distributions",#N/A,TRUE,"Fond 33";"Splits",#N/A,TRUE,"Fond 33";"MIR Distributions",#N/A,TRUE,"Fond 33";"Assumptions",#N/A,TRUE,"Fond 33"}</definedName>
    <definedName name="wrn.Fundus._.33._2" hidden="1">{"Summary",#N/A,TRUE,"Fond 33";"Sensitivity",#N/A,TRUE,"Fond 33";"Discount Metrics",#N/A,TRUE,"Fond 33";"Partnership Valuation Summary",#N/A,TRUE,"Fond 33";"Cash Flows",#N/A,TRUE,"Fond 33";"Partnership Net Cash Balance",#N/A,TRUE,"Fond 33";"Equity, DCF &amp; Yield",#N/A,TRUE,"Fond 33";"Partnership Distributions",#N/A,TRUE,"Fond 33";"Splits",#N/A,TRUE,"Fond 33";"MIR Distributions",#N/A,TRUE,"Fond 33";"Assumptions",#N/A,TRUE,"Fond 33"}</definedName>
    <definedName name="wrn.Fundus._.33._3" hidden="1">{"Summary",#N/A,TRUE,"Fond 33";"Sensitivity",#N/A,TRUE,"Fond 33";"Discount Metrics",#N/A,TRUE,"Fond 33";"Partnership Valuation Summary",#N/A,TRUE,"Fond 33";"Cash Flows",#N/A,TRUE,"Fond 33";"Partnership Net Cash Balance",#N/A,TRUE,"Fond 33";"Equity, DCF &amp; Yield",#N/A,TRUE,"Fond 33";"Partnership Distributions",#N/A,TRUE,"Fond 33";"Splits",#N/A,TRUE,"Fond 33";"MIR Distributions",#N/A,TRUE,"Fond 33";"Assumptions",#N/A,TRUE,"Fond 33"}</definedName>
    <definedName name="wrn.FY97SBP." hidden="1">{#N/A,#N/A,FALSE,"FY97";#N/A,#N/A,FALSE,"FY98";#N/A,#N/A,FALSE,"FY99";#N/A,#N/A,FALSE,"FY00";#N/A,#N/A,FALSE,"FY01"}</definedName>
    <definedName name="wrn.Garage." hidden="1">{#N/A,#N/A,FALSE,"Garage Assumpt 1";#N/A,#N/A,FALSE,"Garage Op Proj";#N/A,#N/A,FALSE,"Hist I&amp;E";#N/A,#N/A,FALSE,"Garage Lease"}</definedName>
    <definedName name="wrn.gary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SPACK." hidden="1">{"Page1",#N/A,TRUE,"PERIOD 1  POWERPLAY";"Page 2",#N/A,TRUE,"PERIOD 1  POWERPLAY";"Page 3",#N/A,TRUE,"PERIOD 1  POWERPLAY";"Page 4",#N/A,TRUE,"PERIOD 1  POWERPLAY"}</definedName>
    <definedName name="wrn.GEER_report." hidden="1">{#N/A,#N/A,FALSE,"Table_Ass.";#N/A,#N/A,FALSE,"# of cust";#N/A,#N/A,FALSE,"Res_Report";#N/A,#N/A,FALSE,"Income Statement";"Qtr Cust",#N/A,FALSE,"Qtrly Proj"}</definedName>
    <definedName name="wrn.General." hidden="1">{"Balance",#N/A,FALSE,"General Assumptions";"Cost",#N/A,FALSE,"General Assumptions";"Working",#N/A,FALSE,"General Assumptions"}</definedName>
    <definedName name="wrn.General._.Information." hidden="1">{#N/A,#N/A,FALSE,"Input 2 - Sources of Funds"}</definedName>
    <definedName name="wrn.GIS." hidden="1">{#N/A,#N/A,FALSE,"GIS"}</definedName>
    <definedName name="wrn.GOG." hidden="1">{#N/A,#N/A,TRUE,"CES";#N/A,#N/A,TRUE,"DCS";#N/A,#N/A,TRUE,"GCs";#N/A,#N/A,TRUE,"Clubhouse";#N/A,#N/A,TRUE,"Guestrooms"}</definedName>
    <definedName name="wrn.Golf._.Summary." hidden="1">{"View1",#N/A,FALSE,"Golf";"View2",#N/A,FALSE,"Golf";"View3",#N/A,FALSE,"Golf";"View4",#N/A,FALSE,"Golf";"View5",#N/A,FALSE,"Golf";"View6",#N/A,FALSE,"Golf";"View7",#N/A,FALSE,"Golf";"View8",#N/A,FALSE,"Golf";"View9",#N/A,FALSE,"Golf";"View10",#N/A,FALSE,"Golf";"View11",#N/A,FALSE,"Golf";"View12",#N/A,FALSE,"Golf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{#N/A,#N/A,FALSE,"ACQ_GRAPHS";#N/A,#N/A,FALSE,"T_1 GRAPHS";#N/A,#N/A,FALSE,"T_2 GRAPHS";#N/A,#N/A,FALSE,"COMB_GRAPHS"}</definedName>
    <definedName name="wrn.greg." hidden="1">{"three",#N/A,FALSE,"Capital";"four",#N/A,FALSE,"Capital"}</definedName>
    <definedName name="wrn.gros." hidden="1">{#N/A,#N/A,FALSE,"Sch01";#N/A,#N/A,FALSE,"Sch02";#N/A,#N/A,FALSE,"Sch04";#N/A,#N/A,FALSE,"Sch05";#N/A,#N/A,FALSE,"Sch05a";#N/A,#N/A,FALSE,"Sch06";#N/A,#N/A,FALSE,"Sch07";#N/A,#N/A,FALSE,"Sch08";#N/A,#N/A,FALSE,"Sch09";#N/A,#N/A,FALSE,"Sch10";#N/A,#N/A,FALSE,"Sch11";#N/A,#N/A,FALSE,"Sch12";#N/A,#N/A,FALSE,"Sch-C";#N/A,#N/A,FALSE,"Sch-E"}</definedName>
    <definedName name="wrn.Gross._.to._.Net._.Reconciliations." hidden="1">{"Full Gross to Net",#N/A,TRUE,"GtoN";"R_I Accepted from Group Coys",#N/A,TRUE,"GtoN";"R_I Ceded to Group Coys",#N/A,TRUE,"GtoN";"Closing Loss Reserves and Gross Claims Incurred",#N/A,TRUE,"GtoN"}</definedName>
    <definedName name="wrn.Gross._.up." hidden="1">{#N/A,#N/A,FALSE,"Gross-Up"}</definedName>
    <definedName name="wrn.Group._.B._.Report." hidden="1">{"Both Reports Group B",#N/A,FALSE,"Group B";"Both Reports S33",#N/A,FALSE,"S33 Weymouth";"Both Reports S35",#N/A,FALSE,"S35 Woodcrest";"Both Reports S36",#N/A,FALSE,"S36 Cheshire";"Both Reports S38",#N/A,FALSE,"S38 Newton"}</definedName>
    <definedName name="wrn.Group._.C._.Report." hidden="1">{"Group C",#N/A,FALSE,"Group C";"Total Bev",#N/A,FALSE,"S01 Beverly";"Total S15",#N/A,FALSE,"S15 Lexington";"Both Reports S26",#N/A,FALSE,"S26 Peabody";"Both Reports S27",#N/A,FALSE,"S27 Randolph";"Both Reports S31",#N/A,FALSE,"S31 Westport";"Both Reports S34",#N/A,FALSE,"S34 Wilmington Woods"}</definedName>
    <definedName name="wrn.GSA._.PRINT." hidden="1">{#N/A,#N/A,FALSE,"DEV COSTS";#N/A,#N/A,FALSE,"10-YR C. F."}</definedName>
    <definedName name="wrn.gsa._PRINT5" hidden="1">{#N/A,#N/A,FALSE,"DEV COSTS";#N/A,#N/A,FALSE,"10-YR C. F."}</definedName>
    <definedName name="wrn.gth." hidden="1">{#N/A,#N/A,FALSE,"Title Page";#N/A,#N/A,FALSE,"Summary Sheet"}</definedName>
    <definedName name="wrn.Gund._.Arena._.PCD." hidden="1">{#N/A,#N/A,TRUE,"Gund Arena PCD";#N/A,#N/A,TRUE,"Gund Arena IOR"}</definedName>
    <definedName name="wrn.H_and_V." hidden="1">{"Summary",#N/A,FALSE,"Summary";"Sensitivity Chart",#N/A,FALSE,"Sensitivity Chart ";"Rent Detail",#N/A,FALSE,"Rent Detail";"Opex Detail",#N/A,FALSE,"Operating"}</definedName>
    <definedName name="wrn.HEAT." hidden="1">{#N/A,#N/A,FALSE,"Heat";#N/A,#N/A,FALSE,"DCF";#N/A,#N/A,FALSE,"LBO";#N/A,#N/A,FALSE,"A";#N/A,#N/A,FALSE,"C";#N/A,#N/A,FALSE,"impd";#N/A,#N/A,FALSE,"Accr-Dilu"}</definedName>
    <definedName name="wrn.heathrow." hidden="1">{#N/A,#N/A,FALSE,"Summary";#N/A,#N/A,FALSE,"Sales";#N/A,#N/A,FALSE,"Costs";#N/A,#N/A,FALSE,"1996";#N/A,#N/A,FALSE,"1997";#N/A,#N/A,FALSE,"1998";#N/A,#N/A,FALSE,"1999";#N/A,#N/A,FALSE,"2000";#N/A,#N/A,FALSE,"2001";#N/A,#N/A,FALSE,"2002";#N/A,#N/A,FALSE,"2003";#N/A,#N/A,FALSE,"2004";#N/A,#N/A,FALSE,"2005";#N/A,#N/A,FALSE,"2006"}</definedName>
    <definedName name="wrn.Hightower." hidden="1">{"Hightower-Investor",#N/A,FALSE,"Hightower";"Hightower-Property",#N/A,FALSE,"Hightower"}</definedName>
    <definedName name="wrn.Hingham." hidden="1">{"Hingham Summary",#N/A,TRUE,"Hingham - CF";"Hinham Budget",#N/A,TRUE,"Hingham - CF";"Hingham Dev. Costs",#N/A,TRUE,"Hingham - CF";"Hingham CF1",#N/A,TRUE,"Hingham - CF";"Hingh CF2",#N/A,TRUE,"Hingham - CF"}</definedName>
    <definedName name="wrn.Hist._.InE." hidden="1">{#N/A,#N/A,FALSE,"Hist I&amp;E - Consol";#N/A,#N/A,FALSE,"Hist I&amp;E - Lakes";#N/A,#N/A,FALSE,"Hist I&amp;E - Chabot";#N/A,#N/A,FALSE,"Hist I&amp;E - Diablo"}</definedName>
    <definedName name="wrn.Hist._.InE2." hidden="1">{#N/A,#N/A,FALSE,"Hist I&amp;E - #2";#N/A,#N/A,FALSE,"Hist I&amp;E - #3";#N/A,#N/A,FALSE,"Hist I&amp;E - #4";#N/A,#N/A,FALSE,"Hist I&amp;E - #5";#N/A,#N/A,FALSE,"Hist I&amp;E - #6";#N/A,#N/A,FALSE,"Hist I&amp;E - #8";#N/A,#N/A,FALSE,"Hist I&amp;E - #9";#N/A,#N/A,FALSE,"Hist I&amp;E - #10"}</definedName>
    <definedName name="wrn.Historical._.Analysis." hidden="1">{#N/A,#N/A,FALSE,"HISTORICAL REV &amp; EXP"}</definedName>
    <definedName name="wrn.Historical._.Rev._.Exp." hidden="1">{#N/A,#N/A,FALSE,"Historical Rev &amp; Exp"}</definedName>
    <definedName name="wrn.History._.Proforma." hidden="1">{"History &amp; Projection",#N/A,FALSE,"History - Proforma"}</definedName>
    <definedName name="wrn.HNZ." hidden="1">{#N/A,#N/A,FALSE,"HNZ"}</definedName>
    <definedName name="wrn.Hold._.Sell." localSheetId="0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ld._.Sell.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ld._.Sell._1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ld._.Sell._2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ld._.Sell._3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ld._.Sell._4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rizontal._.Summary." hidden="1">{"VS (Summary 1)",#N/A,FALSE,"Venture Summary";"VS (Summary 2)",#N/A,FALSE,"Venture Summary";"VS (Project CF)",#N/A,FALSE,"Venture Summary";"VS (NOI and Sales)",#N/A,FALSE,"Venture Summary";"VS (Debt)",#N/A,FALSE,"Venture Summary";"VS (Project Cost Detail)",#N/A,FALSE,"Venture Summary"}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BC._.PKF._.Financials." hidden="1">{"Operations",#N/A,TRUE,"PKF";"Departments",#N/A,TRUE,"PKF"}</definedName>
    <definedName name="wrn.IC._.Memo._.Dexter." hidden="1">{"Venture Summary",#N/A,TRUE,"Summary";"Development Budget",#N/A,TRUE,"Summary";"Annual",#N/A,TRUE,"Summary"}</definedName>
    <definedName name="wrn.IC._.Memo._.Emerald." hidden="1">{"Venture Summary",#N/A,TRUE,"Retail Summary";"Dev Budget",#N/A,TRUE,"Retail Summary";"Annual",#N/A,TRUE,"Retail Summary"}</definedName>
    <definedName name="wrn.IC._.Memo._.FUMC." hidden="1">{"Venture Summary",#N/A,TRUE,"Summary";"Development Budget",#N/A,TRUE,"Summary";"Annual",#N/A,TRUE,"Summary"}</definedName>
    <definedName name="wrn.IGT._.Model." hidden="1">{#N/A,#N/A,TRUE,"IGT";#N/A,#N/A,TRUE,"IGTSLOT"}</definedName>
    <definedName name="wrn.III." hidden="1">{"CASHFLOW",#N/A,FALSE,"Northpointe"}</definedName>
    <definedName name="wrn.III1." hidden="1">{"CASHFLOW",#N/A,FALSE,"Northpointe"}</definedName>
    <definedName name="wrn.III1._1" hidden="1">{"CASHFLOW",#N/A,FALSE,"Northpointe"}</definedName>
    <definedName name="wrn.IIII" hidden="1">{"CASHFLOW",#N/A,FALSE,"Northpointe"}</definedName>
    <definedName name="wrn.IIII_1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ncome_Statement." hidden="1">{"One",#N/A,FALSE,"Income Statement";"Two",#N/A,FALSE,"Income Statement";"Three",#N/A,FALSE,"Income Statement";"Four",#N/A,FALSE,"Income Statement"}</definedName>
    <definedName name="wrn.Income._.Input." hidden="1">{#N/A,#N/A,FALSE,"Income Input"}</definedName>
    <definedName name="wrn.Income._.Statements." hidden="1">{"Summary_Annual",#N/A,FALSE,"Summary";"Summary__Quarterly",#N/A,FALSE,"Summary";"Summary__Current Year",#N/A,FALSE,"Summary";"Summary__Next Year",#N/A,FALSE,"Summary"}</definedName>
    <definedName name="wrn.Income._.Statements.1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dex." hidden="1">{#N/A,#N/A,FALSE,"INDEX"}</definedName>
    <definedName name="wrn.Individual._.Regions." hidden="1">{#N/A,#N/A,FALSE,"Summary";#N/A,#N/A,FALSE,"AIME";#N/A,#N/A,FALSE,"Asia (2)";#N/A,#N/A,FALSE,"Europe";#N/A,#N/A,FALSE,"LA"}</definedName>
    <definedName name="wrn.Infrastructure." hidden="1">{"Inf1",#N/A,TRUE,"Ent &amp; Inf";"Inf2",#N/A,TRUE,"Ent &amp; Inf";"Inf3",#N/A,TRUE,"Ent &amp; Inf";"InfCF",#N/A,TRUE,"Ent &amp; Inf"}</definedName>
    <definedName name="wrn.Infrastructure._.2." hidden="1">{"Land Dev Budget 1",#N/A,TRUE,"Ent &amp; Inf";"Land Dev Budget 2",#N/A,TRUE,"Ent &amp; Inf";"Inf1",#N/A,TRUE,"Ent &amp; Inf";"Inf2",#N/A,TRUE,"Ent &amp; Inf";"Inf3",#N/A,TRUE,"Ent &amp; Inf"}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INFO." hidden="1">{"Input",#N/A,FALSE,"INPUT"}</definedName>
    <definedName name="wrn.Input._.Pages." hidden="1">{#N/A,#N/A,TRUE,"General Assumptions (Input)";#N/A,#N/A,TRUE,"Income (Input Page)";#N/A,#N/A,TRUE,"Related Mgmt Exps (Input Page)";#N/A,#N/A,TRUE,"Development Cost (Input)"}</definedName>
    <definedName name="wrn.Input._.Pages._.and._.Pro._.Forma." hidden="1">{#N/A,#N/A,TRUE,"General Assumptions (Input)";#N/A,#N/A,TRUE,"Related Mgmt Exps (Input Page)";#N/A,#N/A,TRUE,"Development Cost (Input)";#N/A,#N/A,TRUE,"Summary";#N/A,#N/A,TRUE,"Income (Input Page)";#N/A,#N/A,TRUE,"Expenses";#N/A,#N/A,TRUE,"Dev. Cost &amp; Elig. Basis(Input)";#N/A,#N/A,TRUE,"Tax Credit";#N/A,#N/A,TRUE,"Sources and Uses";#N/A,#N/A,TRUE,"Rent Up Reserve";#N/A,#N/A,TRUE,"Cash Flow";#N/A,#N/A,TRUE,"Construction Cash Flow"}</definedName>
    <definedName name="wrn.Input._.Print._.Area." hidden="1">{#N/A,#N/A,FALSE,"inputs";#N/A,#N/A,FALSE,"inputs"}</definedName>
    <definedName name="wrn.Inputs." hidden="1">{"Inflation-BaseYear",#N/A,FALSE,"Inputs"}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terest." hidden="1">{#N/A,#N/A,FALSE,"SPacific";#N/A,#N/A,FALSE,"Hanover";#N/A,#N/A,FALSE,"Fairbanks";#N/A,#N/A,FALSE,"Life Savings";#N/A,#N/A,FALSE,"Ocwen";#N/A,#N/A,FALSE,"EMACC";#N/A,#N/A,FALSE,"CREC";#N/A,#N/A,FALSE,"SPTL";#N/A,#N/A,FALSE,"Thornberg";#N/A,#N/A,FALSE,"Conti Res";#N/A,#N/A,FALSE,"Conti Com";#N/A,#N/A,FALSE,"EMAQ";#N/A,#N/A,FALSE,"Fair1"}</definedName>
    <definedName name="wrn.Interior._.finishes." hidden="1">{"interior finishes",#N/A,FALSE,"DETAIL.XLS"}</definedName>
    <definedName name="wrn.internal." hidden="1">{#N/A,#N/A,FALSE,"Rent Roll";#N/A,#N/A,FALSE,"Sales History";#N/A,#N/A,FALSE,"Square Footage Calculations";#N/A,#N/A,FALSE,"Spec Pool";#N/A,#N/A,FALSE,"P &amp; L Detail";#N/A,#N/A,FALSE,"Expense Detail";#N/A,#N/A,FALSE,"Recovery Tables";#N/A,#N/A,FALSE,"Class. &amp; Rent";#N/A,#N/A,FALSE,"Expiration Detail";#N/A,#N/A,FALSE,"2nd Assump."}</definedName>
    <definedName name="wrn.INV._.Distribution." hidden="1">{"INV AUM",#N/A,TRUE,"AUM";"InvEBITDA",#N/A,TRUE,"Net Cash Flow";"INV Annual CF",#N/A,TRUE,"Waterfall";"INV S&amp;U",#N/A,TRUE,"S&amp;U";"INV EV",#N/A,TRUE,"Total EV";"Inv Sr. Pref.",#N/A,TRUE,"Sr. Pref."}</definedName>
    <definedName name="wrn.Investment._.Committee." hidden="1">{"Venture Summary",#N/A,TRUE,"Annual CF";"Project Summary",#N/A,TRUE,"Annual CF";"Detailed Project Summary",#N/A,TRUE,"Annual CF";"Timeline - Quarterly",#N/A,TRUE,"Annual CF";"Development Budget",#N/A,TRUE,"Annual CF";"Project Cash Flow",#N/A,TRUE,"Annual CF";"Sales Proceeds",#N/A,TRUE,"Annual CF";"Construction Loan",#N/A,TRUE,"Annual CF";"Partnership Calculation",#N/A,TRUE,"Annual CF";"Phase I Summary",#N/A,TRUE,"Annual CF";"Phase I Dev budget",#N/A,TRUE,"Phase I CF";"Phase I Detailed Dev Budget",#N/A,TRUE,"Phase I DB";"Phase II Summary",#N/A,TRUE,"Phase II CF";"Phase II Dev Budget",#N/A,TRUE,"Phase II CF";"Phase II Detailed Dev Budget",#N/A,TRUE,"Phase II DB"}</definedName>
    <definedName name="wrn.Investment._.Review." hidden="1">{#N/A,#N/A,FALSE,"Proforma Five Yr";#N/A,#N/A,FALSE,"Capital Input";#N/A,#N/A,FALSE,"Calculations";#N/A,#N/A,FALSE,"Transaction Summary-DTW"}</definedName>
    <definedName name="wrn.Investment._.Schedule." hidden="1">{"detailed investment schedule",#N/A,FALSE,"detail investment sched"}</definedName>
    <definedName name="wrn.Investor._.Package." hidden="1">{#N/A,#N/A,FALSE,"Valuation";#N/A,#N/A,FALSE,"PeakChart";#N/A,#N/A,FALSE,"CashFlowSummary";#N/A,#N/A,FALSE,"RevenueAssumptions";#N/A,#N/A,FALSE,"InTractCstAssmp";#N/A,#N/A,FALSE,"LotTakedowns"}</definedName>
    <definedName name="wrn.Investor._.Terms." hidden="1">{"Term Sheet",#N/A,FALSE,"Term Sheet";"Value Summary",#N/A,FALSE,"Value Sum";"Debt Coverage",#N/A,FALSE,"Debt Coverage"}</definedName>
    <definedName name="wrn.Investors._.II." hidden="1">{#N/A,#N/A,FALSE,"Fund-II"}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RR." hidden="1">{"IRR Benefits",#N/A,FALSE,"IRR";"Tax Credits",#N/A,FALSE,"IRR"}</definedName>
    <definedName name="wrn.IRR._.CORP._.7." hidden="1">{"IRR",#N/A,FALSE,"Corp 7 IRR";"Input",#N/A,FALSE,"Corp 7 IRR"}</definedName>
    <definedName name="wrn.irving._.report." hidden="1">{#N/A,#N/A,FALSE,"Summary";#N/A,#N/A,FALSE,"Total Project Economics"}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TI_Rep." hidden="1">{#N/A,#N/A,FALSE,"Title Page";#N/A,#N/A,FALSE,"Summary Sheet";#N/A,#N/A,FALSE,"Fiscal Year Income Statement";#N/A,#N/A,FALSE,"Valuation Summary";#N/A,#N/A,FALSE,"Comps with IVT";#N/A,#N/A,FALSE,"Comps without IVT"}</definedName>
    <definedName name="wrn.jan._.98." hidden="1">{"sheet a",#N/A,FALSE,"A";"sheet b 1",#N/A,FALSE,"B";"sheet b 2",#N/A,FALSE,"B"}</definedName>
    <definedName name="wrn.Jan._.Forecast." hidden="1">{"Jan",#N/A,FALSE,"Manager Report"}</definedName>
    <definedName name="wrn.JM." hidden="1">{#N/A,#N/A,FALSE,"ExecSum";#N/A,#N/A,FALSE,"Budget";#N/A,#N/A,FALSE,"Summary1";#N/A,#N/A,FALSE,"CashFlow";#N/A,#N/A,FALSE,"Year1 Cash Flow";#N/A,#N/A,FALSE,"Carry";#N/A,#N/A,FALSE,"Page 3"}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._.Forecast." hidden="1">{"Jul",#N/A,FALSE,"Manager Report"}</definedName>
    <definedName name="wrn.July._.5." hidden="1">{#N/A,#N/A,TRUE,"Summary";#N/A,#N/A,TRUE,"Timeline";#N/A,#N/A,TRUE,"Cost Summary (uninflated)";#N/A,#N/A,TRUE,"Assumptions";#N/A,#N/A,TRUE,"Residential";#N/A,#N/A,TRUE,"Retail";#N/A,#N/A,TRUE,"Hotel";#N/A,#N/A,TRUE,"Office";#N/A,#N/A,TRUE,"Dev Expense Detail";#N/A,#N/A,TRUE,"Webster Hotel Model";#N/A,#N/A,TRUE,"Tax Credits";#N/A,#N/A,TRUE,"Garage"}</definedName>
    <definedName name="wrn.Jun._.Forecast." hidden="1">{"Jun",#N/A,FALSE,"Manager Report"}</definedName>
    <definedName name="wrn.JV." hidden="1">{"One",#N/A,FALSE,"JV"}</definedName>
    <definedName name="wrn.K." hidden="1">{#N/A,#N/A,FALSE,"K"}</definedName>
    <definedName name="wrn.Kenngb.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öln._.Model." hidden="1">{"Summary",#N/A,TRUE,"Model";"Discount Metrics",#N/A,TRUE,"Model";"Partnership Valuation Summary",#N/A,TRUE,"Model";"Sensitivity",#N/A,TRUE,"Model";"Cash Flows",#N/A,TRUE,"Model";"Partnership Equity Value",#N/A,TRUE,"Model";"Equity/DCF/Yield",#N/A,TRUE,"Model";"Distributions/Interest Leverage",#N/A,TRUE,"Model";"Splits",#N/A,TRUE,"Model";"Assumptions",#N/A,TRUE,"Model"}</definedName>
    <definedName name="wrn.Köln._.Model._1" hidden="1">{"Summary",#N/A,TRUE,"Model";"Discount Metrics",#N/A,TRUE,"Model";"Partnership Valuation Summary",#N/A,TRUE,"Model";"Sensitivity",#N/A,TRUE,"Model";"Cash Flows",#N/A,TRUE,"Model";"Partnership Equity Value",#N/A,TRUE,"Model";"Equity/DCF/Yield",#N/A,TRUE,"Model";"Distributions/Interest Leverage",#N/A,TRUE,"Model";"Splits",#N/A,TRUE,"Model";"Assumptions",#N/A,TRUE,"Model"}</definedName>
    <definedName name="wrn.Köln._.Model._2" hidden="1">{"Summary",#N/A,TRUE,"Model";"Discount Metrics",#N/A,TRUE,"Model";"Partnership Valuation Summary",#N/A,TRUE,"Model";"Sensitivity",#N/A,TRUE,"Model";"Cash Flows",#N/A,TRUE,"Model";"Partnership Equity Value",#N/A,TRUE,"Model";"Equity/DCF/Yield",#N/A,TRUE,"Model";"Distributions/Interest Leverage",#N/A,TRUE,"Model";"Splits",#N/A,TRUE,"Model";"Assumptions",#N/A,TRUE,"Model"}</definedName>
    <definedName name="wrn.Köln._.Model._3" hidden="1">{"Summary",#N/A,TRUE,"Model";"Discount Metrics",#N/A,TRUE,"Model";"Partnership Valuation Summary",#N/A,TRUE,"Model";"Sensitivity",#N/A,TRUE,"Model";"Cash Flows",#N/A,TRUE,"Model";"Partnership Equity Value",#N/A,TRUE,"Model";"Equity/DCF/Yield",#N/A,TRUE,"Model";"Distributions/Interest Leverage",#N/A,TRUE,"Model";"Splits",#N/A,TRUE,"Model";"Assumptions",#N/A,TRUE,"Model"}</definedName>
    <definedName name="wrn.Kontrolní._.rozpočet." hidden="1">{#N/A,#N/A,TRUE,"Krycí list"}</definedName>
    <definedName name="wrn.Kontrolní._.rozpoeet." hidden="1">{#N/A,#N/A,TRUE,"Krycí list"}</definedName>
    <definedName name="wrn.kpI." hidden="1">{#N/A,#N/A,FALSE,"Top page";#N/A,#N/A,FALSE,"Weekly KPI";#N/A,#N/A,FALSE,"Customer Count Growth";#N/A,#N/A,FALSE,"Customer Spending Growth";#N/A,#N/A,FALSE,"Sales Growth";#N/A,#N/A,FALSE,"Customer Spending";#N/A,#N/A,FALSE,"Credit Card % to Sales"}</definedName>
    <definedName name="wrn.Kuwait._.1." hidden="1">{#N/A,#N/A,FALSE,"Fund-I"}</definedName>
    <definedName name="wrn.Land._.Sale." hidden="1">{"Venture Summary",#N/A,FALSE,"Summary";"Development Budget",#N/A,FALSE,"Summary";"Development Proforma",#N/A,FALSE,"Dev PF";"Annual",#N/A,FALSE,"Annual"}</definedName>
    <definedName name="wrn.Land._.Takedown._.Summary." hidden="1">{"land1",#N/A,FALSE,"Land";"land2",#N/A,FALSE,"Land";"land3",#N/A,FALSE,"Land"}</definedName>
    <definedName name="wrn.Latent._.Demand._.Inputs." hidden="1">{#N/A,#N/A,FALSE,"Latent"}</definedName>
    <definedName name="wrn.LBO." hidden="1">{#N/A,#N/A,FALSE,"Cov";#N/A,#N/A,FALSE,"sum";#N/A,#N/A,FALSE,"baladj";#N/A,#N/A,FALSE,"bs";#N/A,#N/A,FALSE,"is";#N/A,#N/A,FALSE,"pis";#N/A,#N/A,FALSE,"cf";#N/A,#N/A,FALSE,"balhist";#N/A,#N/A,FALSE,"wc";#N/A,#N/A,FALSE,"ltd";#N/A,#N/A,FALSE,"cover";#N/A,#N/A,FALSE,"fa";#N/A,#N/A,FALSE,"tax";#N/A,#N/A,FALSE,"irr";#N/A,#N/A,FALSE,"in"}</definedName>
    <definedName name="wrn.LBO._.Summary." hidden="1">{"LBO Summary",#N/A,FALSE,"Summary"}</definedName>
    <definedName name="wrn.Lease._.Rollover." hidden="1">{#N/A,#N/A,FALSE,"Lease Rollover"}</definedName>
    <definedName name="wrn.Leases." hidden="1">{#N/A,#N/A,FALSE,"Leases"}</definedName>
    <definedName name="wrn.Leasing._.Variance." localSheetId="0" hidden="1">{#N/A,#N/A,FALSE,"Leasing 6A"}</definedName>
    <definedName name="wrn.Leasing._.Variance." hidden="1">{#N/A,#N/A,FALSE,"Leasing 6A"}</definedName>
    <definedName name="wrn.Leasing._.Variance._1" hidden="1">{#N/A,#N/A,FALSE,"Leasing 6A"}</definedName>
    <definedName name="wrn.Leasing._.Variance._2" hidden="1">{#N/A,#N/A,FALSE,"Leasing 6A"}</definedName>
    <definedName name="wrn.Leasing._.Variance._3" hidden="1">{#N/A,#N/A,FALSE,"Leasing 6A"}</definedName>
    <definedName name="wrn.Leasing._.Variance._4" hidden="1">{#N/A,#N/A,FALSE,"Leasing 6A"}</definedName>
    <definedName name="wrn.LeasingResults." hidden="1">{#N/A,#N/A,FALSE,"Retention";#N/A,#N/A,FALSE,"ZL Roll";#N/A,#N/A,FALSE,"FC Roll";#N/A,#N/A,FALSE,"zmlConsildated";#N/A,#N/A,FALSE,"ZM ROll SbyS";#N/A,#N/A,FALSE,"ZL";#N/A,#N/A,FALSE,"FCOccy";#N/A,#N/A,FALSE,"ZM123";#N/A,#N/A,FALSE,"portfolio"}</definedName>
    <definedName name="wrn.Legal._.Sized._.Internal." hidden="1">{"Legal Internal",#N/A,FALSE,"Cash Flow Proforma";#N/A,#N/A,FALSE,"Scenario Variable Cells";"Legal",#N/A,FALSE,"Proforma Assumptions";"Legal",#N/A,FALSE,"Rolling Option Sales";"Legal",#N/A,FALSE,"Bulk Pad and Finished Sales"}</definedName>
    <definedName name="wrn.LETTERED.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ichtin._.Summary." hidden="1">{"Summary for Lichtin",#N/A,FALSE,"Value Summary"}</definedName>
    <definedName name="wrn.Lichtin._.Summary._1" hidden="1">{"Summary for Lichtin",#N/A,FALSE,"Value Summary"}</definedName>
    <definedName name="wrn.Lichtin._.Summary._2" hidden="1">{"Summary for Lichtin",#N/A,FALSE,"Value Summary"}</definedName>
    <definedName name="wrn.Lichtin._.Summary._3" hidden="1">{"Summary for Lichtin",#N/A,FALSE,"Value Summary"}</definedName>
    <definedName name="wrn.Line._.Item._.Summary." hidden="1">{#N/A,#N/A,FALSE,"Line Item Summ."}</definedName>
    <definedName name="wrn.lnsum" hidden="1">{"Loan Summary",#N/A,FALSE,"Phase 1 loan &amp; data"}</definedName>
    <definedName name="wrn.Loan._.Pricing._.Analysis." hidden="1">{#N/A,#N/A,FALSE,"LOAN ANALYSIS"}</definedName>
    <definedName name="wrn.Loan._.Summary." hidden="1">{"Loan Summary",#N/A,FALSE,"Phase 1 loan &amp; data"}</definedName>
    <definedName name="wrn.LoanInformation." localSheetId="0" hidden="1">{#N/A,#N/A,FALSE,"LoanAssumptions"}</definedName>
    <definedName name="wrn.LoanInformation." hidden="1">{#N/A,#N/A,FALSE,"LoanAssumptions"}</definedName>
    <definedName name="wrn.LoanInformation._1" hidden="1">{#N/A,#N/A,FALSE,"LoanAssumptions"}</definedName>
    <definedName name="wrn.LoanInformation._2" hidden="1">{#N/A,#N/A,FALSE,"LoanAssumptions"}</definedName>
    <definedName name="wrn.LoanInformation._3" hidden="1">{#N/A,#N/A,FALSE,"LoanAssumptions"}</definedName>
    <definedName name="wrn.LoanInformation._4" hidden="1">{#N/A,#N/A,FALSE,"LoanAssumptions"}</definedName>
    <definedName name="wrn.Loanrecap." hidden="1">{"Loanrecap",#N/A,FALSE,"Construction"}</definedName>
    <definedName name="wrn.Lodging." hidden="1">{#N/A,#N/A,FALSE,"EPS";#N/A,#N/A,FALSE,"EBITDA"}</definedName>
    <definedName name="wrn.Logo._.Exchange._.and._.Overview." hidden="1">{"Logo",#N/A,FALSE,"Logo";"Exchange",#N/A,FALSE,"Logo";#N/A,#N/A,FALSE,"overview"}</definedName>
    <definedName name="wrn.Long._.Ridge." hidden="1">{"Long Ridge Summary",#N/A,FALSE,"Long Ridge Summary";"Long Ridge Sensitivity",#N/A,FALSE,"Long Ridge Summary";"Long Ridge Partnership Valuation",#N/A,FALSE,"Long Ridge Summary";"Long Ridge Cash Flow",#N/A,FALSE,"Long Ridge Summary";"Long Ridge Partnership Equity Value",#N/A,FALSE,"Long Ridge Summary";"Long Ridge Distributions",#N/A,FALSE,"Long Ridge Summary";"Long Ridge Assumptions",#N/A,FALSE,"Long Ridge Summary"}</definedName>
    <definedName name="wrn.Lot._.Inventory." hidden="1">{"lot inventory",#N/A,FALSE,"Lot List"}</definedName>
    <definedName name="wrn.Lot._.Summary." hidden="1">{"Lot Prices",#N/A,FALSE,"LOTS-PRICING";"lot1",#N/A,FALSE,"Lots";"lot2",#N/A,FALSE,"Lots";"Lot3",#N/A,FALSE,"Lots";"lot4",#N/A,FALSE,"Lots";"lot5",#N/A,FALSE,"Lots";"lot6",#N/A,FALSE,"Lots";"lot7",#N/A,FALSE,"Lots";"lot8",#N/A,FALSE,"Lots";"lot9",#N/A,FALSE,"Lots";"lot10",#N/A,FALSE,"Lots";"lot11",#N/A,FALSE,"Lots";"lot12",#N/A,FALSE,"Lots"}</definedName>
    <definedName name="wrn.Ltd._.Service._.Budget." hidden="1">{#N/A,#N/A,FALSE,"PropInfo";#N/A,#N/A,FALSE,"Summary";#N/A,#N/A,FALSE,"Comparitive";#N/A,#N/A,FALSE,"RevSummary";#N/A,#N/A,FALSE,"Rooms";#N/A,#N/A,FALSE,"PBX";#N/A,#N/A,FALSE,"Rents&amp;Other";#N/A,#N/A,FALSE,"A&amp;G";#N/A,#N/A,FALSE,"A&amp;P";#N/A,#N/A,FALSE,"Comp";#N/A,#N/A,FALSE,"R&amp;M";#N/A,#N/A,FALSE,"Energy";#N/A,#N/A,FALSE,"Capital";#N/A,#N/A,FALSE,"Laundry";#N/A,#N/A,FALSE,"PTEB";#N/A,#N/A,FALSE,"Rent Calc"}</definedName>
    <definedName name="wrn.ltrd.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TV._.Output." hidden="1">{"LTV Output",#N/A,FALSE,"Output"}</definedName>
    <definedName name="wrn.Main._.CBO._.Report." hidden="1">{"LIBOR",#N/A,TRUE,"Model";"Caps",#N/A,TRUE,"Model";"Assets",#N/A,TRUE,"Model";"Liabilities",#N/A,TRUE,"Model";"Tests",#N/A,TRUE,"Model";"Results",#N/A,TRUE,"Model"}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Package." hidden="1">{#N/A,#N/A,FALSE,"Title";#N/A,#N/A,FALSE,"Summary";#N/A,#N/A,FALSE,"Tower V";#N/A,#N/A,FALSE,"Steeles Phase I";#N/A,#N/A,FALSE,"IBM - Bldg A";#N/A,#N/A,FALSE,"IBM - Bldg B";#N/A,#N/A,FALSE,"YVR Lands";#N/A,#N/A,FALSE,"Delf Project";#N/A,#N/A,FALSE,"Maycrest";#N/A,#N/A,FALSE,"Guildford Bldg 1";#N/A,#N/A,FALSE,"Guildford Bldg 2";#N/A,#N/A,FALSE,"Guildford Bldg 3";#N/A,#N/A,FALSE,"Summit Ridge";#N/A,#N/A,FALSE,"Millennium G";#N/A,#N/A,FALSE,"Virginia Phase I (CB)";#N/A,#N/A,FALSE,"Ballard";#N/A,#N/A,FALSE,"Westlake"}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" hidden="1">{#N/A,#N/A,FALSE,"Title Page - Mgmt";#N/A,#N/A,FALSE,"Index - Mgmt";#N/A,#N/A,FALSE,"Stmt of Income";#N/A,#N/A,FALSE,"Balance Sheet";#N/A,#N/A,FALSE,"Stmt of Retained Earnings";#N/A,#N/A,FALSE,"Total Cash Flow";#N/A,#N/A,FALSE,"S.C.F.P.";#N/A,#N/A,FALSE,"Budget to Actual";#N/A,#N/A,FALSE,"Appraisal surplus";#N/A,#N/A,FALSE,"FMV";#N/A,#N/A,FALSE,"Ratios";#N/A,#N/A,FALSE,"Properties";#N/A,#N/A,FALSE,"Secured Debt";#N/A,#N/A,FALSE,"Bank Operating Lines";#N/A,#N/A,FALSE,"Share Capital";#N/A,#N/A,FALSE,"Rental Operating Results";#N/A,#N/A,FALSE,"G. &amp;  A.(1)";#N/A,#N/A,FALSE,"G. &amp;  A. (2)";#N/A,#N/A,FALSE,"INT";#N/A,#N/A,FALSE,"Other Inc";#N/A,#N/A,FALSE,"Property Sales";#N/A,#N/A,FALSE,"Accounts receivable ";#N/A,#N/A,FALSE,"Accounts payable";#N/A,#N/A,FALSE,"Other assets";#N/A,#N/A,FALSE,"Budget Analysis"}</definedName>
    <definedName name="wrn.Management._.Report." hidden="1">{#N/A,#N/A,FALSE,"Title - Management";#N/A,#N/A,FALSE,"Schedule 1a";#N/A,#N/A,FALSE,"Schedule 2 - 2001";#N/A,#N/A,FALSE,"Schedule 2 - 2002";#N/A,#N/A,FALSE,"Schedule 2 - 2003";#N/A,#N/A,FALSE,"Schedule 3 - Mgnt ";#N/A,#N/A,FALSE,"Schedule 3";#N/A,#N/A,FALSE,"Schedule 4";#N/A,#N/A,FALSE,"Schedule 4a - Mgnt";#N/A,#N/A,FALSE,"Schedule 5";#N/A,#N/A,FALSE,"Schedule 5a";#N/A,#N/A,FALSE,"Schedule 6";#N/A,#N/A,FALSE,"Schedule 6a";#N/A,#N/A,FALSE,"Schedule 6b";#N/A,#N/A,FALSE,"Schedule 6c";#N/A,#N/A,FALSE,"Schedule 6d";#N/A,#N/A,FALSE,"Schedule 6e";#N/A,#N/A,FALSE,"Schedule 7";#N/A,#N/A,FALSE,"Schedule 8";#N/A,#N/A,FALSE,"Schedule 9- Mgnt";#N/A,#N/A,FALSE,"Schedule 10 - Mgmt Fees - Mgnt";#N/A,#N/A,FALSE,"Schedule 10- Leasing Fees- Mgnt";#N/A,#N/A,FALSE,"Schedule 10 - Devel Fees- Mgnt"}</definedName>
    <definedName name="wrn.March._.Report." hidden="1">{"Mar",#N/A,FALSE,"Manager Report"}</definedName>
    <definedName name="wrn.market." hidden="1">{#N/A,#N/A,FALSE,"SUBMKT";#N/A,#N/A,FALSE,"MARKET";#N/A,#N/A,FALSE,"VACANCY";#N/A,#N/A,FALSE,"ABSORB";#N/A,#N/A,FALSE,"SUBLEASE";#N/A,#N/A,FALSE,"CONSTRCT"}</definedName>
    <definedName name="wrn.Market._.Review._.File." hidden="1">{"Venture Sum Large Print",#N/A,FALSE,"Mkt Summary";"Development Budget",#N/A,FALSE,"Mkt Summary";"Operating Assumptions",#N/A,FALSE,"Mkt Summary";"Financing Summary",#N/A,FALSE,"Mkt Summary";"Rent Growth Assumptions",#N/A,FALSE,"Mkt Summary";"Mkt Rent Detail",#N/A,FALSE,"Mkt Rent&amp;Exp";"Mkt Expense Detail",#N/A,FALSE,"Mkt Rent&amp;Exp";"Mkt DevPF Landscape",#N/A,FALSE,"Mkt DevPF";"Mkt Annual",#N/A,FALSE,"Mkt Annual"}</definedName>
    <definedName name="wrn.Market._.Values." localSheetId="0" hidden="1">{#N/A,#N/A,TRUE,"10 Yr Hold";#N/A,#N/A,TRUE,"7 Yr Hold";#N/A,#N/A,TRUE,"5 Yr Hold";#N/A,#N/A,TRUE,"3 Yr Hold"}</definedName>
    <definedName name="wrn.Market._.Values." hidden="1">{#N/A,#N/A,TRUE,"10 Yr Hold";#N/A,#N/A,TRUE,"7 Yr Hold";#N/A,#N/A,TRUE,"5 Yr Hold";#N/A,#N/A,TRUE,"3 Yr Hold"}</definedName>
    <definedName name="wrn.Market._.Values._1" hidden="1">{#N/A,#N/A,TRUE,"10 Yr Hold";#N/A,#N/A,TRUE,"7 Yr Hold";#N/A,#N/A,TRUE,"5 Yr Hold";#N/A,#N/A,TRUE,"3 Yr Hold"}</definedName>
    <definedName name="wrn.Market._.Values._2" hidden="1">{#N/A,#N/A,TRUE,"10 Yr Hold";#N/A,#N/A,TRUE,"7 Yr Hold";#N/A,#N/A,TRUE,"5 Yr Hold";#N/A,#N/A,TRUE,"3 Yr Hold"}</definedName>
    <definedName name="wrn.Market._.Values._3" hidden="1">{#N/A,#N/A,TRUE,"10 Yr Hold";#N/A,#N/A,TRUE,"7 Yr Hold";#N/A,#N/A,TRUE,"5 Yr Hold";#N/A,#N/A,TRUE,"3 Yr Hold"}</definedName>
    <definedName name="wrn.Market._.Values._4" hidden="1">{#N/A,#N/A,TRUE,"10 Yr Hold";#N/A,#N/A,TRUE,"7 Yr Hold";#N/A,#N/A,TRUE,"5 Yr Hold";#N/A,#N/A,TRUE,"3 Yr Hold"}</definedName>
    <definedName name="wrn.Marketing." localSheetId="0" hidden="1">{#N/A,#N/A,FALSE,"2Assumptions";#N/A,#N/A,FALSE,"3Cash Flow";#N/A,#N/A,FALSE,"I&amp;E";#N/A,#N/A,FALSE,"I&amp;E (2)";#N/A,#N/A,FALSE,"10Vacancy Matrix";#N/A,#N/A,FALSE,"11Expiration Schedule"}</definedName>
    <definedName name="wrn.Marketing." hidden="1">{#N/A,#N/A,FALSE,"2Assumptions";#N/A,#N/A,FALSE,"3Cash Flow";#N/A,#N/A,FALSE,"I&amp;E";#N/A,#N/A,FALSE,"I&amp;E (2)";#N/A,#N/A,FALSE,"10Vacancy Matrix";#N/A,#N/A,FALSE,"11Expiration Schedule"}</definedName>
    <definedName name="wrn.Marketing._1" hidden="1">{#N/A,#N/A,FALSE,"2Assumptions";#N/A,#N/A,FALSE,"3Cash Flow";#N/A,#N/A,FALSE,"I&amp;E";#N/A,#N/A,FALSE,"I&amp;E (2)";#N/A,#N/A,FALSE,"10Vacancy Matrix";#N/A,#N/A,FALSE,"11Expiration Schedule"}</definedName>
    <definedName name="wrn.Marketing._2" hidden="1">{#N/A,#N/A,FALSE,"2Assumptions";#N/A,#N/A,FALSE,"3Cash Flow";#N/A,#N/A,FALSE,"I&amp;E";#N/A,#N/A,FALSE,"I&amp;E (2)";#N/A,#N/A,FALSE,"10Vacancy Matrix";#N/A,#N/A,FALSE,"11Expiration Schedule"}</definedName>
    <definedName name="wrn.Marketing._3" hidden="1">{#N/A,#N/A,FALSE,"2Assumptions";#N/A,#N/A,FALSE,"3Cash Flow";#N/A,#N/A,FALSE,"I&amp;E";#N/A,#N/A,FALSE,"I&amp;E (2)";#N/A,#N/A,FALSE,"10Vacancy Matrix";#N/A,#N/A,FALSE,"11Expiration Schedule"}</definedName>
    <definedName name="wrn.Marketing._4" hidden="1">{#N/A,#N/A,FALSE,"2Assumptions";#N/A,#N/A,FALSE,"3Cash Flow";#N/A,#N/A,FALSE,"I&amp;E";#N/A,#N/A,FALSE,"I&amp;E (2)";#N/A,#N/A,FALSE,"10Vacancy Matrix";#N/A,#N/A,FALSE,"11Expiration Schedule"}</definedName>
    <definedName name="wrn.Master." hidden="1">{#N/A,#N/A,FALSE,"Master Summary 1";#N/A,#N/A,FALSE,"245 Park-Rem. Obl.";#N/A,#N/A,FALSE,"245 Park-N, Lse";#N/A,#N/A,FALSE,"245 Park-N, Lse (2)";#N/A,#N/A,FALSE,"245 Park- SL";#N/A,#N/A,FALSE,"250 Park";#N/A,#N/A,FALSE,"1285 6th";#N/A,#N/A,FALSE,"101 Park";#N/A,#N/A,FALSE,"Sublease Commission"}</definedName>
    <definedName name="wrn.MATRICES._.and._.CFs.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IES._.ONLY." hidden="1">{#N/A,#N/A,FALSE,"matx B4 DS";#N/A,#N/A,FALSE,"matx B4 DS Hac";#N/A,#N/A,FALSE,"matx B4 DS Chabot";#N/A,#N/A,FALSE,"matx B4 DS Diablo"}</definedName>
    <definedName name="wrn.May._.Forecast." hidden="1">{"May",#N/A,FALSE,"Manager Report"}</definedName>
    <definedName name="wrn.May._.Strategic._.Update." hidden="1">{#N/A,#N/A,FALSE,"Part A - Strategy";#N/A,#N/A,FALSE,"A.1 Vision - Trends";#N/A,#N/A,FALSE,"A.2 Vision - Strategies";#N/A,#N/A,FALSE,"A.3 Fin. Targets (Prelim.)";#N/A,#N/A,FALSE,"A.4 Competition";#N/A,#N/A,FALSE,"A.5 Geographic Segments"}</definedName>
    <definedName name="wrn.MCCRK." hidden="1">{#N/A,#N/A,FALSE,"MCCRK"}</definedName>
    <definedName name="wrn.merge.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ezz._.Package." hidden="1">{#N/A,#N/A,FALSE,"CashFlowSummary";#N/A,#N/A,FALSE,"InvestorSummary";#N/A,#N/A,FALSE,"RevenueAssumptions";#N/A,#N/A,FALSE,"MasterCostAssmp";#N/A,#N/A,FALSE,"InTractCstAssmp";#N/A,#N/A,FALSE,"LotTakedowns"}</definedName>
    <definedName name="wrn.MFJVO._.and._.Summary._.Inputs._.Only." hidden="1">{#N/A,#N/A,FALSE,"Summary";#N/A,#N/A,FALSE,"General Inputs &amp; Assumptions";"Franchise Inputs",#N/A,FALSE,"Franchise";"Managed Inputs a",#N/A,FALSE,"Managed";"JV Inputs",#N/A,FALSE,"JV";"Owned Inputs",#N/A,FALSE,"Owned"}</definedName>
    <definedName name="wrn.Mgnt._.Report._.for._.Net._.Income._.adjustment." hidden="1">{"SITQ view of BCLP 4 months income statement",#N/A,TRUE,"BCLP 4 MO IS";#N/A,#N/A,TRUE,"Comparison to March Fcst";#N/A,#N/A,TRUE,"BCLP Forecast";"Mgnt view of BCLP 4 month income statement",#N/A,TRUE,"BCLP 4 MO IS";#N/A,#N/A,TRUE,"Closing Adjustments";#N/A,#N/A,TRUE,"Accounting entry"}</definedName>
    <definedName name="wrn.minrenn" hidden="1">{"MINRENT2",#N/A,FALSE,"SCHEDULE B"}</definedName>
    <definedName name="wrn.MINRENT." hidden="1">{"MINRENT2",#N/A,FALSE,"SCHEDULE B"}</definedName>
    <definedName name="wrn.minrent.2" hidden="1">{"MINRENT2",#N/A,FALSE,"SCHEDULE B"}</definedName>
    <definedName name="wrn.mirBellagio." hidden="1">{#N/A,#N/A,FALSE,"MIR";#N/A,#N/A,FALSE,"NYNY"}</definedName>
    <definedName name="wrn.MIRELF._.III." hidden="1">{"Summary",#N/A,TRUE,"Summary";"Sensitivity",#N/A,TRUE,"Summary";"Partnership Value",#N/A,TRUE,"Summary";"Cash Flows",#N/A,TRUE,"Summary";"Partnership Equity Value",#N/A,TRUE,"Summary";"Waterfall",#N/A,TRUE,"Summary";"MIR Fund Structure",#N/A,TRUE,"Summary";"Assumptions",#N/A,TRUE,"Summary"}</definedName>
    <definedName name="wrn.MIRELF._.III._1" hidden="1">{"Summary",#N/A,TRUE,"Summary";"Sensitivity",#N/A,TRUE,"Summary";"Partnership Value",#N/A,TRUE,"Summary";"Cash Flows",#N/A,TRUE,"Summary";"Partnership Equity Value",#N/A,TRUE,"Summary";"Waterfall",#N/A,TRUE,"Summary";"MIR Fund Structure",#N/A,TRUE,"Summary";"Assumptions",#N/A,TRUE,"Summary"}</definedName>
    <definedName name="wrn.MIRELF._.III._2" hidden="1">{"Summary",#N/A,TRUE,"Summary";"Sensitivity",#N/A,TRUE,"Summary";"Partnership Value",#N/A,TRUE,"Summary";"Cash Flows",#N/A,TRUE,"Summary";"Partnership Equity Value",#N/A,TRUE,"Summary";"Waterfall",#N/A,TRUE,"Summary";"MIR Fund Structure",#N/A,TRUE,"Summary";"Assumptions",#N/A,TRUE,"Summary"}</definedName>
    <definedName name="wrn.MIRELF._.III._3" hidden="1">{"Summary",#N/A,TRUE,"Summary";"Sensitivity",#N/A,TRUE,"Summary";"Partnership Value",#N/A,TRUE,"Summary";"Cash Flows",#N/A,TRUE,"Summary";"Partnership Equity Value",#N/A,TRUE,"Summary";"Waterfall",#N/A,TRUE,"Summary";"MIR Fund Structure",#N/A,TRUE,"Summary";"Assumptions",#N/A,TRUE,"Summary"}</definedName>
    <definedName name="wrn.misc." hidden="1">{#N/A,#N/A,FALSE,"Sheet10"}</definedName>
    <definedName name="wrn.mkting" hidden="1">{#N/A,#N/A,FALSE,"MARKETING I";#N/A,#N/A,FALSE,"MARKETING II";#N/A,#N/A,FALSE,"MARKETING III"}</definedName>
    <definedName name="wrn.MODEL.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._.Print." hidden="1">{"Summary",#N/A,TRUE,"Summary";"Sensitivity",#N/A,TRUE,"Summary";"Partnership Value",#N/A,TRUE,"Summary";"Cash Flows",#N/A,TRUE,"Summary";"Partnership Equity Value",#N/A,TRUE,"Summary";"Waterfall",#N/A,TRUE,"Summary";"MIR Fund Structure",#N/A,TRUE,"Summary";"Assumptions",#N/A,TRUE,"Summary";"Argus Assumptions",#N/A,TRUE,"Summary"}</definedName>
    <definedName name="wrn.MODEL._.PRINT._.ALL." hidden="1">{"Summary1",#N/A,FALSE,"Summary";"Program",#N/A,FALSE,"Summary";"SumCF 2",#N/A,FALSE,"Summary";"VentureMonthlyCF",#N/A,FALSE,"Summary";"VentureMonthlyCF2",#N/A,FALSE,"Summary";"VentureMonthyCF3",#N/A,FALSE,"Summary";"ResSum 1",#N/A,FALSE,"Summary";"ResCF 1",#N/A,FALSE,"Summary";"ResMonthlyCF1",#N/A,FALSE,"Residential";"ResMonthlyCF2",#N/A,FALSE,"Residential";"DSSum1",#N/A,FALSE,"Delaware St.";"DSSum2",#N/A,FALSE,"Summary";"DSMonthlyCF1",#N/A,FALSE,"Summary";"DSMonthlyCF2",#N/A,FALSE,"Summary";"DSMonthlyCF3",#N/A,FALSE,"Summary";"DSDebt",#N/A,FALSE,"Summary";"DS Sales",#N/A,FALSE,"Summary";"OffSum1",#N/A,FALSE,"Summary";"OffSumCF",#N/A,FALSE,"Summary";"Land Dev Budget 1",#N/A,FALSE,"Summary";"Land Dev Budget 2",#N/A,FALSE,"Summary";"InfCF",#N/A,FALSE,"Summary";"Inf1",#N/A,FALSE,"Summary";"Inf2",#N/A,FALSE,"Summary";"Inf3",#N/A,FALSE,"Summary";"BMR",#N/A,FALSE,"Summary";"Timeline",#N/A,FALSE,"Summary"}</definedName>
    <definedName name="wrn.model2." hidden="1">{"Investor",#N/A,FALSE,"Model";"Property",#N/A,FALSE,"Model";"Incentive Taxes",#N/A,FALSE,"Model"}</definedName>
    <definedName name="wrn.MODEL5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lster._.Print." hidden="1">{"Venture Summary",#N/A,FALSE,"Summary";"Development Budget",#N/A,FALSE,"Summary";"Annual",#N/A,FALSE,"Annual"}</definedName>
    <definedName name="wrn.Monthly." hidden="1">{"MONTHLY",#N/A,FALSE,"Pro Forma";"MONTHLY",#N/A,FALSE,"Equity"}</definedName>
    <definedName name="wrn.Monthly._.Detail._.Reports." hidden="1">{"Detail Project Cash Flow",#N/A,TRUE,"Cash Flow Grid";"Financing Calculation",#N/A,TRUE,"Cash Flow Grid"}</definedName>
    <definedName name="wrn.monthly._.financial." localSheetId="0" hidden="1">{#N/A,#N/A,FALSE,"SUMMARY 4a";#N/A,#N/A,FALSE,"GBA 4b";#N/A,#N/A,FALSE,"TENANT 4c";#N/A,#N/A,FALSE,"BUDGET DETAIL";#N/A,#N/A,FALSE,"PRO FORMA"}</definedName>
    <definedName name="wrn.monthly._.financial." hidden="1">{#N/A,#N/A,FALSE,"SUMMARY 4a";#N/A,#N/A,FALSE,"GBA 4b";#N/A,#N/A,FALSE,"TENANT 4c";#N/A,#N/A,FALSE,"BUDGET DETAIL";#N/A,#N/A,FALSE,"PRO FORMA"}</definedName>
    <definedName name="wrn.monthly._.financial._1" hidden="1">{#N/A,#N/A,FALSE,"SUMMARY 4a";#N/A,#N/A,FALSE,"GBA 4b";#N/A,#N/A,FALSE,"TENANT 4c";#N/A,#N/A,FALSE,"BUDGET DETAIL";#N/A,#N/A,FALSE,"PRO FORMA"}</definedName>
    <definedName name="wrn.monthly._.financial._2" hidden="1">{#N/A,#N/A,FALSE,"SUMMARY 4a";#N/A,#N/A,FALSE,"GBA 4b";#N/A,#N/A,FALSE,"TENANT 4c";#N/A,#N/A,FALSE,"BUDGET DETAIL";#N/A,#N/A,FALSE,"PRO FORMA"}</definedName>
    <definedName name="wrn.monthly._.financial._3" hidden="1">{#N/A,#N/A,FALSE,"SUMMARY 4a";#N/A,#N/A,FALSE,"GBA 4b";#N/A,#N/A,FALSE,"TENANT 4c";#N/A,#N/A,FALSE,"BUDGET DETAIL";#N/A,#N/A,FALSE,"PRO FORMA"}</definedName>
    <definedName name="wrn.monthly._.financial._4" hidden="1">{#N/A,#N/A,FALSE,"SUMMARY 4a";#N/A,#N/A,FALSE,"GBA 4b";#N/A,#N/A,FALSE,"TENANT 4c";#N/A,#N/A,FALSE,"BUDGET DETAIL";#N/A,#N/A,FALSE,"PRO FORMA"}</definedName>
    <definedName name="wrn.Monthly._.Fund." hidden="1">{#N/A,#N/A,FALSE,"Monthly Fund"}</definedName>
    <definedName name="wrn.Monthly._.Report." hidden="1">{"pro forma monthly",#N/A,FALSE,"Pro Forma";"equity monthly",#N/A,FALSE,"Equity";"TCC monthly",#N/A,FALSE,"TCC"}</definedName>
    <definedName name="wrn.MonthlyRentRoll." localSheetId="0" hidden="1">{"MonthlyRentRoll",#N/A,FALSE,"RentRoll"}</definedName>
    <definedName name="wrn.MonthlyRentRoll." hidden="1">{"MonthlyRentRoll",#N/A,FALSE,"RentRoll"}</definedName>
    <definedName name="wrn.MonthlyRentRoll._1" hidden="1">{"MonthlyRentRoll",#N/A,FALSE,"RentRoll"}</definedName>
    <definedName name="wrn.MonthlyRentRoll._2" hidden="1">{"MonthlyRentRoll",#N/A,FALSE,"RentRoll"}</definedName>
    <definedName name="wrn.MonthlyRentRoll._3" hidden="1">{"MonthlyRentRoll",#N/A,FALSE,"RentRoll"}</definedName>
    <definedName name="wrn.MonthlyRentRoll._4" hidden="1">{"MonthlyRentRoll",#N/A,FALSE,"RentRoll"}</definedName>
    <definedName name="wrn.Months._.98._.to._.01." hidden="1">{"98",#N/A,FALSE,"Month";"99",#N/A,FALSE,"Month";"00",#N/A,FALSE,"Month";"01",#N/A,FALSE,"Month"}</definedName>
    <definedName name="wrn.Mortgage._.Loan._.Sch." hidden="1">{#N/A,#N/A,FALSE,"Mortgage Loan Sch"}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etbacks." hidden="1">{"Netbacks",#N/A,FALSE,"Netbacks"}</definedName>
    <definedName name="wrn.New_Business." hidden="1">{"One",#N/A,FALSE,"New Business"}</definedName>
    <definedName name="wrn.new." hidden="1">{#N/A,#N/A,FALSE,"Impl";#N/A,#N/A,FALSE,"sum";#N/A,#N/A,FALSE,"cat";#N/A,#N/A,FALSE,"cum";#N/A,#N/A,FALSE,"varity";#N/A,#N/A,FALSE,"ddc";#N/A,#N/A,FALSE,"man";#N/A,#N/A,FALSE,"metra";#N/A,#N/A,FALSE,"volvo"}</definedName>
    <definedName name="wrn.New._.Forms." hidden="1">{#N/A,#N/A,FALSE,"ATF TYPA";#N/A,#N/A,FALSE,"COMP SS100";#N/A,#N/A,FALSE,"D HDX 40N";#N/A,#N/A,FALSE,"DXL 40";#N/A,#N/A,FALSE,"D XL 50 EXP";#N/A,#N/A,FALSE,"D SP 15W40";#N/A,#N/A,FALSE,"ECO 40N";#N/A,#N/A,FALSE,"GO 140GL-1";#N/A,#N/A,FALSE,"EPHD GO 68";#N/A,#N/A,FALSE,"EPHD GO460";#N/A,#N/A,FALSE,"HYD AW 32";#N/A,#N/A,FALSE,"HYD AW46";#N/A,#N/A,FALSE,"HYD ZP46";#N/A,#N/A,FALSE,"HYD ZP68";#N/A,#N/A,FALSE,"MO 40N";#N/A,#N/A,FALSE,"MO 50";#N/A,#N/A,FALSE,"MT SUP.20W50N";#N/A,#N/A,FALSE,"MT S 20W50(Tender)N";#N/A,#N/A,FALSE,"MULTIGRADE MO";#N/A,#N/A,FALSE,"PERF OIL 78";#N/A,#N/A,FALSE,"PR.MO.40";#N/A,#N/A,FALSE,"P.GEAR GL-3";#N/A,#N/A,FALSE,"SD OIL 40N";#N/A,#N/A,FALSE,"SD OIL HT 40N";#N/A,#N/A,FALSE,"S.D.ADV15W40";#N/A,#N/A,FALSE,"S.D.ADV 15W40 JOR";#N/A,#N/A,FALSE,"S GEAR 90 GL4N";#N/A,#N/A,FALSE,"S GEAR ZX 90";#N/A,#N/A,FALSE,"S GEAR ZX 140";#N/A,#N/A,FALSE,"S GEAR ZX 140N";#N/A,#N/A,FALSE,"SMO 20W50N";#N/A,#N/A,FALSE,"S OB TCW3";#N/A,#N/A,FALSE,"THERM Z32";#N/A,#N/A,FALSE,"T OIL 68";#N/A,#N/A,FALSE,"U UHP 15W40N";#N/A,#N/A,FALSE,"L ATF TX-2"}</definedName>
    <definedName name="wrn.New._.Report." hidden="1">{"Summary",#N/A,TRUE,"Fund";"Sensitivity",#N/A,TRUE,"Fund";"Gelsenkirchen Asset",#N/A,TRUE,"Fund";"Langenfeld Asset",#N/A,TRUE,"Fund";"Value",#N/A,TRUE,"Fund";"Cash Flow",#N/A,TRUE,"Fund";"NCF",#N/A,TRUE,"Fund";"DCF &amp; Yield",#N/A,TRUE,"Fund";"Waterfall",#N/A,TRUE,"Fund";"MILF Structure",#N/A,TRUE,"Fund";"Assumptions",#N/A,TRUE,"Fund"}</definedName>
    <definedName name="wrn.New._.Summary." hidden="1">{"Summary Page 1",#N/A,TRUE,"Annual";"Summary Page 2",#N/A,TRUE,"Annual";"Annual Page 1",#N/A,TRUE,"Annual"}</definedName>
    <definedName name="wrn.newdcf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est." hidden="1">{#N/A,#N/A,TRUE,"TS";#N/A,#N/A,TRUE,"Combo";#N/A,#N/A,TRUE,"FAIR";#N/A,#N/A,TRUE,"RBC";#N/A,#N/A,TRUE,"xxxx"}</definedName>
    <definedName name="wrn.newoutput" hidden="1">{"DCF","UPSIDE CASE",FALSE,"Sheet1";"DCF","BASE CASE",FALSE,"Sheet1";"DCF","DOWNSIDE CASE",FALSE,"Sheet1"}</definedName>
    <definedName name="wrn.North._.America." hidden="1">{#N/A,#N/A,FALSE,"NA All";#N/A,#N/A,FALSE,"Joe Champ";#N/A,#N/A,FALSE,"Joe Long"}</definedName>
    <definedName name="wrn.Northborough._.Station." hidden="1">{#N/A,#N/A,FALSE,"Total Acquisition and Rehab ";#N/A,#N/A,FALSE,"Summary of Hard Costs"}</definedName>
    <definedName name="wrn.Notes._.2." hidden="1">{"Notes 2",#N/A,FALSE,"Sheet1"}</definedName>
    <definedName name="wrn.Nov._.Forecast." hidden="1">{"Nov",#N/A,FALSE,"Manager Report"}</definedName>
    <definedName name="wrn.NOV30." hidden="1">{#N/A,#N/A,FALSE,"BALLY COSTS";#N/A,#N/A,FALSE,"FF&amp;E";#N/A,#N/A,FALSE,"FEES";#N/A,#N/A,FALSE,"CONTINGENCY";#N/A,#N/A,FALSE,"SOFT COSTS";#N/A,#N/A,FALSE,"DETAIL";#N/A,#N/A,FALSE,"sum12-3"}</definedName>
    <definedName name="wrn.november._.17.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S." hidden="1">{"NS #1",#N/A,TRUE,"Model";"NS #2",#N/A,TRUE,"Model";"NS #3",#N/A,TRUE,"Model"}</definedName>
    <definedName name="wrn.NS._1" hidden="1">{"NS #1",#N/A,TRUE,"Model";"NS #2",#N/A,TRUE,"Model";"NS #3",#N/A,TRUE,"Model"}</definedName>
    <definedName name="wrn.NS._2" hidden="1">{"NS #1",#N/A,TRUE,"Model";"NS #2",#N/A,TRUE,"Model";"NS #3",#N/A,TRUE,"Model"}</definedName>
    <definedName name="wrn.NS._3" hidden="1">{"NS #1",#N/A,TRUE,"Model";"NS #2",#N/A,TRUE,"Model";"NS #3",#N/A,TRUE,"Model"}</definedName>
    <definedName name="wrn.nyt._.times._.full." hidden="1">{#N/A,#N/A,FALSE,"ExecSum";#N/A,#N/A,FALSE,"Budget";#N/A,#N/A,FALSE,"Summary1";#N/A,#N/A,FALSE,"CashFlow";#N/A,#N/A,FALSE,"Year1 Cash Flow";#N/A,#N/A,FALSE,"RE Taxes";#N/A,#N/A,FALSE,"OE Schedule";#N/A,#N/A,FALSE,"Leasing Comm";#N/A,#N/A,FALSE,"Input";#N/A,#N/A,FALSE,"Carry";#N/A,#N/A,FALSE,"Page 1A";#N/A,#N/A,FALSE,"Page 1B";#N/A,#N/A,FALSE,"Page 2";#N/A,#N/A,FALSE,"Page 3";#N/A,#N/A,FALSE,"Page 4";#N/A,#N/A,FALSE,"Summary2";#N/A,#N/A,FALSE,"Lease Summary";#N/A,#N/A,FALSE,"GrossRent";#N/A,#N/A,FALSE,"GrossRent";#N/A,#N/A,FALSE,"FCESummary";#N/A,#N/A,FALSE,"CreditLoss";#N/A,#N/A,FALSE,"Recoveries";#N/A,#N/A,FALSE,"Loan Balance"}</definedName>
    <definedName name="wrn.O._.and._.M._.and._.Fuel." hidden="1">{"Fuel",#N/A,FALSE,"O and M and Fuel Incremental";"O and M",#N/A,FALSE,"O and M and Fuel Incremental"}</definedName>
    <definedName name="wrn.Occupancy._.Calcs." hidden="1">{#N/A,#N/A,FALSE,"Occ. Calcs"}</definedName>
    <definedName name="wrn.Oct._.Forecast." hidden="1">{"Oct",#N/A,FALSE,"Manager Report"}</definedName>
    <definedName name="wrn.ODB." hidden="1">{"ODB",#N/A,FALSE,"Hold Scenario"}</definedName>
    <definedName name="wrn.office.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wrn.OFFICE._.BUDGET." hidden="1">{#N/A,#N/A,FALSE,"LP Exp";#N/A,#N/A,FALSE,"Salary";#N/A,#N/A,FALSE,"Admin Exp";#N/A,#N/A,FALSE,"QTS Bud";#N/A,#N/A,FALSE,"Marketing"}</definedName>
    <definedName name="wrn.Old._.Format." hidden="1">{#N/A,#N/A,FALSE,"Old Format"}</definedName>
    <definedName name="wrn.One._.Partner." hidden="1">{#N/A,#N/A,FALSE,"graph one partner";#N/A,#N/A,FALSE,"Summary Quick Report";#N/A,#N/A,FALSE,"PROJECT  NPV E93";#N/A,#N/A,FALSE,"Project IRR G93";#N/A,#N/A,FALSE,"GENTRY NPV E94";#N/A,#N/A,FALSE,"Gentry IRR G94";#N/A,#N/A,FALSE,"PARTNER NPV E95";#N/A,#N/A,FALSE,"PARTNER IRR G95";#N/A,#N/A,FALSE,"Input Graphs";#N/A,#N/A,FALSE,"Variables &amp; Summary";#N/A,#N/A,FALSE,"cf one partner";#N/A,#N/A,FALSE,"1 design-constr timing";#N/A,#N/A,FALSE,"5 - construction budget";#N/A,#N/A,FALSE,"6 - residential grading";#N/A,#N/A,FALSE,"7-land takedowns";#N/A,#N/A,FALSE,"8-lear siegler dev rights";#N/A,#N/A,FALSE,"parcel summary"}</definedName>
    <definedName name="wrn.ontario." hidden="1">{"page1",#N/A,FALSE,"sheet 1";"Page2",#N/A,FALSE,"sheet 1";"page3",#N/A,FALSE,"sheet 1";"page4",#N/A,FALSE,"sheet 1"}</definedName>
    <definedName name="wrn.ONTK.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peratingAssumtions." localSheetId="0" hidden="1">{#N/A,#N/A,FALSE,"OperatingAssumptions"}</definedName>
    <definedName name="wrn.OperatingAssumtions." hidden="1">{#N/A,#N/A,FALSE,"OperatingAssumptions"}</definedName>
    <definedName name="wrn.OperatingAssumtions._1" hidden="1">{#N/A,#N/A,FALSE,"OperatingAssumptions"}</definedName>
    <definedName name="wrn.OperatingAssumtions._2" hidden="1">{#N/A,#N/A,FALSE,"OperatingAssumptions"}</definedName>
    <definedName name="wrn.OperatingAssumtions._3" hidden="1">{#N/A,#N/A,FALSE,"OperatingAssumptions"}</definedName>
    <definedName name="wrn.OperatingAssumtions._4" hidden="1">{#N/A,#N/A,FALSE,"OperatingAssumptions"}</definedName>
    <definedName name="wrn.Operations._.Review." hidden="1">{#N/A,#N/A,FALSE,"Proforma Five Yr";#N/A,#N/A,FALSE,"Occ and Rate";#N/A,#N/A,FALSE,"PF Input";#N/A,#N/A,FALSE,"Hotcomps"}</definedName>
    <definedName name="wrn.Ops_S.Holders._.Assets_Income." hidden="1">{"Ops_S.Holders Assets and Income",#N/A,FALSE,"ops_shf"}</definedName>
    <definedName name="wrn.Ops._.Charlie._.Packet." hidden="1">{#N/A,#N/A,FALSE,"Proforma Five Yr";#N/A,#N/A,FALSE,"Occ and Rate";#N/A,#N/A,FALSE,"PF Input";#N/A,#N/A,FALSE,"Ops Summary";#N/A,#N/A,FALSE,"Hotcomps"}</definedName>
    <definedName name="wrn.Other._.Schedules." hidden="1">{"Other",#N/A,FALSE,"Other";"Rental Revenue",#N/A,FALSE,"Rental Revenue";"Monthly Draw",#N/A,FALSE,"Monthly"}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3Column." hidden="1">{"Output-3Column",#N/A,FALSE,"Output"}</definedName>
    <definedName name="wrn.OutputAll." hidden="1">{"Output-All",#N/A,FALSE,"Output"}</definedName>
    <definedName name="wrn.OutputBaseYear." hidden="1">{"Output-BaseYear",#N/A,FALSE,"Output"}</definedName>
    <definedName name="wrn.OutputMin." hidden="1">{"Output-Min",#N/A,FALSE,"Output"}</definedName>
    <definedName name="wrn.OutputPercent." hidden="1">{"Output%",#N/A,FALSE,"Output"}</definedName>
    <definedName name="wrn.outputr1a" hidden="1">{#N/A,#N/A,TRUE,"Cover";#N/A,#N/A,TRUE,"Summary";#N/A,#N/A,TRUE,"Assumptions";#N/A,#N/A,TRUE,"Stack";#N/A,#N/A,TRUE,"Budget";#N/A,#N/A,TRUE,"Condo Summary";#N/A,#N/A,TRUE,"Sellout Summary"}</definedName>
    <definedName name="wrn.outputr2a." hidden="1">{#N/A,#N/A,TRUE,"Cover";#N/A,#N/A,TRUE,"Summary";#N/A,#N/A,TRUE,"Assumptions";#N/A,#N/A,TRUE,"Stack";#N/A,#N/A,TRUE,"Budget";#N/A,#N/A,TRUE,"Condo Summary";#N/A,#N/A,TRUE,"Sellout Summary"}</definedName>
    <definedName name="wrn.Overhead." hidden="1">{"Overhead",#N/A,FALSE,"Overhead"}</definedName>
    <definedName name="wrn.Overview._.Reports." hidden="1">{#N/A,#N/A,FALSE,"DCF Values";#N/A,#N/A,FALSE,"Overview";#N/A,#N/A,FALSE,"Earnings";#N/A,#N/A,FALSE,"StockMarketValues";#N/A,#N/A,FALSE,"Asset Values";#N/A,#N/A,FALSE,"Accretion EPS";#N/A,#N/A,FALSE,"Accretion CFPS";#N/A,#N/A,FALSE,"santafe";#N/A,#N/A,FALSE,"noble";#N/A,#N/A,FALSE,"Combined Results"}</definedName>
    <definedName name="wrn.Owner._.Area._.Report._.2._.Areas." hidden="1">{"Line Item Estimate - Owner Area 1 View",#N/A,FALSE,"Line Item Estimate";"Line Item Estimate - Owner Area 2 View",#N/A,FALSE,"Line Item Estimate";"Line Item Estimate - Owner Total View",#N/A,FALSE,"Line Item Estimate"}</definedName>
    <definedName name="wrn.Owner._.Area._.Report._.3._.Areas." hidden="1">{"Line Item Estimate - Owner Area 1 View",#N/A,FALSE,"Line Item Estimate";"Line Item Estimate - Owner Area 2 View",#N/A,FALSE,"Line Item Estimate";"Line Item Estimate - Owner Area 3 View",#N/A,FALSE,"Line Item Estimate";"Line Item Estimate - Owner Total View",#N/A,FALSE,"Line Item Estimate"}</definedName>
    <definedName name="wrn.Owner._.Area._.Report._.4._.Areas." hidden="1">{"Line Item Estimate - Owner Area 1 View",#N/A,FALSE,"Line Item Estimate";"Line Item Estimate - Owner Area 2 View",#N/A,FALSE,"Line Item Estimate";"Line Item Estimate - Owner Area 3 View",#N/A,FALSE,"Line Item Estimate";"Line Item Estimate - Owner Area 4 View",#N/A,FALSE,"Line Item Estimate";"Line Item Estimate - Owner Total View",#N/A,FALSE,"Line Item Estimate"}</definedName>
    <definedName name="wrn.Owner._.Area._.Report._.5._.Areas." hidden="1">{"Line Item Estimate - Owner Area 1 View",#N/A,FALSE,"Line Item Estimate";"Line Item Estimate - Owner Area 2 View",#N/A,FALSE,"Line Item Estimate";"Line Item Estimate - Owner Area 4 View",#N/A,FALSE,"Line Item Estimate";"Line Item Estimate - Owner Area 3 View",#N/A,FALSE,"Line Item Estimate";"Line Item Estimate - Owner Area 5 View",#N/A,FALSE,"Line Item Estimate";"Line Item Estimate - Review Total View",#N/A,FALSE,"Line Item Estimate"}</definedName>
    <definedName name="wrn.Owner._.Total._.Report." hidden="1">{"Line Item Estimate - Review Total View",#N/A,FALSE,"Line Item Estimate"}</definedName>
    <definedName name="wrn.Owner._.Variance._.Report." hidden="1">{"Line Item Estimate - Owner Variance View",#N/A,FALSE,"Line Item Estimate"}</definedName>
    <definedName name="wrn.P_L._.and._.Bal.._.Sheet." hidden="1">{"P_L Account",#N/A,FALSE,"Prime";"Assets",#N/A,FALSE,"Prime";"Liabilities",#N/A,FALSE,"Prime";"Capital and Reserves",#N/A,FALSE,"Prime";"Rec. of S_Holders Funds",#N/A,FALSE,"Prime";"Rec. of Pre and Post Tax Result",#N/A,FALSE,"Prime"}</definedName>
    <definedName name="wrn.p3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acakage." hidden="1">{#N/A,#N/A,FALSE,"Data Entry";#N/A,#N/A,FALSE,"RE Mgmt Fees";#N/A,#N/A,FALSE,"Auto";#N/A,#N/A,FALSE,"Bus &amp; Corp Dev";#N/A,#N/A,FALSE,"Communication";#N/A,#N/A,FALSE,"Comp &amp; Equip";#N/A,#N/A,FALSE,"Office";#N/A,#N/A,FALSE,"Prof &amp; Consult";#N/A,#N/A,FALSE,"Rent";#N/A,#N/A,FALSE,"Non-Recov Sal &amp; Ben";#N/A,#N/A,FALSE,"Travel";#N/A,#N/A,FALSE,"Interco"}</definedName>
    <definedName name="wrn.Package." localSheetId="0" hidden="1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ckage." hidden="1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ckage._1" hidden="1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ckage._2" hidden="1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ckage._3" hidden="1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ckage._4" hidden="1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lms._.at._.South._.Shore." hidden="1">{#N/A,#N/A,FALSE,"loananalysis";#N/A,#N/A,FALSE,"proforma";#N/A,#N/A,FALSE,"unitmix"}</definedName>
    <definedName name="wrn.Partial_Template." hidden="1">{#N/A,#N/A,FALSE,"1Summary";#N/A,#N/A,FALSE,"2Assumptions";#N/A,#N/A,FALSE,"3Cash Flow";#N/A,#N/A,FALSE,"6Residual";#N/A,#N/A,FALSE,"AExpiration Schedule"}</definedName>
    <definedName name="wrn.Partial." localSheetId="0" hidden="1">{#N/A,#N/A,FALSE,"Assumptions";#N/A,#N/A,FALSE,"Year One Pro Forma";#N/A,#N/A,FALSE,"Rent Roll Summary";#N/A,#N/A,FALSE,"Market Rent Detail";#N/A,#N/A,FALSE,"Rent Roll Summary";#N/A,#N/A,FALSE,"Market Rent Increases";#N/A,#N/A,FALSE,"Exec Sum 10Yr";#N/A,#N/A,FALSE,"Cash Flow Projections";#N/A,#N/A,FALSE,"Net Residual Value";#N/A,#N/A,FALSE,"Effective Rental Income Detail";#N/A,#N/A,FALSE,"Turnovers";#N/A,#N/A,FALSE,"Matrices"}</definedName>
    <definedName name="wrn.Partial." hidden="1">{#N/A,#N/A,FALSE,"Assumptions";#N/A,#N/A,FALSE,"Year One Pro Forma";#N/A,#N/A,FALSE,"Rent Roll Summary";#N/A,#N/A,FALSE,"Market Rent Detail";#N/A,#N/A,FALSE,"Rent Roll Summary";#N/A,#N/A,FALSE,"Market Rent Increases";#N/A,#N/A,FALSE,"Exec Sum 10Yr";#N/A,#N/A,FALSE,"Cash Flow Projections";#N/A,#N/A,FALSE,"Net Residual Value";#N/A,#N/A,FALSE,"Effective Rental Income Detail";#N/A,#N/A,FALSE,"Turnovers";#N/A,#N/A,FALSE,"Matrices"}</definedName>
    <definedName name="wrn.Partial._1" hidden="1">{#N/A,#N/A,FALSE,"Assumptions";#N/A,#N/A,FALSE,"Year One Pro Forma";#N/A,#N/A,FALSE,"Rent Roll Summary";#N/A,#N/A,FALSE,"Market Rent Detail";#N/A,#N/A,FALSE,"Rent Roll Summary";#N/A,#N/A,FALSE,"Market Rent Increases";#N/A,#N/A,FALSE,"Exec Sum 10Yr";#N/A,#N/A,FALSE,"Cash Flow Projections";#N/A,#N/A,FALSE,"Net Residual Value";#N/A,#N/A,FALSE,"Effective Rental Income Detail";#N/A,#N/A,FALSE,"Turnovers";#N/A,#N/A,FALSE,"Matrices"}</definedName>
    <definedName name="wrn.Partial._2" hidden="1">{#N/A,#N/A,FALSE,"Assumptions";#N/A,#N/A,FALSE,"Year One Pro Forma";#N/A,#N/A,FALSE,"Rent Roll Summary";#N/A,#N/A,FALSE,"Market Rent Detail";#N/A,#N/A,FALSE,"Rent Roll Summary";#N/A,#N/A,FALSE,"Market Rent Increases";#N/A,#N/A,FALSE,"Exec Sum 10Yr";#N/A,#N/A,FALSE,"Cash Flow Projections";#N/A,#N/A,FALSE,"Net Residual Value";#N/A,#N/A,FALSE,"Effective Rental Income Detail";#N/A,#N/A,FALSE,"Turnovers";#N/A,#N/A,FALSE,"Matrices"}</definedName>
    <definedName name="wrn.Partial._3" hidden="1">{#N/A,#N/A,FALSE,"Assumptions";#N/A,#N/A,FALSE,"Year One Pro Forma";#N/A,#N/A,FALSE,"Rent Roll Summary";#N/A,#N/A,FALSE,"Market Rent Detail";#N/A,#N/A,FALSE,"Rent Roll Summary";#N/A,#N/A,FALSE,"Market Rent Increases";#N/A,#N/A,FALSE,"Exec Sum 10Yr";#N/A,#N/A,FALSE,"Cash Flow Projections";#N/A,#N/A,FALSE,"Net Residual Value";#N/A,#N/A,FALSE,"Effective Rental Income Detail";#N/A,#N/A,FALSE,"Turnovers";#N/A,#N/A,FALSE,"Matrices"}</definedName>
    <definedName name="wrn.Partial._4" hidden="1">{#N/A,#N/A,FALSE,"Assumptions";#N/A,#N/A,FALSE,"Year One Pro Forma";#N/A,#N/A,FALSE,"Rent Roll Summary";#N/A,#N/A,FALSE,"Market Rent Detail";#N/A,#N/A,FALSE,"Rent Roll Summary";#N/A,#N/A,FALSE,"Market Rent Increases";#N/A,#N/A,FALSE,"Exec Sum 10Yr";#N/A,#N/A,FALSE,"Cash Flow Projections";#N/A,#N/A,FALSE,"Net Residual Value";#N/A,#N/A,FALSE,"Effective Rental Income Detail";#N/A,#N/A,FALSE,"Turnovers";#N/A,#N/A,FALSE,"Matrices"}</definedName>
    <definedName name="wrn.Pavilion." hidden="1">{"Pavilion-Investor",#N/A,FALSE,"Pavilion";"Pavilion-Property",#N/A,FALSE,"Pavilion"}</definedName>
    <definedName name="wrn.Payroll._.Assumption._.1." hidden="1">{"Payroll_Assumption1",#N/A,FALSE,"Sheet1"}</definedName>
    <definedName name="wrn.Payroll._.Assumptions." hidden="1">{"Payroll_Assuptions",#N/A,FALSE,"Sheet1"}</definedName>
    <definedName name="wrn.Payroll._.Assumptions._.Summary." hidden="1">{"Payroll Assumption Summary",#N/A,FALSE,"Sheet1"}</definedName>
    <definedName name="wrn.Payroll._.Assumptions2." hidden="1">{"Payroll_Assumption2",#N/A,FALSE,"Sheet1"}</definedName>
    <definedName name="wrn.Pegasus." hidden="1">{#N/A,#N/A,FALSE,"Proforma NAV";#N/A,#N/A,FALSE,"P NAV";#N/A,#N/A,FALSE,"Prodn &amp; Reserves";#N/A,#N/A,FALSE,"Asset Summary";#N/A,#N/A,FALSE,"Mt.Todd";#N/A,#N/A,FALSE,"Zortman";#N/A,#N/A,FALSE,"Pullalli";#N/A,#N/A,FALSE,"Black Pine";#N/A,#N/A,FALSE,"Beal Mtn.";#N/A,#N/A,FALSE,"Florida";#N/A,#N/A,FALSE,"Montana";#N/A,#N/A,FALSE,"Diamond Hill";#N/A,#N/A,FALSE,"K_SUMM"}</definedName>
    <definedName name="wrn.Penetration." hidden="1">{#N/A,#N/A,FALSE,"Mkt Pen"}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r._.Unit." hidden="1">{#N/A,#N/A,FALSE,"Budget 1997 Class A (2)";#N/A,#N/A,FALSE,"Budgets 1997 Class B &amp; C (2)"}</definedName>
    <definedName name="wrn.PERCENTAGE._.RENT." hidden="1">{"PERCENTAGE RENT",#N/A,TRUE,"SCHEDULE B"}</definedName>
    <definedName name="wrn.Phase._.I." hidden="1">{#N/A,#N/A,FALSE,"Transaction Summary-DTW";#N/A,#N/A,FALSE,"Proforma Five Yr";#N/A,#N/A,FALSE,"Occ and Rate"}</definedName>
    <definedName name="wrn.Phil." hidden="1">{#N/A,#N/A,FALSE,"Summary";#N/A,#N/A,FALSE,"41 Mad (Our)";#N/A,#N/A,FALSE,"41 Mad (Comp)";#N/A,#N/A,FALSE,"41 Mad (Rudin's)";#N/A,#N/A,FALSE,"41 Mad (7,354)"}</definedName>
    <definedName name="wrn.Piedmont._.model." hidden="1">{"Summary",#N/A,TRUE,"Summary";"Sensitivities",#N/A,TRUE,"Summary";"Partnership Value",#N/A,TRUE,"Summary";"Cash Flows",#N/A,TRUE,"Summary";"Partnership Equity Value",#N/A,TRUE,"Summary";"MIR Fund Structure",#N/A,TRUE,"Summary";"Assumptions",#N/A,TRUE,"Summary"}</definedName>
    <definedName name="wrn.Pineway." hidden="1">{#N/A,#N/A,FALSE,"rent schedule";#N/A,#N/A,FALSE,"income expenses";#N/A,#N/A,FALSE,"proforma";#N/A,#N/A,FALSE,"proforma stab";#N/A,#N/A,FALSE,"loan analysis";#N/A,#N/A,FALSE,"loan analysis stab";#N/A,#N/A,FALSE,"income expenses"}</definedName>
    <definedName name="wrn.PK._.Variance." hidden="1">{#N/A,#N/A,FALSE,"399 Park Var";#N/A,#N/A,FALSE,"PK NOTES"}</definedName>
    <definedName name="wrn.pl." hidden="1">{#N/A,#N/A,FALSE,"Cons PL-Accrual"}</definedName>
    <definedName name="wrn.Place._.Vendome." hidden="1">{"Venture Summary",#N/A,FALSE,"Summary";"Summary 2",#N/A,FALSE,"Summary";"Rent Detail",#N/A,FALSE,"Summary";"Expense Detail",#N/A,FALSE,"Summary";"Budget Reconciliation",#N/A,FALSE,"Summary";"Sensitivity Tables",#N/A,FALSE,"Summary"}</definedName>
    <definedName name="wrn.Placer._.NAV." hidden="1">{#N/A,#N/A,FALSE,"PDG NAV";#N/A,#N/A,FALSE,"Campbell";#N/A,#N/A,FALSE,"Camp Reserve";#N/A,#N/A,FALSE,"Camp DCF";#N/A,#N/A,FALSE,"Detour";#N/A,#N/A,FALSE,"Detour Reserves";#N/A,#N/A,FALSE,"Detour DCF";#N/A,#N/A,FALSE,"Dome Reserve";#N/A,#N/A,FALSE,"Dome";#N/A,#N/A,FALSE,"Dome DCF";#N/A,#N/A,FALSE,"Musselwhite";#N/A,#N/A,FALSE,"Musselwhite Reserve";#N/A,#N/A,FALSE,"Musselwhite DCF";#N/A,#N/A,FALSE,"La Coipa";#N/A,#N/A,FALSE,"La Coipa Reserve";#N/A,#N/A,FALSE,"La Coipa DCF";#N/A,#N/A,FALSE,"Las Cristinas";#N/A,#N/A,FALSE,"Las Cristinas Reserve";#N/A,#N/A,FALSE,"Las Cristinas DCF";#N/A,#N/A,FALSE,"Granny";#N/A,#N/A,FALSE,"Granny Reserve";#N/A,#N/A,FALSE,"Granny DCF";#N/A,#N/A,FALSE,"Kidston";#N/A,#N/A,FALSE,"Kidston Reserve";#N/A,#N/A,FALSE,"Kidston DCF";#N/A,#N/A,FALSE,"Misima";#N/A,#N/A,FALSE,"Misima Reserves";#N/A,#N/A,FALSE,"Misima DCF";#N/A,#N/A,FALSE,"Osborne";#N/A,#N/A,FALSE,"Osborne Reserves";#N/A,#N/A,FALSE,"Osborne CF SUMMARY";#N/A,#N/A,FALSE,"Osborne CF";#N/A,#N/A,FALSE,"Porgera";#N/A,#N/A,FALSE,"Porgera Reserve";#N/A,#N/A,FALSE,"Porgera DCF";#N/A,#N/A,FALSE,"Bald Mtn";#N/A,#N/A,FALSE,"Bald Mtn Reserve";#N/A,#N/A,FALSE,"Bald Mtn DCF";#N/A,#N/A,FALSE,"Cortez";#N/A,#N/A,FALSE,"Cortez Reserve";#N/A,#N/A,FALSE,"Cortez DCF";#N/A,#N/A,FALSE,"Gold Sun";#N/A,#N/A,FALSE,"Gold Sun Reserves";#N/A,#N/A,FALSE,"Gold Sun DCF";#N/A,#N/A,FALSE,"Crucitas";#N/A,#N/A,FALSE,"Mt Rawdon";#N/A,#N/A,FALSE,"Donlin";#N/A,#N/A,FALSE,"Mulatos";#N/A,#N/A,FALSE,"other Assumptions"}</definedName>
    <definedName name="wrn.Plan." hidden="1">{#N/A,#N/A,FALSE,"Highridge Return Analysis";#N/A,#N/A,FALSE,"Sale @ end of year 3 (4yr Plan)";#N/A,#N/A,FALSE,"Highridge Assumption Page"}</definedName>
    <definedName name="wrn.Plan._.Support._.Only." hidden="1">{#N/A,#N/A,FALSE,"Part D";#N/A,#N/A,FALSE,"D.1 Monthly Plan - 2000";#N/A,#N/A,FALSE,"D.2 Equity and Min. Int.";#N/A,#N/A,FALSE,"D.3 Long-term Investments";#N/A,#N/A,FALSE,"D.4 Fixed Assets";#N/A,#N/A,FALSE,"D.5 Goodwill";#N/A,#N/A,FALSE,"D.6 Intercompany";#N/A,#N/A,FALSE,"D.7 Long-term Debt";#N/A,#N/A,FALSE,"D.8 Acquisitions";#N/A,#N/A,FALSE,"D.9 Key Expenses";#N/A,#N/A,FALSE,"D.10 Cap. Exp. and R&amp;D";#N/A,#N/A,FALSE,"D.11 Dvlpmt Prgs"}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orfolioFinancialSummary." hidden="1">{#N/A,#N/A,FALSE,"ZellLurieFinSummary";#N/A,#N/A,FALSE,"FirstCapFinSummary";#N/A,#N/A,FALSE,"ZM I-III Consol FinSummary"}</definedName>
    <definedName name="wrn.Portfolio." hidden="1">{#N/A,#N/A,FALSE,"Portfolio Summary";#N/A,#N/A,FALSE,"Portfolio Operating Stmt";#N/A,#N/A,FALSE,"Portfolio Cash Flow"}</definedName>
    <definedName name="wrn.PR_TRIAL_BALANCE.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3sty." hidden="1">{#N/A,#N/A,FALSE,"intag";#N/A,#N/A,FALSE,"budg";#N/A,#N/A,FALSE,"samtl"}</definedName>
    <definedName name="wrn.pr3sty.neu" hidden="1">{#N/A,#N/A,FALSE,"intag";#N/A,#N/A,FALSE,"budg";#N/A,#N/A,FALSE,"samtl"}</definedName>
    <definedName name="wrn.PRBFinancials.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cntrent" hidden="1">{"PERCENTAGE RENT",#N/A,TRUE,"SCHEDULE B"}</definedName>
    <definedName name="wrn.Preliminary._.Plan." hidden="1">{#N/A,#N/A,FALSE,"Part E";#N/A,#N/A,FALSE,"E.1 Prelim Earnings Plan"}</definedName>
    <definedName name="wrn.prelist." hidden="1">{#N/A,#N/A,FALSE,"rent roll";#N/A,#N/A,FALSE,"I&amp;E";#N/A,#N/A,FALSE,"96noleaseup";#N/A,#N/A,FALSE,"96noleaseup matrix";#N/A,#N/A,FALSE,"leaseup96";#N/A,#N/A,FALSE,"leaseup96 matrix";#N/A,#N/A,FALSE,"Leaseup and Exp."}</definedName>
    <definedName name="wrn.prelist._1" hidden="1">{#N/A,#N/A,FALSE,"rent roll";#N/A,#N/A,FALSE,"I&amp;E";#N/A,#N/A,FALSE,"96noleaseup";#N/A,#N/A,FALSE,"96noleaseup matrix";#N/A,#N/A,FALSE,"leaseup96";#N/A,#N/A,FALSE,"leaseup96 matrix";#N/A,#N/A,FALSE,"Leaseup and Exp."}</definedName>
    <definedName name="wrn.Prepaid_Recov.." hidden="1">{#N/A,#N/A,FALSE,"Prepaid Recoverable"}</definedName>
    <definedName name="wrn.Prepaid." hidden="1">{#N/A,#N/A,FALSE,"0125-10";#N/A,#N/A,FALSE,"0125-12";#N/A,#N/A,FALSE,"0140-12";#N/A,#N/A,FALSE,"0140-14";#N/A,#N/A,FALSE,"0160-12";#N/A,#N/A,FALSE,"0180-12";#N/A,#N/A,FALSE,"0180-14";#N/A,#N/A,FALSE,"0180-16";#N/A,#N/A,FALSE,"0180-18";#N/A,#N/A,FALSE,"0185-20";#N/A,#N/A,FALSE,"0185-22";#N/A,#N/A,FALSE,"0190-10"}</definedName>
    <definedName name="wrn.Prepaid2" hidden="1">{#N/A,#N/A,FALSE,"0125-10";#N/A,#N/A,FALSE,"0125-12";#N/A,#N/A,FALSE,"0140-12";#N/A,#N/A,FALSE,"0140-14";#N/A,#N/A,FALSE,"0160-12";#N/A,#N/A,FALSE,"0180-12";#N/A,#N/A,FALSE,"0180-14";#N/A,#N/A,FALSE,"0180-16";#N/A,#N/A,FALSE,"0180-18";#N/A,#N/A,FALSE,"0185-20";#N/A,#N/A,FALSE,"0185-22";#N/A,#N/A,FALSE,"0190-10"}</definedName>
    <definedName name="wrn.PRES_OUT." hidden="1">{"page1",#N/A,FALSE,"PRESENTATION";"page2",#N/A,FALSE,"PRESENTATION";#N/A,#N/A,FALSE,"Valuation Summary"}</definedName>
    <definedName name="wrn.pres." hidden="1">{#N/A,#N/A,FALSE,"Major v. River";#N/A,#N/A,FALSE,"Industry";#N/A,#N/A,FALSE,"Large Operators";#N/A,#N/A,FALSE,"Smaller Operators";#N/A,#N/A,FALSE,"Equip. Supply";#N/A,#N/A,FALSE,"EBITDA";#N/A,#N/A,FALSE,"States";#N/A,#N/A,FALSE,"LV Detail"}</definedName>
    <definedName name="wrn.pres97." hidden="1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wrn.Presentation." localSheetId="0" hidden="1">{#N/A,#N/A,TRUE,"Summary";"AnnualRentRoll",#N/A,TRUE,"RentRoll";#N/A,#N/A,TRUE,"ExitStratigy";#N/A,#N/A,TRUE,"OperatingAssumptions"}</definedName>
    <definedName name="wrn.Presentation." hidden="1">{#N/A,#N/A,TRUE,"Summary";"AnnualRentRoll",#N/A,TRUE,"RentRoll";#N/A,#N/A,TRUE,"ExitStratigy";#N/A,#N/A,TRUE,"OperatingAssumptions"}</definedName>
    <definedName name="wrn.Presentation._.Summary." hidden="1">{"Cover Page",#N/A,FALSE,"Print Summary";"Acq Summary",#N/A,FALSE,"Print Summary";"Financing Assumptions",#N/A,FALSE,"Print Summary";"CF Summary - Print",#N/A,FALSE,"Print Summary";"General Information",#N/A,FALSE,"Print Summary";"CF Summary",#N/A,FALSE,"Print Summary";"Sensitivity Analysis",#N/A,FALSE,"Print Summary";"Capex",#N/A,FALSE,"Print Summary"}</definedName>
    <definedName name="wrn.Presentation._1" hidden="1">{#N/A,#N/A,TRUE,"Summary";"AnnualRentRoll",#N/A,TRUE,"RentRoll";#N/A,#N/A,TRUE,"ExitStratigy";#N/A,#N/A,TRUE,"OperatingAssumptions"}</definedName>
    <definedName name="wrn.Presentation._2" hidden="1">{#N/A,#N/A,TRUE,"Summary";"AnnualRentRoll",#N/A,TRUE,"RentRoll";#N/A,#N/A,TRUE,"ExitStratigy";#N/A,#N/A,TRUE,"OperatingAssumptions"}</definedName>
    <definedName name="wrn.Presentation._3" hidden="1">{#N/A,#N/A,TRUE,"Summary";"AnnualRentRoll",#N/A,TRUE,"RentRoll";#N/A,#N/A,TRUE,"ExitStratigy";#N/A,#N/A,TRUE,"OperatingAssumptions"}</definedName>
    <definedName name="wrn.Presentation._4" hidden="1">{#N/A,#N/A,TRUE,"Summary";"AnnualRentRoll",#N/A,TRUE,"RentRoll";#N/A,#N/A,TRUE,"ExitStratigy";#N/A,#N/A,TRUE,"OperatingAssumptions"}</definedName>
    <definedName name="wrn.Presentation2" hidden="1">{#N/A,#N/A,FALSE,"INDEX";#N/A,#N/A,FALSE,"CONTROL";#N/A,#N/A,FALSE,"COMPLIANCE";#N/A,#N/A,FALSE,"OVERVIEW";#N/A,#N/A,FALSE,"OVERVIEW 1";#N/A,#N/A,FALSE,"1995 Rev &amp; Exp";#N/A,#N/A,FALSE,"HISTORICAL REV &amp; EXP";#N/A,#N/A,FALSE,"LEASES";#N/A,#N/A,FALSE,"APPRAISAL";#N/A,#N/A,FALSE,"APPRAISAL 2";#N/A,#N/A,FALSE,"APPRAISAL 3";#N/A,#N/A,FALSE,"ENGINEERING";#N/A,#N/A,FALSE,"ENVIRONMENTAL";#N/A,#N/A,FALSE,"CREDIT";#N/A,#N/A,FALSE,"ASSET MGMT.";#N/A,#N/A,FALSE,"LOAN ANALYSIS";#N/A,#N/A,FALSE,"SOURCES &amp; USES";#N/A,#N/A,FALSE,"Working List"}</definedName>
    <definedName name="wrn.President._.Report." hidden="1">{#N/A,#N/A,FALSE,"President's Cover";#N/A,#N/A,FALSE,"A.1 1998 Objectives";#N/A,#N/A,FALSE,"A.2 President's Measures";#N/A,#N/A,FALSE,"A.3 Commentary"}</definedName>
    <definedName name="wrn.Pricing._.Strategy." localSheetId="0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cing._.Strategy.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cing._.Strategy._1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cing._.Strategy._2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cing._.Strategy._3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cing._.Strategy._4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mary._.Competition." hidden="1">{#N/A,#N/A,FALSE,"Primary"}</definedName>
    <definedName name="wrn.print_all." hidden="1">{#N/A,#N/A,FALSE,"property";#N/A,#N/A,FALSE,"tenants";#N/A,#N/A,FALSE,"capital";#N/A,#N/A,FALSE,"summary"}</definedName>
    <definedName name="wrn.Print_Annual_Schedules." hidden="1">{"Print_Assumptions",#N/A,FALSE,"Assumptions";"Print_Allocations",#N/A,FALSE,"EOP JV";"Print_FAD",#N/A,FALSE,"EOP JV";"Print_Other",#N/A,FALSE,"Other";"Print_Annual_Revenue",#N/A,FALSE,"Revenue";"Print_Lease_Rollovers",#N/A,FALSE,"Revenue"}</definedName>
    <definedName name="wrn.Print_Assumptions." hidden="1">{"Print_Assumptions",#N/A,FALSE,"Assumptions";#N/A,#N/A,FALSE,"Rental Rate"}</definedName>
    <definedName name="wrn.Print_Budget." hidden="1">{"Print_Dev_Budget",#N/A,FALSE,"Budget";"Print_Dev_Budget_Footnotes",#N/A,FALSE,"Budget"}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DM_Report." hidden="1">{"Print_View_1",#N/A,FALSE,"Asset Template";"Print_View_2",#N/A,FALSE,"Asset Template"}</definedName>
    <definedName name="wrn.Print_Heller." hidden="1">{#N/A,#N/A,TRUE,"Summary Schedule Heller";#N/A,#N/A,TRUE,"Qtrly  heller Page 1";#N/A,#N/A,TRUE,"Qtrly heller Page 2";#N/A,#N/A,TRUE,"Qtrly heller Page 2A";#N/A,#N/A,TRUE,"Qtrly heller Page 3";#N/A,#N/A,TRUE,"Qtrly heller Page 3A";#N/A,#N/A,TRUE,"Summary Schedule Heller Ltd";#N/A,#N/A,TRUE,"Qtrly  heller 4 yr"}</definedName>
    <definedName name="wrn.Print_Index." hidden="1">{"Index",#N/A,FALSE,"Index"}</definedName>
    <definedName name="wrn.Print_model.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nthly_Schedules." hidden="1">{"Print_Monthly_Operations_CF",#N/A,FALSE,"Monthly";"Print_Monthly_Revenues",#N/A,FALSE,"Monthly";"Print_Monthly_Draws",#N/A,FALSE,"Monthly";"Print_Monthly_Costs",#N/A,FALSE,"Monthly"}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Unwind." hidden="1">{"Print_Unwind_Summary",#N/A,FALSE,"Unwind Value";"Print_Unwind_Monthly",#N/A,FALSE,"Unwind Value"}</definedName>
    <definedName name="wrn.Print." hidden="1">{"View1",#N/A,FALSE,"Sheet1";"View2",#N/A,FALSE,"Sheet1"}</definedName>
    <definedName name="wrn.Print._.4." localSheetId="0" hidden="1">{"Outflow 1",#N/A,FALSE,"Outflows-Inflows";"Outflow 2",#N/A,FALSE,"Outflows-Inflows";"Inflow 1",#N/A,FALSE,"Outflows-Inflows";"Inflow 2",#N/A,FALSE,"Outflows-Inflows"}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4._1" hidden="1">{"Outflow 1",#N/A,FALSE,"Outflows-Inflows";"Outflow 2",#N/A,FALSE,"Outflows-Inflows";"Inflow 1",#N/A,FALSE,"Outflows-Inflows";"Inflow 2",#N/A,FALSE,"Outflows-Inflows"}</definedName>
    <definedName name="wrn.Print._.4._2" hidden="1">{"Outflow 1",#N/A,FALSE,"Outflows-Inflows";"Outflow 2",#N/A,FALSE,"Outflows-Inflows";"Inflow 1",#N/A,FALSE,"Outflows-Inflows";"Inflow 2",#N/A,FALSE,"Outflows-Inflows"}</definedName>
    <definedName name="wrn.Print._.4._3" hidden="1">{"Outflow 1",#N/A,FALSE,"Outflows-Inflows";"Outflow 2",#N/A,FALSE,"Outflows-Inflows";"Inflow 1",#N/A,FALSE,"Outflows-Inflows";"Inflow 2",#N/A,FALSE,"Outflows-Inflows"}</definedName>
    <definedName name="wrn.Print._.4._4" hidden="1">{"Outflow 1",#N/A,FALSE,"Outflows-Inflows";"Outflow 2",#N/A,FALSE,"Outflows-Inflows";"Inflow 1",#N/A,FALSE,"Outflows-Inflows";"Inflow 2",#N/A,FALSE,"Outflows-Inflows"}</definedName>
    <definedName name="wrn.Print._.6." localSheetId="0" hidden="1">{"print 1.6",#N/A,FALSE,"Sheet1";"print 2.6",#N/A,FALSE,"Sheet1";"print 3.6",#N/A,FALSE,"Sheet1";"print 4.6",#N/A,FALSE,"Sheet1";"print 5.6",#N/A,FALSE,"Sheet1";"print 6.6",#N/A,FALSE,"Sheet1"}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6._1" hidden="1">{"print 1.6",#N/A,FALSE,"Sheet1";"print 2.6",#N/A,FALSE,"Sheet1";"print 3.6",#N/A,FALSE,"Sheet1";"print 4.6",#N/A,FALSE,"Sheet1";"print 5.6",#N/A,FALSE,"Sheet1";"print 6.6",#N/A,FALSE,"Sheet1"}</definedName>
    <definedName name="wrn.Print._.6._2" hidden="1">{"print 1.6",#N/A,FALSE,"Sheet1";"print 2.6",#N/A,FALSE,"Sheet1";"print 3.6",#N/A,FALSE,"Sheet1";"print 4.6",#N/A,FALSE,"Sheet1";"print 5.6",#N/A,FALSE,"Sheet1";"print 6.6",#N/A,FALSE,"Sheet1"}</definedName>
    <definedName name="wrn.Print._.6._3" hidden="1">{"print 1.6",#N/A,FALSE,"Sheet1";"print 2.6",#N/A,FALSE,"Sheet1";"print 3.6",#N/A,FALSE,"Sheet1";"print 4.6",#N/A,FALSE,"Sheet1";"print 5.6",#N/A,FALSE,"Sheet1";"print 6.6",#N/A,FALSE,"Sheet1"}</definedName>
    <definedName name="wrn.Print._.6._4" hidden="1">{"print 1.6",#N/A,FALSE,"Sheet1";"print 2.6",#N/A,FALSE,"Sheet1";"print 3.6",#N/A,FALSE,"Sheet1";"print 4.6",#N/A,FALSE,"Sheet1";"print 5.6",#N/A,FALSE,"Sheet1";"print 6.6",#N/A,FALSE,"Sheet1"}</definedName>
    <definedName name="wrn.Print._.Accounts." hidden="1">{#N/A,#N/A,FALSE,"Balance sheet";#N/A,#N/A,FALSE,"FAD";#N/A,#N/A,FALSE,"Cashflow";#N/A,#N/A,FALSE,"NAV";#N/A,#N/A,FALSE,"Notes 1-5";#N/A,#N/A,FALSE,"Notes 6-"}</definedName>
    <definedName name="wrn.Print._.ALL." hidden="1">{"Venture Summary",#N/A,FALSE,"Summary";"Development Budget",#N/A,FALSE,"Summary";"Annual Cash Flow",#N/A,FALSE,"Annual";"Project Costs",#N/A,FALSE,"Annual";"NOI &amp; Sale Proceeds",#N/A,FALSE,"Annual"}</definedName>
    <definedName name="wrn.Print._.All._.Dexter." hidden="1">{"Venture Summary",#N/A,TRUE,"Summary";"Timeline - Monthly",#N/A,TRUE,"Summary";"Timeline - Quarterly",#N/A,TRUE,"Summary";"Development Budget",#N/A,TRUE,"Summary";"Development Proforma",#N/A,TRUE,"Summary";"Argus Assumptions",#N/A,TRUE,"Summary";"Project Cash Flows",#N/A,TRUE,"Summary";"Project Costs",#N/A,TRUE,"Summary";"NOI &amp; Sales",#N/A,TRUE,"Summary";"Debt Summary CF",#N/A,TRUE,"Summary";"Uninflated Project Costs",#N/A,TRUE,"Summary"}</definedName>
    <definedName name="wrn.Print._.All._.Emerald." hidden="1">{"Venture Summary",#N/A,TRUE,"Retail Summary";"Dev Budget",#N/A,TRUE,"Retail Summary";"Detailed Dev Budget",#N/A,TRUE,"Retail Summary";"Timeline - Monthly",#N/A,TRUE,"Retail Summary";"Timeline - Quarterly",#N/A,TRUE,"Retail Summary";"Tenant Summary",#N/A,TRUE,"Retail Summary";"Annual",#N/A,TRUE,"Retail Summary";"Project Cash Flow",#N/A,TRUE,"Retail Summary";"Costs &amp; Sales",#N/A,TRUE,"Retail Summary";"Leasing &amp; Rent",#N/A,TRUE,"Retail Summary";"Debt Summary",#N/A,TRUE,"Retail Summary"}</definedName>
    <definedName name="wrn.Print._.all._.exhibits." hidden="1">{"BS_00",#N/A,FALSE,"Consolidated_BS";"BS_01",#N/A,FALSE,"Consolidated_BS";"BS_02",#N/A,FALSE,"Consolidated_BS";"IS_00",#N/A,FALSE,"Consolidated_IS";"IS_01",#N/A,FALSE,"Consolidated_IS";"IS_02",#N/A,FALSE,"Consolidated_IS";"SanMarcos_00",#N/A,FALSE,"San Marcos_IS";"SanMarcos_01",#N/A,FALSE,"San Marcos_IS";"SanMarcos_02",#N/A,FALSE,"San Marcos_IS";"Hagerstown_00",#N/A,FALSE,"Hagerstown_IS";"Hagerstown_01",#N/A,FALSE,"Hagerstown_IS";"Hagerstown_02",#N/A,FALSE,"Hagerstown_IS";"Corporate_00",#N/A,FALSE,"Corporate_IS";"Corporate_01",#N/A,FALSE,"Corporate_IS";"Corporate_02",#N/A,FALSE,"Corporate_IS";"Cash_Flow_00",#N/A,FALSE,"Consolidated_CashFlow";"Store#3_02",#N/A,FALSE,"Store#3";"Store#3_01",#N/A,FALSE,"Store#3";"Store#4_01",#N/A,FALSE,"Store#4";"Store#4_02",#N/A,FALSE,"Store#4";"Store#5_02",#N/A,FALSE,"Store#5";"Store#6_02",#N/A,FALSE,"Store#6";"San_Marcos_99",#N/A,FALSE,"San Marcos_IS _99";"Corporate_99",#N/A,FALSE,"Corp_IS_99"}</definedName>
    <definedName name="wrn.Print._.All._.FUMC." hidden="1">{"Venture Summary",#N/A,TRUE,"Summary";"Annual",#N/A,TRUE,"Summary";"Development Budget",#N/A,TRUE,"Summary";"Argus Assumptions",#N/A,TRUE,"Summary";"Timeline - Quarterly",#N/A,TRUE,"Timeline - Quarterly";"Timeline - Monthly",#N/A,TRUE,"Summary";"FAR Analysis",#N/A,TRUE,"FAR Analysis";"Development Proforma",#N/A,TRUE,"Dev PF";"Project Cash Flows",#N/A,TRUE,"Summary";"Project Costs",#N/A,TRUE,"Summary";"Sales &amp; NOI",#N/A,TRUE,"Summary";"Debt Summary CF",#N/A,TRUE,"Summary";"Uninflated Project Costs",#N/A,TRUE,"Summary"}</definedName>
    <definedName name="wrn.Print._.All._.Improved._.Sales." hidden="1">{#N/A,#N/A,FALSE,"Sale 1";#N/A,#N/A,FALSE,"Sale 2";#N/A,#N/A,FALSE,"Sale 3";#N/A,#N/A,FALSE,"Sale 4";#N/A,#N/A,FALSE,"Sale 5";#N/A,#N/A,FALSE,"Sale 6";#N/A,#N/A,FALSE,"Sale 7";#N/A,#N/A,FALSE,"Sale 8";#N/A,#N/A,FALSE,"Sale 9";#N/A,#N/A,FALSE,"Sale 10";#N/A,#N/A,FALSE,"Sale 11";#N/A,#N/A,FALSE,"Sale 12"}</definedName>
    <definedName name="wrn.Print._.All._.JAS._.No._.JV." hidden="1">{"Assumptions",#N/A,FALSE,"CF Model";"Deal CF",#N/A,FALSE,"CF Model";"Debt Summary",#N/A,FALSE,"CF Model";"Pro Forma",#N/A,FALSE,"CF Model";"Pro Forma $PSF",#N/A,FALSE,"CF Model"}</definedName>
    <definedName name="wrn.Print._.All._.NPV._.Analysis." hidden="1">{"Scen 1 v 2 Summary",#N/A,FALSE,"Scenario 1 v 2  Summary";"Summary",#N/A,FALSE,"Summary";"Debt Sizing Reduced Vacancy",#N/A,FALSE,"10 Yr CF";"Scenario 1",#N/A,FALSE,"10 Yr CF";"Scenario 2 CF",#N/A,FALSE,"10 Yr CF";"Scenario 2 Assumptions",#N/A,FALSE,"10 Yr CF";"Scenario 3 CF",#N/A,FALSE,"10 Yr CF";"Scenario 3 Assumptions",#N/A,FALSE,"10 Yr CF";"10 Yr CF",#N/A,FALSE,"10 Yr CF"}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Report._.Pages." hidden="1">{#N/A,#N/A,FALSE,"Executive Summary Page 1";#N/A,#N/A,FALSE,"Executive Summary Page 2";#N/A,#N/A,FALSE,"Executive Summary Page 3";#N/A,#N/A,FALSE,"DCF Assumptions Exhibit";#N/A,#N/A,FALSE,"Metro Profile";#N/A,#N/A,FALSE,"Metro Employment";#N/A,#N/A,FALSE,"Cap &amp; Disc Rate";#N/A,#N/A,FALSE,"Retail Sales";#N/A,#N/A,FALSE,"Tax Exhibit";#N/A,#N/A,FALSE,"Operating Statement";#N/A,#N/A,FALSE,"Direct Cap";#N/A,#N/A,FALSE,"SCG Summary";#N/A,#N/A,FALSE,"Improved Sales Adj. Grid";#N/A,#N/A,FALSE,"Regression Analysis";#N/A,#N/A,FALSE,"Land Sales Adj. Grid";#N/A,#N/A,FALSE,"Cost Schedule"}</definedName>
    <definedName name="wrn.Print._.all._.workpapers._.and._.exhibits.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wrn.Print._.All._1" hidden="1">{#N/A,#N/A,FALSE,"I&amp;E";#N/A,#N/A,FALSE,"rent roll";#N/A,#N/A,FALSE,"96noleaseup";#N/A,#N/A,FALSE,"96noleaseup matrix";#N/A,#N/A,FALSE,"leaseup 96";#N/A,#N/A,FALSE,"leaseup 96 matrix";#N/A,#N/A,FALSE,"Leaseup and Exp."}</definedName>
    <definedName name="wrn.Print._.All.1" hidden="1">{"Print_Summary Letter",#N/A,FALSE,"A-ProjDevAnalysis";"Print_HmBldrBgt Letter",#N/A,FALSE,"A-ProjDevAnalysis";"Print_LoanCommit Letter",#N/A,FALSE,"A-ProjDevAnalysis";"Print_CF_Stmt Letter",#N/A,FALSE,"A-ProjDevAnalysis";"Print_DevSch Letter",#N/A,FALSE,"A-ProjDevAnalysis";"Print_Debt Letter",#N/A,FALSE,"A-ProjDevAnalysis";"Print_Equity Letter",#N/A,FALSE,"A-ProjDevAnalysis"}</definedName>
    <definedName name="wrn.Print._.Annual." hidden="1">{"Venture Summary",#N/A,TRUE,"Summary";"Development Budget",#N/A,TRUE,"Summary";"Leasing Assumptions",#N/A,TRUE,"Leasing Assumptions";"Project CF Annual",#N/A,TRUE,"Annual";"Proj Costs Annual",#N/A,TRUE,"Annual";"Constr. Loan Annual",#N/A,TRUE,"Annual";"Sales Annual",#N/A,TRUE,"Annual";"MDPA Contr Schedule",#N/A,TRUE,"Annual";"CF Split Annual",#N/A,TRUE,"Annual";"Phase I Development Proforma",#N/A,TRUE,"Phase I Dev PF"}</definedName>
    <definedName name="wrn.Print._.Annual._.Dexter." hidden="1">{"Venture Summary",#N/A,TRUE,"Summary";"Timeline - Quarterly",#N/A,TRUE,"Summary";"Development Budget",#N/A,TRUE,"Summary";"Argus Assumptions",#N/A,TRUE,"Summary";"Development Proforma",#N/A,TRUE,"Summary";"Capstone Comparison",#N/A,TRUE,"Summary";"Annual",#N/A,TRUE,"Summary"}</definedName>
    <definedName name="wrn.Print._.Annual._.FUMC." hidden="1">{"Venture Summary",#N/A,TRUE,"Timeline - Quarterly";"Timeline - Quarterly",#N/A,TRUE,"Timeline - Quarterly";"Argus Assumptions",#N/A,TRUE,"Timeline - Quarterly";"Development Budget",#N/A,TRUE,"Timeline - Quarterly";"Development Proforma",#N/A,TRUE,"Timeline - Quarterly";"Annual",#N/A,TRUE,"Timeline - Quarterly"}</definedName>
    <definedName name="wrn.Print._.BaseCamp." hidden="1">{"Summary - BaseCamp",#N/A,TRUE,"Summary - Sent to BaseCamp";"Annual Portfolio NOI - BaseCamp",#N/A,TRUE,"Annual - Sent to BaseCamp";"Annual Home Rent Rev - BaseCamp",#N/A,TRUE,"Summary - Sent to BaseCamp";"Annual Property NOI - BaseCamp",#N/A,TRUE,"Summary - Sent to BaseCamp";"Annual Lease Rev &amp; NOI - BaseCamp",#N/A,TRUE,"Summary - Sent to BaseCamp";"Annual Sales NOI - BaseCamp",#N/A,TRUE,"Annual - Sent to BaseCamp";"Annual Loan Rev &amp; NOI - BaseCamp",#N/A,TRUE,"Summary - Sent to BaseCamp"}</definedName>
    <definedName name="wrn.Print._.CashFlow." hidden="1">{"Print_CF_Stmt Letter",#N/A,FALSE,"A-ProjDevAnalysis"}</definedName>
    <definedName name="wrn.Print._.CashFlow.1" hidden="1">{"Print_CF_Stmt Letter",#N/A,FALSE,"A-ProjDevAnalysis"}</definedName>
    <definedName name="wrn.Print._.Compare._.and._.Divsum." hidden="1">{"Divsum Compare Hawaiki",#N/A,TRUE,"Divsum";"Divsum Complete Divsum",#N/A,TRUE,"Divsum"}</definedName>
    <definedName name="wrn.Print._.CRXLAND._.Openings." hidden="1">{"Print CRXLAND Assumptions",#N/A,FALSE,"CRXLAND Openings";"Print CRXLAND Openings",#N/A,FALSE,"CRXLAND Openings"}</definedName>
    <definedName name="wrn.Print._.CSI._.and._.Estimate._.Backup." hidden="1">{"Divsum Compare Hawaiki",#N/A,FALSE,"Divsum";"Divsum Complete Divsum",#N/A,FALSE,"Divsum";"Estimate Backup",#N/A,FALSE,"Divsum"}</definedName>
    <definedName name="wrn.Print._.Debt._.Sch." hidden="1">{"Print_Debt Letter",#N/A,FALSE,"A-ProjDevAnalysis"}</definedName>
    <definedName name="wrn.Print._.Debt._Sch.1" hidden="1">{"Print_Debt Letter",#N/A,FALSE,"A-ProjDevAnalysis"}</definedName>
    <definedName name="wrn.Print._.Econ." hidden="1">{"One",#N/A,FALSE,"Summary ";"Two",#N/A,FALSE,"Summary ";"Monthly Outputs",#N/A,FALSE,"Total Project Economics";"Outputs p 1",#N/A,FALSE,"Total Project Economics";"Outputs p 2",#N/A,FALSE,"Total Project Economics";"Pricing P 1",#N/A,FALSE,"Total Project Economics";"Pricing p 2",#N/A,FALSE,"Total Project Economics";"Costs p 1",#N/A,FALSE,"Total Project Economics";"Costs p 2",#N/A,FALSE,"Total Project Economics";"Op Income p 1",#N/A,FALSE,"Total Project Economics";"Op Income p 2",#N/A,FALSE,"Total Project Economics";"Income p 1",#N/A,FALSE,"Total Project Economics";"Income p 2",#N/A,FALSE,"Total Project Economics";"B Sheet p 1",#N/A,FALSE,"Total Project Economics";"B Sheet p 2",#N/A,FALSE,"Total Project Economics";"Cash Taxes p 1",#N/A,FALSE,"Total Project Economics";"Cash Taxes p 2",#N/A,FALSE,"Total Project Economics";"Unlevered p 1",#N/A,FALSE,"Total Project Economics";"Unlevered p 2",#N/A,FALSE,"Total Project Economics";"Unlevered Taxes p 1",#N/A,FALSE,"Total Project Economics";"Unlevered Taxes p 2",#N/A,FALSE,"Total Project Economics";"Fin Ind p 1",#N/A,FALSE,"Total Project Economics";"Fin Ind p 2",#N/A,FALSE,"Total Project Economics"}</definedName>
    <definedName name="wrn.Print._.Economics." hidden="1">{"Print Area",#N/A,FALSE,"Summary";"Plant Outputs",#N/A,FALSE,"Total Project Economics";"Unit Prices Page 1",#N/A,FALSE,"Total Project Economics";"Unit Prices Page 2",#N/A,FALSE,"Total Project Economics";"Op Income PAge 1",#N/A,FALSE,"Total Project Economics";"Op Income Page 2",#N/A,FALSE,"Total Project Economics";"Income Statement PAge 1",#N/A,FALSE,"Total Project Economics";"Income Statement Page 2",#N/A,FALSE,"Total Project Economics";"Equity Cash Flow Page 1",#N/A,FALSE,"Total Project Economics";"Equity Cash Flow Page 2",#N/A,FALSE,"Total Project Economics";"B Sheet Page 1",#N/A,FALSE,"Total Project Economics";"B Sheet Page 2",#N/A,FALSE,"Total Project Economics";"Taxes Page 1",#N/A,FALSE,"Total Project Economics";"Taxes Page 2",#N/A,FALSE,"Total Project Economics";"Unlevered Cal page 1",#N/A,FALSE,"Total Project Economics";"Unlevered Calc page 2",#N/A,FALSE,"Total Project Economics"}</definedName>
    <definedName name="wrn.Print._.Entire._.Workbook." hidden="1">{"Assumptions",#N/A,TRUE,"Assumptions";"qtrl1",#N/A,TRUE,"Annual Summary";"qtrl2",#N/A,TRUE,"Annual Summary";"qtrl3",#N/A,TRUE,"Annual Summary";"qtrl4",#N/A,TRUE,"QTLY Summary";"qtrl5",#N/A,TRUE,"QTLY Summary";"qtrl6",#N/A,TRUE,"QTLY Summary";"Lot Prices",#N/A,TRUE,"Annual Summary";"Construction Costs",#N/A,TRUE,"Annual Summary";"land1",#N/A,TRUE,"Annual Summary";"land2",#N/A,TRUE,"Annual Summary";"land3",#N/A,TRUE,"Annual Summary";"lot1",#N/A,TRUE,"Annual Summary";"lot2",#N/A,TRUE,"Annual Summary";"Lot3",#N/A,TRUE,"Annual Summary";"lot4",#N/A,TRUE,"Annual Summary";"lot5",#N/A,TRUE,"Annual Summary";"lot6",#N/A,TRUE,"Annual Summary";"lot7",#N/A,TRUE,"Annual Summary";"lot8",#N/A,TRUE,"Annual Summary";"lot9",#N/A,TRUE,"Annual Summary";"lot10",#N/A,TRUE,"Annual Summary";"lot11",#N/A,TRUE,"Annual Summary";"lot12",#N/A,TRUE,"Annual Summary";"lot inventory",#N/A,TRUE,"Annual Summary";"scen1",#N/A,TRUE,"Annual Summary";"scen2",#N/A,TRUE,"Annual Summary";"View1",#N/A,TRUE,"Annual Summary";"View2",#N/A,TRUE,"Annual Summary";"View3",#N/A,TRUE,"Annual Summary";"View4",#N/A,TRUE,"Annual Summary";"View5",#N/A,TRUE,"Annual Summary";"View6",#N/A,TRUE,"Annual Summary";"View7",#N/A,TRUE,"Annual Summary";"View8",#N/A,TRUE,"Annual Summary";"View9",#N/A,TRUE,"Annual Summary";"View10",#N/A,TRUE,"Annual Summary";"View11",#N/A,TRUE,"Annual Summary";"View12",#N/A,TRUE,"Annual Summary";"cot1",#N/A,TRUE,"Annual Summary";"cot2",#N/A,TRUE,"Annual Summary";"cot3",#N/A,TRUE,"Annual Summary"}</definedName>
    <definedName name="wrn.Print._.Equity._.Sch." hidden="1">{"Print_Equity Letter",#N/A,FALSE,"A-ProjDevAnalysis"}</definedName>
    <definedName name="wrn.Print._.Equity._.Sch.1" hidden="1">{"Print_Equity Letter",#N/A,FALSE,"A-ProjDevAnalysis"}</definedName>
    <definedName name="wrn.Print._.Everythin." hidden="1">{#N/A,#N/A,FALSE,"PRELIMINARY REVIEW";#N/A,#N/A,FALSE,"SOURCES AND USES OF FUNDS";#N/A,#N/A,FALSE,"COST ITEMS";#N/A,#N/A,FALSE,"DRAW SCHEDULE";#N/A,#N/A,FALSE,"STABILIZED OPERATING PROFORMA";#N/A,#N/A,FALSE,"LEASE UP OPERATING PROFORMA";#N/A,#N/A,FALSE,"INPUT SHEET"}</definedName>
    <definedName name="wrn.Print._.Everything." hidden="1">{"print annual inc. statement",#N/A,FALSE,"Summary";"print annual stats",#N/A,FALSE,"Summary";"print quarterly inc. statement",#N/A,FALSE,"Summary";"print quarterly stats",#N/A,FALSE,"Summary";"print STAY opening assumptions",#N/A,FALSE,"STAY Openings";"print STAY openings",#N/A,FALSE,"STAY Openings";"Print SPHI Assumptions",#N/A,FALSE,"SPHI Openings";"Print SPHI Openings",#N/A,FALSE,"SPHI Openings";"Print CRXLAND Assumptions",#N/A,FALSE,"CRXLAND Openings";"Print CRXLAND Openings",#N/A,FALSE,"CRXLAND Openings"}</definedName>
    <definedName name="wrn.Print._.exhibits._.used._.in._.Report." hidden="1">{#N/A,#N/A,FALSE,"DCF Rev Exp flat 5";"Exhibit 1",#N/A,FALSE,"Rev Exp flat 5";"Exhibit 2",#N/A,FALSE,"Rev Exp flat 5";#N/A,#N/A,FALSE,"DCF Rev Exp to 6";"Exhibit 1",#N/A,FALSE,"Rev Exp to 6";"Exhibit 2",#N/A,FALSE,"Rev Exp to 6"}</definedName>
    <definedName name="wrn.print._.graphs." hidden="1">{"cap_structure",#N/A,FALSE,"Graph-Mkt Cap";"price",#N/A,FALSE,"Graph-Price";"ebit",#N/A,FALSE,"Graph-EBITDA";"ebitda",#N/A,FALSE,"Graph-EBITDA"}</definedName>
    <definedName name="wrn.Print._.HomeConstrStarts." hidden="1">{"Print_HomeStarts Letter",#N/A,FALSE,"A-ProjDevAnalysis"}</definedName>
    <definedName name="wrn.Print._.HomeConstrStarts.1" hidden="1">{"Print_HomeStarts Letter",#N/A,FALSE,"A-ProjDevAnalysis"}</definedName>
    <definedName name="wrn.Print._.IC._.Memo." hidden="1">{"Summary",#N/A,TRUE,"Summary";"Annual Project Cash Flow",#N/A,TRUE,"Summary";"Annual Property NOI",#N/A,TRUE,"Summary";"Annual Lease Ops NOI",#N/A,TRUE,"Summary";"Annual Sales NOI",#N/A,TRUE,"Summary";"Annual Loan NOI",#N/A,TRUE,"Summary";"Annual Net Sales Proceeds",#N/A,TRUE,"Summary";"Annual Debt",#N/A,TRUE,"Summary"}</definedName>
    <definedName name="wrn.Print._.Inc.._.Statement._.and._.Stats.." hidden="1">{"print annual inc. statement",#N/A,FALSE,"Summary";"print annual stats",#N/A,FALSE,"Summary";"print quarterly inc. statement",#N/A,FALSE,"Summary";"print quarterly stats",#N/A,FALSE,"Summary"}</definedName>
    <definedName name="wrn.Print._.It." localSheetId="0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It.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It._1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It._2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It._3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It._4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Land._.Sale." hidden="1">{"Land Sale Summary",#N/A,TRUE,"Land Sale";"Land Sale Cash Flow",#N/A,TRUE,"Land Sale"}</definedName>
    <definedName name="wrn.Print._.Loan._.Commit." hidden="1">{"Print_LoanCommit Letter",#N/A,FALSE,"A-ProjDevAnalysis"}</definedName>
    <definedName name="wrn.Print._.Loan._.Commit.1" hidden="1">{"Print_LoanCommit Letter",#N/A,FALSE,"A-ProjDevAnalysis"}</definedName>
    <definedName name="wrn.Print._.Ltd._.Ptr._.Heller." hidden="1">{#N/A,#N/A,FALSE,"Summary Schedule Heller Ltd";#N/A,#N/A,FALSE,"Qtrly  heller Page 1";#N/A,#N/A,FALSE,"Qtrly heller Page 3"}</definedName>
    <definedName name="wrn.Print._.Monthly." hidden="1">{"Summary",#N/A,TRUE,"Summary";"Monthly Project Cash Flows",#N/A,TRUE,"Summary";"Monthly Site Rent Revenue",#N/A,TRUE,"Summary";"Monthly Home Rent Revenue",#N/A,TRUE,"Summary";"Monthly Loan Revenue",#N/A,TRUE,"Summary";"Monthly Loan Balance Calculation",#N/A,TRUE,"Summary";"Monthly Property NOI",#N/A,TRUE,"Summary";"Monthly Lease Ops NOI",#N/A,TRUE,"Summary";"Monthly Loan NOI",#N/A,TRUE,"Summary";"Monthly Sales NOI",#N/A,TRUE,"Summary";"Monthly Sales Proceeds",#N/A,TRUE,"Summary";"Monthly Debt Summary",#N/A,TRUE,"Summary"}</definedName>
    <definedName name="wrn.Print._.Package." hidden="1">{#N/A,#N/A,FALSE,"rent roll";#N/A,#N/A,FALSE,"I&amp;E";#N/A,#N/A,FALSE,"Sales";#N/A,#N/A,FALSE,"% rent";#N/A,#N/A,FALSE,"no leasup 96";#N/A,#N/A,FALSE,"96 Cap Matrix No Leaseup";#N/A,#N/A,FALSE,"Proforma (2)";#N/A,#N/A,FALSE,"Proforma Matrix (2)";#N/A,#N/A,FALSE,"Offering Summary";#N/A,#N/A,FALSE,"RE TAX"}</definedName>
    <definedName name="wrn.Print._.Package._1" hidden="1">{#N/A,#N/A,FALSE,"rent roll";#N/A,#N/A,FALSE,"I&amp;E";#N/A,#N/A,FALSE,"Sales";#N/A,#N/A,FALSE,"% rent";#N/A,#N/A,FALSE,"no leasup 96";#N/A,#N/A,FALSE,"96 Cap Matrix No Leaseup";#N/A,#N/A,FALSE,"Proforma (2)";#N/A,#N/A,FALSE,"Proforma Matrix (2)";#N/A,#N/A,FALSE,"Offering Summary";#N/A,#N/A,FALSE,"RE TAX"}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Rent._.Comps." hidden="1">{#N/A,#N/A,FALSE,"Rent 1";#N/A,#N/A,FALSE,"Rent 2";#N/A,#N/A,FALSE,"Rent 3";#N/A,#N/A,FALSE,"Rent 4";#N/A,#N/A,FALSE,"Rent 5";#N/A,#N/A,FALSE,"Rent 6";#N/A,#N/A,FALSE,"Rent 7";#N/A,#N/A,FALSE,"Rent 8"}</definedName>
    <definedName name="wrn.Print._.Report." hidden="1">{"annual",#N/A,FALSE,"Sheet2";"quarters",#N/A,FALSE,"Sheet2"}</definedName>
    <definedName name="wrn.Print._.Residential." hidden="1">{"Res Summary",#N/A,TRUE,"Residential";"Res DevBudget",#N/A,TRUE,"Residential";"Res CF Yr1&amp;2",#N/A,TRUE,"Residential";"Res CF Yr3",#N/A,TRUE,"Residential";"Res CF Yr4",#N/A,TRUE,"Residential";"Res CF Yr5",#N/A,TRUE,"Residential";"Res CF Yr6",#N/A,TRUE,"Residential";"Res CF Yr7",#N/A,TRUE,"Residential";"Res CF Yr8",#N/A,TRUE,"Residential";"Res CF Yr9",#N/A,TRUE,"Residential";"Res Detailed Yr1&amp;2",#N/A,TRUE,"Residential";"Res Detailed Yr3",#N/A,TRUE,"Residential";"Res Detailed Yr4",#N/A,TRUE,"Residential";"Res Detailed Yr5",#N/A,TRUE,"Residential";"Res Detailed Yr6",#N/A,TRUE,"Residential";"Res Detailed Yr7",#N/A,TRUE,"Residential";"Res Detailed Yr8",#N/A,TRUE,"Residential";"Res Detailed Yr9",#N/A,TRUE,"Residential";"Res D&amp;S Yr1&amp;2",#N/A,TRUE,"Residential";"Res D&amp;S Yr3",#N/A,TRUE,"Residential";"Res D&amp;S Yr4",#N/A,TRUE,"Residential";"Res D&amp;S Yr5",#N/A,TRUE,"Residential";"Res D&amp;S Yr6",#N/A,TRUE,"Residential";"Res D&amp;S Yr7",#N/A,TRUE,"Residential";"Res D&amp;S Yr8",#N/A,TRUE,"Residential"}</definedName>
    <definedName name="wrn.Print._.Retail._.Hotel._.CFD." hidden="1">{"Retail Summary",#N/A,TRUE,"Retail";"Retail Budget",#N/A,TRUE,"Retail";"Retail CF Yr1&amp;2",#N/A,TRUE,"Retail";"Retail CF Yr3",#N/A,TRUE,"Retail";"Retail CF Yr4",#N/A,TRUE,"Retail";"Retail CF Yr5",#N/A,TRUE,"Retail";"Retail CF Yr6",#N/A,TRUE,"Retail";"Retail CF Yr7",#N/A,TRUE,"Retail";"Retail CF Yr8",#N/A,TRUE,"Retail";"Retail Detailed Yr1&amp;2",#N/A,TRUE,"Retail";"Retail Detailed Yr3",#N/A,TRUE,"Retail";"Retail Detailed Yr4",#N/A,TRUE,"Retail";"Retail Detailed Yr5",#N/A,TRUE,"Retail";"Retail Detailed Yr6",#N/A,TRUE,"Retail";"Retail Detailed Yr7",#N/A,TRUE,"Retail";"Retail Detailed Yr8",#N/A,TRUE,"Retail";"Retail D&amp;S Yr1&amp;2",#N/A,TRUE,"Retail";"Retail D&amp;S Yr3",#N/A,TRUE,"Retail";"Retail D&amp;S Yr4",#N/A,TRUE,"Retail";"Retail D&amp;S Yr5",#N/A,TRUE,"Retail";"Retail D&amp;S Yr6",#N/A,TRUE,"Retail";"Retail D&amp;S Yr7",#N/A,TRUE,"Retail";"Retail D&amp;S Yr8",#N/A,TRUE,"Retail";"Hotel Yr1&amp;2",#N/A,TRUE,"Hotel";"Hotel Yr3",#N/A,TRUE,"Hotel";"Hotel Yr4",#N/A,TRUE,"Hotel";"Hotel Yr5",#N/A,TRUE,"Hotel";"CFD Yr1&amp;2",#N/A,TRUE,"CFD";"CFD Yr3",#N/A,TRUE,"CFD";"CFD Yr4",#N/A,TRUE,"CFD";"CFD Yr5",#N/A,TRUE,"CFD";"CFD Yr6",#N/A,TRUE,"CFD";"CFD Yr7",#N/A,TRUE,"CFD";"CFD Yr8",#N/A,TRUE,"CFD";"CFD Yr9",#N/A,TRUE,"CFD"}</definedName>
    <definedName name="wrn.Print._.SPHI._.Openings." hidden="1">{"Print SPHI Assumptions",#N/A,FALSE,"SPHI Openings";"Print SPHI Openings",#N/A,FALSE,"SPHI Openings"}</definedName>
    <definedName name="wrn.print._.standalone." hidden="1">{"standalone1",#N/A,FALSE,"DCFBase";"standalone2",#N/A,FALSE,"DCFBase"}</definedName>
    <definedName name="wrn.Print._.STAY._.Openings." hidden="1">{"print STAY opening assumptions",#N/A,FALSE,"STAY Openings";"print STAY openings",#N/A,FALSE,"STAY Openings"}</definedName>
    <definedName name="wrn.Print._.sum." hidden="1">{#N/A,#N/A,FALSE,"Summary Schedule";#N/A,#N/A,FALSE,"Use of Proceeds";#N/A,#N/A,FALSE,"Yield Cal";#N/A,#N/A,FALSE,"Qtrly Distributions";#N/A,#N/A,FALSE,"RATE";#N/A,#N/A,FALSE,"OPERATIONS";#N/A,#N/A,FALSE,"Draw";#N/A,#N/A,FALSE,"COMPARISON SCHEDULE";#N/A,#N/A,FALSE,"Dev. Budget";#N/A,#N/A,FALSE,"Investor10";#N/A,#N/A,FALSE,"10 year a";#N/A,#N/A,FALSE,"Assum."}</definedName>
    <definedName name="wrn.Print._.Summary." hidden="1">{"One",#N/A,FALSE,"Summary ";"Two",#N/A,FALSE,"Summary "}</definedName>
    <definedName name="wrn.Print._.Summary._.2." hidden="1">{"JVSummary",#N/A,TRUE,"10 &amp; 12 - CF";"B10&amp;12 Summary",#N/A,TRUE,"10 &amp; 12 - CF";"Hingham Summary",#N/A,TRUE,"10 &amp; 12 - CF"}</definedName>
    <definedName name="wrn.Print._.Summary._.CF._.DevSch._.Loan." hidden="1">{"Print_Summary Letter",#N/A,FALSE,"A-ProjDevAnalysis";"Print_CF_Stmt Letter",#N/A,FALSE,"A-ProjDevAnalysis";"Print_DevSch Letter",#N/A,FALSE,"A-ProjDevAnalysis";"Print_LoanCommit Letter",#N/A,FALSE,"A-ProjDevAnalysis"}</definedName>
    <definedName name="wrn.Print._.Summary._.CF._.DevSch._.Loan.1" hidden="1">{"Print_Summary Letter",#N/A,FALSE,"A-ProjDevAnalysis";"Print_CF_Stmt Letter",#N/A,FALSE,"A-ProjDevAnalysis";"Print_DevSch Letter",#N/A,FALSE,"A-ProjDevAnalysis";"Print_LoanCommit Letter",#N/A,FALSE,"A-ProjDevAnalysis"}</definedName>
    <definedName name="wrn.Print._.Summary._.Equity._.First." hidden="1">{"JVSummary",#N/A,TRUE,"Annual CF";"JV Dev Budget",#N/A,TRUE,"Annual CF";"JV Cash Flow",#N/A,TRUE,"Annual CF";"JV Net Sale Proceeds",#N/A,TRUE,"Annual CF";"JV Debt",#N/A,TRUE,"Annual CF";"B10&amp;12 Summary",#N/A,TRUE,"10 &amp; 12 - CF";"B10&amp;12 Budget",#N/A,TRUE,"Annual CF";"B10&amp;12 Dev. Costs",#N/A,TRUE,"Annual CF";"B10&amp;12 CF1",#N/A,TRUE,"Annual CF";"B10&amp;12 CF2",#N/A,TRUE,"Annual CF";"B10&amp;12 Equity First",#N/A,TRUE,"Annual CF";"Hingham Summary",#N/A,TRUE,"Annual CF";"Hinham Budget",#N/A,TRUE,"Annual CF";"Hingham Dev. Costs",#N/A,TRUE,"Annual CF";"Hingham CF1",#N/A,TRUE,"Annual CF";"Hingh CF2",#N/A,TRUE,"Annual CF";"Hingham Debt",#N/A,TRUE,"Hingham - CF"}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._.tenaska." hidden="1">{"Summary",#N/A,FALSE,"Total Project Economics";"Stmts",#N/A,FALSE,"Total Project Economics";#N/A,#N/A,FALSE,"WA Fwd Curve";#N/A,#N/A,FALSE,"O&amp;M, Fuel"}</definedName>
    <definedName name="wrn.Print._.Three._.Page._.Model." hidden="1">{"Page One",#N/A,FALSE,"Model";"Page 2",#N/A,FALSE,"Model";"Page 3",#N/A,FALSE,"Model"}</definedName>
    <definedName name="wrn.Print._.Title._.and._.Contents." hidden="1">{#N/A,#N/A,FALSE,"Title";#N/A,#N/A,FALSE,"Table"}</definedName>
    <definedName name="wrn.Print._.Venture." hidden="1">{"Venture #1",#N/A,TRUE,"Venture";"Venture #2",#N/A,TRUE,"Venture";"Budget",#N/A,TRUE,"Venture";"Venture Cash Flow",#N/A,TRUE,"Venture";"Debt Summary",#N/A,TRUE,"Venture";"Sales Proceeds",#N/A,TRUE,"Venture";"Cash Flow Split",#N/A,TRUE,"Venture"}</definedName>
    <definedName name="wrn.Print._.without._.Promote." hidden="1">{"Summary",#N/A,TRUE,"Summary";"Summary #1",#N/A,TRUE,"Summary";"Summary #2",#N/A,TRUE,"Summary";"CF",#N/A,TRUE,"Summary"}</definedName>
    <definedName name="wrn.Print1" hidden="1">{"View1",#N/A,FALSE,"Sheet1";"View2",#N/A,FALSE,"Sheet1"}</definedName>
    <definedName name="wrn.Print1." hidden="1">{"Page1",#N/A,TRUE,"Sheet1";"Page2",#N/A,TRUE,"Sheet1";"Page3",#N/A,TRUE,"Sheet1"}</definedName>
    <definedName name="wrn.print2." hidden="1">{"Assump",#N/A,TRUE,"Proforma";"first",#N/A,TRUE,"Proforma";"second",#N/A,TRUE,"Proforma";"lease1",#N/A,TRUE,"Proforma";"lease2",#N/A,TRUE,"Proforma"}</definedName>
    <definedName name="wrn.Print4" hidden="1">{"View1",#N/A,FALSE,"Sheet1";"View2",#N/A,FALSE,"Sheet1"}</definedName>
    <definedName name="wrn.print5" hidden="1">{"Assump",#N/A,TRUE,"Proforma";"first",#N/A,TRUE,"Proforma";"second",#N/A,TRUE,"Proforma";"lease1",#N/A,TRUE,"Proforma";"lease2",#N/A,TRUE,"Proforma"}</definedName>
    <definedName name="wrn.PrintAll." localSheetId="0" hidden="1">{#N/A,#N/A,FALSE,"Broker Sheet";#N/A,#N/A,FALSE,"Exec.Summary";#N/A,#N/A,FALSE,"Argus Cash Flow";#N/A,#N/A,FALSE,"SPF";#N/A,#N/A,FALSE,"RentRoll"}</definedName>
    <definedName name="wrn.PrintAll." hidden="1">{#N/A,#N/A,FALSE,"Broker Sheet";#N/A,#N/A,FALSE,"Exec.Summary";#N/A,#N/A,FALSE,"Argus Cash Flow";#N/A,#N/A,FALSE,"SPF";#N/A,#N/A,FALSE,"RentRoll"}</definedName>
    <definedName name="wrn.PrintAll._1" hidden="1">{#N/A,#N/A,FALSE,"Broker Sheet";#N/A,#N/A,FALSE,"Exec.Summary";#N/A,#N/A,FALSE,"Argus Cash Flow";#N/A,#N/A,FALSE,"SPF";#N/A,#N/A,FALSE,"RentRoll"}</definedName>
    <definedName name="wrn.PrintAll._2" hidden="1">{#N/A,#N/A,FALSE,"Broker Sheet";#N/A,#N/A,FALSE,"Exec.Summary";#N/A,#N/A,FALSE,"Argus Cash Flow";#N/A,#N/A,FALSE,"SPF";#N/A,#N/A,FALSE,"RentRoll"}</definedName>
    <definedName name="wrn.PrintAll._3" hidden="1">{#N/A,#N/A,FALSE,"Broker Sheet";#N/A,#N/A,FALSE,"Exec.Summary";#N/A,#N/A,FALSE,"Argus Cash Flow";#N/A,#N/A,FALSE,"SPF";#N/A,#N/A,FALSE,"RentRoll"}</definedName>
    <definedName name="wrn.PrintAll._4" hidden="1">{#N/A,#N/A,FALSE,"Broker Sheet";#N/A,#N/A,FALSE,"Exec.Summary";#N/A,#N/A,FALSE,"Argus Cash Flow";#N/A,#N/A,FALSE,"SPF";#N/A,#N/A,FALSE,"RentRoll"}</definedName>
    <definedName name="wrn.Printfinancialsmth." hidden="1">{"incomemth",#N/A,TRUE,"forecast00";"incomepercentmth",#N/A,TRUE,"forecast00";"balancemth",#N/A,TRUE,"forecast00";"cashmth",#N/A,TRUE,"forecast00";"covenantmth",#N/A,TRUE,"forecast00"}</definedName>
    <definedName name="wrn.Printout." hidden="1">{"Zone1",#N/A,FALSE,"Parameters";"Zone2",#N/A,FALSE,"Parameters"}</definedName>
    <definedName name="wrn.Prints._.All.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.All.1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.All.4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O." hidden="1">{#N/A,#N/A,FALSE,"COVER";#N/A,#N/A,FALSE,"Construction CF";#N/A,#N/A,FALSE,"PROFORMA";#N/A,#N/A,FALSE,"CASHFLOW"}</definedName>
    <definedName name="wrn.Pro._.Forma." hidden="1">{#N/A,#N/A,FALSE,"ACQ";#N/A,#N/A,FALSE,"ASSUMP";#N/A,#N/A,FALSE,"CASH FLOW";#N/A,#N/A,FALSE,"SALE";#N/A,#N/A,FALSE,"TIS";#N/A,#N/A,FALSE,"RENT ROLL"}</definedName>
    <definedName name="wrn.Product_Assumptions." hidden="1">{"One",#N/A,FALSE,"Product Assumptions";"Two",#N/A,FALSE,"Product Assumptions";"Three",#N/A,FALSE,"Product Assumptions";"Four",#N/A,FALSE,"Product Assumptions";"Five",#N/A,FALSE,"Product Assumptions";"Six",#N/A,FALSE,"Product Assumptions"}</definedName>
    <definedName name="wrn.Profit_and_Loss." hidden="1">{"Profit_Summary",#N/A,FALSE,"Monthly";"Profit_P2",#N/A,FALSE,"Monthly";"Profit_P3",#N/A,FALSE,"Monthly";"Profit_P4",#N/A,FALSE,"Monthly";"Profit_P5",#N/A,FALSE,"Monthly";"Profit_P6",#N/A,FALSE,"Monthly";"Profit_P7",#N/A,FALSE,"Monthly";"Profit_P8",#N/A,FALSE,"Monthly";"Profit_P9",#N/A,FALSE,"Monthly";"Profit_P10",#N/A,FALSE,"Monthly";"Profit_P11",#N/A,FALSE,"Monthly";"Profit_P12",#N/A,FALSE,"Monthly";"Profit_P13",#N/A,FALSE,"Monthly";"Profit_P14",#N/A,FALSE,"Monthly";"pROFIT_p15",#N/A,FALSE,"Monthly"}</definedName>
    <definedName name="wrn.Proforma." localSheetId="0" hidden="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forma." hidden="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forma._.2." hidden="1">{#N/A,#N/A,TRUE,"Cash Flow Proforma";#N/A,#N/A,TRUE,"Scenario Variable Cells";#N/A,#N/A,TRUE,"Proforma Assumptions";#N/A,#N/A,TRUE,"Bulk Pad and Finished Sales";#N/A,#N/A,TRUE,"Rolling Option Sales"}</definedName>
    <definedName name="wrn.Proforma._.Review." hidden="1">{#N/A,#N/A,FALSE,"Occ and Rate";#N/A,#N/A,FALSE,"PF Input";#N/A,#N/A,FALSE,"Proforma Five Yr";#N/A,#N/A,FALSE,"Hotcomps"}</definedName>
    <definedName name="wrn.Proforma._.Year._.1." hidden="1">{"Plan Information",#N/A,FALSE,"Plans"}</definedName>
    <definedName name="wrn.Proforma._1" hidden="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forma._2" hidden="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forma._3" hidden="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forma._4" hidden="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gram._.Compliance." hidden="1">{#N/A,#N/A,FALSE,"COMPLIANCE"}</definedName>
    <definedName name="wrn.Project." hidden="1">{#N/A,#N/A,TRUE,"A-site";#N/A,#N/A,TRUE,"B-Buildings";#N/A,#N/A,TRUE,"c-out-of-fence";#N/A,#N/A,TRUE,"d-proj.infr.";#N/A,#N/A,TRUE,"e- land"}</definedName>
    <definedName name="wrn.Project._.Cost._.Estimate." hidden="1">{#N/A,#N/A,FALSE,"cost";#N/A,#N/A,FALSE,"draw sched.";#N/A,#N/A,FALSE,"spread";#N/A,#N/A,FALSE,"Assumptions"}</definedName>
    <definedName name="wrn.projection." hidden="1">{#N/A,#N/A,TRUE,"TOC";#N/A,#N/A,TRUE,"GEN";#N/A,#N/A,TRUE,"FINANCING ";#N/A,#N/A,TRUE,"SYND";#N/A,#N/A,TRUE,"RENT";#N/A,#N/A,TRUE,"RENTUP";#N/A,#N/A,TRUE,"CASH";#N/A,#N/A,TRUE,"LOSS";#N/A,#N/A,TRUE,"BENEFITS";#N/A,#N/A,TRUE,"SOURCE";#N/A,#N/A,TRUE,"FLOW";#N/A,#N/A,TRUE,"TAX CREDIT";#N/A,#N/A,TRUE,"DEPREC";#N/A,#N/A,TRUE,"RESERVES";#N/A,#N/A,TRUE,"AMORT_4";#N/A,#N/A,TRUE,"UT SU ";#N/A,#N/A,TRUE,"UT FLOW";#N/A,#N/A,TRUE,"UT BRIDGE LOAN";#N/A,#N/A,TRUE,"UT LOSS";#N/A,#N/A,TRUE,"UT BENEFITS";#N/A,#N/A,TRUE,"UT FUNDED";#N/A,#N/A,TRUE,"SALES1";#N/A,#N/A,TRUE,"SALES2"}</definedName>
    <definedName name="wrn.projection.new" hidden="1">{#N/A,#N/A,TRUE,"TOC";#N/A,#N/A,TRUE,"GEN";#N/A,#N/A,TRUE,"FINANCING ";#N/A,#N/A,TRUE,"SYND";#N/A,#N/A,TRUE,"RENT";#N/A,#N/A,TRUE,"RENTUP";#N/A,#N/A,TRUE,"CASH";#N/A,#N/A,TRUE,"LOSS";#N/A,#N/A,TRUE,"BENEFITS";#N/A,#N/A,TRUE,"SOURCE";#N/A,#N/A,TRUE,"FLOW";#N/A,#N/A,TRUE,"TAX CREDIT";#N/A,#N/A,TRUE,"DEPREC";#N/A,#N/A,TRUE,"RESERVES";#N/A,#N/A,TRUE,"AMORT_4";#N/A,#N/A,TRUE,"UT SU ";#N/A,#N/A,TRUE,"UT FLOW";#N/A,#N/A,TRUE,"UT BRIDGE LOAN";#N/A,#N/A,TRUE,"UT LOSS";#N/A,#N/A,TRUE,"UT BENEFITS";#N/A,#N/A,TRUE,"UT FUNDED";#N/A,#N/A,TRUE,"SALES1";#N/A,#N/A,TRUE,"SALES2"}</definedName>
    <definedName name="wrn.Projections." hidden="1">{#N/A,#N/A,FALSE,"Release Price";#N/A,#N/A,FALSE,"Cash flow for 50 Unit";#N/A,#N/A,FALSE,"Cash Flow for 3 Models"}</definedName>
    <definedName name="wrn.Projects._.1." hidden="1">{"Project_details",#N/A,FALSE,"Projects";"Project_checks",#N/A,FALSE,"Projects";"Project_completion",#N/A,FALSE,"Projects"}</definedName>
    <definedName name="wrn.Projects._.2." hidden="1">{"Project_profit",#N/A,FALSE,"Projects";"Project_reserves",#N/A,FALSE,"Project Reserves"}</definedName>
    <definedName name="wrn.Property._.Description." hidden="1">{#N/A,#N/A,FALSE,"PROP. DESCRIPTION"}</definedName>
    <definedName name="wrn.PropertyInformation." localSheetId="0" hidden="1">{#N/A,#N/A,FALSE,"PropertyInfo"}</definedName>
    <definedName name="wrn.PropertyInformation." hidden="1">{#N/A,#N/A,FALSE,"PropertyInfo"}</definedName>
    <definedName name="wrn.PropertyInformation._1" hidden="1">{#N/A,#N/A,FALSE,"PropertyInfo"}</definedName>
    <definedName name="wrn.PropertyInformation._2" hidden="1">{#N/A,#N/A,FALSE,"PropertyInfo"}</definedName>
    <definedName name="wrn.PropertyInformation._3" hidden="1">{#N/A,#N/A,FALSE,"PropertyInfo"}</definedName>
    <definedName name="wrn.PropertyInformation._4" hidden="1">{#N/A,#N/A,FALSE,"PropertyInfo"}</definedName>
    <definedName name="wrn.Proposal." hidden="1">{"Bid",#N/A,FALSE,"Estimate";"Breakdowm",#N/A,FALSE,"Estimate"}</definedName>
    <definedName name="wrn.Prototypes." hidden="1">{"One",#N/A,FALSE,"Prototypes";"Two",#N/A,FALSE,"Prototypes";"Three",#N/A,FALSE,"Prototypes";"Four",#N/A,FALSE,"Prototypes";"Five",#N/A,FALSE,"Prototypes"}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._.1._.Forecast." hidden="1">{#N/A,#N/A,FALSE,"Forecast Cover";#N/A,#N/A,FALSE,"D.1 Bal. Sheet";#N/A,#N/A,FALSE,"D.2 Income Statement";#N/A,#N/A,FALSE,"D.3 Quarterly Forecast";#N/A,#N/A,FALSE,"E.3 Monthly Forecast Q1";#N/A,#N/A,FALSE,"E.4 Monthly Plan";#N/A,#N/A,FALSE,"E.6 1997 Monthly";#N/A,#N/A,FALSE,"E.7 Capital";#N/A,#N/A,FALSE,"E.8 Research &amp; Development";#N/A,#N/A,FALSE,"E.9 New Business Development";#N/A,#N/A,FALSE,"E.10 Tax Information"}</definedName>
    <definedName name="wrn.Quarter._.2._.Forecast." hidden="1">{#N/A,#N/A,FALSE,"Forecast Cover";#N/A,#N/A,FALSE,"D.1 Bal. Sheet";#N/A,#N/A,FALSE,"D.2 Income Statement";#N/A,#N/A,FALSE,"D.3 Quarterly Forecast";#N/A,#N/A,FALSE,"E.2 Monthly Forecast Q2";#N/A,#N/A,FALSE,"E.7 Capital";#N/A,#N/A,FALSE,"E.8 Research &amp; Development";#N/A,#N/A,FALSE,"E.9 New Business Development";#N/A,#N/A,FALSE,"E.10 Tax Information"}</definedName>
    <definedName name="wrn.Quarter._.3._.Forecast." hidden="1">{#N/A,#N/A,FALSE,"Forecast Cover";#N/A,#N/A,FALSE,"D.1 Bal. Sheet";#N/A,#N/A,FALSE,"D.2 Income Statement";#N/A,#N/A,FALSE,"D.3 Quarterly Forecast";#N/A,#N/A,FALSE,"E.1 Monthly Forecast Q3";#N/A,#N/A,FALSE,"E.7 Capital";#N/A,#N/A,FALSE,"E.8 Research &amp; Development";#N/A,#N/A,FALSE,"E.9 New Business Development";#N/A,#N/A,FALSE,"E.10 Tax Information"}</definedName>
    <definedName name="wrn.Quarterly." hidden="1">{"Summary Page 1",#N/A,TRUE,"Quarterly";"Annual Page 1",#N/A,TRUE,"Quarterly";"Quarterly 1",#N/A,TRUE,"Quarterly";"Quarterly 2",#N/A,TRUE,"Quarterly"}</definedName>
    <definedName name="wrn.Quarterly._.Cash._.Flows." hidden="1">{"CF Waterfall",#N/A,TRUE,"CF Waterfall";"CombinedBiz CF",#N/A,TRUE,"CombinedBiz";"ExistingBiz CF",#N/A,TRUE,"ExistingBiz";"NewBiz CF",#N/A,TRUE,"NewBiz"}</definedName>
    <definedName name="wrn.Quarterly._.Consolidation._.Report." hidden="1">{#N/A,#N/A,FALSE,"Front Cover";#N/A,#N/A,FALSE,"B.1 Bal. Sheet";#N/A,#N/A,FALSE,"B.2 Income and Ret. Erngs.";#N/A,#N/A,FALSE,"B.3 Cash Flows";#N/A,#N/A,FALSE,"B.4  Performance Measures";#N/A,#N/A,FALSE,"B.5  Perf Measures Data";#N/A,#N/A,FALSE,"C.1 Sup Sch 1";#N/A,#N/A,FALSE,"C.2 Sup Sch 2";#N/A,#N/A,FALSE,"C.3 Sup Sch 3";#N/A,#N/A,FALSE,"C.4 Sup Sch 4";#N/A,#N/A,FALSE,"C.5 Sup Sch 5";#N/A,#N/A,FALSE,"C.6 Sup Sch 6";#N/A,#N/A,FALSE,"C.7 Sup Sch 7";#N/A,#N/A,FALSE,"C.8 Sup Sch 8";#N/A,#N/A,FALSE,"C.9 Sup Sch 9";#N/A,#N/A,FALSE,"C.10 Sup Sch 10";#N/A,#N/A,FALSE,"C.11 Sup Sch 11";#N/A,#N/A,FALSE,"C.12 Sup Sch 12";#N/A,#N/A,FALSE,"C.13 Sup Sch 13";#N/A,#N/A,FALSE,"C.14 Sup Sch 14";#N/A,#N/A,FALSE,"C.15 Sup Sch 15";#N/A,#N/A,FALSE,"C.16 Other Supp. Info.";#N/A,#N/A,FALSE,"C.17 SCF Proof"}</definedName>
    <definedName name="wrn.Quarterly._.Fund._.Model." hidden="1">{#N/A,#N/A,FALSE,"Quarterly Fund"}</definedName>
    <definedName name="wrn.Quarterly._.Reporting._.Package._.Exec." hidden="1">{#N/A,#N/A,FALSE,"RP - Titlepage Exec";#N/A,#N/A,FALSE,"balance sheet";#N/A,#N/A,FALSE,"income statement";#N/A,#N/A,FALSE,"statement of cashflows";#N/A,#N/A,FALSE,"statement of ret earnings";#N/A,#N/A,FALSE,"RP - MBSF";#N/A,#N/A,FALSE,"RP - EPS Calc";#N/A,#N/A,FALSE,"RP - EPS Comp";#N/A,#N/A,FALSE,"RP - Goodwill";#N/A,#N/A,FALSE,"RP - Minority Interest";#N/A,#N/A,FALSE,"RP - Revenues";#N/A,#N/A,FALSE,"RP - Rev and OI";#N/A,#N/A,FALSE,"RP - Debt and Cash";#N/A,#N/A,FALSE,"RP - Corp Measures";#N/A,#N/A,FALSE,"RP - Investment Board"}</definedName>
    <definedName name="wrn.Quarterly._.Reporting._.Package._.File." hidden="1">{#N/A,#N/A,FALSE,"balance sheet";#N/A,#N/A,FALSE,"income statement";#N/A,#N/A,FALSE,"statement of cashflows";#N/A,#N/A,FALSE,"statement of ret earnings";#N/A,#N/A,FALSE,"RP - Titlepage";#N/A,#N/A,FALSE,"RP - MBSF";#N/A,#N/A,FALSE,"RP - EPS Calc";#N/A,#N/A,FALSE,"RP - EPS Comp";#N/A,#N/A,FALSE,"RP - Invest Income";#N/A,#N/A,FALSE,"RP - Interest";#N/A,#N/A,FALSE,"RP - Goodwill";#N/A,#N/A,FALSE,"RP - Minority Interest";#N/A,#N/A,FALSE,"RP - Revenues";#N/A,#N/A,FALSE,"RP - Rev and OI";#N/A,#N/A,FALSE,"RP - Debt and Cash";#N/A,#N/A,FALSE,"RP - Corp Measures";#N/A,#N/A,FALSE,"RP - Corp Meas Data";#N/A,#N/A,FALSE,"RP - Investment Board";#N/A,#N/A,FALSE,"RP - Investment Exec Equity";#N/A,#N/A,FALSE,"RP - Investment Exec Cost"}</definedName>
    <definedName name="wrn.Quarterly._.Summary." hidden="1">{"qtrl1",#N/A,TRUE,"Annual Summary";"qtrl2",#N/A,TRUE,"Annual Summary";"qtrl3",#N/A,TRUE,"Annual Summary";"qtrl4",#N/A,TRUE,"QTLY Summary";"qtrl5",#N/A,TRUE,"QTLY Summary";"qtrl6",#N/A,TRUE,"QTLY Summary"}</definedName>
    <definedName name="wrn.QUICK." hidden="1">{"ASSUMPTIONS",#N/A,FALSE,"ASSUMPTIONS";"SOURCE USE",#N/A,FALSE,"SOURCE &amp; USE";"COMPLETION LEASEUP",#N/A,FALSE,"CO's &amp; LEASE-UP";"TAX CREDITS",#N/A,FALSE,"TAX CREDITS";"BASE NOI",#N/A,FALSE,"BASE NOI";"PROJECTED NOI",#N/A,FALSE,"PROJECTED NOI";"AMORTIZATION DEPREC",#N/A,FALSE,"AMORT &amp; DEPREC";"PROJECTED CASHFLOW",#N/A,FALSE,"CASH";"CAPITAL ACCT",#N/A,FALSE,"CAPITAL ACCOUNT";"TAXABLE INCOME",#N/A,FALSE,"TAXABLE";"ANNUAL BENEFITS",#N/A,FALSE,"ANNUAL BENEFITS";"QIRR ONE",#N/A,FALSE,"QIRR";"QIRR TWO",#N/A,FALSE,"QIRR"}</definedName>
    <definedName name="wrn.Quick._.Print." hidden="1">{#N/A,#N/A,TRUE,"Summary";#N/A,#N/A,TRUE,"Cost Summary (inflated)";#N/A,#N/A,TRUE,"Timeline";#N/A,#N/A,TRUE,"Res. Summary";#N/A,#N/A,TRUE,"Residential";#N/A,#N/A,TRUE,"Retail Summary";#N/A,#N/A,TRUE,"Retail ";#N/A,#N/A,TRUE,"Dev Expense Detail";#N/A,#N/A,TRUE,"Promote"}</definedName>
    <definedName name="wrn.Rani." hidden="1">{"Venture Summary",#N/A,FALSE,"Summary";"PI Summary",#N/A,FALSE,"PI Summary";#N/A,#N/A,FALSE,"BI Leasing";"PII Summary",#N/A,FALSE,"PII Summary";#N/A,#N/A,FALSE,"BII Leasing"}</definedName>
    <definedName name="wrn.Rapport." hidden="1">{#N/A,#N/A,FALSE,"SHEET1";#N/A,#N/A,FALSE,"SHEET2";#N/A,#N/A,FALSE,"SHEET3";#N/A,#N/A,FALSE,"SHEET4"}</definedName>
    <definedName name="wrn.rate." hidden="1">{"RATES",#N/A,FALSE,"RECOVERY RATES";"CONTRIBUTIONS",#N/A,FALSE,"RECOVERY RATES";"GLA CATEGORY SUMMARY",#N/A,FALSE,"RECOVERY RATES"}</definedName>
    <definedName name="wrn.RATES." hidden="1">{"RATES",#N/A,FALSE,"RECOVERY RATES";"CONTRIBUTIONS",#N/A,FALSE,"RECOVERY RATES";"GLA CATEGORY SUMMARY",#N/A,FALSE,"RECOVERY RATES"}</definedName>
    <definedName name="wrn.Realis." hidden="1">{"Realis Cover",#N/A,TRUE,"Sheet1";"R Value",#N/A,TRUE,"Sheet1";"R Sensitivity",#N/A,TRUE,"Sheet1";"R Prop Cash Flow",#N/A,TRUE,"Property Summary";"R Pship CF",#N/A,TRUE,"Sheet1";"R Equity DCF",#N/A,TRUE,"Sheet1";"R Pship Distributions",#N/A,TRUE,"Sheet1";"R MIR Splits",#N/A,TRUE,"Sheet1";"R Assumptions",#N/A,TRUE,"Sheet1"}</definedName>
    <definedName name="wrn.Realis._1" hidden="1">{"Realis Cover",#N/A,TRUE,"Sheet1";"R Value",#N/A,TRUE,"Sheet1";"R Sensitivity",#N/A,TRUE,"Sheet1";"R Prop Cash Flow",#N/A,TRUE,"Property Summary";"R Pship CF",#N/A,TRUE,"Sheet1";"R Equity DCF",#N/A,TRUE,"Sheet1";"R Pship Distributions",#N/A,TRUE,"Sheet1";"R MIR Splits",#N/A,TRUE,"Sheet1";"R Assumptions",#N/A,TRUE,"Sheet1"}</definedName>
    <definedName name="wrn.Realis._2" hidden="1">{"Realis Cover",#N/A,TRUE,"Sheet1";"R Value",#N/A,TRUE,"Sheet1";"R Sensitivity",#N/A,TRUE,"Sheet1";"R Prop Cash Flow",#N/A,TRUE,"Property Summary";"R Pship CF",#N/A,TRUE,"Sheet1";"R Equity DCF",#N/A,TRUE,"Sheet1";"R Pship Distributions",#N/A,TRUE,"Sheet1";"R MIR Splits",#N/A,TRUE,"Sheet1";"R Assumptions",#N/A,TRUE,"Sheet1"}</definedName>
    <definedName name="wrn.Realis._3" hidden="1">{"Realis Cover",#N/A,TRUE,"Sheet1";"R Value",#N/A,TRUE,"Sheet1";"R Sensitivity",#N/A,TRUE,"Sheet1";"R Prop Cash Flow",#N/A,TRUE,"Property Summary";"R Pship CF",#N/A,TRUE,"Sheet1";"R Equity DCF",#N/A,TRUE,"Sheet1";"R Pship Distributions",#N/A,TRUE,"Sheet1";"R MIR Splits",#N/A,TRUE,"Sheet1";"R Assumptions",#N/A,TRUE,"Sheet1"}</definedName>
    <definedName name="wrn.Recovery._.Calcs." hidden="1">{#N/A,#N/A,FALSE,"Recovery Calcs"}</definedName>
    <definedName name="wrn.RECURRING." hidden="1">{#N/A,#N/A,FALSE,"Summary"}</definedName>
    <definedName name="wrn.Rehab." hidden="1">{#N/A,#N/A,TRUE,"Total Acquisition and Rehab ";#N/A,#N/A,TRUE,"Summary of Hard Costs";#N/A,#N/A,TRUE,"Summary-Interior Scope of Work";#N/A,#N/A,TRUE,"Cementious Decks";#N/A,#N/A,TRUE,"Finish Trim";#N/A,#N/A,TRUE,"Balcony Waterproofing";#N/A,#N/A,TRUE,"Doors and Hardware";#N/A,#N/A,TRUE,"Drywall";#N/A,#N/A,TRUE,"Tile";#N/A,#N/A,TRUE,"Flooring";#N/A,#N/A,TRUE,"Painting";#N/A,#N/A,TRUE,"Identifying, Shelving &amp; Mirrors";#N/A,#N/A,TRUE,"Appliances";#N/A,#N/A,TRUE,"Cabinets and Countertops";#N/A,#N/A,TRUE,"Window Treatments";#N/A,#N/A,TRUE,"Plumbing";#N/A,#N/A,TRUE,"HVAC";#N/A,#N/A,TRUE,"Electrical"}</definedName>
    <definedName name="wrn.Rehab._.Projects." hidden="1">{#N/A,#N/A,FALSE,"Bankside Village Apartments";#N/A,#N/A,FALSE,"Stoneridge Apartments"}</definedName>
    <definedName name="wrn.Relevant._.Sections." localSheetId="0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levant._.Sections.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levant._.Sections._1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levant._.Sections._2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levant._.Sections._3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levant._.Sections._4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LEVANTSHEETS." hidden="1">{#N/A,#N/A,FALSE,"AD_Purch";#N/A,#N/A,FALSE,"Projections";#N/A,#N/A,FALSE,"DCF";#N/A,#N/A,FALSE,"Mkt Val"}</definedName>
    <definedName name="wrn.Remaining._.Obligation." hidden="1">{#N/A,#N/A,FALSE,"Summary (Oblg)";#N/A,#N/A,FALSE,"41 Mad (27&amp;28)";#N/A,#N/A,FALSE,"41 Mad (29-1)";#N/A,#N/A,FALSE,"41 Mad (29-2A)";#N/A,#N/A,FALSE,"41 Mad (29-2B)";#N/A,#N/A,FALSE,"41 Mad (30)";#N/A,#N/A,FALSE,"41 Mad (42)"}</definedName>
    <definedName name="wrn.Renovation." hidden="1">{#N/A,#N/A,FALSE,"loan analysis";#N/A,#N/A,FALSE,"Draw Schedule";#N/A,#N/A,FALSE,"Cost";#N/A,#N/A,FALSE,"unit mix";#N/A,#N/A,FALSE,"proforma";#N/A,#N/A,FALSE,"Spread";#N/A,#N/A,FALSE,"Assumptions";#N/A,#N/A,FALSE,"Summary"}</definedName>
    <definedName name="wrn.Rent._.Assumptions." hidden="1">{"Rent_Assumptions",#N/A,FALSE,"Sheet1"}</definedName>
    <definedName name="wrn.Rent._.Changes._.Per._.Unit." hidden="1">{"Rent_ChangesPerUnit",#N/A,FALSE,"Sheet1"}</definedName>
    <definedName name="wrn.Rent._.Changes._.Total." hidden="1">{"Rent_ChangesTotal",#N/A,FALSE,"Sheet1"}</definedName>
    <definedName name="wrn.Rent._.Roll." hidden="1">{#N/A,#N/A,FALSE,"Rent Roll"}</definedName>
    <definedName name="wrn.Rent._.Totals." hidden="1">{"Rent_Totals",#N/A,FALSE,"Sheet1"}</definedName>
    <definedName name="wrn.Rental._.Scenario." hidden="1">{#N/A,#N/A,TRUE,"Summary";#N/A,#N/A,TRUE,"Rental Summary";#N/A,#N/A,TRUE,"Budget";#N/A,#N/A,TRUE,"Assumptions";#N/A,#N/A,TRUE,"Financing"}</definedName>
    <definedName name="wrn.RentRoll." hidden="1">{"CurrentRentRoll",#N/A,FALSE,"Graph &amp; Rent Roll"}</definedName>
    <definedName name="wrn.Repayments." hidden="1">{"One",#N/A,FALSE,"Repayments";"Two",#N/A,FALSE,"Repayments"}</definedName>
    <definedName name="wrn.report" hidden="1">{#N/A,#N/A,FALSE,"Loan Summary";#N/A,#N/A,FALSE,"NOI";"RR and Expir",#N/A,FALSE,"Rental";"Sales History",#N/A,FALSE,"Rental";#N/A,#N/A,FALSE,"Reserves"}</definedName>
    <definedName name="wrn.REPORT_1." localSheetId="0" hidden="1">{"SIMPLIFD_P1",#N/A,FALSE,"SIMPLIFD"}</definedName>
    <definedName name="wrn.REPORT_1." hidden="1">{"SIMPLIFD_P1",#N/A,FALSE,"SIMPLIFD"}</definedName>
    <definedName name="wrn.REPORT_1._1" hidden="1">{"SIMPLIFD_P1",#N/A,FALSE,"SIMPLIFD"}</definedName>
    <definedName name="wrn.REPORT_1._2" hidden="1">{"SIMPLIFD_P1",#N/A,FALSE,"SIMPLIFD"}</definedName>
    <definedName name="wrn.REPORT_1._3" hidden="1">{"SIMPLIFD_P1",#N/A,FALSE,"SIMPLIFD"}</definedName>
    <definedName name="wrn.REPORT_1._4" hidden="1">{"SIMPLIFD_P1",#N/A,FALSE,"SIMPLIFD"}</definedName>
    <definedName name="wrn.Report." localSheetId="0" hidden="1">{#N/A,#N/A,FALSE,"Summary";#N/A,#N/A,FALSE,"Assumptions";#N/A,#N/A,FALSE,"Notes";#N/A,#N/A,FALSE,"Cash Flow";#N/A,#N/A,FALSE,"Eff. Rent Detail";#N/A,#N/A,FALSE,"Residual";#N/A,#N/A,FALSE,"Value Matrix";#N/A,#N/A,FALSE,"Pro Forma";#N/A,#N/A,FALSE,"Historical Op";#N/A,#N/A,FALSE,"Value Comp";#N/A,#N/A,FALSE,"Matrices"}</definedName>
    <definedName name="wrn.Report." hidden="1">{#N/A,#N/A,FALSE,"Summary";#N/A,#N/A,FALSE,"Assumptions";#N/A,#N/A,FALSE,"Notes";#N/A,#N/A,FALSE,"Cash Flow";#N/A,#N/A,FALSE,"Eff. Rent Detail";#N/A,#N/A,FALSE,"Residual";#N/A,#N/A,FALSE,"Value Matrix";#N/A,#N/A,FALSE,"Pro Forma";#N/A,#N/A,FALSE,"Historical Op";#N/A,#N/A,FALSE,"Value Comp";#N/A,#N/A,FALSE,"Matrices"}</definedName>
    <definedName name="wrn.Report._.Detail." hidden="1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._.FOR._.CCA." hidden="1">{"CCA",#N/A,FALSE,"INPUT";"Pricing","CCA",FALSE,"Pricing";"Rent","CCA",FALSE,"Rent,Exp";"Fund Flow",#N/A,FALSE,"Fund Flow"}</definedName>
    <definedName name="wrn.REPORT._.FOR._.FA." hidden="1">{"Report for FA","FA",FALSE,"Benefits"}</definedName>
    <definedName name="wrn.REPORT._.FOR._.LUS." hidden="1">{#N/A,#N/A,FALSE,"LeaseData";"Rent",#N/A,FALSE,"Rent,Exp"}</definedName>
    <definedName name="wrn.Report._.I." hidden="1">{#N/A,#N/A,FALSE,"Assumptions";#N/A,#N/A,FALSE,"Promote Assumptions";#N/A,#N/A,FALSE,"Residual Analysis";#N/A,#N/A,FALSE,"ROC";#N/A,#N/A,FALSE,"Project Costs";#N/A,#N/A,FALSE,"Annual CF";#N/A,#N/A,FALSE,"Stab Proforma"}</definedName>
    <definedName name="wrn.Report._.Package." hidden="1">{#N/A,#N/A,FALSE,"RESIDENTIAL";#N/A,#N/A,FALSE,"DEVMT_is";#N/A,#N/A,FALSE,"DEVELOPMENT";#N/A,#N/A,FALSE,"CAPITALIZED"}</definedName>
    <definedName name="wrn.Report._.Tables." hidden="1">{"Penetration Analysis",#N/A,FALSE,"Comp.&amp; Market Penet.";"ADR Analysis",#N/A,FALSE,"Comp.&amp; Market Penet.";"New Supply",#N/A,FALSE,"Comp.&amp; Market Penet.";"MArket Occupancy",#N/A,FALSE,"Comp.&amp; Market Penet.";"Primarily Competition",#N/A,FALSE,"Comp.&amp; Market Penet."}</definedName>
    <definedName name="wrn.Report._1" hidden="1">{#N/A,#N/A,FALSE,"Summary";#N/A,#N/A,FALSE,"Assumptions";#N/A,#N/A,FALSE,"Notes";#N/A,#N/A,FALSE,"Cash Flow";#N/A,#N/A,FALSE,"Eff. Rent Detail";#N/A,#N/A,FALSE,"Residual";#N/A,#N/A,FALSE,"Value Matrix";#N/A,#N/A,FALSE,"Pro Forma";#N/A,#N/A,FALSE,"Historical Op";#N/A,#N/A,FALSE,"Value Comp";#N/A,#N/A,FALSE,"Matrices"}</definedName>
    <definedName name="wrn.Report._2" hidden="1">{#N/A,#N/A,FALSE,"Summary";#N/A,#N/A,FALSE,"Assumptions";#N/A,#N/A,FALSE,"Notes";#N/A,#N/A,FALSE,"Cash Flow";#N/A,#N/A,FALSE,"Eff. Rent Detail";#N/A,#N/A,FALSE,"Residual";#N/A,#N/A,FALSE,"Value Matrix";#N/A,#N/A,FALSE,"Pro Forma";#N/A,#N/A,FALSE,"Historical Op";#N/A,#N/A,FALSE,"Value Comp";#N/A,#N/A,FALSE,"Matrices"}</definedName>
    <definedName name="wrn.Report._3" hidden="1">{#N/A,#N/A,FALSE,"Summary";#N/A,#N/A,FALSE,"Assumptions";#N/A,#N/A,FALSE,"Notes";#N/A,#N/A,FALSE,"Cash Flow";#N/A,#N/A,FALSE,"Eff. Rent Detail";#N/A,#N/A,FALSE,"Residual";#N/A,#N/A,FALSE,"Value Matrix";#N/A,#N/A,FALSE,"Pro Forma";#N/A,#N/A,FALSE,"Historical Op";#N/A,#N/A,FALSE,"Value Comp";#N/A,#N/A,FALSE,"Matrices"}</definedName>
    <definedName name="wrn.Report._4" hidden="1">{#N/A,#N/A,FALSE,"Summary";#N/A,#N/A,FALSE,"Assumptions";#N/A,#N/A,FALSE,"Notes";#N/A,#N/A,FALSE,"Cash Flow";#N/A,#N/A,FALSE,"Eff. Rent Detail";#N/A,#N/A,FALSE,"Residual";#N/A,#N/A,FALSE,"Value Matrix";#N/A,#N/A,FALSE,"Pro Forma";#N/A,#N/A,FALSE,"Historical Op";#N/A,#N/A,FALSE,"Value Comp";#N/A,#N/A,FALSE,"Matrices"}</definedName>
    <definedName name="wrn.report.Irr" hidden="1">{#N/A,#N/A,FALSE,"Loan Summary";#N/A,#N/A,FALSE,"NOI";"RR and Expir",#N/A,FALSE,"Rental";"Sales History",#N/A,FALSE,"Rental";#N/A,#N/A,FALSE,"Reserves"}</definedName>
    <definedName name="wrn.Report1.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2" hidden="1">{#N/A,#N/A,FALSE,"Loan Summary";#N/A,#N/A,FALSE,"NOI";"RR and Expir",#N/A,FALSE,"Rental";"Sales History",#N/A,FALSE,"Rental";#N/A,#N/A,FALSE,"Reserves"}</definedName>
    <definedName name="wrn.Report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s." hidden="1">{#N/A,#N/A,FALSE,"Project Summary";#N/A,#N/A,FALSE,"Parameter Summary";#N/A,#N/A,FALSE,"Budget Control Report";#N/A,#N/A,FALSE,"DETAIL.XLS"}</definedName>
    <definedName name="wrn.Residential." hidden="1">{"ResSum1",#N/A,TRUE,"Ent &amp; Inf";"ResSum2",#N/A,TRUE,"Ent &amp; Inf";"ResCF1",#N/A,TRUE,"Ent &amp; Inf";"Res Monthly CF1",#N/A,TRUE,"Ent &amp; Inf";"Res MonthlyCF2",#N/A,TRUE,"Ent &amp; Inf"}</definedName>
    <definedName name="wrn.Residential._.Summary." hidden="1">{"Residential Summary",#N/A,TRUE,"Summary";"Residential Budget",#N/A,TRUE,"Summary";"Residential Cash Flow",#N/A,TRUE,"Summary";"Residential Project Costs",#N/A,TRUE,"Summary"}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tail." hidden="1">{"DSSum1",#N/A,TRUE,"Ent &amp; Inf";"DSSum2",#N/A,TRUE,"Ent &amp; Inf";"DSSales",#N/A,TRUE,"Ent &amp; Inf";"DSDebt",#N/A,TRUE,"Ent &amp; Inf";"DS Monthly CF1",#N/A,TRUE,"Ent &amp; Inf";"DS MonthlyCF2",#N/A,TRUE,"Ent &amp; Inf";"DS MonthlyCF3",#N/A,TRUE,"Ent &amp; Inf"}</definedName>
    <definedName name="wrn.Retail._.Summary." hidden="1">{"Retail Summary",#N/A,TRUE,"Summary";"Retail Development Budget",#N/A,TRUE,"Summary";"Retail Cash Flow",#N/A,TRUE,"Summary";"Retail Development Costs and NOI",#N/A,TRUE,"Summary";"Retail Detailed Project Costs",#N/A,TRUE,"Summary"}</definedName>
    <definedName name="wrn.Review._.Area._.Report._.2._.Areas." hidden="1">{"Line Item Estimate - Review Area 2 View",#N/A,FALSE,"Line Item Estimate";"Line Item Estimate - Review Area 1 View",#N/A,FALSE,"Line Item Estimate";"Line Item Estimate - Review Total View",#N/A,FALSE,"Line Item Estimate"}</definedName>
    <definedName name="wrn.Review._.Area._.Report._.3._.Areas." hidden="1">{"Line Item Estimate - Review Area 1 View",#N/A,FALSE,"Line Item Estimate";"Line Item Estimate - Review Area 2 View",#N/A,FALSE,"Line Item Estimate";"Line Item Estimate - Review Area 3 View",#N/A,FALSE,"Line Item Estimate";"Line Item Estimate - Review Total View",#N/A,FALSE,"Line Item Estimate"}</definedName>
    <definedName name="wrn.Review._.Area._.Report._.4._.Areas." hidden="1">{"Line Item Estimate - Review Area 1 View",#N/A,FALSE,"Line Item Estimate";"Line Item Estimate - Review Area 2 View",#N/A,FALSE,"Line Item Estimate";"Line Item Estimate - Review Area 3 View",#N/A,FALSE,"Line Item Estimate";"Line Item Estimate - Review Area 4 View",#N/A,FALSE,"Line Item Estimate";"Line Item Estimate - Review Total View",#N/A,FALSE,"Line Item Estimate"}</definedName>
    <definedName name="wrn.Review._.Area._.Report._.5._.Areas." hidden="1">{"Line Item Estimate - Review Area 1 View",#N/A,FALSE,"Line Item Estimate";"Line Item Estimate - Review Area 2 View",#N/A,FALSE,"Line Item Estimate";"Line Item Estimate - Review Area 3 View",#N/A,FALSE,"Line Item Estimate";"Line Item Estimate - Review Area 4 View",#N/A,FALSE,"Line Item Estimate";"Line Item Estimate - Review Area 5 View",#N/A,FALSE,"Line Item Estimate";"Line Item Estimate - Review Total View",#N/A,FALSE,"Line Item Estimate"}</definedName>
    <definedName name="wrn.Review._.File." hidden="1">{"Venture Summary",#N/A,FALSE,"Summary";"Operating Assumptions",#N/A,FALSE,"Summary";"Development Budget",#N/A,FALSE,"Summary";"Annual",#N/A,FALSE,"Annual";"DevPF",#N/A,FALSE,"DevPF"}</definedName>
    <definedName name="wrn.Review._.Total._.Report." hidden="1">{"Line Item Estimate - Review Total View",#N/A,FALSE,"Line Item Estimate"}</definedName>
    <definedName name="wrn.RFP." hidden="1">{"RFP 1",#N/A,FALSE,"Summary (RFP)";"RFP 2",#N/A,FALSE,"Summary (RFP)";"RFP 3",#N/A,FALSE,"Summary (RFP)";"RFP 4",#N/A,FALSE,"Summary (RFP)";"RFP 5",#N/A,FALSE,"Summary (RFP)";"RFP 6",#N/A,FALSE,"Budget"}</definedName>
    <definedName name="wrn.Rmgmtfee." hidden="1">{#N/A,#N/A,FALSE,"Rmgmtfee"}</definedName>
    <definedName name="wrn.Roll_Out." hidden="1">{"One",#N/A,FALSE,"Roll-out";"Two",#N/A,FALSE,"Roll-out";"Three",#N/A,FALSE,"Roll-out";"Four",#N/A,FALSE,"Roll-out";"Five",#N/A,FALSE,"Roll-out"}</definedName>
    <definedName name="wrn.Roll._.Up._.Fields." hidden="1">{"Total",#N/A,FALSE,"Six Fields";"PDP",#N/A,FALSE,"Six Fields";"PNP",#N/A,FALSE,"Six Fields";"PUD",#N/A,FALSE,"Six Fields";"Prob",#N/A,FALSE,"Six Fields"}</definedName>
    <definedName name="wrn.rollup." hidden="1">{"page1",#N/A,FALSE,"rollup"}</definedName>
    <definedName name="wrn.Roof._.Report." hidden="1">{"Roofs Page 1",#N/A,FALSE,"Roof Outline";"Roofs Page 2",#N/A,FALSE,"Roof Outline"}</definedName>
    <definedName name="wrn.rpt96." hidden="1">{"rmrev1",#N/A,FALSE,"Forecast96";"rmrev2",#N/A,FALSE,"Forecast96";"rmrev3",#N/A,FALSE,"Forecast96"}</definedName>
    <definedName name="wrn.RRDOMINION._.TOWER." hidden="1">{#N/A,#N/A,FALSE,"Title Pg.- Summary of Rent Roll";#N/A,#N/A,FALSE,"SUMMARY OF RENT ROLL";#N/A,#N/A,FALSE,"SUMMARY OF FLOOR AREAS";#N/A,#N/A,FALSE,"Title Pg. - Rent Roll";#N/A,#N/A,FALSE,"RETAIL SECTION";#N/A,#N/A,FALSE,"OFFICES";#N/A,#N/A,FALSE,"STORAGE";#N/A,#N/A,FALSE,"MISCELLANEOUS";#N/A,#N/A,FALSE,"Title Pg.Rental Income Analysis";#N/A,#N/A,FALSE,"RENTAL INCOME ANALYSIS";#N/A,#N/A,FALSE,"Title Pg.-Lease Expirations";#N/A,#N/A,FALSE,"LEASE EXPIRATIONS"}</definedName>
    <definedName name="wrn.RV._.SAR." hidden="1">{#N/A,#N/A,FALSE,"COVER";#N/A,#N/A,FALSE,"WEEKLY SUMMARY";"RiverView I",#N/A,FALSE,"EAST TOWER";#N/A,#N/A,FALSE,"WEST TOWER";"Parking",#N/A,FALSE,"EAST TOWER"}</definedName>
    <definedName name="wrn.sales." hidden="1">{"sales",#N/A,FALSE,"Sales";"sales existing",#N/A,FALSE,"Sales";"sales rd1",#N/A,FALSE,"Sales";"sales rd2",#N/A,FALSE,"Sales"}</definedName>
    <definedName name="wrn.Sales._.Information." hidden="1">{#N/A,#N/A,FALSE,"Cover Page";#N/A,#N/A,FALSE,"Table of Contents";#N/A,#N/A,FALSE,"Investment-Acquisition Costs";#N/A,#N/A,FALSE,"Financing Assumptions";#N/A,#N/A,FALSE,"Proforma Assumptions";#N/A,#N/A,FALSE,"Rent Roll";#N/A,#N/A,FALSE,"Taxes and Assessments"}</definedName>
    <definedName name="wrn.Sales._.Package._.MPS._.01." hidden="1">{#N/A,#N/A,FALSE,"Cover Page";#N/A,#N/A,FALSE,"Table of Contents";#N/A,#N/A,FALSE,"Executive Summary";#N/A,#N/A,FALSE,"Investment-Acquisition Costs";#N/A,#N/A,FALSE,"Financing Assumptions";#N/A,#N/A,FALSE,"Rent Roll";#N/A,#N/A,FALSE,"Taxes and Assessments"}</definedName>
    <definedName name="wrn.SAMPLE." hidden="1">{"JPM1",#N/A,FALSE,"TI_All Projects"}</definedName>
    <definedName name="wrn.Savannah._.Place." hidden="1">{#N/A,#N/A,FALSE,"Investment Analysis ";#N/A,#N/A,FALSE,"Savannah Place"}</definedName>
    <definedName name="wrn.SB_PRES." hidden="1">{#N/A,#N/A,TRUE,"Sheet16"}</definedName>
    <definedName name="wrn.SBU._.STEERIN." hidden="1">{"TOTALS",#N/A,FALSE,"Consolidating Income Statement";"MONTHS",#N/A,FALSE,"Ag";"QTRS",#N/A,FALSE,"Ag";"MONTHS",#N/A,FALSE,"Turf";"QTRS",#N/A,FALSE,"Turf";"MONTHS",#N/A,FALSE,"Industrial";"QTRS",#N/A,FALSE,"Industrial";"MONTHS",#N/A,FALSE,"Parts";"QTRS",#N/A,FALSE,"Parts"}</definedName>
    <definedName name="wrn.Scenario." hidden="1">{"scen1",#N/A,FALSE,"Scenarios";"scen2",#N/A,FALSE,"Scenarios"}</definedName>
    <definedName name="wrn.Scenario._.Summary._.Comparisons." hidden="1">{#N/A,"Rolling Option",FALSE,"Scenario Variable Cells";"Legal Internal",#N/A,FALSE,"Cash Flow Proforma";#N/A,"Pad &amp; Roll",FALSE,"Scenario Variable Cells";"Legal Internal",#N/A,FALSE,"Cash Flow Proforma";#N/A,"SuperPads",FALSE,"Scenario Variable Cells";"Legal Internal",#N/A,FALSE,"Cash Flow Proforma";#N/A,"Finished",FALSE,"Scenario Variable Cells";"Legal Internal",#N/A,FALSE,"Cash Flow Proforma"}</definedName>
    <definedName name="wrn.SCHAs." hidden="1">{"ACCOUNTING COPY",#N/A,FALSE,"SCHEDULE A";"FINANCE COPY",#N/A,FALSE,"SCHEDULE A";"P.L. COPY",#N/A,FALSE,"SCHEDULE A"}</definedName>
    <definedName name="wrn.schas2" hidden="1">{"ACCOUNTING COPY",#N/A,FALSE,"SCHEDULE A";"FINANCE COPY",#N/A,FALSE,"SCHEDULE A";"P.L. COPY",#N/A,FALSE,"SCHEDULE A"}</definedName>
    <definedName name="wrn.SCHEDULE" hidden="1">{"SCHEDULE",#N/A,FALSE,"Fin_sched"}</definedName>
    <definedName name="wrn.Schedule_1A." hidden="1">{"Schedule_IA",#N/A,FALSE,"I-A"}</definedName>
    <definedName name="wrn.Schedule_1B." hidden="1">{"Schedule_1B",#N/A,FALSE,"I-B"}</definedName>
    <definedName name="wrn.Schedule_1C." hidden="1">{"Schedule_1C",#N/A,FALSE,"I-C"}</definedName>
    <definedName name="wrn.Schedule_1D." hidden="1">{"Schedule_1D",#N/A,FALSE,"I-D"}</definedName>
    <definedName name="wrn.Schedule_I." hidden="1">{"Schedule_I",#N/A,FALSE,"I"}</definedName>
    <definedName name="wrn.SCHEDULE." hidden="1">{"SCHEDULE",#N/A,FALSE,"Fin_sched"}</definedName>
    <definedName name="wrn.Schedule._.A." hidden="1">{"Schedule A",#N/A,FALSE,"Schedule A"}</definedName>
    <definedName name="wrn.Schedule._.B." hidden="1">{"Schedule B",#N/A,FALSE,"Schedule B"}</definedName>
    <definedName name="wrn.Schedule._.C." hidden="1">{"Schedule C",#N/A,FALSE,"Schedule C"}</definedName>
    <definedName name="wrn.Schedule._.D." hidden="1">{"Schedule D",#N/A,FALSE,"Schedule C-D"}</definedName>
    <definedName name="wrn.SCHEDULE._.H." hidden="1">{"ACCOUNT DETAIL",#N/A,FALSE,"SCHEDULE E";"ACCOUNT DETAIL",#N/A,FALSE,"SCHEDULE G";"ACCOUNT DETAIL",#N/A,FALSE,"SCHEDULE H";"ACCOUNT DETAIL",#N/A,FALSE,"SCHEDULE I"}</definedName>
    <definedName name="wrn.scheduleA." hidden="1">{"scheduleA",#N/A,FALSE,"CTT_CLO"}</definedName>
    <definedName name="wrn.scheduleB." hidden="1">{"scheduleB",#N/A,FALSE,"CTT_CLO"}</definedName>
    <definedName name="wrn.scheduleEF." hidden="1">{"scheduleEF",#N/A,FALSE,"CTT_CLO"}</definedName>
    <definedName name="wrn.scheduleF." hidden="1">{"scheduleF",#N/A,FALSE,"CTT_CLO"}</definedName>
    <definedName name="wrn.schedules." localSheetId="0" hidden="1">{"schedule1",#N/A,FALSE,"Sheet1";"schedule2",#N/A,FALSE,"Sheet1";"schedule3",#N/A,FALSE,"Sheet1";"schedule4",#N/A,FALSE,"Sheet1";"schedule5",#N/A,FALSE,"Sheet1";"schedule6",#N/A,FALSE,"Sheet1"}</definedName>
    <definedName name="wrn.schedules." hidden="1">{"schedule1",#N/A,FALSE,"Sheet1";"schedule2",#N/A,FALSE,"Sheet1";"schedule3",#N/A,FALSE,"Sheet1";"schedule4",#N/A,FALSE,"Sheet1";"schedule5",#N/A,FALSE,"Sheet1";"schedule6",#N/A,FALSE,"Sheet1"}</definedName>
    <definedName name="wrn.SCHEDULES._.ABC." hidden="1">{#N/A,#N/A,FALSE,"SCHEDULE A";"MINIMUM RENT",#N/A,FALSE,"SCHEDULES B &amp; C";"PERCENTAGE RENT",#N/A,FALSE,"SCHEDULES B &amp; C"}</definedName>
    <definedName name="wrn.schedules._1" hidden="1">{"schedule1",#N/A,FALSE,"Sheet1";"schedule2",#N/A,FALSE,"Sheet1";"schedule3",#N/A,FALSE,"Sheet1";"schedule4",#N/A,FALSE,"Sheet1";"schedule5",#N/A,FALSE,"Sheet1";"schedule6",#N/A,FALSE,"Sheet1"}</definedName>
    <definedName name="wrn.schedules._2" hidden="1">{"schedule1",#N/A,FALSE,"Sheet1";"schedule2",#N/A,FALSE,"Sheet1";"schedule3",#N/A,FALSE,"Sheet1";"schedule4",#N/A,FALSE,"Sheet1";"schedule5",#N/A,FALSE,"Sheet1";"schedule6",#N/A,FALSE,"Sheet1"}</definedName>
    <definedName name="wrn.schedules._3" hidden="1">{"schedule1",#N/A,FALSE,"Sheet1";"schedule2",#N/A,FALSE,"Sheet1";"schedule3",#N/A,FALSE,"Sheet1";"schedule4",#N/A,FALSE,"Sheet1";"schedule5",#N/A,FALSE,"Sheet1";"schedule6",#N/A,FALSE,"Sheet1"}</definedName>
    <definedName name="wrn.schedules._4" hidden="1">{"schedule1",#N/A,FALSE,"Sheet1";"schedule2",#N/A,FALSE,"Sheet1";"schedule3",#N/A,FALSE,"Sheet1";"schedule4",#N/A,FALSE,"Sheet1";"schedule5",#N/A,FALSE,"Sheet1";"schedule6",#N/A,FALSE,"Sheet1"}</definedName>
    <definedName name="wrn.seafirst.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wrn.Secondary._.Competition." hidden="1">{#N/A,#N/A,FALSE,"Secondary"}</definedName>
    <definedName name="wrn.Sensitivities." hidden="1">{"Sensitivities",#N/A,FALSE,"Consolidated"}</definedName>
    <definedName name="wrn.Sensitivity." hidden="1">{"sen cf",#N/A,FALSE,"MODEL";"sen earn",#N/A,FALSE,"MODEL";"sen debt",#N/A,FALSE,"MODEL";"sen nav",#N/A,FALSE,"MODEL"}</definedName>
    <definedName name="wrn.Sep._.Forecast." hidden="1">{"Sep",#N/A,FALSE,"Manager Report"}</definedName>
    <definedName name="wrn.Seperate._.Account._.1." hidden="1">{"S/A1 Assumptions",#N/A,TRUE,"SA1 Quarterly";"S/A1 Annual",#N/A,TRUE,"SA1 Quarterly";"S/A1 Quarterly",#N/A,TRUE,"SA1 Quarterly"}</definedName>
    <definedName name="wrn.shamrock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eet._.Rock." hidden="1">{"Sheet Rock MIR Fund Structure",#N/A,FALSE,"Sheet Rock Summary";"Sheet Rock Summary",#N/A,FALSE,"Sheet Rock Summary";"Sheet Rock Assumptions",#N/A,FALSE,"Sheet Rock Summary"}</definedName>
    <definedName name="wrn.Short." hidden="1">{#N/A,#N/A,FALSE,"ExecutiveSummary";#N/A,#N/A,FALSE,"CostDetail";#N/A,#N/A,FALSE,"IncomeDetail"}</definedName>
    <definedName name="wrn.Short._.Print." hidden="1">{#N/A,#N/A,FALSE,"Cover";#N/A,#N/A,FALSE,"Stack";#N/A,#N/A,FALSE,"Cost S";#N/A,#N/A,FALSE," CF";#N/A,#N/A,FALSE,"Investor"}</definedName>
    <definedName name="wrn.Side._.by._.Side." hidden="1">{"Side 99",#N/A,FALSE,"S&amp;U Side by Side"}</definedName>
    <definedName name="wrn.Site._.Development._.Package." hidden="1">{#N/A,#N/A,TRUE,"Site Dev P1";#N/A,#N/A,TRUE,"SD P2";#N/A,#N/A,TRUE,"SD P3"}</definedName>
    <definedName name="wrn.sitq." hidden="1">{#N/A,#N/A,FALSE,"Title Page - Sitq";#N/A,#N/A,FALSE,"Index - Sitq";#N/A,#N/A,FALSE,"Stmt of Income";#N/A,#N/A,FALSE,"Balance Sheet - Audit Comm";#N/A,#N/A,FALSE,"Stmt of Retained Earnings";#N/A,#N/A,FALSE,"Total Cash Flow";#N/A,#N/A,FALSE,"S.C.F.P.";#N/A,#N/A,FALSE,"Budget to Actual";#N/A,#N/A,FALSE,"Appraisal surplus";#N/A,#N/A,FALSE,"FMV";#N/A,#N/A,FALSE,"Ratios";#N/A,#N/A,FALSE,"Properties";#N/A,#N/A,FALSE,"Secured Debt";#N/A,#N/A,FALSE,"Mortgage Bonds";#N/A,#N/A,FALSE,"Bank Operating Lines";#N/A,#N/A,FALSE,"Share Capital";#N/A,#N/A,FALSE,"Rental Operating Results";#N/A,#N/A,FALSE,"G. &amp;  A.";#N/A,#N/A,FALSE,"Property Sales";#N/A,#N/A,FALSE,"Accounts receivable ";#N/A,#N/A,FALSE,"Accounts payable";#N/A,#N/A,FALSE,"Budget Analysis";#N/A,#N/A,FALSE,"Mezzanine"}</definedName>
    <definedName name="wrn.SITQ._.Net._.Income._.Adjustment." hidden="1">{"SITQ view of BCLP 4 months income statement",#N/A,TRUE,"BCLP 4 MO IS";#N/A,#N/A,TRUE,"Comparison to March Fcst";#N/A,#N/A,TRUE,"BCLP Forecast"}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uthTrust." hidden="1">{"SouthTrust-Investor",#N/A,FALSE,"SouthTrust";"SouthTrust-Property",#N/A,FALSE,"SouthTrust"}</definedName>
    <definedName name="wrn.Special._.Project." hidden="1">{#N/A,#N/A,TRUE,"Cedar Branch Apartments";#N/A,#N/A,TRUE,"Creekbend Apartments";#N/A,#N/A,TRUE,"Heatherwood Apartments";#N/A,#N/A,TRUE,"Rockport Apartments";#N/A,#N/A,TRUE,"Sale on 30-Sep-96";#N/A,#N/A,TRUE,"Sale on 30-Sep-97";#N/A,#N/A,TRUE,"Sale on 30-Sep-98"}</definedName>
    <definedName name="wrn.SPG._.Estimate." hidden="1">{#N/A,#N/A,FALSE,"Detail";#N/A,#N/A,FALSE,"Totals"}</definedName>
    <definedName name="wrn.Spread._.Sheet." hidden="1">{#N/A,#N/A,FALSE,"spread"}</definedName>
    <definedName name="wrn.Spreadsheet." hidden="1">{"Spreadsheet",#N/A,FALSE,"Spreadsheet"}</definedName>
    <definedName name="wrn.Stadium._.PCD." hidden="1">{#N/A,#N/A,TRUE,"Ericsson Stadium PCD ";#N/A,#N/A,TRUE,"Ericsson Stadium IOR"}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" hidden="1">{"GENERAL INPUT",#N/A,FALSE,"GENERAL INPUT";"PROFORMA DRAW SCHEDULE",#N/A,FALSE,"WORKSHEET";"BUDGET ALL",#N/A,FALSE,"BUDGET";"OPERATING ALL",#N/A,FALSE,"OPERATING";"DRAW ESTIMATES",#N/A,FALSE,"DRAWS";"SOURCES &amp; USES",#N/A,FALSE,"SOURCES &amp; USES"}</definedName>
    <definedName name="wrn.Standard._.Report." hidden="1">{#N/A,#N/A,FALSE,"Summary";#N/A,#N/A,FALSE,"Construction";#N/A,#N/A,FALSE,"Cash Flow"}</definedName>
    <definedName name="wrn.Standard._.Reports." hidden="1">{"Const_Monthly",#N/A,FALSE,"Construction";"Construction_Summary",#N/A,FALSE,"Construction";"Cash_Flow",#N/A,FALSE,"Cash Flow";"Summary",#N/A,FALSE,"Summary";"Finsumm",#N/A,FALSE,"Summary Analysis";"Loanrecap",#N/A,FALSE,"Construction"}</definedName>
    <definedName name="wrn.Standard._1" hidden="1">{"Summary",#N/A,TRUE,"Model";"Value",#N/A,TRUE,"Model";"Sensitivity",#N/A,TRUE,"Model";"Discount",#N/A,TRUE,"Model";"Cash Flows",#N/A,TRUE,"Model";"Equity/DCF/Yield",#N/A,TRUE,"Model";"Splits",#N/A,TRUE,"Model";"Promote I",#N/A,TRUE,"Model";"Promote II",#N/A,TRUE,"Model";"Assumptions",#N/A,TRUE,"Model"}</definedName>
    <definedName name="wrn.Standard._2" hidden="1">{"Summary",#N/A,TRUE,"Model";"Value",#N/A,TRUE,"Model";"Sensitivity",#N/A,TRUE,"Model";"Discount",#N/A,TRUE,"Model";"Cash Flows",#N/A,TRUE,"Model";"Equity/DCF/Yield",#N/A,TRUE,"Model";"Splits",#N/A,TRUE,"Model";"Promote I",#N/A,TRUE,"Model";"Promote II",#N/A,TRUE,"Model";"Assumptions",#N/A,TRUE,"Model"}</definedName>
    <definedName name="wrn.Standard._3" hidden="1">{"Summary",#N/A,TRUE,"Model";"Value",#N/A,TRUE,"Model";"Sensitivity",#N/A,TRUE,"Model";"Discount",#N/A,TRUE,"Model";"Cash Flows",#N/A,TRUE,"Model";"Equity/DCF/Yield",#N/A,TRUE,"Model";"Splits",#N/A,TRUE,"Model";"Promote I",#N/A,TRUE,"Model";"Promote II",#N/A,TRUE,"Model";"Assumptions",#N/A,TRUE,"Model"}</definedName>
    <definedName name="wrn.Statements." hidden="1">{"Co1statements",#N/A,FALSE,"Cmpy1";"Co2statement",#N/A,FALSE,"Cmpy2";"co1pm",#N/A,FALSE,"Co1PM";"co2PM",#N/A,FALSE,"Co2PM";"value",#N/A,FALSE,"value";"opco",#N/A,FALSE,"NewSparkle";"adjusts",#N/A,FALSE,"Adjustments"}</definedName>
    <definedName name="wrn.Sterling_House." hidden="1">{"One",#N/A,FALSE,"SterlingHouse";"Two",#N/A,FALSE,"SterlingHouse";"Three",#N/A,FALSE,"SterlingHouse";"Four",#N/A,FALSE,"SterlingHouse";"Five",#N/A,FALSE,"SterlingHouse"}</definedName>
    <definedName name="wrn.Sterling._.House." hidden="1">{"One",#N/A,FALSE,"SterlingHouse";"Two",#N/A,FALSE,"SterlingHouse";"Three",#N/A,FALSE,"SterlingHouse";"Four",#N/A,FALSE,"SterlingHouse";"Five",#N/A,FALSE,"SterlingHouse"}</definedName>
    <definedName name="wrn.STETSON." hidden="1">{"Page1",#N/A,FALSE,"ASSUMPTIONS";"Page2",#N/A,FALSE,"MER-CODE";"page3",#N/A,FALSE,"MER-ALONE";"page4",#N/A,FALSE,"MER-COMB";"page5",#N/A,FALSE,"exec dtl";"page6",#N/A,FALSE,"count";#N/A,#N/A,FALSE,"MergerSum";"page6",#N/A,FALSE,"MergerSum";"page7",#N/A,FALSE,"benfts escaltn";"page8",#N/A,FALSE,"ben_load";"page9",#N/A,FALSE,"Labor Inputs";"page10",#N/A,FALSE,"Reduction Comparison";"page11",#N/A,FALSE,"Cypress labor";"page12",#N/A,FALSE,"ROCKET labor";"page13",#N/A,FALSE,"EXEC";"page14",#N/A,FALSE,"LEG";"page15",#N/A,FALSE,"XREL";"page16",#N/A,FALSE,"FIN";"page17",#N/A,FALSE,"HR";"page18",#N/A,FALSE,"IR";"page19",#N/A,FALSE,"A&amp;S";"page20",#N/A,FALSE,"RET";"page21",#N/A,FALSE,"CUS";"page22",#N/A,FALSE,"PRO";"page23",#N/A,FALSE,"TRANS";"page24",#N/A,FALSE,"DIST";"page25",#N/A,FALSE,"EST";"page26",#N/A,FALSE,"COAL";"page27",#N/A,FALSE,"OIL &amp; GAS";"page28",#N/A,FALSE,"GAS SUPPLY";"page29",#N/A,FALSE,"NUC";"page30",#N/A,FALSE,"NONREG"}</definedName>
    <definedName name="wrn.stetson1" hidden="1">{"Page1",#N/A,FALSE,"ASSUMPTIONS";"Page2",#N/A,FALSE,"MER-CODE";"page3",#N/A,FALSE,"MER-ALONE";"page4",#N/A,FALSE,"MER-COMB";"page5",#N/A,FALSE,"exec dtl";"page6",#N/A,FALSE,"count";#N/A,#N/A,FALSE,"MergerSum";"page6",#N/A,FALSE,"MergerSum";"page7",#N/A,FALSE,"benfts escaltn";"page8",#N/A,FALSE,"ben_load";"page9",#N/A,FALSE,"Labor Inputs";"page10",#N/A,FALSE,"Reduction Comparison";"page11",#N/A,FALSE,"Cypress labor";"page12",#N/A,FALSE,"ROCKET labor";"page13",#N/A,FALSE,"EXEC";"page14",#N/A,FALSE,"LEG";"page15",#N/A,FALSE,"XREL";"page16",#N/A,FALSE,"FIN";"page17",#N/A,FALSE,"HR";"page18",#N/A,FALSE,"IR";"page19",#N/A,FALSE,"A&amp;S";"page20",#N/A,FALSE,"RET";"page21",#N/A,FALSE,"CUS";"page22",#N/A,FALSE,"PRO";"page23",#N/A,FALSE,"TRANS";"page24",#N/A,FALSE,"DIST";"page25",#N/A,FALSE,"EST";"page26",#N/A,FALSE,"COAL";"page27",#N/A,FALSE,"OIL &amp; GAS";"page28",#N/A,FALSE,"GAS SUPPLY";"page29",#N/A,FALSE,"NUC";"page30",#N/A,FALSE,"NONREG"}</definedName>
    <definedName name="wrn.stetson2" hidden="1">{"Page1",#N/A,FALSE,"ASSUMPTIONS";"Page2",#N/A,FALSE,"MER-CODE";"page3",#N/A,FALSE,"MER-ALONE";"page4",#N/A,FALSE,"MER-COMB";"page5",#N/A,FALSE,"exec dtl";"page6",#N/A,FALSE,"count";#N/A,#N/A,FALSE,"MergerSum";"page6",#N/A,FALSE,"MergerSum";"page7",#N/A,FALSE,"benfts escaltn";"page8",#N/A,FALSE,"ben_load";"page9",#N/A,FALSE,"Labor Inputs";"page10",#N/A,FALSE,"Reduction Comparison";"page11",#N/A,FALSE,"Cypress labor";"page12",#N/A,FALSE,"ROCKET labor";"page13",#N/A,FALSE,"EXEC";"page14",#N/A,FALSE,"LEG";"page15",#N/A,FALSE,"XREL";"page16",#N/A,FALSE,"FIN";"page17",#N/A,FALSE,"HR";"page18",#N/A,FALSE,"IR";"page19",#N/A,FALSE,"A&amp;S";"page20",#N/A,FALSE,"RET";"page21",#N/A,FALSE,"CUS";"page22",#N/A,FALSE,"PRO";"page23",#N/A,FALSE,"TRANS";"page24",#N/A,FALSE,"DIST";"page25",#N/A,FALSE,"EST";"page26",#N/A,FALSE,"COAL";"page27",#N/A,FALSE,"OIL &amp; GAS";"page28",#N/A,FALSE,"GAS SUPPLY";"page29",#N/A,FALSE,"NUC";"page30",#N/A,FALSE,"NONREG"}</definedName>
    <definedName name="wrn.Store._.cash._.flows." hidden="1">{#N/A,"1",FALSE,"Store Graphs";#N/A,"2",FALSE,"Store Graphs";#N/A,"3",FALSE,"Store Graphs";#N/A,"4",FALSE,"Store Graphs";#N/A,"5",FALSE,"Store Graphs";#N/A,"6",FALSE,"Store Graphs";#N/A,"7",FALSE,"Store Graphs";#N/A,"8",FALSE,"Store Graphs";#N/A,"9",FALSE,"Store Graphs";#N/A,"10",FALSE,"Store Graphs";#N/A,"11",FALSE,"Store Graphs";#N/A,"12",FALSE,"Store Graphs";#N/A,"13",FALSE,"Store Graphs";#N/A,"14",FALSE,"Store Graphs";#N/A,"15",FALSE,"Store Graphs";#N/A,"16",FALSE,"Store Graphs";#N/A,"17",FALSE,"Store Graphs";#N/A,"18",FALSE,"Store Graphs";#N/A,"23",FALSE,"Store Graphs";#N/A,"24",FALSE,"Store Graphs";#N/A,"25",FALSE,"Store Graphs";#N/A,"26",FALSE,"Store Graphs";#N/A,"27",FALSE,"Store Graphs";#N/A,"68",FALSE,"Store Graphs";#N/A,"69",FALSE,"Store Graphs";#N/A,"70",FALSE,"Store Graphs";#N/A,"71",FALSE,"Store Graphs";#N/A,"72",FALSE,"Store Graphs";#N/A,"73",FALSE,"Store Graphs";#N/A,"74",FALSE,"Store Graphs";#N/A,"75",FALSE,"Store Graphs";#N/A,"76",FALSE,"Store Graphs";#N/A,"77",FALSE,"Store Graphs";#N/A,"78",FALSE,"Store Graphs";#N/A,"79",FALSE,"Store Graphs";#N/A,"80",FALSE,"Store Graphs";#N/A,"81",FALSE,"Store Graphs";#N/A,"82",FALSE,"Store Graphs";#N/A,"83",FALSE,"Store Graphs";#N/A,"84",FALSE,"Store Graphs";#N/A,"85",FALSE,"Store Graphs";#N/A,"86",FALSE,"Store Graphs";#N/A,"87",FALSE,"Store Graphs";#N/A,"88",FALSE,"Store Graphs";#N/A,"89",FALSE,"Store Graphs";#N/A,"90",FALSE,"Store Graphs";#N/A,"91",FALSE,"Store Graphs";#N/A,"92",FALSE,"Store Graphs";#N/A,"93",FALSE,"Store Graphs";#N/A,"94",FALSE,"Store Graphs";#N/A,"95",FALSE,"Store Graphs";#N/A,"96",FALSE,"Store Graphs";#N/A,"162",FALSE,"Store Graphs";#N/A,"163",FALSE,"Store Graphs";#N/A,"164",FALSE,"Store Graphs";#N/A,"165",FALSE,"Store Graphs";#N/A,"166",FALSE,"Store Graphs";#N/A,"182",FALSE,"Store Graphs";#N/A,"183",FALSE,"Store Graphs";#N/A,"184",FALSE,"Store Graphs";#N/A,"185",FALSE,"Store Graphs";#N/A,"186",FALSE,"Store Graphs";#N/A,"187",FALSE,"Store Graphs";#N/A,"188",FALSE,"Store Graphs";#N/A,"189",FALSE,"Store Graphs";#N/A,"190",FALSE,"Store Graphs";#N/A,"191",FALSE,"Store Graphs";#N/A,"192",FALSE,"Store Graphs";#N/A,"193",FALSE,"Store Graphs";#N/A,"194",FALSE,"Store Graphs";#N/A,"195",FALSE,"Store Graphs";#N/A,"196",FALSE,"Store Graphs";#N/A,"197",FALSE,"Store Graphs";#N/A,"198",FALSE,"Store Graphs";#N/A,"199",FALSE,"Store Graphs";#N/A,"200",FALSE,"Store Graphs";#N/A,"201",FALSE,"Store Graphs";#N/A,"202",FALSE,"Store Graphs";#N/A,"203",FALSE,"Store Graphs";#N/A,"244",FALSE,"Store Graphs";#N/A,"245",FALSE,"Store Graphs";#N/A,"246",FALSE,"Store Graphs";#N/A,"247",FALSE,"Store Graphs";#N/A,"248",FALSE,"Store Graphs";#N/A,"249",FALSE,"Store Graphs";#N/A,"250",FALSE,"Store Graphs";#N/A,"251",FALSE,"Store Graphs";#N/A,"252",FALSE,"Store Graphs";#N/A,"253",FALSE,"Store Graphs";#N/A,"254",FALSE,"Store Graphs";#N/A,"255",FALSE,"Store Graphs";#N/A,"256",FALSE,"Store Graphs";#N/A,"257",FALSE,"Store Graphs";#N/A,"258",FALSE,"Store Graphs";#N/A,"259",FALSE,"Store Graphs";#N/A,"260",FALSE,"Store Graphs";#N/A,"261",FALSE,"Store Graphs";#N/A,"262",FALSE,"Store Graphs";#N/A,"263",FALSE,"Store Graphs";#N/A,"264",FALSE,"Store Graphs";#N/A,"265",FALSE,"Store Graphs";#N/A,"266",FALSE,"Store Graphs";#N/A,"267",FALSE,"Store Graphs";#N/A,"268",FALSE,"Store Graphs";#N/A,"269",FALSE,"Store Graphs";#N/A,"270",FALSE,"Store Graphs";#N/A,"271",FALSE,"Store Graphs";#N/A,"272",FALSE,"Store Graphs";#N/A,"273",FALSE,"Store Graphs";#N/A,"274",FALSE,"Store Graphs";#N/A,"275",FALSE,"Store Graphs";#N/A,"339",FALSE,"Store Graphs";#N/A,"340",FALSE,"Store Graphs";#N/A,"341",FALSE,"Store Graphs";#N/A,"342",FALSE,"Store Graphs";#N/A,"343",FALSE,"Store Graphs";#N/A,"344",FALSE,"Store Graphs";#N/A,"345",FALSE,"Store Graphs";#N/A,"346",FALSE,"Store Graphs";#N/A,"347",FALSE,"Store Graphs";#N/A,"348",FALSE,"Store Graphs";#N/A,"349",FALSE,"Store Graphs";#N/A,"350",FALSE,"Store Graphs";#N/A,"351",FALSE,"Store Graphs";#N/A,"352",FALSE,"Store Graphs";#N/A,"353",FALSE,"Store Graphs"}</definedName>
    <definedName name="wrn.Strengths._.Weaknesses." hidden="1">{#N/A,#N/A,FALSE,"Strengths &amp; Weaknesses"}</definedName>
    <definedName name="wrn.Structural._.Frame." hidden="1">{"structural",#N/A,FALSE,"DETAIL.XLS"}</definedName>
    <definedName name="wrn.Submittal._.Reconciliation._.Schedule." hidden="1">{"Submittable Reconciliation Schedule",#N/A,FALSE,"Reconciliation";"GSCP2 PCS 30 Day",#N/A,FALSE,"GSCP2 PCS 30 Day Activity List"}</definedName>
    <definedName name="wrn.Sugar." hidden="1">{"Sugar-Investor",#N/A,FALSE,"Sugar";"Sugar-Property",#N/A,FALSE,"Sugar"}</definedName>
    <definedName name="wrn.SUM._.ONLY." hidden="1">{"SUMMARY",#N/A,FALSE,"BIDSUM"}</definedName>
    <definedName name="wrn.SUM._.WITH._.GC." hidden="1">{"SUMMARY",#N/A,FALSE,"BIDSUM";"SUMALTS",#N/A,FALSE,"BIDSUM";#N/A,#N/A,FALSE,"GCOND"}</definedName>
    <definedName name="wrn.Summaries." hidden="1">{#N/A,#N/A,FALSE,"Summaries &amp; NOI Compare";#N/A,#N/A,FALSE,"Consolidate Portfolio";#N/A,#N/A,FALSE,"Consolidate TERA";#N/A,#N/A,FALSE,"Consolidate II";#N/A,#N/A,FALSE,"Consolidate IV";#N/A,#N/A,FALSE,"Consolidate II &amp; IV";#N/A,#N/A,FALSE,"Consolidate V";#N/A,#N/A,FALSE,"2001 PortSum";#N/A,#N/A,FALSE,"2001 Summary";#N/A,#N/A,FALSE,"2002 PortSum";#N/A,#N/A,FALSE,"2002 Summary";#N/A,#N/A,FALSE,"2003 PortSum";#N/A,#N/A,FALSE,"2003 Summary";#N/A,#N/A,FALSE,"2004 Budg PortSum";#N/A,#N/A,FALSE,"2004 Budg Summ";#N/A,#N/A,FALSE,"Econ Occupancy"}</definedName>
    <definedName name="wrn.summary_Parameters_tariffs." hidden="1">{"summary1",#N/A,FALSE,"Total Project Economics";"Plant Parameters",#N/A,FALSE,"Total Project Economics";"Tariffs_Unit Prices_Costs",#N/A,FALSE,"Total Project Economics"}</definedName>
    <definedName name="wrn.Summary." localSheetId="0" hidden="1">{#N/A,#N/A,FALSE,"Summary"}</definedName>
    <definedName name="wrn.Summary." hidden="1">{#N/A,#N/A,FALSE,"Summary"}</definedName>
    <definedName name="wrn.Summary._._NEW." hidden="1">{"Summary1",#N/A,FALSE,"Summary";"Land Dev. Budget",#N/A,FALSE,"Summary";"Program1",#N/A,FALSE,"Summary";"Summary1",#N/A,FALSE,"Office &amp; Retail-Summary";"Residential Summary",#N/A,FALSE,"Summary";"Project CF - Annual New",#N/A,FALSE,"Summary";"Debt - Annual New",#N/A,FALSE,"Summary";"Project Revenues - Annual - New",#N/A,FALSE,"Summary";"Infrastructure Budget - Annual",#N/A,FALSE,"Infrastructure Budget"}</definedName>
    <definedName name="wrn.Summary._.and._.Budget." hidden="1">{#N/A,#N/A,TRUE,"Summary";#N/A,#N/A,TRUE,"Budget"}</definedName>
    <definedName name="wrn.Summary._.Budget._.Assumptions." hidden="1">{#N/A,#N/A,TRUE,"Summary";#N/A,#N/A,TRUE,"Budget";#N/A,#N/A,TRUE,"Assumptions"}</definedName>
    <definedName name="wrn.Summary._.Budget._.Stack._.Assumptions." hidden="1">{#N/A,#N/A,TRUE,"Summary";#N/A,#N/A,TRUE,"Budget";#N/A,#N/A,TRUE,"Stack";#N/A,#N/A,TRUE,"Assumptions"}</definedName>
    <definedName name="wrn.Summary._.ComboBiz." hidden="1">{"EnterpriseValue",#N/A,TRUE,"Total EV";"CombinedBiz CF",#N/A,TRUE,"Combined Biz CF";"Overhead&amp;Expenses",#N/A,TRUE,"Full Budget";"StaffingBudget",#N/A,TRUE,"Staff"}</definedName>
    <definedName name="wrn.Summary._.Excluding._.DHC." hidden="1">{"Summary Excluding DHC",#N/A,FALSE,"SUMMARY"}</definedName>
    <definedName name="wrn.Summary._.incl._.Monthly._.CF." hidden="1">{"Summary1",#N/A,FALSE,"Summary";"Land Dev. Budget",#N/A,FALSE,"Summary";"Program1",#N/A,FALSE,"Summary";"SumCF 1",#N/A,FALSE,"Summary";"SumCF 2",#N/A,FALSE,"Summary";"VentureMonthlyCF",#N/A,FALSE,"Monthly Cash Flow";"VentureMonthlyCF2",#N/A,FALSE,"Monthly Cash Flow";"VentureMonthlyCF3",#N/A,FALSE,"Monthly Cash Flow";"Debt Summary",#N/A,FALSE,"Summary";"DebtMonthlyCF1",#N/A,FALSE,"Monthly Cash Flow";"DebtMonthlyCF2",#N/A,FALSE,"Monthly Cash Flow";"DebtMonthlyCF3",#N/A,FALSE,"Monthly Cash Flow";"Residential Summary",#N/A,FALSE,"Summary";"Res Neighborhood Monthly CF",#N/A,FALSE,"Residential - Monthly";"Office &amp; Retail Dev. Schedule",#N/A,FALSE,"Summary";"Office &amp; Retail CF",#N/A,FALSE,"Summary";"Office &amp; Retail Monthly1",#N/A,FALSE,"Summary";"Office &amp; Retail Monthly2",#N/A,FALSE,"Summary";"Office &amp; Retail Monthly3",#N/A,FALSE,"Summary";"Timeline",#N/A,FALSE,"Summary";"Res Constr &amp; Sales Timeline",#N/A,FALSE,"Summary";"Loan Timeline",#N/A,FALSE,"Summary"}</definedName>
    <definedName name="wrn.Summary._.Including._.DHC." hidden="1">{"Summary Including DHC",#N/A,FALSE,"SUMMARY"}</definedName>
    <definedName name="wrn.Summary._.New." hidden="1">{"Venture Summary",#N/A,FALSE,"Summary";"Annual Cash Flows",#N/A,FALSE,"Summary";"Development Budget",#N/A,FALSE,"Summary";"Argus Assumptions",#N/A,FALSE,"Argus Assumptions";"Development Budget Detail",#N/A,FALSE,"Dev PF"}</definedName>
    <definedName name="wrn.Summary._.No._.Footer." hidden="1">{"Budget No Footer",#N/A,FALSE,"Budget";"Assumptions No Footer",#N/A,FALSE,"Assumptions";"Pro Forma No Footer",#N/A,FALSE,"Pro Forma";"Investment No Footer",#N/A,FALSE,"Investment"}</definedName>
    <definedName name="wrn.Summary._.Overview." hidden="1">{#N/A,#N/A,FALSE,"OVERVIEW"}</definedName>
    <definedName name="wrn.Summary._.Pages." hidden="1">{"Summary",#N/A,TRUE,"Summary";"Venture Cash Flow",#N/A,TRUE,"Summary";"Venture Costs &amp; Income Summary",#N/A,TRUE,"Summary";"Timeline",#N/A,TRUE,"Summary";"Development Budget",#N/A,TRUE,"Summary"}</definedName>
    <definedName name="wrn.Summary._.Print." hidden="1">{"Summary",#N/A,FALSE,"Mkt Summary";"Development Budget",#N/A,FALSE,"Mkt Summary";"Sensitivity Tables",#N/A,FALSE,"Mkt Summary";"Mkt Rent Detail",#N/A,FALSE,"Mkt Rent&amp;Exp";"Mkt Expense Detail",#N/A,FALSE,"Mkt Rent&amp;Exp";"Operating Assumptions",#N/A,FALSE,"Mkt Rent&amp;Exp";"Mkt DevPF",#N/A,FALSE,"Mkt DevPF";"Mkt Annual - New",#N/A,FALSE,"Mkt Annual"}</definedName>
    <definedName name="wrn.Summary._.Schedule." hidden="1">{#N/A,#N/A,FALSE,"Smry1";#N/A,#N/A,FALSE,"Smry2";#N/A,#N/A,FALSE,"Finance Cash Flow"}</definedName>
    <definedName name="wrn.Summary._.Schedules." hidden="1">{"Budget",#N/A,FALSE,"Budget";"Assumptions",#N/A,FALSE,"Assumptions";"Financing",#N/A,FALSE,"Financing";"Pro Forma",#N/A,FALSE,"Pro Forma";"Project Returns",#N/A,FALSE,"Pro Forma";"Investment",#N/A,FALSE,"Investment"}</definedName>
    <definedName name="wrn.Summary._.w._.Quarterly." hidden="1">{"Summary Page 1",#N/A,TRUE,"Assumptions";"Annual Page 1",#N/A,TRUE,"Assumptions";"Annual Page 2",#N/A,TRUE,"Assumptions";"Annual Page 3",#N/A,TRUE,"Assumptions";"Annual Page 4",#N/A,TRUE,"Assumptions";"Annual Page 5",#N/A,TRUE,"Assumptions";"Annual Page 6",#N/A,TRUE,"Assumptions";"Quarterly PAge 1",#N/A,TRUE,"Assumptions";"Quarterly PAge 2",#N/A,TRUE,"Assumptions";"Quarterly Page 3",#N/A,TRUE,"Assumptions";"Quarterly Page 4",#N/A,TRUE,"Assumptions";"Quarterly Page 5",#N/A,TRUE,"Assumptions";"Quarterly Page 6",#N/A,TRUE,"Assumptions";"Quarterly Page 7",#N/A,TRUE,"Assumptions";"Quarterly Page 8",#N/A,TRUE,"Assumptions"}</definedName>
    <definedName name="wrn.Summary._.with._.Page._.Number." hidden="1">{"Budget with page #",#N/A,FALSE,"Budget";"Assumptions with page #",#N/A,FALSE,"Assumptions";"Financing with page #",#N/A,FALSE,"Financing";"Pro Forma with page #",#N/A,FALSE,"Pro Forma";"Project Returns with page #",#N/A,FALSE,"Pro Forma"}</definedName>
    <definedName name="wrn.Summary._1" hidden="1">{#N/A,#N/A,FALSE,"Summary"}</definedName>
    <definedName name="wrn.Summary._2" hidden="1">{#N/A,#N/A,FALSE,"Summary"}</definedName>
    <definedName name="wrn.Summary._3" hidden="1">{#N/A,#N/A,FALSE,"Summary"}</definedName>
    <definedName name="wrn.Summary._4" hidden="1">{#N/A,#N/A,FALSE,"Summary"}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MMSPREAD." hidden="1">{#N/A,#N/A,FALSE,"Master Summary";#N/A,#N/A,FALSE,"30 Irving Pl - Rem Obl";#N/A,#N/A,FALSE,"30 Irving Pl - Sublease";#N/A,#N/A,FALSE,"597 Fifth"}</definedName>
    <definedName name="wrn.SunModel." hidden="1">{#N/A,#N/A,FALSE,"summary";#N/A,#N/A,FALSE,"SIH";#N/A,#N/A,FALSE,"SIH Value";#N/A,#N/A,FALSE,"tax est.";#N/A,#N/A,FALSE,"Mohegan";#N/A,#N/A,FALSE,"Resorts";#N/A,#N/A,FALSE,"Win Per Day";#N/A,#N/A,FALSE,"CapStr"}</definedName>
    <definedName name="wrn.Supplemental._.Pkg.." hidden="1">{#N/A,#N/A,FALSE,"Cover";#N/A,#N/A,FALSE,"Index";#N/A,#N/A,FALSE,"Supp. A";#N/A,#N/A,FALSE,"Supp. B";#N/A,#N/A,FALSE,"Supp. C";#N/A,#N/A,FALSE,"Supp. D";#N/A,#N/A,FALSE,"Supp. E";#N/A,#N/A,FALSE,"Supp. F";#N/A,#N/A,FALSE,"Supp. G";#N/A,#N/A,FALSE,"Supp. H";#N/A,#N/A,FALSE,"Supp. I";#N/A,#N/A,FALSE,"Supp. J";#N/A,#N/A,FALSE,"Supp. K";#N/A,#N/A,FALSE,"Supp. L"}</definedName>
    <definedName name="wrn.Supplementary._.Info." hidden="1">{"Audit and Pension Costs",#N/A,FALSE,"Supp";"Interest Paid and Loans",#N/A,FALSE,"Supp";"Details of Assoc. Coys.",#N/A,FALSE,"Supp"}</definedName>
    <definedName name="wrn.Supply._.Additions." hidden="1">{#N/A,#N/A,FALSE,"Supply Addn"}</definedName>
    <definedName name="wrn.Support._.Data." hidden="1">{"Analysis of Non Group Investments",#N/A,TRUE,"Support";"Income And Gains",#N/A,TRUE,"Support";"Inter Coy Interest and Divs",#N/A,TRUE,"Support";"Divs paid and payable",#N/A,TRUE,"Support";"Amounts due to Group Coys",#N/A,TRUE,"Support";"Amounts due from Group Coys.",#N/A,TRUE,"Support";"Holdings In Group Coys",#N/A,TRUE,"Support";"Cash Flow",#N/A,TRUE,"Support";"Staff Nos.",#N/A,TRUE,"Support"}</definedName>
    <definedName name="wrn.surveillance." hidden="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yndication." hidden="1">{#N/A,#N/A,FALSE,"Assumptions";"Section 1",#N/A,FALSE,"SYNDICATION MODEL";"Section 2",#N/A,FALSE,"SYNDICATION MODEL";#N/A,#N/A,FALSE,"Input Sheet";#N/A,#N/A,FALSE,"SYNDICATION ROE"}</definedName>
    <definedName name="wrn.TANASBOURNE._.ONLY." localSheetId="0" hidden="1">{#N/A,#N/A,FALSE,"Expense Comparison"}</definedName>
    <definedName name="wrn.TANASBOURNE._.ONLY." hidden="1">{#N/A,#N/A,FALSE,"Expense Comparison"}</definedName>
    <definedName name="wrn.TANASBOURNE._.ONLY._1" hidden="1">{#N/A,#N/A,FALSE,"Expense Comparison"}</definedName>
    <definedName name="wrn.TANASBOURNE._.ONLY._2" hidden="1">{#N/A,#N/A,FALSE,"Expense Comparison"}</definedName>
    <definedName name="wrn.TANASBOURNE._.ONLY._3" hidden="1">{#N/A,#N/A,FALSE,"Expense Comparison"}</definedName>
    <definedName name="wrn.TANASBOURNE._.ONLY._4" hidden="1">{#N/A,#N/A,FALSE,"Expense Comparison"}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Comparison." hidden="1">{"Target Comparison",#N/A,FALSE,"Summary"}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axes." hidden="1">{"taxes",#N/A,FALSE,"CTT_CLO"}</definedName>
    <definedName name="wrn.Taxes._.Title._.Insurance." hidden="1">{#N/A,#N/A,FALSE,"Taxes, Insurance, Title"}</definedName>
    <definedName name="wrn.Tear._.Sheets." hidden="1">{#N/A,#N/A,FALSE,"ATW";#N/A,#N/A,FALSE,"DO";#N/A,#N/A,FALSE,"ESV";#N/A,#N/A,FALSE,"GLM";#N/A,#N/A,FALSE,"MRL";#N/A,#N/A,FALSE,"NE";#N/A,#N/A,FALSE,"PDE";#N/A,#N/A,FALSE,"FLC";#N/A,#N/A,FALSE,"RDC";#N/A,#N/A,FALSE,"SDC";#N/A,#N/A,FALSE,"RIG"}</definedName>
    <definedName name="wrn.Template.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mplate._1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nants." hidden="1">{#N/A,#N/A,FALSE,"TENANTS"}</definedName>
    <definedName name="wrn.test." hidden="1">{"test2",#N/A,TRUE,"Prices"}</definedName>
    <definedName name="wrn.test._1" hidden="1">{"coverpage",#N/A,TRUE,"Sheet1";"valuation",#N/A,TRUE,"Sheet1"}</definedName>
    <definedName name="wrn.test._2" hidden="1">{"coverpage",#N/A,TRUE,"Sheet1";"valuation",#N/A,TRUE,"Sheet1"}</definedName>
    <definedName name="wrn.test._3" hidden="1">{"coverpage",#N/A,TRUE,"Sheet1";"valuation",#N/A,TRUE,"Sheet1"}</definedName>
    <definedName name="wrn.TEST1." localSheetId="0" hidden="1">{"TEST1",#N/A,FALSE,"SIMPLIFD"}</definedName>
    <definedName name="wrn.TEST1." hidden="1">{"TEST1",#N/A,FALSE,"SIMPLIFD"}</definedName>
    <definedName name="wrn.TEST1._1" hidden="1">{"TEST1",#N/A,FALSE,"SIMPLIFD"}</definedName>
    <definedName name="wrn.TEST1._2" hidden="1">{"TEST1",#N/A,FALSE,"SIMPLIFD"}</definedName>
    <definedName name="wrn.TEST1._3" hidden="1">{"TEST1",#N/A,FALSE,"SIMPLIFD"}</definedName>
    <definedName name="wrn.TEST1._4" hidden="1">{"TEST1",#N/A,FALSE,"SIMPLIFD"}</definedName>
    <definedName name="wrn.Test2." hidden="1">{"CoverSheet 97",#N/A,TRUE,"97CoverPage";"CY 1997",#N/A,TRUE,"97TableOfContents";"CY 1997",#N/A,TRUE,"97CashFlowBeforeFinancing"}</definedName>
    <definedName name="wrn.Texas._.All." hidden="1">{"Texas Sub_Consolidation",#N/A,TRUE,"Texas";"Texas Trial Balances",#N/A,TRUE,"Texas";"Texas Investment Analysis",#N/A,TRUE,"Texas";"Texas AJEs",#N/A,TRUE,"Texas";"Texas AJE Summary",#N/A,TRUE,"Texas";"Texas_P_L_Minority",#N/A,TRUE,"Texas"}</definedName>
    <definedName name="wrn.TheWholeEnchilada." hidden="1">{"CSheet",#N/A,FALSE,"C";"SmCap",#N/A,FALSE,"VAL1";"GulfCoast",#N/A,FALSE,"VAL1";"nav",#N/A,FALSE,"NAV";"Summary",#N/A,FALSE,"NAV"}</definedName>
    <definedName name="wrn.THR._.Budget." hidden="1">{"7-Year Pro Forma",#N/A,FALSE,"Prof";"Statistics",#N/A,FALSE,"Stats"}</definedName>
    <definedName name="wrn.TICKSHEETS." hidden="1">{#N/A,#N/A,FALSE,"Unit &amp; Plot Summary";#N/A,#N/A,FALSE,"House - RG4";#N/A,#N/A,FALSE,"D";#N/A,#N/A,FALSE,"House - S";#N/A,#N/A,FALSE,"House -W";#N/A,#N/A,FALSE,"House -LA";#N/A,#N/A,FALSE,"LAE";#N/A,#N/A,FALSE,"A";#N/A,#N/A,FALSE,"AE";#N/A,#N/A,FALSE,"AG2";#N/A,#N/A,FALSE,"AEU"}</definedName>
    <definedName name="wrn.Timelines." hidden="1">{"Project TL",#N/A,FALSE,"Project Timeline";"Fin TL",#N/A,FALSE,"Financing Timeline"}</definedName>
    <definedName name="wrn.to._.print._.corp._.overhead._.report." hidden="1">{"corp profit summary",#N/A,TRUE,"CORPOPS";"corp - profit detailed",#N/A,TRUE,"CORPOPS";"Corp - Overhead detail",#N/A,TRUE,"CORPOPS";"int other - profit summary",#N/A,TRUE,"Internat - Other";"int other - profit detail",#N/A,TRUE,"Internat - Other";"int other - overhead detail",#N/A,TRUE,"Internat - Other";"Malaysia - profit summary",#N/A,TRUE,"Internat - Asia";"Malaysia - profit detailed",#N/A,TRUE,"Internat - Asia";"Malaysia - Overhead detail",#N/A,TRUE,"Internat - Asia"}</definedName>
    <definedName name="wrn.TOCHTERMAN.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_.closing." hidden="1">{"page1",#N/A,FALSE,"CTT_CLO";"page2",#N/A,FALSE,"CTT_CLO";"schedules",#N/A,FALSE,"CTT_CLO";"scheduleA",#N/A,FALSE,"CTT_CLO";"scheduleBC",#N/A,FALSE,"CTT_CLO";"scheduleDE",#N/A,FALSE,"CTT_CLO";"scheduleF",#N/A,FALSE,"CTT_CLO"}</definedName>
    <definedName name="wrn.Total._.Model." hidden="1">{#N/A,#N/A,TRUE,"Comparison";#N/A,#N/A,TRUE,"toc";#N/A,#N/A,TRUE,"data1";#N/A,#N/A,TRUE,"financing";#N/A,#N/A,TRUE,"source";#N/A,#N/A,TRUE,"cash";#N/A,#N/A,TRUE,"tax";#N/A,#N/A,TRUE,"ln2";#N/A,#N/A,TRUE,"ln4";#N/A,#N/A,TRUE,"rep";#N/A,#N/A,TRUE,"opres";#N/A,#N/A,TRUE,"depr";#N/A,#N/A,TRUE,"funded";#N/A,#N/A,TRUE,"fedtc";#N/A,#N/A,TRUE,"statetc";#N/A,#N/A,TRUE,"mingain";#N/A,#N/A,TRUE,"mtdata1";#N/A,#N/A,TRUE,"base";#N/A,#N/A,TRUE,"mtsource";#N/A,#N/A,TRUE,"mtcash";#N/A,#N/A,TRUE,"mttax";#N/A,#N/A,TRUE,"mtben";#N/A,#N/A,TRUE,"sale";#N/A,#N/A,TRUE,"put";#N/A,#N/A,TRUE,"ResidualVal";#N/A,#N/A,TRUE,"tcamort";#N/A,#N/A,TRUE,"MT3%";#N/A,#N/A,TRUE,"Qirr";#N/A,#N/A,TRUE,"mingainMT";#N/A,#N/A,TRUE,"MTBalSheet";#N/A,#N/A,TRUE,"bstest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HEETS." hidden="1">{#N/A,#N/A,FALSE,"DEV COSTS";#N/A,#N/A,FALSE,"10-YR C. F."}</definedName>
    <definedName name="wrn.TOTAL._.SHEETS5" hidden="1">{#N/A,#N/A,FALSE,"DEV COSTS";#N/A,#N/A,FALSE,"10-YR C. F."}</definedName>
    <definedName name="wrn.Total5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s." hidden="1">{"Total Conn",#N/A,FALSE,"Sun CT Properties";"Total Sun",#N/A,FALSE,"Sun Portfolio";"Total SNF",#N/A,FALSE,"Sun SNFs";"Total Hospitals",#N/A,FALSE,"Sun Hospitals";"Total Bev",#N/A,FALSE,"S01 Beverly";"Total S02",#N/A,FALSE,"S02 Boston";"Total S03",#N/A,FALSE,"S03 Bowling Green";"Total S04",#N/A,FALSE,"S04 Bradenton";"Total S05",#N/A,FALSE,"S05 Bristol";"Total S06",#N/A,FALSE,"S06 Brookline";"Total S07",#N/A,FALSE,"S07 Camden";"Total S08",#N/A,FALSE,"S08 Concord";"Total S09",#N/A,FALSE,"S09 South Conn";"Total S10",#N/A,FALSE,"S10 Danbury";"Total S11",#N/A,FALSE,"S11 Darien";"Total S12",#N/A,FALSE,"S12 Denver";"Total S13",#N/A,FALSE,"S13 East Longmeadow";"Total S14",#N/A,FALSE,"S14 Holyoke";"Total S15",#N/A,FALSE,"S15 Lexington";"Total S16",#N/A,FALSE,"S16 Lowell";"Total S17",#N/A,FALSE,"S17 Marlton";"Total S18",#N/A,FALSE,"S18 Milford";"Total S19",#N/A,FALSE,"S19 Millbury";"Total S20",#N/A,FALSE,"S20 Montgomery";"Total S21",#N/A,FALSE,"S21 New Bedford";"Total S22",#N/A,FALSE,"S22 Newington";"Total S23",#N/A,FALSE,"S23 Northshore";"Total S24",#N/A,FALSE,"S24 Northampton";"Total S25",#N/A,FALSE,"S25 Oradell";"Total S26",#N/A,FALSE,"S26 Peabody";"Total S27",#N/A,FALSE,"S27 Randolph";"Total S28",#N/A,FALSE,"S28 San Joaquin";"Total S29",#N/A,FALSE,"S29 Southbury";"Total S30",#N/A,FALSE,"S30 Stamford";"Total S31",#N/A,FALSE,"S31 Westport";"Total S32",#N/A,FALSE,"S32 Wethersfield";"Total S33",#N/A,FALSE,"S33 Weymouth";"Total S34",#N/A,FALSE,"S34 Wilmington Woods";"Total S35",#N/A,FALSE,"S35 Woodcrest";"Total S36",#N/A,FALSE,"S36 Cheshire";"Total S37",#N/A,FALSE,"S37 Kentfield";"Total S38",#N/A,FALSE,"S38 Newton"}</definedName>
    <definedName name="wrn.TownPoint." hidden="1">{"Townpoint-Investor",#N/A,FALSE,"TownPoint";"Townpoint-Property",#N/A,FALSE,"TownPoint"}</definedName>
    <definedName name="wrn.Trading._.Summary." hidden="1">{#N/A,#N/A,FALSE,"Trading Summary"}</definedName>
    <definedName name="wrn.TransPrcd_123." hidden="1">{#N/A,#N/A,TRUE,"TransPrcd 1";#N/A,#N/A,TRUE,"TransPrcd 2";#N/A,#N/A,TRUE,"TransPrcd 3"}</definedName>
    <definedName name="wrn.TSO._.Model." hidden="1">{"01_Summary",#N/A,TRUE,"Summary";"02_Ssensitivity",#N/A,TRUE,"Summary";"03_Valuation Summary",#N/A,TRUE,"Summary";"04_Prime Plus",#N/A,TRUE,"Summary";"05_Empire Hawkeye",#N/A,TRUE,"Summary";"06_US REIT",#N/A,TRUE,"Summary";"07_US REIT 2",#N/A,TRUE,"Summary";"08_TSO",#N/A,TRUE,"Summary";"08_TSO 2",#N/A,TRUE,"Summary";"09_Madison",#N/A,TRUE,"Summary";"10_Madison2",#N/A,TRUE,"Summary";"Assumptions &amp; Input Panel",#N/A,TRUE,"Summary"}</definedName>
    <definedName name="wrn.tsp." hidden="1">{#N/A,#N/A,FALSE,"Summary";#N/A,#N/A,FALSE,"Financials";#N/A,#N/A,FALSE,"Returns";#N/A,#N/A,FALSE,"Open";#N/A,#N/A,FALSE,"Assumptions"}</definedName>
    <definedName name="wrn.Tweety." hidden="1">{#N/A,#N/A,FALSE,"A&amp;E";#N/A,#N/A,FALSE,"HighTop";#N/A,#N/A,FALSE,"JG";#N/A,#N/A,FALSE,"RI";#N/A,#N/A,FALSE,"woHT";#N/A,#N/A,FALSE,"woHT&amp;JG"}</definedName>
    <definedName name="wrn.Tycon._.Model." localSheetId="0" hidden="1">{"rtn",#N/A,FALSE,"RTN";"tables",#N/A,FALSE,"RTN";"cf",#N/A,FALSE,"CF";"stats",#N/A,FALSE,"Stats";"prop",#N/A,FALSE,"Prop"}</definedName>
    <definedName name="wrn.Tycon._.Model." hidden="1">{"rtn",#N/A,FALSE,"RTN";"tables",#N/A,FALSE,"RTN";"cf",#N/A,FALSE,"CF";"stats",#N/A,FALSE,"Stats";"prop",#N/A,FALSE,"Prop"}</definedName>
    <definedName name="wrn.Tycon._.Model._1" hidden="1">{"rtn",#N/A,FALSE,"RTN";"tables",#N/A,FALSE,"RTN";"cf",#N/A,FALSE,"CF";"stats",#N/A,FALSE,"Stats";"prop",#N/A,FALSE,"Prop"}</definedName>
    <definedName name="wrn.Tycon._.Model._2" hidden="1">{"rtn",#N/A,FALSE,"RTN";"tables",#N/A,FALSE,"RTN";"cf",#N/A,FALSE,"CF";"stats",#N/A,FALSE,"Stats";"prop",#N/A,FALSE,"Prop"}</definedName>
    <definedName name="wrn.Tycon._.Model._3" hidden="1">{"rtn",#N/A,FALSE,"RTN";"tables",#N/A,FALSE,"RTN";"cf",#N/A,FALSE,"CF";"stats",#N/A,FALSE,"Stats";"prop",#N/A,FALSE,"Prop"}</definedName>
    <definedName name="wrn.Tycon._.Model._4" hidden="1">{"rtn",#N/A,FALSE,"RTN";"tables",#N/A,FALSE,"RTN";"cf",#N/A,FALSE,"CF";"stats",#N/A,FALSE,"Stats";"prop",#N/A,FALSE,"Prop"}</definedName>
    <definedName name="wrn.Underwriting." hidden="1">{#N/A,#N/A,FALSE,"proforma";#N/A,#N/A,FALSE,"loananalysis";#N/A,#N/A,FALSE,"unitmix"}</definedName>
    <definedName name="wrn.Underwriting._.Analysis." hidden="1">{#N/A,#N/A,FALSE,"Underwriting Analysis"}</definedName>
    <definedName name="wrn.Unit._.Information." hidden="1">{#N/A,#N/A,FALSE,"Unit Info";#N/A,#N/A,FALSE,"Unit Info"}</definedName>
    <definedName name="wrn.Univ.._.Office._.Plaza." hidden="1">{"Summary",#N/A,TRUE,"Univ. Office Plaza";"Sensitivity",#N/A,TRUE,"Univ. Office Plaza";"Discount Metrics",#N/A,TRUE,"Univ. Office Plaza";"Partnership Valuation Summary",#N/A,TRUE,"Univ. Office Plaza";"Cash Flows",#N/A,TRUE,"Univ. Office Plaza";"Partnership Net Cash Flow",#N/A,TRUE,"Univ. Office Plaza";"Partnership Equity Value",#N/A,TRUE,"Univ. Office Plaza";"Equity/DCF/Yield",#N/A,TRUE,"Univ. Office Plaza";"JV Structure",#N/A,TRUE,"Univ. Office Plaza";"Split to First Hurdle",#N/A,TRUE,"Univ. Office Plaza";"Splits",#N/A,TRUE,"Univ. Office Plaza";"Distributions",#N/A,TRUE,"Univ. Office Plaza";"Assumptions",#N/A,TRUE,"Univ. Office Plaza";"Bellevue Cash Flows",#N/A,TRUE,"Bellevue";"Bellevue Partnership Value",#N/A,TRUE,"Bellevue";"Cambridge Cash Flows",#N/A,TRUE,"Cambridge";"Cambridge Partnership Value",#N/A,TRUE,"Cambridge";"Chopin Cash Flows",#N/A,TRUE,"Chopin";"Chopin Partnership Value",#N/A,TRUE,"Chopin";"Commonwealth Cash Flows",#N/A,TRUE,"Commonwealth";"Commonwealth Partnership Value",#N/A,TRUE,"Commonwealth";"Oxford Cash Flows",#N/A,TRUE,"Oxford";"Oxford Partnership Value",#N/A,TRUE,"Oxford";"Stockton Cash Flows",#N/A,TRUE,"Stockton";"Stockton Partnership Value",#N/A,TRUE,"Stockton"}</definedName>
    <definedName name="wrn.Upstate._.NY." hidden="1">{"Summary",#N/A,TRUE,"Main Model";"Sensitivity",#N/A,TRUE,"Main Model";"Partnership Valuation Summary",#N/A,TRUE,"Main Model";"Distributions",#N/A,TRUE,"Main Model";"Cash Flows",#N/A,TRUE,"Main Model";"Partnership Net Cash Flow",#N/A,TRUE,"Main Model";"Partnership Equity Value",#N/A,TRUE,"Main Model";"DCF/Yield",#N/A,TRUE,"Main Model";"JV Structure",#N/A,TRUE,"Main Model";"Splits",#N/A,TRUE,"Main Model";"Discount Metrics",#N/A,TRUE,"Main Model";"Assumptions",#N/A,TRUE,"Main Model";"James Court Cash Flows",#N/A,TRUE,"Main Model";"Maple Manor Cash Flows",#N/A,TRUE,"Main Model";"Timberlane Cash Flows",#N/A,TRUE,"Main Model";"Barbara Manor Cash Flows",#N/A,TRUE,"Main Model";"Chili Gardens Cash Flows",#N/A,TRUE,"Main Model";"Grecian Gardens Cash Flows",#N/A,TRUE,"Main Model";"Northgate Cash Flows",#N/A,TRUE,"Main Model";"Tudor Lane Cash Flows",#N/A,TRUE,"Main Model";"Walden Estates Cash Flows",#N/A,TRUE,"Main Model";"Carriage House Cash Flow",#N/A,TRUE,"Main Model";"Westside Cash Flows",#N/A,TRUE,"Main Model"}</definedName>
    <definedName name="wrn.Upstate._.NY._1" hidden="1">{"Summary",#N/A,TRUE,"Main Model";"Sensitivity",#N/A,TRUE,"Main Model";"Partnership Valuation Summary",#N/A,TRUE,"Main Model";"Distributions",#N/A,TRUE,"Main Model";"Cash Flows",#N/A,TRUE,"Main Model";"Partnership Net Cash Flow",#N/A,TRUE,"Main Model";"Partnership Equity Value",#N/A,TRUE,"Main Model";"DCF/Yield",#N/A,TRUE,"Main Model";"JV Structure",#N/A,TRUE,"Main Model";"Splits",#N/A,TRUE,"Main Model";"Discount Metrics",#N/A,TRUE,"Main Model";"Assumptions",#N/A,TRUE,"Main Model";"James Court Cash Flows",#N/A,TRUE,"Main Model";"Maple Manor Cash Flows",#N/A,TRUE,"Main Model";"Timberlane Cash Flows",#N/A,TRUE,"Main Model";"Barbara Manor Cash Flows",#N/A,TRUE,"Main Model";"Chili Gardens Cash Flows",#N/A,TRUE,"Main Model";"Grecian Gardens Cash Flows",#N/A,TRUE,"Main Model";"Northgate Cash Flows",#N/A,TRUE,"Main Model";"Tudor Lane Cash Flows",#N/A,TRUE,"Main Model";"Walden Estates Cash Flows",#N/A,TRUE,"Main Model";"Carriage House Cash Flow",#N/A,TRUE,"Main Model";"Westside Cash Flows",#N/A,TRUE,"Main Model"}</definedName>
    <definedName name="wrn.Upstate._.NY._2" hidden="1">{"Summary",#N/A,TRUE,"Main Model";"Sensitivity",#N/A,TRUE,"Main Model";"Partnership Valuation Summary",#N/A,TRUE,"Main Model";"Distributions",#N/A,TRUE,"Main Model";"Cash Flows",#N/A,TRUE,"Main Model";"Partnership Net Cash Flow",#N/A,TRUE,"Main Model";"Partnership Equity Value",#N/A,TRUE,"Main Model";"DCF/Yield",#N/A,TRUE,"Main Model";"JV Structure",#N/A,TRUE,"Main Model";"Splits",#N/A,TRUE,"Main Model";"Discount Metrics",#N/A,TRUE,"Main Model";"Assumptions",#N/A,TRUE,"Main Model";"James Court Cash Flows",#N/A,TRUE,"Main Model";"Maple Manor Cash Flows",#N/A,TRUE,"Main Model";"Timberlane Cash Flows",#N/A,TRUE,"Main Model";"Barbara Manor Cash Flows",#N/A,TRUE,"Main Model";"Chili Gardens Cash Flows",#N/A,TRUE,"Main Model";"Grecian Gardens Cash Flows",#N/A,TRUE,"Main Model";"Northgate Cash Flows",#N/A,TRUE,"Main Model";"Tudor Lane Cash Flows",#N/A,TRUE,"Main Model";"Walden Estates Cash Flows",#N/A,TRUE,"Main Model";"Carriage House Cash Flow",#N/A,TRUE,"Main Model";"Westside Cash Flows",#N/A,TRUE,"Main Model"}</definedName>
    <definedName name="wrn.Upstate._.NY._3" hidden="1">{"Summary",#N/A,TRUE,"Main Model";"Sensitivity",#N/A,TRUE,"Main Model";"Partnership Valuation Summary",#N/A,TRUE,"Main Model";"Distributions",#N/A,TRUE,"Main Model";"Cash Flows",#N/A,TRUE,"Main Model";"Partnership Net Cash Flow",#N/A,TRUE,"Main Model";"Partnership Equity Value",#N/A,TRUE,"Main Model";"DCF/Yield",#N/A,TRUE,"Main Model";"JV Structure",#N/A,TRUE,"Main Model";"Splits",#N/A,TRUE,"Main Model";"Discount Metrics",#N/A,TRUE,"Main Model";"Assumptions",#N/A,TRUE,"Main Model";"James Court Cash Flows",#N/A,TRUE,"Main Model";"Maple Manor Cash Flows",#N/A,TRUE,"Main Model";"Timberlane Cash Flows",#N/A,TRUE,"Main Model";"Barbara Manor Cash Flows",#N/A,TRUE,"Main Model";"Chili Gardens Cash Flows",#N/A,TRUE,"Main Model";"Grecian Gardens Cash Flows",#N/A,TRUE,"Main Model";"Northgate Cash Flows",#N/A,TRUE,"Main Model";"Tudor Lane Cash Flows",#N/A,TRUE,"Main Model";"Walden Estates Cash Flows",#N/A,TRUE,"Main Model";"Carriage House Cash Flow",#N/A,TRUE,"Main Model";"Westside Cash Flows",#N/A,TRUE,"Main Model"}</definedName>
    <definedName name="wrn.USPACKAGE." hidden="1">{#N/A,#N/A,FALSE,"US Summary";#N/A,#N/A,FALSE,"BEC";#N/A,#N/A,FALSE,"OPP";#N/A,#N/A,FALSE,"Crestview";#N/A,#N/A,FALSE,"Kent";#N/A,#N/A,FALSE,"Somerset";#N/A,#N/A,FALSE,"Stadium"}</definedName>
    <definedName name="wrn.USSC_Reports." localSheetId="0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USSC_Reports.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USSC_Reports._1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USSC_Reports._2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USSC_Reports._3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USSC_Reports._4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_.Fund." hidden="1">{"VF Assumptions",#N/A,TRUE,"SA1 Quarterly";"VF Annual",#N/A,TRUE,"SA1 Quarterly";"VF Quartely Example P1",#N/A,TRUE,"VF Quarterly";"VF Quarterly Example P2",#N/A,TRUE,"VF Quarterly"}</definedName>
    <definedName name="wrn.Value.2" hidden="1">{#N/A,#N/A,FALSE,"Cashflow Analysis";#N/A,#N/A,FALSE,"Sensitivity Analysis";#N/A,#N/A,FALSE,"PV";#N/A,#N/A,FALSE,"Pro Forma"}</definedName>
    <definedName name="wrn.Variance." hidden="1">{#N/A,#N/A,FALSE,"CCC Variance";#N/A,#N/A,FALSE,"CCC Notes"}</definedName>
    <definedName name="wrn.Variance._.1." hidden="1">{"Ebit_Variance",#N/A,FALSE,"P&amp;L";"Cash_Variance",#N/A,FALSE,"Cash"}</definedName>
    <definedName name="wrn.Variance._.2." hidden="1">{"Reserves_Variance",#N/A,FALSE,"Reserves";"Scm_Variance",#N/A,FALSE,"SCM";"tax_variance",#N/A,FALSE,"Tax"}</definedName>
    <definedName name="wrn.VARIANCE._.ANALYSIS." hidden="1">{#N/A,#N/A,FALSE," VAR ANA FULL YR summ";#N/A,#N/A,FALSE,"YTD VAR";#N/A,#N/A,FALSE,"Var last mth to curr mth"}</definedName>
    <definedName name="wrn.Variance._.Worksheet." hidden="1">{#N/A,#N/A,FALSE,"VARSTRIP"}</definedName>
    <definedName name="wrn.ventana." hidden="1">{#N/A,#N/A,FALSE,"Cash Flow";#N/A,#N/A,FALSE,"scenario 1"}</definedName>
    <definedName name="wrn.Venture." hidden="1">{"Summary1",#N/A,TRUE,"Summary";"Program",#N/A,TRUE,"Summary";"Timeline",#N/A,TRUE,"Summary";"Land Dev Budget 1",#N/A,TRUE,"Summary";"Land Dev Budget 2",#N/A,TRUE,"Summary";"SumCF1",#N/A,TRUE,"Summary";"SumCF2",#N/A,TRUE,"Summary";"Venture CF3",#N/A,TRUE,"Summary";"Venture MonthlyCF",#N/A,TRUE,"Summary";"Venture Monthly CF2",#N/A,TRUE,"Summary"}</definedName>
    <definedName name="wrn.villages.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Wacc." hidden="1">{"Area1",#N/A,FALSE,"OREWACC";"Area2",#N/A,FALSE,"OREWACC"}</definedName>
    <definedName name="wrn.WAGE._.RATES." hidden="1">{#N/A,#N/A,FALSE,"WAGE FORM - UNION";#N/A,#N/A,FALSE,"EST. WAGE RATES - UNION";#N/A,#N/A,FALSE,"WAGE RATE DETAILS - UNION"}</definedName>
    <definedName name="wrn.weekly." hidden="1">{#N/A,#N/A,FALSE,"Large Operators";#N/A,#N/A,FALSE,"Smaller Operators";#N/A,#N/A,FALSE,"Equip. Supply";#N/A,#N/A,FALSE,"EBITDA";#N/A,#N/A,FALSE,"perform"}</definedName>
    <definedName name="wrn.wicor." hidden="1">{#N/A,#N/A,FALSE,"FACTSHEETS";#N/A,#N/A,FALSE,"pump";#N/A,#N/A,FALSE,"filter"}</definedName>
    <definedName name="wrn.Workbook.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ing._.Papers._.1." hidden="1">{"Assumptions_other",#N/A,FALSE,"Assump";"Ebit_division_indirect",#N/A,FALSE,"P&amp;L";"Ebit_indirect_allocation",#N/A,FALSE,"P&amp;L"}</definedName>
    <definedName name="wrn.Working._.Papers._.2." hidden="1">{"Cash_detail",#N/A,FALSE,"Cash";"Cash_reconciliation",#N/A,FALSE,"Cash";"Scm",#N/A,FALSE,"SCM";"Tax",#N/A,FALSE,"Tax"}</definedName>
    <definedName name="wrn.Working._.Party._.List." hidden="1">{#N/A,#N/A,FALSE,"Working List"}</definedName>
    <definedName name="wrn.Workout._.Committee._.Package." hidden="1">{#N/A,#N/A,TRUE,"Sources and Uses";#N/A,#N/A,TRUE,"Annual Projection";#N/A,#N/A,TRUE,"Balance Sheet";#N/A,#N/A,TRUE,"Comparative Income Statement";#N/A,#N/A,TRUE,"Comparative Inc Stmt Per Unit";#N/A,#N/A,TRUE,"Capital Improvement Budget";#N/A,#N/A,TRUE,"Growth Assumptions";#N/A,#N/A,TRUE,"Base Year Unit Mix";#N/A,#N/A,TRUE,"Annual Financing";#N/A,#N/A,TRUE,"Residual Analysis"}</definedName>
    <definedName name="wrn.Worksheet." hidden="1">{"Worksheet",#N/A,FALSE,"Worksheet"}</definedName>
    <definedName name="wrn.Wovenhearts." hidden="1">{"One",#N/A,FALSE,"Wovenhearts";"Two",#N/A,FALSE,"Wovenhearts";"Three",#N/A,FALSE,"Wovenhearts";"Four",#N/A,FALSE,"Wovenhearts";"Five",#N/A,FALSE,"Wovenhearts"}</definedName>
    <definedName name="wrn.wpoall." hidden="1">{"wpocash",#N/A,FALSE,"WPOALLT";"wpoinc",#N/A,FALSE,"WPOALLT";"wpobroad",#N/A,FALSE,"WPOALLT";"wpocable",#N/A,FALSE,"WPOALLT";"wpoexcl",#N/A,FALSE,"WPOALLT";"wponwsweek",#N/A,FALSE,"WPOALLT";"wpopost",#N/A,FALSE,"WPOALLT"}</definedName>
    <definedName name="wrn.WWY." hidden="1">{#N/A,#N/A,FALSE,"WWY"}</definedName>
    <definedName name="wrn.Wynwood." hidden="1">{"One",#N/A,FALSE,"Wynwood";"Two",#N/A,FALSE,"Wynwood";"Three",#N/A,FALSE,"Wynwood";"Four",#N/A,FALSE,"Wynwood";"Five",#N/A,FALSE,"Wynwood"}</definedName>
    <definedName name="wrn.XL._.DTR." hidden="1">{#N/A,#N/A,TRUE,"XL Cash Flow";#N/A,#N/A,TRUE,"Prop Valuation";#N/A,#N/A,TRUE,"Equity";#N/A,#N/A,TRUE,"Modeling assumptions";#N/A,#N/A,TRUE,"NER Model";#N/A,#N/A,TRUE,"Lease Exp";#N/A,#N/A,TRUE,"Inc &amp; Exp";#N/A,#N/A,TRUE,"Formatted - roll";#N/A,#N/A,TRUE,"Debt Model";#N/A,#N/A,TRUE,"Debt-Moody";#N/A,#N/A,TRUE,"Debt"}</definedName>
    <definedName name="wrn.Year._.End._.APF._.reports." localSheetId="0" hidden="1">{#N/A,#N/A,FALSE,"Summary";#N/A,#N/A,FALSE,"CVI04";#N/A,#N/A,FALSE,"REG04";#N/A,#N/A,FALSE,"HAL04";#N/A,#N/A,FALSE,"WPL04";#N/A,#N/A,FALSE,"RPL04";#N/A,#N/A,FALSE,"GVA04";#N/A,#N/A,FALSE,"LRJKL04";#N/A,#N/A,FALSE,"RGW04";#N/A,#N/A,FALSE,"RHL04sum ";#N/A,#N/A,FALSE,"WPM04sum"}</definedName>
    <definedName name="wrn.Year._.End._.APF._.reports." hidden="1">{#N/A,#N/A,FALSE,"Summary";#N/A,#N/A,FALSE,"CVI04";#N/A,#N/A,FALSE,"REG04";#N/A,#N/A,FALSE,"HAL04";#N/A,#N/A,FALSE,"WPL04";#N/A,#N/A,FALSE,"RPL04";#N/A,#N/A,FALSE,"GVA04";#N/A,#N/A,FALSE,"LRJKL04";#N/A,#N/A,FALSE,"RGW04";#N/A,#N/A,FALSE,"RHL04sum ";#N/A,#N/A,FALSE,"WPM04sum"}</definedName>
    <definedName name="wrn.Year._.End._.APF._.reports._1" hidden="1">{#N/A,#N/A,FALSE,"Summary";#N/A,#N/A,FALSE,"CVI04";#N/A,#N/A,FALSE,"REG04";#N/A,#N/A,FALSE,"HAL04";#N/A,#N/A,FALSE,"WPL04";#N/A,#N/A,FALSE,"RPL04";#N/A,#N/A,FALSE,"GVA04";#N/A,#N/A,FALSE,"LRJKL04";#N/A,#N/A,FALSE,"RGW04";#N/A,#N/A,FALSE,"RHL04sum ";#N/A,#N/A,FALSE,"WPM04sum"}</definedName>
    <definedName name="wrn.Year._.End._.APF._.reports._2" hidden="1">{#N/A,#N/A,FALSE,"Summary";#N/A,#N/A,FALSE,"CVI04";#N/A,#N/A,FALSE,"REG04";#N/A,#N/A,FALSE,"HAL04";#N/A,#N/A,FALSE,"WPL04";#N/A,#N/A,FALSE,"RPL04";#N/A,#N/A,FALSE,"GVA04";#N/A,#N/A,FALSE,"LRJKL04";#N/A,#N/A,FALSE,"RGW04";#N/A,#N/A,FALSE,"RHL04sum ";#N/A,#N/A,FALSE,"WPM04sum"}</definedName>
    <definedName name="wrn.Year._.End._.APF._.reports._3" hidden="1">{#N/A,#N/A,FALSE,"Summary";#N/A,#N/A,FALSE,"CVI04";#N/A,#N/A,FALSE,"REG04";#N/A,#N/A,FALSE,"HAL04";#N/A,#N/A,FALSE,"WPL04";#N/A,#N/A,FALSE,"RPL04";#N/A,#N/A,FALSE,"GVA04";#N/A,#N/A,FALSE,"LRJKL04";#N/A,#N/A,FALSE,"RGW04";#N/A,#N/A,FALSE,"RHL04sum ";#N/A,#N/A,FALSE,"WPM04sum"}</definedName>
    <definedName name="wrn.Year._.End._.APF._.reports._4" hidden="1">{#N/A,#N/A,FALSE,"Summary";#N/A,#N/A,FALSE,"CVI04";#N/A,#N/A,FALSE,"REG04";#N/A,#N/A,FALSE,"HAL04";#N/A,#N/A,FALSE,"WPL04";#N/A,#N/A,FALSE,"RPL04";#N/A,#N/A,FALSE,"GVA04";#N/A,#N/A,FALSE,"LRJKL04";#N/A,#N/A,FALSE,"RGW04";#N/A,#N/A,FALSE,"RHL04sum ";#N/A,#N/A,FALSE,"WPM04sum"}</definedName>
    <definedName name="wrn.Year._.End._.Reporting._.Pkg.." hidden="1">{#N/A,#N/A,FALSE,"Front Cover";#N/A,#N/A,FALSE,"Index";#N/A,#N/A,FALSE,"A.1 Performance Measures";#N/A,#N/A,FALSE,"A.2 Perf Measures Data";#N/A,#N/A,FALSE,"B.1 Bal. Sheet";#N/A,#N/A,FALSE,"B.2 Income and Ret. Erngs.";#N/A,#N/A,FALSE,"B.3 Cash Flows";#N/A,#N/A,FALSE,"C.1 Sup Sch 1";#N/A,#N/A,FALSE,"C.2 Sup Sch 2";#N/A,#N/A,FALSE,"C.3 Sup Sch 3";#N/A,#N/A,FALSE,"C.4 Sup Sch 4";#N/A,#N/A,FALSE,"C.5 Sup Sch 5";#N/A,#N/A,FALSE,"C.6 Sup Sch 6";#N/A,#N/A,FALSE,"C.7 Sup Sch 7";#N/A,#N/A,FALSE,"C.8 Sup Sch 8";#N/A,#N/A,FALSE,"C.9 Sup Sch 9";#N/A,#N/A,FALSE,"C.10 Sup Sch 10";#N/A,#N/A,FALSE,"C.11 Sup Sch 11";#N/A,#N/A,FALSE,"C.12 Sup Sch 12";#N/A,#N/A,FALSE,"C.13 Sup Sch 13";#N/A,#N/A,FALSE,"C.14 Sup Sch 14";#N/A,#N/A,FALSE,"C.15 Sup Sch 15";#N/A,#N/A,FALSE,"C.16 Other Supp. Info.";#N/A,#N/A,FALSE,"C.17 SCF Proof";#N/A,#N/A,FALSE,"C.18 Income Tax Information"}</definedName>
    <definedName name="wrn.Yearly." hidden="1">{"One",#N/A,FALSE,"Yearly"}</definedName>
    <definedName name="wrn.yeild._.graph.1" hidden="1">{#N/A,#N/A,FALSE,"Yield Graph"}</definedName>
    <definedName name="wrn.Yield._.Graph." hidden="1">{#N/A,#N/A,FALSE,"Yield Graph"}</definedName>
    <definedName name="wrn.Yield._.Graph._.plus._.Input." hidden="1">{#N/A,#N/A,FALSE,"Yield Graph";#N/A,#N/A,FALSE,"Rent Roll";#N/A,#N/A,FALSE,"OE Yr1";#N/A,#N/A,FALSE,"Repl.Cst.+Ins."}</definedName>
    <definedName name="wrn.Zaxon._.Report._.1st._.half." hidden="1">{"CoverSheet",#N/A,FALSE,"Cover Sheet";"AreaSum",#N/A,FALSE,"Master Area Summary";"Exclusions",#N/A,FALSE,"Exclusions";"ZaxEXsum",#N/A,FALSE,"Executive Summary";"Zax A sum",#N/A,FALSE,"Bldg A Summary";"ZaxAest",#N/A,FALSE,"BLDG.A";"zaxCsum",#N/A,FALSE,"Bldg C Summary";"ZaxCest",#N/A,FALSE,"BLDG.C";"ZaxSTsum",#N/A,FALSE,"Site Summary";"zaxsite",#N/A,FALSE,"Site work"}</definedName>
    <definedName name="wrn.Zaxon._.Report._.2._.half." hidden="1">{"ZaxSWsum",#N/A,FALSE,"Sewer Summary";"ZaxSWest",#N/A,FALSE,"Sewer Estimate";"ZaxGRsum",#N/A,FALSE,"Garage Summary";"ZaxGRest",#N/A,FALSE,"Garage Estimate";"ZaxPLsum",#N/A,FALSE,"Pool Summary";"ZaxPLest",#N/A,FALSE,"Pool";"ZaxPHsum",#N/A,FALSE,"Pool House Summary";"ZaxMAsum",#N/A,FALSE,"Marina Summary";"ZaxMAest",#N/A,FALSE,"Marina Estimate"}</definedName>
    <definedName name="wrn.ZML123._.Financial._.Summaries." hidden="1">{#N/A,#N/A,FALSE,"ZM3 FinSummary";#N/A,#N/A,FALSE,"ZM2 FinSummary";#N/A,#N/A,FALSE,"ZM1 FinSummary"}</definedName>
    <definedName name="wrn2.check.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g" hidden="1">{"Output-BaseYear",#N/A,FALSE,"Output"}</definedName>
    <definedName name="wrnh" hidden="1">{"Output-All",#N/A,FALSE,"Output"}</definedName>
    <definedName name="wrnpkg" hidden="1">{#N/A,#N/A,FALSE,"Income Stmt";#N/A,#N/A,FALSE,"Income Summary"}</definedName>
    <definedName name="wrnpkgs" hidden="1">{#N/A,#N/A,FALSE,"Income Stmt";#N/A,#N/A,FALSE,"Income Summary"}</definedName>
    <definedName name="wrnprint1" hidden="1">{#N/A,#N/A,FALSE,"Financial";#N/A,#N/A,FALSE,"Balance Sheet";#N/A,#N/A,FALSE,"Income stmt";#N/A,#N/A,FALSE,"Ratio"}</definedName>
    <definedName name="ws" hidden="1">{#N/A,#N/A,FALSE,"Chart 2 by Prop Type"}</definedName>
    <definedName name="wscott">#REF!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ALL." hidden="1">{TRUE,TRUE,-1.25,-15.5,484.5,276.75,FALSE,FALSE,TRUE,TRUE,0,1,#N/A,1,#N/A,7.71428571428571,15.9411764705882,1,FALSE,FALSE,3,TRUE,1,FALSE,100,"Swvu.ALL.","ACwvu.ALL.",#N/A,FALSE,FALSE,0.37,0.4,1,0.37,2,"&amp;L&amp;""Arial,Bold Italic""&amp;USCHEDULE B &amp; C&amp;C&amp;""Arial,Bold""&amp;UINCOME AND EXPENSE BUDGET
FOR THE YEAR ENDING 12/31/97&amp;R&amp;""Arial,Bold Italic""&amp;UEASTLAND SHOPPING CENTER","&amp;LWestfield Corporation, Inc.&amp;CPage &amp;P of &amp;N&amp;R&amp;D &amp;T",FALSE,FALSE,FALSE,FALSE,1,#N/A,1,#N/A,"=R3C1:R44C22","=R1:R2",#N/A,#N/A,FALSE,FALSE,FALSE,1,65532,65532,FALSE,FALSE,TRUE,TRUE,TRUE}</definedName>
    <definedName name="wvu.As._.Is._.Value.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wvu.CAM._.RATES." hidden="1">{TRUE,TRUE,-1.25,-15.5,604.5,366.75,FALSE,FALSE,TRUE,TRUE,0,1,#N/A,46,#N/A,69.016393442623,25.2941176470588,1,FALSE,FALSE,3,TRUE,1,FALSE,100,"Swvu.CAM._.RATES.","ACwvu.CAM._.RATES.",#N/A,FALSE,FALSE,0.37,0.4,1,0.37,2,"&amp;L&amp;""Arial,Bold Italic""&amp;USCHEDULE B &amp; C&amp;C&amp;""Arial,Bold""&amp;UINCOME AND EXPENSE BUDGET
FOR THE YEAR ENDING 12/31/97&amp;R&amp;""Arial,Bold Italic""&amp;UEASTLAND SHOPPING CENTER","&amp;LWestfield Corporation, Inc.&amp;CPage &amp;P of &amp;N&amp;R&amp;D &amp;T",FALSE,FALSE,FALSE,FALSE,1,#N/A,1,#N/A,"=R48C62:R70C75","=R1:R2","Rwvu.CAM._.RATES.",#N/A,FALSE,FALSE,FALSE,1,65532,65532,FALSE,FALSE,TRUE,TRUE,TRUE}</definedName>
    <definedName name="wvu.CAM._.RECOVERY." hidden="1">{TRUE,TRUE,-1.25,-15.5,604.5,366.75,FALSE,FALSE,TRUE,TRUE,0,1,#N/A,1,#N/A,69.016393442623,23,1,FALSE,FALSE,3,TRUE,1,FALSE,100,"Swvu.CAM._.RECOVERY.","ACwvu.CAM._.RECOVERY.",#N/A,FALSE,FALSE,0.21,0.21,1,0.37,2,"&amp;L&amp;""Arial,Bold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&amp;T",FALSE,FALSE,FALSE,FALSE,1,#N/A,1,#N/A,"=R3C1:R46C75","=R1:R2","Rwvu.CAM._.RECOVERY.",#N/A,FALSE,FALSE,FALSE,1,65532,65532,FALSE,FALSE,TRUE,TRUE,TRUE}</definedName>
    <definedName name="wvu.Détails." hidden="1">{TRUE,TRUE,-1.25,-15.5,604.5,366.75,FALSE,TRUE,TRUE,TRUE,0,1,#N/A,1,#N/A,6.54838709677419,31.3076923076923,1,FALSE,FALSE,3,TRUE,1,FALSE,75,"Swvu.Détails.","ACwvu.Détails.",#N/A,FALSE,FALSE,0.15748031496063,0.15748031496063,0.748031496062992,0.511811023622047,2,"&amp;C&amp;""Arial,Gras""&amp;20DISNEY  -  PRODUCTION  BUDGET&amp;R&amp;""Arial,Gras""&amp;20SUMMARY","&amp;L&amp;F  -  &amp;A&amp;C&amp;""Arial,Gras""&amp;D&amp;""Arial,Normal""  -  &amp;T&amp;RPage
",TRUE,TRUE,FALSE,TRUE,1,#N/A,1,1,"=R1C1:R60C24","=R1:R5",#N/A,#N/A,FALSE,FALSE,FALSE,5,65532,65532,FALSE,FALSE,TRUE,TRUE,TRUE}</definedName>
    <definedName name="wvu.Escalation._.Table." hidden="1">{TRUE,TRUE,-1.25,-15.5,484.5,276.75,FALSE,TRUE,TRUE,TRUE,0,14,#N/A,20,#N/A,6.39784946236559,14.6190476190476,1,FALSE,FALSE,3,TRUE,1,FALSE,100,"Swvu.Escalation._.Table.","ACwvu.Escalation._.Table.",#N/A,FALSE,FALSE,0.51,0.5,0.5,1,2,"","",FALSE,FALSE,FALSE,FALSE,1,#N/A,1,3,FALSE,FALSE,#N/A,#N/A,FALSE,FALSE,FALSE,5,65532,300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SMEET." hidden="1">{TRUE,TRUE,-1.25,-15.5,604.5,366.75,FALSE,FALSE,TRUE,TRUE,0,1,8,1,3,7,2,4,TRUE,TRUE,3,TRUE,1,TRUE,100,"Swvu.LSMEET.","ACwvu.LSMEET.",#N/A,FALSE,FALSE,0.37,0.4,1,0.37,2,"&amp;L&amp;""Arial,Bold Italic""&amp;USCHEDULE B &amp; C&amp;C&amp;""Arial,Bold""&amp;UINCOME AND EXPENSE BUDGET
FOR THE YEAR ENDING 12/31/97&amp;R&amp;""Arial,Bold Italic""&amp;UEASTLAND SHOPPING CENTER","&amp;LWestfield Corporation, Inc.&amp;CPage &amp;P of &amp;N&amp;R&amp;D &amp;T",FALSE,FALSE,FALSE,FALSE,1,#N/A,1,#N/A,"=R3C1:R44C22","=R1:R2","Rwvu.LSMEET.",#N/A,FALSE,FALSE,FALSE,1,65532,65532,FALSE,FALSE,TRUE,TRUE,TRUE}</definedName>
    <definedName name="wvu.MARKETING._.REVENUE." hidden="1">{TRUE,TRUE,-1.25,-15.5,484.5,276.75,FALSE,FALSE,TRUE,TRUE,0,1,114,1,43,4,2,4,TRUE,TRUE,3,TRUE,1,TRUE,100,"Swvu.MARKETING._.REVENUE.","ACwvu.MARKETING._.REVENUE.",#N/A,FALSE,FALSE,0.37,0.4,1,0.37,2,"&amp;L&amp;""Arial,Bold Italic""&amp;USCHEDULE B &amp; C&amp;C&amp;""Arial,Bold""&amp;UINCOME AND EXPENSE BUDGET
FOR THE YEAR ENDING 12/31/98&amp;R&amp;""Arial,Bold Italic""&amp;UEASTLAND SHOPPING CENTER","&amp;LWestfield Corporation, Inc.&amp;CPage &amp;P of &amp;N&amp;R&amp;D &amp;T",FALSE,FALSE,FALSE,FALSE,1,#N/A,1,#N/A,#DIV/0!,"=R1:R2","Rwvu.MARKETING._.REVENUE.",#N/A,FALSE,FALSE,FALSE,1,#N/A,#N/A,FALSE,FALSE,TRUE,TRUE,TRUE}</definedName>
    <definedName name="wvu.MINIMUM._.RENT." hidden="1">{TRUE,TRUE,-1.25,-15.5,484.5,276.75,FALSE,FALSE,TRUE,TRUE,0,17,#N/A,35,#N/A,102.859375,18.2222222222222,1,FALSE,FALSE,3,TRUE,1,FALSE,100,"Swvu.MINIMUM._.RENT.","ACwvu.MINIMUM._.RENT.",#N/A,FALSE,FALSE,0.37,0.4,1,0.37,2,"&amp;L&amp;""Arial,Bold Italic""&amp;USCHEDULE B &amp; C&amp;C&amp;""Arial,Bold""&amp;UINCOME AND EXPENSE BUDGET
FOR THE YEAR ENDING 12/31/98&amp;R&amp;""Arial,Bold Italic""&amp;UEASTLAND SHOPPING CENTER","&amp;LWestfield Corporation, Inc.&amp;CPage &amp;P of &amp;N&amp;R&amp;D &amp;T",FALSE,FALSE,FALSE,FALSE,1,59,#N/A,#N/A,"=R3C1:R46C22","=R1:R2","Rwvu.MINIMUM._.RENT.",#N/A,FALSE,FALSE,FALSE,1,#N/A,#N/A,FALSE,FALSE,TRUE,TRUE,TRUE}</definedName>
    <definedName name="wvu.OCCUPANCY." hidden="1">{TRUE,TRUE,-1.25,-15.5,604.5,366.75,FALSE,FALSE,TRUE,TRUE,0,1,#N/A,1,#N/A,54.1481481481481,23,1,FALSE,FALSE,3,TRUE,1,FALSE,100,"Swvu.OCCUPANCY.","ACwvu.OCCUPANCY.",#N/A,FALSE,FALSE,0.21,0.21,1,0.37,2,"&amp;L&amp;""Arial,Bold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&amp;T",FALSE,FALSE,FALSE,FALSE,1,#N/A,1,#N/A,"=R3C1:R59C61","=R1:R2","Rwvu.OCCUPANCY.",#N/A,FALSE,FALSE,FALSE,1,65532,65532,FALSE,FALSE,TRUE,TRUE,TRUE}</definedName>
    <definedName name="wvu.Overhead._.detail." hidden="1">{TRUE,TRUE,-2,-15.2,616.8,379.8,FALSE,TRUE,TRUE,TRUE,15,4,#N/A,22,#N/A,12.3176470588235,29,1,FALSE,FALSE,3,TRUE,1,FALSE,67,"Swvu.Overhead._.detail.","ACwvu.Overhead._.detail.",#N/A,FALSE,FALSE,0.669291338582677,0.275590551181102,0.236220472440945,0.236220472440945,1,"","",FALSE,FALSE,FALSE,FALSE,1,#N/A,1,#N/A,"=R194C4:R674C19","=R45:R49","Rwvu.Overhead._.detail.",#N/A,FALSE,FALSE,FALSE,9,600,600,FALSE,FALSE,TRUE,TRUE,TRUE}</definedName>
    <definedName name="wvu.PERCENTAGE._.RENT." hidden="1">{TRUE,TRUE,-1.25,-15.5,484.5,276.75,FALSE,FALSE,TRUE,TRUE,0,1,47,1,43,21,2,4,TRUE,TRUE,3,TRUE,1,TRUE,100,"Swvu.PERCENTAGE._.RENT.","ACwvu.PERCENTAGE._.RENT.",#N/A,FALSE,FALSE,0.37,0.4,1,0.37,2,"&amp;L&amp;""Arial,Bold Italic""&amp;USCHEDULE B &amp; C&amp;C&amp;""Arial,Bold""&amp;UINCOME AND EXPENSE BUDGET
FOR THE YEAR ENDING 12/31/98&amp;R&amp;""Arial,Bold Italic""&amp;UEASTLAND SHOPPING CENTER","&amp;LWestfield Corporation, Inc.&amp;CPage &amp;P of &amp;N&amp;R&amp;D &amp;T",FALSE,FALSE,FALSE,FALSE,1,#N/A,1,#N/A,#DIV/0!,"=R1:R2","Rwvu.PERCENTAGE._.RENT.",#N/A,FALSE,FALSE,FALSE,1,#N/A,#N/A,FALSE,FALSE,TRUE,TRUE,TRUE}</definedName>
    <definedName name="wvu.Profit._.report._.detailed." hidden="1">{TRUE,TRUE,-2,-15.2,616.8,379.8,FALSE,TRUE,TRUE,TRUE,15,4,#N/A,50,#N/A,12.3176470588235,70.7586206896552,1,FALSE,FALSE,3,TRUE,1,FALSE,67,"Swvu.Profit._.report._.detailed.","ACwvu.Profit._.report._.detailed.",#N/A,FALSE,FALSE,0.669291338582677,0.275590551181102,0.236220472440945,0.236220472440945,1,"","",FALSE,FALSE,FALSE,FALSE,1,#N/A,1,#N/A,"=R54C4:R191C19","=R45:R53","Rwvu.Profit._.report._.detailed.","Cwvu.Profit._.report._.detailed.",FALSE,FALSE,FALSE,9,600,600,FALSE,FALSE,TRUE,TRUE,TRUE}</definedName>
    <definedName name="wvu.Sommaire." hidden="1">{TRUE,TRUE,-1.25,-15.5,604.5,366.75,FALSE,TRUE,TRUE,TRUE,0,1,2,1,6,1,5,4,TRUE,TRUE,3,TRUE,1,TRUE,75,"Swvu.Sommaire.","ACwvu.Sommaire.",#N/A,FALSE,FALSE,0.15748031496063,0.15748031496063,0.748031496062992,0.511811023622047,2,"&amp;C&amp;""Arial,Gras""&amp;20DISNEY  -  PRODUCTION  BUDGET&amp;R&amp;""Arial,Gras""&amp;20SUMMARY","&amp;L&amp;F  -  &amp;A&amp;C&amp;""Arial,Gras""&amp;D&amp;""Arial,Normal""  -  &amp;T&amp;RPage
",TRUE,TRUE,FALSE,TRUE,1,#N/A,1,1,"=R1C1:R60C24","=R1:R5","Rwvu.Sommaire.",#N/A,FALSE,FALSE,FALSE,5,65532,65532,FALSE,FALSE,TRUE,TRUE,TRUE}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AX._.RATES." hidden="1">{TRUE,TRUE,-1.25,-15.5,604.5,366.75,FALSE,FALSE,TRUE,TRUE,0,1,#N/A,49,#N/A,84.016393442623,25.2941176470588,1,FALSE,FALSE,3,TRUE,1,FALSE,100,"Swvu.TAX._.RATES.","ACwvu.TAX._.RATES.",#N/A,FALSE,FALSE,0.21,0.21,1,0.37,2,"&amp;L&amp;""Arial,Bold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&amp;T",FALSE,FALSE,FALSE,FALSE,1,#N/A,1,#N/A,"=R51C78:R64C90","=R1:R2","Rwvu.TAX._.RATES.",#N/A,FALSE,FALSE,FALSE,1,65532,65532,FALSE,FALSE,TRUE,TRUE,TRUE}</definedName>
    <definedName name="wvu.TAX._.RECOVERY." hidden="1">{TRUE,TRUE,-1.25,-15.5,604.5,366.75,FALSE,FALSE,TRUE,TRUE,0,1,#N/A,1,#N/A,84.016393442623,23,1,FALSE,FALSE,3,TRUE,1,FALSE,100,"Swvu.TAX._.RECOVERY.","ACwvu.TAX._.RECOVERY.",#N/A,FALSE,FALSE,0.21,0.21,1,0.37,2,"&amp;L&amp;""Arial,Bold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&amp;T",FALSE,FALSE,FALSE,FALSE,1,#N/A,1,#N/A,"=R3C1:R46C90","=R1:R2","Rwvu.TAX._.RECOVERY.",#N/A,FALSE,FALSE,FALSE,1,65532,65532,FALSE,FALSE,TRUE,TRUE,TRUE}</definedName>
    <definedName name="ww" hidden="1">{#N/A,#N/A,FALSE,"Chart 2 by Prop Type"}</definedName>
    <definedName name="wwas" hidden="1">{#N/A,#N/A,FALSE,"Chart 2 by Prop Type"}</definedName>
    <definedName name="wwass" hidden="1">{#N/A,#N/A,FALSE,"Chart 2 by Prop Type"}</definedName>
    <definedName name="wwc" hidden="1">{#N/A,#N/A,FALSE,"Aging Summary";#N/A,#N/A,FALSE,"Ratio Analysis";#N/A,#N/A,FALSE,"Test 120 Day Accts";#N/A,#N/A,FALSE,"Tickmarks"}</definedName>
    <definedName name="www" hidden="1">{"data",#N/A,FALSE,"INPUT"}</definedName>
    <definedName name="www.cc" hidden="1">{"qtrs",#N/A,FALSE,"External Mnth-Qtr-Ytd (EBITDA)";"months",#N/A,FALSE,"External Mnth-Qtr-Ytd (EBITDA)";"qtrs",#N/A,FALSE,"External Mnth-Qtr-Ytd (EBIT)";"monthsl",#N/A,FALSE,"External Mnth-Qtr-Ytd (EBIT)";"qtrs",#N/A,FALSE,"Internal Mth-Qtr-Ytd";"months",#N/A,FALSE,"Internal Mth-Qtr-Ytd"}</definedName>
    <definedName name="wwwe" hidden="1">{"land1",#N/A,FALSE,"Land";"land2",#N/A,FALSE,"Land";"land3",#N/A,FALSE,"Land"}</definedName>
    <definedName name="wwww" hidden="1">{#N/A,#N/A,TRUE,"10 Yr Hold";#N/A,#N/A,TRUE,"7 Yr Hold";#N/A,#N/A,TRUE,"5 Yr Hold";#N/A,#N/A,TRUE,"3 Yr Hold"}</definedName>
    <definedName name="wwwww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wwwwwwwww" hidden="1">{#N/A,#N/A,TRUE,"A-site";#N/A,#N/A,TRUE,"B-Buildings";#N/A,#N/A,TRUE,"c-out-of-fence";#N/A,#N/A,TRUE,"d-proj.infr.";#N/A,#N/A,TRUE,"e- land"}</definedName>
    <definedName name="wwwwwwwwwww" hidden="1">{#N/A,#N/A,TRUE,"Title - Caisse";#N/A,#N/A,TRUE,"Schedule 1a";#N/A,#N/A,TRUE,"Schedule 2 - 2001";#N/A,#N/A,TRUE,"Schedule 2 - 2002";#N/A,#N/A,TRUE,"Schedule 2 - 2003";#N/A,#N/A,TRUE,"Schedule 3";#N/A,#N/A,TRUE,"Schedule 4";#N/A,#N/A,TRUE,"Schedule 5";#N/A,#N/A,TRUE,"Schedule 5a";#N/A,#N/A,TRUE,"Schedule 6";#N/A,#N/A,TRUE,"Schedule 6a";#N/A,#N/A,TRUE,"Schedule 6b";#N/A,#N/A,TRUE,"Schedule 6c";#N/A,#N/A,TRUE,"Schedule 6d";#N/A,#N/A,TRUE,"Schedule 6e";#N/A,#N/A,TRUE,"Schedule 7";#N/A,#N/A,TRUE,"Schedule 8"}</definedName>
    <definedName name="x" hidden="1">{#N/A,#N/A,FALSE,"LoanAssumptions"}</definedName>
    <definedName name="xcvxv" hidden="1">{#N/A,#N/A,FALSE,"COVER";#N/A,#N/A,FALSE,"PROFORMA";#N/A,#N/A,FALSE,"Construction CF";#N/A,#N/A,FALSE,"CASHFLOW";#N/A,#N/A,FALSE,"Sale &amp; IRR Analysis";#N/A,#N/A,FALSE,"Amortization Table";#N/A,#N/A,FALSE,"Amortization FEMA";#N/A,#N/A,FALSE,"INCOME"}</definedName>
    <definedName name="xdrtuyxftgu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xdxdy" hidden="1">{#N/A,#N/A,FALSE,"A";#N/A,#N/A,FALSE,"B"}</definedName>
    <definedName name="xfgjxcfgj" hidden="1">{#N/A,#N/A,FALSE,"LP Exp";#N/A,#N/A,FALSE,"Salary";#N/A,#N/A,FALSE,"Admin Exp";#N/A,#N/A,FALSE,"QTS Bud";#N/A,#N/A,FALSE,"Marketing"}</definedName>
    <definedName name="xfgujxcfgj" hidden="1">{#N/A,#N/A,FALSE,"Common Area Accrual";#N/A,#N/A,FALSE,"Unit One LaSalle";#N/A,#N/A,FALSE,"Unit One CW";#N/A,#N/A,FALSE,"Unit One LaSallle + C &amp; W";#N/A,#N/A,FALSE,"Consolidated Accrual"}</definedName>
    <definedName name="xfgxcfgj" hidden="1">{#N/A,#N/A,FALSE,"399 Park Var";#N/A,#N/A,FALSE,"PK NOTES"}</definedName>
    <definedName name="xftxft" hidden="1">{#N/A,#N/A,FALSE,"A";#N/A,#N/A,FALSE,"C"}</definedName>
    <definedName name="XLDW_UID" hidden="1">"us262150"</definedName>
    <definedName name="XLDW_VER" hidden="1">"Office 2000 2.0 with Query Builder"</definedName>
    <definedName name="xlg" hidden="1">{"schedule1",#N/A,FALSE,"Sheet1";"schedule2",#N/A,FALSE,"Sheet1";"schedule3",#N/A,FALSE,"Sheet1";"schedule4",#N/A,FALSE,"Sheet1";"schedule5",#N/A,FALSE,"Sheet1";"schedule6",#N/A,FALSE,"Sheet1"}</definedName>
    <definedName name="xlg1" hidden="1">{"Year 1",#N/A,FALSE,"Budget";"Year 2",#N/A,FALSE,"Budget";"Year 3",#N/A,FALSE,"Budget";"Year 4",#N/A,FALSE,"Budget"}</definedName>
    <definedName name="xp" hidden="1">#REF!</definedName>
    <definedName name="XREF_COLUMN_1" hidden="1">#REF!</definedName>
    <definedName name="XREF_COLUMN_10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Row" hidden="1">#REF!</definedName>
    <definedName name="XRefCopy2" hidden="1">#REF!</definedName>
    <definedName name="XRefCopy27" hidden="1">#REF!</definedName>
    <definedName name="XRefCopy28" hidden="1">#REF!</definedName>
    <definedName name="XRefCopy29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4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RangeCount" hidden="1">5</definedName>
    <definedName name="xrttd" hidden="1">{"Total",#N/A,FALSE,"Total Proved + Probable";"PDP",#N/A,FALSE,"Total Proved + Probable";"PNP",#N/A,FALSE,"Total Proved + Probable";"PUD",#N/A,FALSE,"Total Proved + Probable";"Prob",#N/A,FALSE,"Total Proved + Probable"}</definedName>
    <definedName name="xryjxtjnx" hidden="1">{"Investor",#N/A,FALSE,"Model";"Property",#N/A,FALSE,"Model";"Incentive Taxes",#N/A,FALSE,"Model"}</definedName>
    <definedName name="xs" hidden="1">#REF!</definedName>
    <definedName name="xvc" hidden="1">{"FCB_ALL",#N/A,FALSE,"FCB"}</definedName>
    <definedName name="XVCWXV" hidden="1">#REF!</definedName>
    <definedName name="xx" hidden="1">#REF!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xxx" hidden="1">{#N/A,#N/A,TRUE,"10 Yr Hold";#N/A,#N/A,TRUE,"7 Yr Hold";#N/A,#N/A,TRUE,"5 Yr Hold";#N/A,#N/A,TRUE,"3 Yr Hold"}</definedName>
    <definedName name="xxx_1" hidden="1">{"COM",#N/A,FALSE,"800 10th"}</definedName>
    <definedName name="xxx.detail" hidden="1">{"detail305",#N/A,FALSE,"BI-305"}</definedName>
    <definedName name="xxx.directory" hidden="1">{"summary",#N/A,FALSE,"PCR DIRECTORY"}</definedName>
    <definedName name="xxx.statements." hidden="1">{#N/A,#N/A,FALSE,"Income Statement";#N/A,#N/A,FALSE,"Cash Flow";#N/A,#N/A,FALSE,"Balance Sheet";#N/A,#N/A,FALSE,"Ratios"}</definedName>
    <definedName name="xxx3" localSheetId="0" hidden="1">{"AnnualRentRoll",#N/A,FALSE,"RentRoll"}</definedName>
    <definedName name="xxx3" hidden="1">{"AnnualRentRoll",#N/A,FALSE,"RentRoll"}</definedName>
    <definedName name="xxx3_1" hidden="1">{"AnnualRentRoll",#N/A,FALSE,"RentRoll"}</definedName>
    <definedName name="xxx3_2" hidden="1">{"AnnualRentRoll",#N/A,FALSE,"RentRoll"}</definedName>
    <definedName name="xxx3_3" hidden="1">{"AnnualRentRoll",#N/A,FALSE,"RentRoll"}</definedName>
    <definedName name="xxx3_4" hidden="1">{"AnnualRentRoll",#N/A,FALSE,"RentRoll"}</definedName>
    <definedName name="xxx4" localSheetId="0" hidden="1">{#N/A,#N/A,FALSE,"ExitStratigy"}</definedName>
    <definedName name="xxx4" hidden="1">{#N/A,#N/A,FALSE,"ExitStratigy"}</definedName>
    <definedName name="xxx4_1" hidden="1">{#N/A,#N/A,FALSE,"ExitStratigy"}</definedName>
    <definedName name="xxx4_2" hidden="1">{#N/A,#N/A,FALSE,"ExitStratigy"}</definedName>
    <definedName name="xxx4_3" hidden="1">{#N/A,#N/A,FALSE,"ExitStratigy"}</definedName>
    <definedName name="xxx4_4" hidden="1">{#N/A,#N/A,FALSE,"ExitStratigy"}</definedName>
    <definedName name="xxxx" hidden="1">#REF!</definedName>
    <definedName name="xxxxx" hidden="1">{#N/A,#N/A,FALSE,"Aging Summary";#N/A,#N/A,FALSE,"Ratio Analysis";#N/A,#N/A,FALSE,"Test 120 Day Accts";#N/A,#N/A,FALSE,"Tickmarks"}</definedName>
    <definedName name="XXXXXX" hidden="1">#REF!</definedName>
    <definedName name="XYZ">#REF!</definedName>
    <definedName name="xz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y" hidden="1">{"clp_bs_doc",#N/A,FALSE,"CLP";"clp_is_doc",#N/A,FALSE,"CLP";"clp_cf_doc",#N/A,FALSE,"CLP";"clp_fr_doc",#N/A,FALSE,"CLP"}</definedName>
    <definedName name="ydfbgeartg" hidden="1">#REF!</definedName>
    <definedName name="year">#REF!</definedName>
    <definedName name="Year_01">#REF!</definedName>
    <definedName name="YEAR_END">#REF!</definedName>
    <definedName name="YearLabel02">#REF!</definedName>
    <definedName name="years">#REF!</definedName>
    <definedName name="YG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yhdyh" hidden="1">#REF!</definedName>
    <definedName name="yhjhj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ield">#REF!</definedName>
    <definedName name="yield_graph" hidden="1">{#N/A,#N/A,FALSE,"Yield Graph"}</definedName>
    <definedName name="YIELD_WITH">#REF!</definedName>
    <definedName name="YIELD_WITHOUT">#REF!</definedName>
    <definedName name="YIELDS">#REF!</definedName>
    <definedName name="YOSLAND">#REF!</definedName>
    <definedName name="you" hidden="1">{"Financials",#N/A,FALSE,"Financials";"AVP",#N/A,FALSE,"AVP";"DCF",#N/A,FALSE,"DCF";"CSC",#N/A,FALSE,"CSC";"Deal_Comp",#N/A,FALSE,"DealComp"}</definedName>
    <definedName name="YoY_SS_Array">#REF!</definedName>
    <definedName name="YoY_SS_Offset">#REF!</definedName>
    <definedName name="yr10cashFLOWafterDEBT">#REF!</definedName>
    <definedName name="yr1a" hidden="1">#REF!</definedName>
    <definedName name="yr1cashFLOWafterDEBT">#REF!</definedName>
    <definedName name="yr1NOI">#REF!</definedName>
    <definedName name="YR1NonreimbOpexPSF">#REF!</definedName>
    <definedName name="YR1OpexPSF">#REF!</definedName>
    <definedName name="YR1ReimbOpexPSF">#REF!</definedName>
    <definedName name="yr2a" hidden="1">#REF!</definedName>
    <definedName name="yr2cashFLOWafterDEBT">#REF!</definedName>
    <definedName name="yr3a" hidden="1">#REF!</definedName>
    <definedName name="yr3cashFLOWafterDEBT">#REF!</definedName>
    <definedName name="yr4a" hidden="1">#REF!</definedName>
    <definedName name="yr4cashFLOWafterDEBT">#REF!</definedName>
    <definedName name="yr5cashFLOWafterDEBT">#REF!</definedName>
    <definedName name="yr6cashFLOWafterDEBT">#REF!</definedName>
    <definedName name="yr7cashFLOWafterDEBT">#REF!</definedName>
    <definedName name="yr8cashFLOWafterDEBT">#REF!</definedName>
    <definedName name="yr9cashFLOWafterDEBT">#REF!</definedName>
    <definedName name="ytjh" hidden="1">#REF!</definedName>
    <definedName name="ytsrt" hidden="1">#REF!</definedName>
    <definedName name="yui" hidden="1">{#N/A,#N/A,FALSE,"Chart 2 by Prop Type"}</definedName>
    <definedName name="yuiy" hidden="1">{#N/A,#N/A,FALSE,"COVER";#N/A,#N/A,FALSE,"Construction CF";#N/A,#N/A,FALSE,"PROFORMA";#N/A,#N/A,FALSE,"CASHFLOW"}</definedName>
    <definedName name="yyy" hidden="1">#REF!</definedName>
    <definedName name="yyy.detail" hidden="1">{"detail305",#N/A,FALSE,"BI-305"}</definedName>
    <definedName name="yyyyyyy" hidden="1">{#N/A,#N/A,FALSE,"Title - Management";#N/A,#N/A,FALSE,"Schedule 1a";#N/A,#N/A,FALSE,"Schedule 2 - 2001";#N/A,#N/A,FALSE,"Schedule 2 - 2002";#N/A,#N/A,FALSE,"Schedule 2 - 2003";#N/A,#N/A,FALSE,"Schedule 3 - Mgnt ";#N/A,#N/A,FALSE,"Schedule 3";#N/A,#N/A,FALSE,"Schedule 4";#N/A,#N/A,FALSE,"Schedule 4a - Mgnt";#N/A,#N/A,FALSE,"Schedule 5";#N/A,#N/A,FALSE,"Schedule 5a";#N/A,#N/A,FALSE,"Schedule 6";#N/A,#N/A,FALSE,"Schedule 6a";#N/A,#N/A,FALSE,"Schedule 6b";#N/A,#N/A,FALSE,"Schedule 6c";#N/A,#N/A,FALSE,"Schedule 6d";#N/A,#N/A,FALSE,"Schedule 6e";#N/A,#N/A,FALSE,"Schedule 7";#N/A,#N/A,FALSE,"Schedule 8";#N/A,#N/A,FALSE,"Schedule 9- Mgnt";#N/A,#N/A,FALSE,"Schedule 10 - Mgmt Fees - Mgnt";#N/A,#N/A,FALSE,"Schedule 10- Leasing Fees- Mgnt";#N/A,#N/A,FALSE,"Schedule 10 - Devel Fees- Mgnt"}</definedName>
    <definedName name="z" hidden="1">{"CSheet",#N/A,FALSE,"C";"SmCap",#N/A,FALSE,"VAL1";"GulfCoast",#N/A,FALSE,"VAL1";"nav",#N/A,FALSE,"NAV";"Summary",#N/A,FALSE,"NAV"}</definedName>
    <definedName name="Z_0DF4CCD5_BD29_11D2_B943_0050040AC21C_.wvu.FilterData" hidden="1">#REF!</definedName>
    <definedName name="Z_103EF461_8E0C_11D4_BD19_00C04F7ADBB0_.wvu.PrintTitles" hidden="1">#REF!</definedName>
    <definedName name="Z_1906290E_BC61_11D2_B941_0050040AC21C_.wvu.FilterData" hidden="1">#REF!</definedName>
    <definedName name="Z_19062910_BC61_11D2_B941_0050040AC21C_.wvu.FilterData" hidden="1">#REF!</definedName>
    <definedName name="Z_1C8A8291_48BB_11D3_BD19_00C04F7ADBB0_.wvu.PrintTitles" hidden="1">#REF!</definedName>
    <definedName name="Z_22616A05_83D1_11D4_BD19_00C04F7ADBB0_.wvu.PrintTitles" hidden="1">#REF!</definedName>
    <definedName name="Z_28BDDCCC_2551_11D1_BD8E_0020AF42250B_.wvu.Cols" hidden="1">#REF!,#REF!,#REF!</definedName>
    <definedName name="Z_28BDDCCD_2551_11D1_BD8E_0020AF42250B_.wvu.Cols" hidden="1">#REF!,#REF!,#REF!</definedName>
    <definedName name="Z_28BDDCCF_2551_11D1_BD8E_0020AF42250B_.wvu.Cols" hidden="1">#REF!,#REF!,#REF!,#REF!</definedName>
    <definedName name="Z_28BDDCD0_2551_11D1_BD8E_0020AF42250B_.wvu.Cols" hidden="1">#REF!,#REF!,#REF!</definedName>
    <definedName name="Z_28BDDCD1_2551_11D1_BD8E_0020AF42250B_.wvu.Cols" hidden="1">#REF!,#REF!</definedName>
    <definedName name="Z_28BDDCD2_2551_11D1_BD8E_0020AF42250B_.wvu.Cols" hidden="1">#REF!,#REF!,#REF!</definedName>
    <definedName name="Z_28BDDCD3_2551_11D1_BD8E_0020AF42250B_.wvu.Cols" hidden="1">#REF!,#REF!,#REF!,#REF!</definedName>
    <definedName name="Z_28BDDCD8_2551_11D1_BD8E_0020AF42250B_.wvu.Cols" hidden="1">#REF!,#REF!,#REF!</definedName>
    <definedName name="Z_28BDDCD9_2551_11D1_BD8E_0020AF42250B_.wvu.Cols" hidden="1">#REF!,#REF!,#REF!</definedName>
    <definedName name="Z_293F9608_6186_11D1_8188_004C06C10000_.wvu.Cols" hidden="1">#REF!</definedName>
    <definedName name="Z_2DF11753_B84B_11D2_B93A_0050040AC227_.wvu.PrintArea" hidden="1">#REF!</definedName>
    <definedName name="Z_38B66622_465C_11D1_8554_0080C7F00AC6_.wvu.Cols" hidden="1">#REF!,#REF!,#REF!</definedName>
    <definedName name="Z_38B66623_465C_11D1_8554_0080C7F00AC6_.wvu.Cols" hidden="1">#REF!,#REF!,#REF!</definedName>
    <definedName name="Z_38B66625_465C_11D1_8554_0080C7F00AC6_.wvu.Cols" hidden="1">#REF!,#REF!,#REF!,#REF!</definedName>
    <definedName name="Z_38B66626_465C_11D1_8554_0080C7F00AC6_.wvu.Cols" hidden="1">#REF!,#REF!,#REF!</definedName>
    <definedName name="Z_38B66627_465C_11D1_8554_0080C7F00AC6_.wvu.Cols" hidden="1">#REF!,#REF!</definedName>
    <definedName name="Z_38B66628_465C_11D1_8554_0080C7F00AC6_.wvu.Cols" hidden="1">#REF!,#REF!,#REF!</definedName>
    <definedName name="Z_38B66629_465C_11D1_8554_0080C7F00AC6_.wvu.Cols" hidden="1">#REF!,#REF!,#REF!,#REF!</definedName>
    <definedName name="Z_38B6662E_465C_11D1_8554_0080C7F00AC6_.wvu.Cols" hidden="1">#REF!,#REF!,#REF!</definedName>
    <definedName name="Z_38B6662F_465C_11D1_8554_0080C7F00AC6_.wvu.Cols" hidden="1">#REF!,#REF!,#REF!</definedName>
    <definedName name="Z_3FFCEA43_F8AA_11D0_BD29_0020AF42250B_.wvu.Cols" hidden="1">#REF!,#REF!,#REF!</definedName>
    <definedName name="Z_3FFCEA43_F8AA_11D0_BD29_0020AF42250B_.wvu.PrintArea" hidden="1">#REF!</definedName>
    <definedName name="Z_3FFCEA43_F8AA_11D0_BD29_0020AF42250B_.wvu.PrintTitles" hidden="1">#REF!</definedName>
    <definedName name="Z_40D1A02B_1594_11D1_BD73_0020AF42250B_.wvu.Cols" hidden="1">#REF!,#REF!,#REF!</definedName>
    <definedName name="Z_40D1A02C_1594_11D1_BD73_0020AF42250B_.wvu.Cols" hidden="1">#REF!,#REF!,#REF!</definedName>
    <definedName name="Z_40D1A02D_1594_11D1_BD73_0020AF42250B_.wvu.Cols" hidden="1">#REF!,#REF!,#REF!,#REF!</definedName>
    <definedName name="Z_40D1A02E_1594_11D1_BD73_0020AF42250B_.wvu.Cols" hidden="1">#REF!,#REF!,#REF!</definedName>
    <definedName name="Z_40D1A02F_1594_11D1_BD73_0020AF42250B_.wvu.Cols" hidden="1">#REF!,#REF!</definedName>
    <definedName name="Z_40D1A030_1594_11D1_BD73_0020AF42250B_.wvu.Cols" hidden="1">#REF!,#REF!,#REF!</definedName>
    <definedName name="Z_40D1A031_1594_11D1_BD73_0020AF42250B_.wvu.Cols" hidden="1">#REF!,#REF!,#REF!,#REF!</definedName>
    <definedName name="Z_40D1A032_1594_11D1_BD73_0020AF42250B_.wvu.Cols" hidden="1">#REF!,#REF!,#REF!</definedName>
    <definedName name="Z_40D1A033_1594_11D1_BD73_0020AF42250B_.wvu.Cols" hidden="1">#REF!,#REF!,#REF!</definedName>
    <definedName name="Z_40D1A104_1594_11D1_BD73_0020AF42250B_.wvu.Cols" hidden="1">#REF!,#REF!,#REF!</definedName>
    <definedName name="Z_40D1A105_1594_11D1_BD73_0020AF42250B_.wvu.Cols" hidden="1">#REF!,#REF!,#REF!</definedName>
    <definedName name="Z_40D1A107_1594_11D1_BD73_0020AF42250B_.wvu.Cols" hidden="1">#REF!,#REF!,#REF!,#REF!</definedName>
    <definedName name="Z_40D1A109_1594_11D1_BD73_0020AF42250B_.wvu.Cols" hidden="1">#REF!,#REF!,#REF!</definedName>
    <definedName name="Z_40D1A10B_1594_11D1_BD73_0020AF42250B_.wvu.Cols" hidden="1">#REF!,#REF!</definedName>
    <definedName name="Z_40D1A10C_1594_11D1_BD73_0020AF42250B_.wvu.Cols" hidden="1">#REF!,#REF!,#REF!</definedName>
    <definedName name="Z_40D1A10F_1594_11D1_BD73_0020AF42250B_.wvu.Cols" hidden="1">#REF!,#REF!,#REF!,#REF!</definedName>
    <definedName name="Z_40D1A114_1594_11D1_BD73_0020AF42250B_.wvu.Cols" hidden="1">#REF!,#REF!,#REF!</definedName>
    <definedName name="Z_40D1A115_1594_11D1_BD73_0020AF42250B_.wvu.Cols" hidden="1">#REF!,#REF!,#REF!</definedName>
    <definedName name="Z_49179D1A_043D_11D1_BD55_0020AF42250B_.wvu.Cols" hidden="1">#REF!,#REF!</definedName>
    <definedName name="Z_49179D1A_043D_11D1_BD55_0020AF42250B_.wvu.PrintArea" hidden="1">#REF!</definedName>
    <definedName name="Z_49179D1A_043D_11D1_BD55_0020AF42250B_.wvu.PrintTitles" hidden="1">#REF!</definedName>
    <definedName name="Z_49179D1D_043D_11D1_BD55_0020AF42250B_.wvu.Cols" hidden="1">#REF!,#REF!,#REF!</definedName>
    <definedName name="Z_49179D1D_043D_11D1_BD55_0020AF42250B_.wvu.PrintArea" hidden="1">#REF!</definedName>
    <definedName name="Z_49179D1D_043D_11D1_BD55_0020AF42250B_.wvu.PrintTitles" hidden="1">#REF!</definedName>
    <definedName name="Z_4C1CBF02_B7B5_11D2_B93A_0050040AC21C_.wvu.FilterData" hidden="1">#REF!</definedName>
    <definedName name="Z_4C1CBF02_B7B5_11D2_B93A_0050040AC21C_.wvu.PrintArea" hidden="1">#REF!</definedName>
    <definedName name="Z_4C1CBF02_B7B5_11D2_B93A_0050040AC21C_.wvu.PrintTitles" hidden="1">#REF!</definedName>
    <definedName name="Z_4D69700F_3E5A_11D2_B93D_00C04F7ADD59_.wvu.Cols" hidden="1">#REF!,#REF!</definedName>
    <definedName name="Z_4D697010_3E5A_11D2_B93D_00C04F7ADD59_.wvu.Cols" hidden="1">#REF!,#REF!</definedName>
    <definedName name="Z_4D697010_3E5A_11D2_B93D_00C04F7ADD59_.wvu.Rows" hidden="1">#REF!,#REF!,#REF!,#REF!,#REF!,#REF!</definedName>
    <definedName name="Z_4D697011_3E5A_11D2_B93D_00C04F7ADD59_.wvu.Cols" hidden="1">#REF!,#REF!</definedName>
    <definedName name="Z_4D697011_3E5A_11D2_B93D_00C04F7ADD59_.wvu.Rows" hidden="1">#REF!,#REF!,#REF!,#REF!,#REF!,#REF!,#REF!,#REF!,#REF!</definedName>
    <definedName name="Z_4D697012_3E5A_11D2_B93D_00C04F7ADD59_.wvu.Cols" hidden="1">#REF!,#REF!</definedName>
    <definedName name="Z_4D697012_3E5A_11D2_B93D_00C04F7ADD59_.wvu.Rows" hidden="1">#REF!,#REF!,#REF!,#REF!,#REF!,#REF!,#REF!,#REF!,#REF!</definedName>
    <definedName name="Z_4D697013_3E5A_11D2_B93D_00C04F7ADD59_.wvu.Cols" hidden="1">#REF!,#REF!</definedName>
    <definedName name="Z_4D697013_3E5A_11D2_B93D_00C04F7ADD59_.wvu.Rows" hidden="1">#REF!,#REF!,#REF!,#REF!,#REF!</definedName>
    <definedName name="Z_4D697014_3E5A_11D2_B93D_00C04F7ADD59_.wvu.Cols" hidden="1">#REF!,#REF!</definedName>
    <definedName name="Z_4D697014_3E5A_11D2_B93D_00C04F7ADD59_.wvu.Rows" hidden="1">#REF!,#REF!,#REF!,#REF!,#REF!,#REF!,#REF!,#REF!,#REF!,#REF!</definedName>
    <definedName name="Z_4D697015_3E5A_11D2_B93D_00C04F7ADD59_.wvu.Cols" hidden="1">#REF!,#REF!</definedName>
    <definedName name="Z_4D697016_3E5A_11D2_B93D_00C04F7ADD59_.wvu.Cols" hidden="1">#REF!,#REF!</definedName>
    <definedName name="Z_4D697016_3E5A_11D2_B93D_00C04F7ADD59_.wvu.Rows" hidden="1">#REF!,#REF!</definedName>
    <definedName name="Z_4D697017_3E5A_11D2_B93D_00C04F7ADD59_.wvu.Cols" hidden="1">#REF!,#REF!</definedName>
    <definedName name="Z_4D697067_3E5A_11D2_B93D_00C04F7ADD59_.wvu.Cols" hidden="1">#REF!,#REF!</definedName>
    <definedName name="Z_4D697068_3E5A_11D2_B93D_00C04F7ADD59_.wvu.Cols" hidden="1">#REF!,#REF!</definedName>
    <definedName name="Z_4D697068_3E5A_11D2_B93D_00C04F7ADD59_.wvu.Rows" hidden="1">#REF!,#REF!,#REF!,#REF!,#REF!,#REF!</definedName>
    <definedName name="Z_4D697069_3E5A_11D2_B93D_00C04F7ADD59_.wvu.Cols" hidden="1">#REF!,#REF!</definedName>
    <definedName name="Z_4D697069_3E5A_11D2_B93D_00C04F7ADD59_.wvu.Rows" hidden="1">#REF!,#REF!,#REF!,#REF!,#REF!,#REF!,#REF!,#REF!,#REF!</definedName>
    <definedName name="Z_4D69706A_3E5A_11D2_B93D_00C04F7ADD59_.wvu.Cols" hidden="1">#REF!,#REF!</definedName>
    <definedName name="Z_4D69706A_3E5A_11D2_B93D_00C04F7ADD59_.wvu.Rows" hidden="1">#REF!,#REF!,#REF!,#REF!,#REF!,#REF!,#REF!,#REF!,#REF!</definedName>
    <definedName name="Z_4D69706B_3E5A_11D2_B93D_00C04F7ADD59_.wvu.Cols" hidden="1">#REF!,#REF!</definedName>
    <definedName name="Z_4D69706B_3E5A_11D2_B93D_00C04F7ADD59_.wvu.Rows" hidden="1">#REF!,#REF!,#REF!,#REF!,#REF!</definedName>
    <definedName name="Z_4D69706C_3E5A_11D2_B93D_00C04F7ADD59_.wvu.Cols" hidden="1">#REF!,#REF!</definedName>
    <definedName name="Z_4D69706C_3E5A_11D2_B93D_00C04F7ADD59_.wvu.Rows" hidden="1">#REF!,#REF!,#REF!,#REF!,#REF!,#REF!,#REF!,#REF!,#REF!,#REF!</definedName>
    <definedName name="Z_4D69706D_3E5A_11D2_B93D_00C04F7ADD59_.wvu.Cols" hidden="1">#REF!,#REF!</definedName>
    <definedName name="Z_4D69706E_3E5A_11D2_B93D_00C04F7ADD59_.wvu.Cols" hidden="1">#REF!,#REF!</definedName>
    <definedName name="Z_4D69706E_3E5A_11D2_B93D_00C04F7ADD59_.wvu.Rows" hidden="1">#REF!,#REF!</definedName>
    <definedName name="Z_4D69706F_3E5A_11D2_B93D_00C04F7ADD59_.wvu.Cols" hidden="1">#REF!,#REF!</definedName>
    <definedName name="Z_56741B30_9E05_11D4_BE09_0050040BF713_.wvu.Cols" hidden="1">#REF!</definedName>
    <definedName name="Z_56741B30_9E05_11D4_BE09_0050040BF713_.wvu.PrintTitles" hidden="1">#REF!</definedName>
    <definedName name="Z_6188BF32_9D6B_402D_B864_7A1178662966_.wvu.Cols" hidden="1">#REF!</definedName>
    <definedName name="Z_627E98CA_893D_11D2_9EFC_00C04FE0572F_.wvu.PrintArea" hidden="1">#REF!</definedName>
    <definedName name="Z_627E98CB_893D_11D2_9EFC_00C04FE0572F_.wvu.Cols" hidden="1">#REF!,#REF!,#REF!</definedName>
    <definedName name="Z_627E98CB_893D_11D2_9EFC_00C04FE0572F_.wvu.PrintArea" hidden="1">#REF!</definedName>
    <definedName name="Z_627E98CB_893D_11D2_9EFC_00C04FE0572F_.wvu.PrintTitles" hidden="1">#REF!</definedName>
    <definedName name="Z_66231A85_C0F1_11D2_B93B_0050040AC227_.wvu.FilterData" hidden="1">#REF!</definedName>
    <definedName name="Z_66231A86_C0F1_11D2_B93B_0050040AC227_.wvu.FilterData" hidden="1">#REF!</definedName>
    <definedName name="Z_6DFA7DCF_3C08_11D1_BDBE_0020AF42250B_.wvu.PrintArea" hidden="1">#REF!</definedName>
    <definedName name="Z_6DFA7DCF_3C08_11D1_BDBE_0020AF42250B_.wvu.PrintTitles" hidden="1">#REF!</definedName>
    <definedName name="Z_6DFA7DD9_3C08_11D1_BDBE_0020AF42250B_.wvu.Cols" hidden="1">#REF!,#REF!,#REF!</definedName>
    <definedName name="Z_6DFA7DD9_3C08_11D1_BDBE_0020AF42250B_.wvu.PrintArea" hidden="1">#REF!</definedName>
    <definedName name="Z_6DFA7DD9_3C08_11D1_BDBE_0020AF42250B_.wvu.PrintTitles" hidden="1">#REF!</definedName>
    <definedName name="Z_6DFA7DDA_3C08_11D1_BDBE_0020AF42250B_.wvu.Cols" hidden="1">#REF!,#REF!,#REF!</definedName>
    <definedName name="Z_6DFA7DDA_3C08_11D1_BDBE_0020AF42250B_.wvu.PrintArea" hidden="1">#REF!</definedName>
    <definedName name="Z_6DFA7DDA_3C08_11D1_BDBE_0020AF42250B_.wvu.PrintTitles" hidden="1">#REF!</definedName>
    <definedName name="Z_6DFA7DDC_3C08_11D1_BDBE_0020AF42250B_.wvu.Cols" hidden="1">#REF!,#REF!,#REF!,#REF!</definedName>
    <definedName name="Z_6DFA7DDC_3C08_11D1_BDBE_0020AF42250B_.wvu.PrintArea" hidden="1">#REF!</definedName>
    <definedName name="Z_6DFA7DDC_3C08_11D1_BDBE_0020AF42250B_.wvu.PrintTitles" hidden="1">#REF!</definedName>
    <definedName name="Z_6DFA7DDD_3C08_11D1_BDBE_0020AF42250B_.wvu.Cols" hidden="1">#REF!,#REF!,#REF!</definedName>
    <definedName name="Z_6DFA7DDD_3C08_11D1_BDBE_0020AF42250B_.wvu.PrintArea" hidden="1">#REF!</definedName>
    <definedName name="Z_6DFA7DDD_3C08_11D1_BDBE_0020AF42250B_.wvu.PrintTitles" hidden="1">#REF!</definedName>
    <definedName name="Z_6DFA7DDE_3C08_11D1_BDBE_0020AF42250B_.wvu.Cols" hidden="1">#REF!,#REF!</definedName>
    <definedName name="Z_6DFA7DDE_3C08_11D1_BDBE_0020AF42250B_.wvu.PrintArea" hidden="1">#REF!</definedName>
    <definedName name="Z_6DFA7DDE_3C08_11D1_BDBE_0020AF42250B_.wvu.PrintTitles" hidden="1">#REF!</definedName>
    <definedName name="Z_6DFA7DDF_3C08_11D1_BDBE_0020AF42250B_.wvu.Cols" hidden="1">#REF!,#REF!,#REF!</definedName>
    <definedName name="Z_6DFA7DDF_3C08_11D1_BDBE_0020AF42250B_.wvu.PrintArea" hidden="1">#REF!</definedName>
    <definedName name="Z_6DFA7DDF_3C08_11D1_BDBE_0020AF42250B_.wvu.PrintTitles" hidden="1">#REF!</definedName>
    <definedName name="Z_6DFA7DE0_3C08_11D1_BDBE_0020AF42250B_.wvu.Cols" hidden="1">#REF!,#REF!,#REF!,#REF!</definedName>
    <definedName name="Z_6DFA7DE0_3C08_11D1_BDBE_0020AF42250B_.wvu.PrintArea" hidden="1">#REF!</definedName>
    <definedName name="Z_6DFA7DE0_3C08_11D1_BDBE_0020AF42250B_.wvu.PrintTitles" hidden="1">#REF!</definedName>
    <definedName name="Z_6DFA7DE5_3C08_11D1_BDBE_0020AF42250B_.wvu.Cols" hidden="1">#REF!,#REF!,#REF!</definedName>
    <definedName name="Z_6DFA7DE5_3C08_11D1_BDBE_0020AF42250B_.wvu.PrintArea" hidden="1">#REF!</definedName>
    <definedName name="Z_6DFA7DE5_3C08_11D1_BDBE_0020AF42250B_.wvu.PrintTitles" hidden="1">#REF!</definedName>
    <definedName name="Z_6DFA7DE6_3C08_11D1_BDBE_0020AF42250B_.wvu.Cols" hidden="1">#REF!,#REF!,#REF!</definedName>
    <definedName name="Z_6DFA7DE6_3C08_11D1_BDBE_0020AF42250B_.wvu.PrintArea" hidden="1">#REF!</definedName>
    <definedName name="Z_6DFA7DE6_3C08_11D1_BDBE_0020AF42250B_.wvu.PrintTitles" hidden="1">#REF!</definedName>
    <definedName name="Z_6ECC8A59_F873_11D0_BD29_0020AF42250B_.wvu.Cols" hidden="1">#REF!,#REF!,#REF!</definedName>
    <definedName name="Z_6ECC8A5A_F873_11D0_BD29_0020AF42250B_.wvu.Cols" hidden="1">#REF!,#REF!,#REF!</definedName>
    <definedName name="Z_6ECC8A5C_F873_11D0_BD29_0020AF42250B_.wvu.Cols" hidden="1">#REF!,#REF!,#REF!,#REF!</definedName>
    <definedName name="Z_6ECC8A5D_F873_11D0_BD29_0020AF42250B_.wvu.Cols" hidden="1">#REF!,#REF!,#REF!</definedName>
    <definedName name="Z_6ECC8A5E_F873_11D0_BD29_0020AF42250B_.wvu.Cols" hidden="1">#REF!,#REF!</definedName>
    <definedName name="Z_6ECC8A5F_F873_11D0_BD29_0020AF42250B_.wvu.Cols" hidden="1">#REF!,#REF!,#REF!</definedName>
    <definedName name="Z_6ECC8A60_F873_11D0_BD29_0020AF42250B_.wvu.Cols" hidden="1">#REF!,#REF!,#REF!,#REF!,#REF!,#REF!,#REF!</definedName>
    <definedName name="Z_6ECC8A65_F873_11D0_BD29_0020AF42250B_.wvu.Cols" hidden="1">#REF!,#REF!,#REF!</definedName>
    <definedName name="Z_6ECC8A66_F873_11D0_BD29_0020AF42250B_.wvu.Cols" hidden="1">#REF!,#REF!,#REF!</definedName>
    <definedName name="Z_6ECC8A90_F873_11D0_BD29_0020AF42250B_.wvu.PrintTitles" hidden="1">#REF!</definedName>
    <definedName name="Z_6ECC8A95_F873_11D0_BD29_0020AF42250B_.wvu.Cols" hidden="1">#REF!,#REF!,#REF!</definedName>
    <definedName name="Z_6ECC8A95_F873_11D0_BD29_0020AF42250B_.wvu.PrintArea" hidden="1">#REF!</definedName>
    <definedName name="Z_6ECC8A95_F873_11D0_BD29_0020AF42250B_.wvu.PrintTitles" hidden="1">#REF!</definedName>
    <definedName name="Z_78846D24_6B2D_11D1_8188_004C06C10000_.wvu.Cols" hidden="1">#REF!</definedName>
    <definedName name="Z_7A335D06_3E2B_11D5_982F_00B0D0A6BCF2_.wvu.PrintArea" hidden="1">#REF!</definedName>
    <definedName name="Z_7DE7B4CF_4CBE_11D2_B93D_00C04F7ADD59_.wvu.Cols" hidden="1">#REF!,#REF!</definedName>
    <definedName name="Z_7DE7B4D0_4CBE_11D2_B93D_00C04F7ADD59_.wvu.Cols" hidden="1">#REF!,#REF!</definedName>
    <definedName name="Z_7DE7B4D0_4CBE_11D2_B93D_00C04F7ADD59_.wvu.Rows" hidden="1">#REF!,#REF!,#REF!,#REF!,#REF!,#REF!</definedName>
    <definedName name="Z_7DE7B4D1_4CBE_11D2_B93D_00C04F7ADD59_.wvu.Cols" hidden="1">#REF!,#REF!</definedName>
    <definedName name="Z_7DE7B4D1_4CBE_11D2_B93D_00C04F7ADD59_.wvu.Rows" hidden="1">#REF!,#REF!,#REF!,#REF!,#REF!,#REF!,#REF!,#REF!,#REF!</definedName>
    <definedName name="Z_7DE7B4D2_4CBE_11D2_B93D_00C04F7ADD59_.wvu.Cols" hidden="1">#REF!,#REF!</definedName>
    <definedName name="Z_7DE7B4D2_4CBE_11D2_B93D_00C04F7ADD59_.wvu.Rows" hidden="1">#REF!,#REF!,#REF!,#REF!,#REF!,#REF!,#REF!,#REF!,#REF!</definedName>
    <definedName name="Z_7DE7B4D3_4CBE_11D2_B93D_00C04F7ADD59_.wvu.Cols" hidden="1">#REF!,#REF!</definedName>
    <definedName name="Z_7DE7B4D3_4CBE_11D2_B93D_00C04F7ADD59_.wvu.Rows" hidden="1">#REF!,#REF!,#REF!,#REF!,#REF!</definedName>
    <definedName name="Z_7DE7B4D4_4CBE_11D2_B93D_00C04F7ADD59_.wvu.Cols" hidden="1">#REF!,#REF!</definedName>
    <definedName name="Z_7DE7B4D4_4CBE_11D2_B93D_00C04F7ADD59_.wvu.Rows" hidden="1">#REF!,#REF!,#REF!,#REF!,#REF!,#REF!,#REF!,#REF!,#REF!,#REF!</definedName>
    <definedName name="Z_7DE7B4D5_4CBE_11D2_B93D_00C04F7ADD59_.wvu.Cols" hidden="1">#REF!,#REF!</definedName>
    <definedName name="Z_7DE7B4D6_4CBE_11D2_B93D_00C04F7ADD59_.wvu.Cols" hidden="1">#REF!,#REF!</definedName>
    <definedName name="Z_7DE7B4D6_4CBE_11D2_B93D_00C04F7ADD59_.wvu.Rows" hidden="1">#REF!,#REF!</definedName>
    <definedName name="Z_7DE7B4D7_4CBE_11D2_B93D_00C04F7ADD59_.wvu.Cols" hidden="1">#REF!,#REF!</definedName>
    <definedName name="Z_8723E284_6CA3_11D1_8188_004C06C10000_.wvu.Cols" hidden="1">#REF!</definedName>
    <definedName name="Z_9823FC40_2CCD_11D4_96C6_00C0F02765DE_.wvu.PrintArea" hidden="1">#REF!</definedName>
    <definedName name="Z_9823FC40_2CCD_11D4_96C6_00C0F02765DE_.wvu.PrintTitles" hidden="1">#REF!</definedName>
    <definedName name="Z_9823FC40_2CCD_11D4_96C6_00C0F02765DE_.wvu.Rows" hidden="1">#REF!,#REF!,#REF!,#REF!,#REF!,#REF!,#REF!,#REF!,#REF!,#REF!,#REF!,#REF!,#REF!,#REF!,#REF!,#REF!,#REF!,#REF!,#REF!,#REF!</definedName>
    <definedName name="Z_995DB91B_DC87_11D2_BCA9_00C04F8BBE86_.wvu.PrintArea" hidden="1">#REF!</definedName>
    <definedName name="Z_995DB91E_DC87_11D2_BCA9_00C04F8BBE86_.wvu.Cols" hidden="1">#REF!</definedName>
    <definedName name="Z_995DB91E_DC87_11D2_BCA9_00C04F8BBE86_.wvu.PrintArea" hidden="1">#REF!</definedName>
    <definedName name="Z_995DB91E_DC87_11D2_BCA9_00C04F8BBE86_.wvu.Rows" hidden="1">#REF!</definedName>
    <definedName name="Z_995DB91F_DC87_11D2_BCA9_00C04F8BBE86_.wvu.Cols" hidden="1">#REF!,#REF!,#REF!</definedName>
    <definedName name="Z_995DB91F_DC87_11D2_BCA9_00C04F8BBE86_.wvu.PrintArea" hidden="1">#REF!</definedName>
    <definedName name="Z_995DB91F_DC87_11D2_BCA9_00C04F8BBE86_.wvu.Rows" hidden="1">#REF!,#REF!</definedName>
    <definedName name="Z_9A8750D3_468A_11D3_8ECF_00C04F9226C7_.wvu.Cols" hidden="1">#REF!,#REF!,#REF!</definedName>
    <definedName name="Z_9A8750D3_468A_11D3_8ECF_00C04F9226C7_.wvu.PrintArea" hidden="1">#REF!</definedName>
    <definedName name="Z_9A8750D3_468A_11D3_8ECF_00C04F9226C7_.wvu.Rows" hidden="1">#REF!</definedName>
    <definedName name="Z_9C764411_CC6B_11D4_A50D_00010277FBAA_.wvu.PrintArea" hidden="1">#REF!</definedName>
    <definedName name="Z_A2426FEA_B812_466E_AD56_91907F9FA6F0_.wvu.PrintArea" hidden="1">#REF!</definedName>
    <definedName name="Z_A73E33D1_2630_11D1_BD91_0020AF42250B_.wvu.Cols" hidden="1">#REF!,#REF!,#REF!</definedName>
    <definedName name="Z_A73E33D2_2630_11D1_BD91_0020AF42250B_.wvu.Cols" hidden="1">#REF!,#REF!,#REF!</definedName>
    <definedName name="Z_A73E33D4_2630_11D1_BD91_0020AF42250B_.wvu.Cols" hidden="1">#REF!,#REF!,#REF!,#REF!</definedName>
    <definedName name="Z_A73E33D5_2630_11D1_BD91_0020AF42250B_.wvu.Cols" hidden="1">#REF!,#REF!,#REF!</definedName>
    <definedName name="Z_A73E33D6_2630_11D1_BD91_0020AF42250B_.wvu.Cols" hidden="1">#REF!,#REF!</definedName>
    <definedName name="Z_A73E33D7_2630_11D1_BD91_0020AF42250B_.wvu.Cols" hidden="1">#REF!,#REF!,#REF!</definedName>
    <definedName name="Z_A73E33D8_2630_11D1_BD91_0020AF42250B_.wvu.Cols" hidden="1">#REF!,#REF!,#REF!,#REF!</definedName>
    <definedName name="Z_A73E33DD_2630_11D1_BD91_0020AF42250B_.wvu.Cols" hidden="1">#REF!,#REF!,#REF!</definedName>
    <definedName name="Z_A73E33DE_2630_11D1_BD91_0020AF42250B_.wvu.Cols" hidden="1">#REF!,#REF!,#REF!</definedName>
    <definedName name="Z_A99CC723_C1C7_11D2_B941_0050040AC228_.wvu.FilterData" hidden="1">#REF!</definedName>
    <definedName name="Z_A99CC729_C1C7_11D2_B941_0050040AC228_.wvu.FilterData" hidden="1">#REF!</definedName>
    <definedName name="Z_A99CC733_C1C7_11D2_B941_0050040AC228_.wvu.FilterData" hidden="1">#REF!</definedName>
    <definedName name="Z_A99CC736_C1C7_11D2_B941_0050040AC228_.wvu.FilterData" hidden="1">#REF!</definedName>
    <definedName name="Z_AD027187_6CF8_4425_9630_861DCEA3DE65_.wvu.Rows" hidden="1">#REF!,#REF!,#REF!,#REF!,#REF!,#REF!</definedName>
    <definedName name="Z_B3F6EA45_C4B0_11D6_A93C_F3538214D62E_.wvu.Cols" hidden="1">#REF!</definedName>
    <definedName name="Z_B3F6EA45_C4B0_11D6_A93C_F3538214D62E_.wvu.PrintArea" hidden="1">#REF!</definedName>
    <definedName name="Z_B3F6EA45_C4B0_11D6_A93C_F3538214D62E_.wvu.PrintTitles" hidden="1">#REF!</definedName>
    <definedName name="Z_B3F6EA45_C4B0_11D6_A93C_F3538214D62E_.wvu.Rows" hidden="1">#REF!,#REF!,#REF!</definedName>
    <definedName name="Z_B47DD997_1976_11D1_BD7C_0020AF42250B_.wvu.Cols" hidden="1">#REF!,#REF!,#REF!</definedName>
    <definedName name="Z_B47DD998_1976_11D1_BD7C_0020AF42250B_.wvu.Cols" hidden="1">#REF!,#REF!,#REF!</definedName>
    <definedName name="Z_B47DD99A_1976_11D1_BD7C_0020AF42250B_.wvu.Cols" hidden="1">#REF!,#REF!,#REF!,#REF!</definedName>
    <definedName name="Z_B47DD99B_1976_11D1_BD7C_0020AF42250B_.wvu.Cols" hidden="1">#REF!,#REF!,#REF!</definedName>
    <definedName name="Z_B47DD99C_1976_11D1_BD7C_0020AF42250B_.wvu.Cols" hidden="1">#REF!,#REF!</definedName>
    <definedName name="Z_B47DD99D_1976_11D1_BD7C_0020AF42250B_.wvu.Cols" hidden="1">#REF!,#REF!,#REF!</definedName>
    <definedName name="Z_B47DD99E_1976_11D1_BD7C_0020AF42250B_.wvu.Cols" hidden="1">#REF!,#REF!,#REF!,#REF!</definedName>
    <definedName name="Z_B47DD9A3_1976_11D1_BD7C_0020AF42250B_.wvu.Cols" hidden="1">#REF!,#REF!,#REF!</definedName>
    <definedName name="Z_B47DD9A4_1976_11D1_BD7C_0020AF42250B_.wvu.Cols" hidden="1">#REF!,#REF!,#REF!</definedName>
    <definedName name="Z_B6AE087C_DC06_11D2_BCA9_00C04F8BBE86_.wvu.Cols" hidden="1">#REF!,#REF!,#REF!,#REF!,#REF!</definedName>
    <definedName name="Z_B6AE087C_DC06_11D2_BCA9_00C04F8BBE86_.wvu.PrintArea" hidden="1">#REF!</definedName>
    <definedName name="Z_B6AE087C_DC06_11D2_BCA9_00C04F8BBE86_.wvu.Rows" hidden="1">#REF!,#REF!</definedName>
    <definedName name="Z_C207A48F_3DC8_11D2_B93D_00C04F7ADD59_.wvu.Cols" hidden="1">#REF!,#REF!</definedName>
    <definedName name="Z_C207A490_3DC8_11D2_B93D_00C04F7ADD59_.wvu.Cols" hidden="1">#REF!,#REF!</definedName>
    <definedName name="Z_C207A490_3DC8_11D2_B93D_00C04F7ADD59_.wvu.Rows" hidden="1">#REF!,#REF!,#REF!,#REF!,#REF!,#REF!</definedName>
    <definedName name="Z_C207A491_3DC8_11D2_B93D_00C04F7ADD59_.wvu.Cols" hidden="1">#REF!,#REF!</definedName>
    <definedName name="Z_C207A491_3DC8_11D2_B93D_00C04F7ADD59_.wvu.Rows" hidden="1">#REF!,#REF!,#REF!,#REF!,#REF!,#REF!,#REF!,#REF!,#REF!</definedName>
    <definedName name="Z_C207A493_3DC8_11D2_B93D_00C04F7ADD59_.wvu.Cols" hidden="1">#REF!,#REF!</definedName>
    <definedName name="Z_C207A493_3DC8_11D2_B93D_00C04F7ADD59_.wvu.Rows" hidden="1">#REF!,#REF!,#REF!,#REF!,#REF!</definedName>
    <definedName name="Z_C207A494_3DC8_11D2_B93D_00C04F7ADD59_.wvu.Cols" hidden="1">#REF!,#REF!</definedName>
    <definedName name="Z_C207A494_3DC8_11D2_B93D_00C04F7ADD59_.wvu.Rows" hidden="1">#REF!,#REF!,#REF!,#REF!,#REF!,#REF!,#REF!,#REF!,#REF!,#REF!</definedName>
    <definedName name="Z_C207A495_3DC8_11D2_B93D_00C04F7ADD59_.wvu.Cols" hidden="1">#REF!,#REF!</definedName>
    <definedName name="Z_C207A496_3DC8_11D2_B93D_00C04F7ADD59_.wvu.Cols" hidden="1">#REF!,#REF!</definedName>
    <definedName name="Z_C207A496_3DC8_11D2_B93D_00C04F7ADD59_.wvu.Rows" hidden="1">#REF!,#REF!</definedName>
    <definedName name="Z_C207A497_3DC8_11D2_B93D_00C04F7ADD59_.wvu.Cols" hidden="1">#REF!,#REF!</definedName>
    <definedName name="Z_C313B3E8_4D4B_11D2_B93D_00C04F7ADD59_.wvu.Cols" hidden="1">#REF!,#REF!</definedName>
    <definedName name="Z_C313B3E9_4D4B_11D2_B93D_00C04F7ADD59_.wvu.Cols" hidden="1">#REF!,#REF!</definedName>
    <definedName name="Z_C313B3E9_4D4B_11D2_B93D_00C04F7ADD59_.wvu.Rows" hidden="1">#REF!,#REF!,#REF!,#REF!,#REF!,#REF!</definedName>
    <definedName name="Z_C313B3EA_4D4B_11D2_B93D_00C04F7ADD59_.wvu.Cols" hidden="1">#REF!,#REF!</definedName>
    <definedName name="Z_C313B3EA_4D4B_11D2_B93D_00C04F7ADD59_.wvu.Rows" hidden="1">#REF!,#REF!,#REF!,#REF!,#REF!,#REF!,#REF!,#REF!,#REF!</definedName>
    <definedName name="Z_C313B3EB_4D4B_11D2_B93D_00C04F7ADD59_.wvu.Cols" hidden="1">#REF!,#REF!</definedName>
    <definedName name="Z_C313B3EB_4D4B_11D2_B93D_00C04F7ADD59_.wvu.Rows" hidden="1">#REF!,#REF!,#REF!,#REF!,#REF!,#REF!,#REF!,#REF!,#REF!</definedName>
    <definedName name="Z_C313B3EC_4D4B_11D2_B93D_00C04F7ADD59_.wvu.Cols" hidden="1">#REF!,#REF!</definedName>
    <definedName name="Z_C313B3EC_4D4B_11D2_B93D_00C04F7ADD59_.wvu.Rows" hidden="1">#REF!,#REF!,#REF!,#REF!,#REF!</definedName>
    <definedName name="Z_C313B3ED_4D4B_11D2_B93D_00C04F7ADD59_.wvu.Cols" hidden="1">#REF!,#REF!</definedName>
    <definedName name="Z_C313B3ED_4D4B_11D2_B93D_00C04F7ADD59_.wvu.Rows" hidden="1">#REF!,#REF!,#REF!,#REF!,#REF!,#REF!,#REF!,#REF!,#REF!,#REF!</definedName>
    <definedName name="Z_C313B3EE_4D4B_11D2_B93D_00C04F7ADD59_.wvu.Cols" hidden="1">#REF!,#REF!</definedName>
    <definedName name="Z_C313B3EF_4D4B_11D2_B93D_00C04F7ADD59_.wvu.Cols" hidden="1">#REF!,#REF!</definedName>
    <definedName name="Z_C313B3EF_4D4B_11D2_B93D_00C04F7ADD59_.wvu.Rows" hidden="1">#REF!,#REF!</definedName>
    <definedName name="Z_C313B3F0_4D4B_11D2_B93D_00C04F7ADD59_.wvu.Cols" hidden="1">#REF!,#REF!</definedName>
    <definedName name="Z_C9FB2A72_5C56_11D3_AD66_0050040A13CD_.wvu.PrintArea" hidden="1">#REF!</definedName>
    <definedName name="Z_C9FB2A72_5C56_11D3_AD66_0050040A13CD_.wvu.PrintTitles" hidden="1">#REF!</definedName>
    <definedName name="Z_C9FB2A73_5C56_11D3_AD66_0050040A13CD_.wvu.PrintArea" hidden="1">#REF!</definedName>
    <definedName name="Z_C9FB2A73_5C56_11D3_AD66_0050040A13CD_.wvu.PrintTitles" hidden="1">#REF!</definedName>
    <definedName name="Z_C9FB2A75_5C56_11D3_AD66_0050040A13CD_.wvu.PrintArea" hidden="1">#REF!</definedName>
    <definedName name="Z_C9FB2A75_5C56_11D3_AD66_0050040A13CD_.wvu.PrintTitles" hidden="1">#REF!</definedName>
    <definedName name="Z_C9FB2A76_5C56_11D3_AD66_0050040A13CD_.wvu.PrintArea" hidden="1">#REF!</definedName>
    <definedName name="Z_C9FB2A76_5C56_11D3_AD66_0050040A13CD_.wvu.PrintTitles" hidden="1">#REF!</definedName>
    <definedName name="Z_C9FB2A77_5C56_11D3_AD66_0050040A13CD_.wvu.PrintArea" hidden="1">#REF!</definedName>
    <definedName name="Z_C9FB2A77_5C56_11D3_AD66_0050040A13CD_.wvu.PrintTitles" hidden="1">#REF!</definedName>
    <definedName name="Z_C9FB2A79_5C56_11D3_AD66_0050040A13CD_.wvu.PrintArea" hidden="1">#REF!</definedName>
    <definedName name="Z_C9FB2A79_5C56_11D3_AD66_0050040A13CD_.wvu.PrintTitles" hidden="1">#REF!</definedName>
    <definedName name="Z_D6A399A1_3411_11D2_88B3_A98C263D353B_.wvu.Rows" hidden="1">#REF!,#REF!,#REF!,#REF!,#REF!</definedName>
    <definedName name="Z_D6A399A2_3411_11D2_88B3_A98C263D353B_.wvu.Cols" hidden="1">#REF!</definedName>
    <definedName name="Z_D6A399A2_3411_11D2_88B3_A98C263D353B_.wvu.Rows" hidden="1">#REF!,#REF!,#REF!,#REF!,#REF!</definedName>
    <definedName name="Z_D6A399A3_3411_11D2_88B3_A98C263D353B_.wvu.Cols" hidden="1">#REF!,#REF!</definedName>
    <definedName name="Z_D6A399A3_3411_11D2_88B3_A98C263D353B_.wvu.Rows" hidden="1">#REF!,#REF!,#REF!,#REF!,#REF!</definedName>
    <definedName name="Z_D6A399AF_3411_11D2_88B3_A98C263D353B_.wvu.Cols" hidden="1">#REF!</definedName>
    <definedName name="Z_D6A399AF_3411_11D2_88B3_A98C263D353B_.wvu.Rows" hidden="1">#REF!,#REF!,#REF!,#REF!,#REF!</definedName>
    <definedName name="Z_D6A399B0_3411_11D2_88B3_A98C263D353B_.wvu.Cols" hidden="1">#REF!</definedName>
    <definedName name="Z_D782F750_C0FB_11D2_B941_0050040AC228_.wvu.FilterData" hidden="1">#REF!</definedName>
    <definedName name="Z_DC379DF6_BBB3_11D2_B93F_0050040AC228_.wvu.FilterData" hidden="1">#REF!</definedName>
    <definedName name="Z_ED7DF65E_BB85_11D2_B93F_0050040AC228_.wvu.FilterData" hidden="1">#REF!</definedName>
    <definedName name="Z_F14718EE_5AC2_11D3_AD63_0050040A13CD_.wvu.PrintArea" hidden="1">#REF!</definedName>
    <definedName name="Z_F14718EF_5AC2_11D3_AD63_0050040A13CD_.wvu.PrintArea" hidden="1">#REF!</definedName>
    <definedName name="Z_F14718F1_5AC2_11D3_AD63_0050040A13CD_.wvu.PrintArea" hidden="1">#REF!</definedName>
    <definedName name="Z_F14718F2_5AC2_11D3_AD63_0050040A13CD_.wvu.PrintArea" hidden="1">#REF!</definedName>
    <definedName name="Z_F14718F3_5AC2_11D3_AD63_0050040A13CD_.wvu.PrintArea" hidden="1">#REF!</definedName>
    <definedName name="Z_F14718F5_5AC2_11D3_AD63_0050040A13CD_.wvu.PrintArea" hidden="1">#REF!</definedName>
    <definedName name="Z_F1471909_5AC2_11D3_AD63_0050040A13CD_.wvu.PrintArea" hidden="1">#REF!</definedName>
    <definedName name="Z_F1471909_5AC2_11D3_AD63_0050040A13CD_.wvu.PrintTitles" hidden="1">#REF!</definedName>
    <definedName name="Z_F147190A_5AC2_11D3_AD63_0050040A13CD_.wvu.PrintArea" hidden="1">#REF!</definedName>
    <definedName name="Z_F147190A_5AC2_11D3_AD63_0050040A13CD_.wvu.PrintTitles" hidden="1">#REF!</definedName>
    <definedName name="Z_F147190C_5AC2_11D3_AD63_0050040A13CD_.wvu.PrintArea" hidden="1">#REF!</definedName>
    <definedName name="Z_F147190C_5AC2_11D3_AD63_0050040A13CD_.wvu.PrintTitles" hidden="1">#REF!</definedName>
    <definedName name="Z_F147190D_5AC2_11D3_AD63_0050040A13CD_.wvu.PrintArea" hidden="1">#REF!</definedName>
    <definedName name="Z_F147190D_5AC2_11D3_AD63_0050040A13CD_.wvu.PrintTitles" hidden="1">#REF!</definedName>
    <definedName name="Z_F147190E_5AC2_11D3_AD63_0050040A13CD_.wvu.PrintArea" hidden="1">#REF!</definedName>
    <definedName name="Z_F147190E_5AC2_11D3_AD63_0050040A13CD_.wvu.PrintTitles" hidden="1">#REF!</definedName>
    <definedName name="Z_F1471910_5AC2_11D3_AD63_0050040A13CD_.wvu.PrintArea" hidden="1">#REF!</definedName>
    <definedName name="Z_F1471910_5AC2_11D3_AD63_0050040A13CD_.wvu.PrintTitles" hidden="1">#REF!</definedName>
    <definedName name="Z_F1471912_5AC2_11D3_AD63_0050040A13CD_.wvu.PrintArea" hidden="1">#REF!</definedName>
    <definedName name="Z_F1471912_5AC2_11D3_AD63_0050040A13CD_.wvu.PrintTitles" hidden="1">#REF!</definedName>
    <definedName name="Z_F1471913_5AC2_11D3_AD63_0050040A13CD_.wvu.PrintArea" hidden="1">#REF!</definedName>
    <definedName name="Z_F1471913_5AC2_11D3_AD63_0050040A13CD_.wvu.PrintTitles" hidden="1">#REF!</definedName>
    <definedName name="Z_F1471915_5AC2_11D3_AD63_0050040A13CD_.wvu.PrintArea" hidden="1">#REF!</definedName>
    <definedName name="Z_F1471915_5AC2_11D3_AD63_0050040A13CD_.wvu.PrintTitles" hidden="1">#REF!</definedName>
    <definedName name="Z_F1471916_5AC2_11D3_AD63_0050040A13CD_.wvu.PrintArea" hidden="1">#REF!</definedName>
    <definedName name="Z_F1471916_5AC2_11D3_AD63_0050040A13CD_.wvu.PrintTitles" hidden="1">#REF!</definedName>
    <definedName name="Z_F1471917_5AC2_11D3_AD63_0050040A13CD_.wvu.PrintArea" hidden="1">#REF!</definedName>
    <definedName name="Z_F1471917_5AC2_11D3_AD63_0050040A13CD_.wvu.PrintTitles" hidden="1">#REF!</definedName>
    <definedName name="Z_F1471919_5AC2_11D3_AD63_0050040A13CD_.wvu.PrintArea" hidden="1">#REF!</definedName>
    <definedName name="Z_F1471919_5AC2_11D3_AD63_0050040A13CD_.wvu.PrintTitles" hidden="1">#REF!</definedName>
    <definedName name="Z_F2D042EF_2606_11D1_BD91_0020AF42250B_.wvu.Cols" hidden="1">#REF!,#REF!,#REF!</definedName>
    <definedName name="Z_F2D042F0_2606_11D1_BD91_0020AF42250B_.wvu.Cols" hidden="1">#REF!,#REF!,#REF!</definedName>
    <definedName name="Z_F2D042F2_2606_11D1_BD91_0020AF42250B_.wvu.Cols" hidden="1">#REF!,#REF!,#REF!,#REF!</definedName>
    <definedName name="Z_F2D042F3_2606_11D1_BD91_0020AF42250B_.wvu.Cols" hidden="1">#REF!,#REF!,#REF!</definedName>
    <definedName name="Z_F2D042F4_2606_11D1_BD91_0020AF42250B_.wvu.Cols" hidden="1">#REF!,#REF!</definedName>
    <definedName name="Z_F2D042F5_2606_11D1_BD91_0020AF42250B_.wvu.Cols" hidden="1">#REF!,#REF!,#REF!</definedName>
    <definedName name="Z_F2D042F6_2606_11D1_BD91_0020AF42250B_.wvu.Cols" hidden="1">#REF!,#REF!,#REF!,#REF!</definedName>
    <definedName name="Z_F2D042FB_2606_11D1_BD91_0020AF42250B_.wvu.Cols" hidden="1">#REF!,#REF!,#REF!</definedName>
    <definedName name="Z_F2D042FC_2606_11D1_BD91_0020AF42250B_.wvu.Cols" hidden="1">#REF!,#REF!,#REF!</definedName>
    <definedName name="Z_F4D26AD1_3E1A_11D5_A9C5_00A0C91596F2_.wvu.PrintArea" hidden="1">#REF!</definedName>
    <definedName name="Z_FAFA6ED0_0531_11D1_BD56_0020AF42250B_.wvu.Cols" hidden="1">#REF!,#REF!,#REF!,#REF!</definedName>
    <definedName name="Z_FAFA6ED0_0531_11D1_BD56_0020AF42250B_.wvu.PrintArea" hidden="1">#REF!</definedName>
    <definedName name="Z_FAFA6ED0_0531_11D1_BD56_0020AF42250B_.wvu.PrintTitles" hidden="1">#REF!</definedName>
    <definedName name="Z_FAFA6ED1_0531_11D1_BD56_0020AF42250B_.wvu.Cols" hidden="1">#REF!,#REF!,#REF!</definedName>
    <definedName name="Z_FAFA6ED1_0531_11D1_BD56_0020AF42250B_.wvu.PrintArea" hidden="1">#REF!</definedName>
    <definedName name="Z_FAFA6ED1_0531_11D1_BD56_0020AF42250B_.wvu.PrintTitles" hidden="1">#REF!</definedName>
    <definedName name="Zahlung_an_Eigent.">#REF!</definedName>
    <definedName name="zdfgxzdfg" hidden="1">{"ReportTop",#N/A,FALSE,"report top"}</definedName>
    <definedName name="ZERTRET" hidden="1">#REF!</definedName>
    <definedName name="znzcv" hidden="1">{#VALUE!,#N/A,FALSE,0}</definedName>
    <definedName name="Zortnew" hidden="1">{"p1TOC",#N/A,FALSE,"DCF_Summary";"p23summary",#N/A,FALSE,"DCF_Summary";"p4contact",#N/A,FALSE,"Contact Lake";"p5kumtor",#N/A,FALSE,"Kumtor";#N/A,#N/A,FALSE,"CCAU_NAV";"p8compdata",#N/A,FALSE,"Gold_Comps";#N/A,#N/A,FALSE,"Comp_Valuation"}</definedName>
    <definedName name="ZPRINT">#REF!</definedName>
    <definedName name="ZPRINT01">#REF!</definedName>
    <definedName name="ZPRINTCHOICE">#REF!</definedName>
    <definedName name="zs" hidden="1">{"FCB_ALL",#N/A,FALSE,"FCB"}</definedName>
    <definedName name="zsdas" hidden="1">{"FCB_ALL",#N/A,FALSE,"FCB"}</definedName>
    <definedName name="zv" hidden="1">{#VALUE!,#N/A,FALSE,0}</definedName>
    <definedName name="zxc" hidden="1">{"mgmt forecast",#N/A,FALSE,"Mgmt Forecast";"dcf table",#N/A,FALSE,"Mgmt Forecast";"sensitivity",#N/A,FALSE,"Mgmt Forecast";"table inputs",#N/A,FALSE,"Mgmt Forecast";"calculations",#N/A,FALSE,"Mgmt Forecast"}</definedName>
    <definedName name="zxcxc" hidden="1">{#N/A,#N/A,TRUE,"CashFlowSummary";#N/A,#N/A,TRUE,"FinanceCashFlow";#N/A,#N/A,TRUE,"LandCashFlow";#N/A,#N/A,TRUE,"ConstCashFlow";#N/A,#N/A,TRUE,"A&amp;ECashFlow";#N/A,#N/A,TRUE,"IndirectCashFlow";#N/A,#N/A,TRUE,"MarketingCashFlow";#N/A,#N/A,TRUE,"LeaseUp";#N/A,#N/A,TRUE,"G&amp;ACashFlow"}</definedName>
    <definedName name="zxczz" hidden="1">{"FCB_ALL",#N/A,FALSE,"FCB"}</definedName>
    <definedName name="zz" hidden="1">{#N/A,#N/A,FALSE,"Project Properties";#N/A,#N/A,FALSE,"Eng %";#N/A,#N/A,FALSE,"ENGFORM";#N/A,#N/A,FALSE,"staffing";#N/A,#N/A,FALSE,"spending"}</definedName>
    <definedName name="zzz" hidden="1">{#N/A,#N/A,FALSE,"ZellLurieFinSummary";#N/A,#N/A,FALSE,"FirstCapFinSummary";#N/A,#N/A,FALSE,"ZM I-III Consol FinSummary"}</definedName>
    <definedName name="zzzz" hidden="1">{"Commish",#N/A,FALSE,"LAWTC"}</definedName>
    <definedName name="zzzz_1" hidden="1">{"Commish",#N/A,FALSE,"LAWTC"}</definedName>
    <definedName name="着¤op_13">#REF!</definedName>
    <definedName name="鶰¤op_13">#REF!</definedName>
  </definedNames>
  <calcPr calcId="191029" calcMode="autoNoTable" iterate="1" iterateCount="2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4" i="1" l="1"/>
  <c r="W34" i="1"/>
  <c r="V34" i="1"/>
  <c r="U34" i="1"/>
  <c r="T34" i="1"/>
  <c r="S34" i="1"/>
  <c r="R34" i="1"/>
  <c r="Q34" i="1"/>
  <c r="P34" i="1"/>
  <c r="X15" i="1"/>
  <c r="W15" i="1"/>
  <c r="V15" i="1"/>
  <c r="U15" i="1"/>
  <c r="T15" i="1"/>
  <c r="S15" i="1"/>
  <c r="R15" i="1"/>
  <c r="Q15" i="1"/>
  <c r="P15" i="1"/>
  <c r="O15" i="1"/>
  <c r="N15" i="1"/>
  <c r="X13" i="1"/>
  <c r="W13" i="1"/>
  <c r="V13" i="1"/>
  <c r="U13" i="1"/>
  <c r="T13" i="1"/>
  <c r="S13" i="1"/>
  <c r="R13" i="1"/>
  <c r="Q13" i="1"/>
  <c r="P13" i="1"/>
  <c r="O13" i="1"/>
  <c r="N13" i="1"/>
  <c r="X11" i="1"/>
  <c r="W11" i="1"/>
  <c r="V11" i="1"/>
  <c r="U11" i="1"/>
  <c r="T11" i="1"/>
  <c r="S11" i="1"/>
  <c r="R11" i="1"/>
  <c r="Q11" i="1"/>
  <c r="P11" i="1"/>
  <c r="O11" i="1"/>
  <c r="N11" i="1"/>
  <c r="X9" i="1"/>
  <c r="W9" i="1"/>
  <c r="V9" i="1"/>
  <c r="U9" i="1"/>
  <c r="T9" i="1"/>
  <c r="S9" i="1"/>
  <c r="R9" i="1"/>
  <c r="Q9" i="1"/>
  <c r="P9" i="1"/>
  <c r="O9" i="1"/>
  <c r="N9" i="1"/>
  <c r="N158" i="1"/>
  <c r="O152" i="1"/>
  <c r="O158" i="1" s="1"/>
  <c r="P152" i="1" s="1"/>
  <c r="N126" i="1"/>
  <c r="N125" i="1"/>
  <c r="N132" i="1"/>
  <c r="N129" i="1"/>
  <c r="O116" i="1"/>
  <c r="N122" i="1"/>
  <c r="N121" i="1"/>
  <c r="N120" i="1"/>
  <c r="N119" i="1"/>
  <c r="N117" i="1"/>
  <c r="N116" i="1"/>
  <c r="G48" i="1"/>
  <c r="C80" i="1"/>
  <c r="C81" i="1" s="1"/>
  <c r="F23" i="1" l="1"/>
  <c r="G23" i="1" s="1"/>
  <c r="F15" i="11"/>
  <c r="I15" i="11"/>
  <c r="H15" i="11"/>
  <c r="F14" i="11"/>
  <c r="J14" i="11"/>
  <c r="I14" i="11"/>
  <c r="H14" i="11"/>
  <c r="B8" i="11"/>
  <c r="B9" i="11" s="1"/>
  <c r="B10" i="11" s="1"/>
  <c r="B11" i="11" s="1"/>
  <c r="B12" i="11" s="1"/>
  <c r="F5" i="11"/>
  <c r="H13" i="11"/>
  <c r="I13" i="11"/>
  <c r="F13" i="11" s="1"/>
  <c r="J12" i="11"/>
  <c r="J7" i="11"/>
  <c r="J11" i="11"/>
  <c r="J15" i="11" l="1"/>
  <c r="J9" i="11"/>
  <c r="J8" i="11"/>
  <c r="J10" i="11"/>
  <c r="J13" i="11" l="1"/>
  <c r="C47" i="1" l="1"/>
  <c r="J64" i="1"/>
  <c r="J125" i="1"/>
  <c r="C78" i="1"/>
  <c r="C79" i="1" l="1"/>
  <c r="Z84" i="1" l="1"/>
  <c r="G62" i="1" l="1"/>
  <c r="G61" i="1"/>
  <c r="G60" i="1"/>
  <c r="G59" i="1"/>
  <c r="D47" i="1" l="1"/>
  <c r="F18" i="1"/>
  <c r="F15" i="1"/>
  <c r="I82" i="1"/>
  <c r="E90" i="1"/>
  <c r="D90" i="1"/>
  <c r="E87" i="1"/>
  <c r="D81" i="1"/>
  <c r="C77" i="1"/>
  <c r="D77" i="1" s="1"/>
  <c r="E77" i="1" s="1"/>
  <c r="F77" i="1" s="1"/>
  <c r="G77" i="1" s="1"/>
  <c r="Z71" i="1"/>
  <c r="C71" i="1"/>
  <c r="D71" i="1" s="1"/>
  <c r="E71" i="1" s="1"/>
  <c r="F71" i="1" s="1"/>
  <c r="G71" i="1" s="1"/>
  <c r="C63" i="1"/>
  <c r="F62" i="1"/>
  <c r="F61" i="1"/>
  <c r="F60" i="1"/>
  <c r="F59" i="1"/>
  <c r="J51" i="1"/>
  <c r="J63" i="1" s="1"/>
  <c r="Z49" i="1"/>
  <c r="DG140" i="1"/>
  <c r="J34" i="1"/>
  <c r="J33" i="1"/>
  <c r="J29" i="1"/>
  <c r="J28" i="1"/>
  <c r="J27" i="1"/>
  <c r="C23" i="1"/>
  <c r="D22" i="1"/>
  <c r="I15" i="1"/>
  <c r="I13" i="1"/>
  <c r="I11" i="1"/>
  <c r="I9" i="1"/>
  <c r="Z6" i="1"/>
  <c r="AA6" i="1" s="1"/>
  <c r="AA4" i="1"/>
  <c r="G7" i="1"/>
  <c r="AX3" i="1"/>
  <c r="BJ3" i="1" s="1"/>
  <c r="BV3" i="1" s="1"/>
  <c r="CH3" i="1" s="1"/>
  <c r="CT3" i="1" s="1"/>
  <c r="DF3" i="1" s="1"/>
  <c r="DR3" i="1" s="1"/>
  <c r="ED3" i="1" s="1"/>
  <c r="EP3" i="1" s="1"/>
  <c r="FB3" i="1" s="1"/>
  <c r="AW3" i="1"/>
  <c r="BI3" i="1" s="1"/>
  <c r="BU3" i="1" s="1"/>
  <c r="CG3" i="1" s="1"/>
  <c r="CS3" i="1" s="1"/>
  <c r="DE3" i="1" s="1"/>
  <c r="DQ3" i="1" s="1"/>
  <c r="EC3" i="1" s="1"/>
  <c r="EO3" i="1" s="1"/>
  <c r="FA3" i="1" s="1"/>
  <c r="AV3" i="1"/>
  <c r="BH3" i="1" s="1"/>
  <c r="BT3" i="1" s="1"/>
  <c r="CF3" i="1" s="1"/>
  <c r="CR3" i="1" s="1"/>
  <c r="DD3" i="1" s="1"/>
  <c r="DP3" i="1" s="1"/>
  <c r="EB3" i="1" s="1"/>
  <c r="EN3" i="1" s="1"/>
  <c r="EZ3" i="1" s="1"/>
  <c r="AU3" i="1"/>
  <c r="BG3" i="1" s="1"/>
  <c r="BS3" i="1" s="1"/>
  <c r="CE3" i="1" s="1"/>
  <c r="CQ3" i="1" s="1"/>
  <c r="DC3" i="1" s="1"/>
  <c r="DO3" i="1" s="1"/>
  <c r="EA3" i="1" s="1"/>
  <c r="EM3" i="1" s="1"/>
  <c r="EY3" i="1" s="1"/>
  <c r="AT3" i="1"/>
  <c r="BF3" i="1" s="1"/>
  <c r="BR3" i="1" s="1"/>
  <c r="CD3" i="1" s="1"/>
  <c r="CP3" i="1" s="1"/>
  <c r="DB3" i="1" s="1"/>
  <c r="DN3" i="1" s="1"/>
  <c r="DZ3" i="1" s="1"/>
  <c r="EL3" i="1" s="1"/>
  <c r="EX3" i="1" s="1"/>
  <c r="AS3" i="1"/>
  <c r="BE3" i="1" s="1"/>
  <c r="BQ3" i="1" s="1"/>
  <c r="CC3" i="1" s="1"/>
  <c r="CO3" i="1" s="1"/>
  <c r="DA3" i="1" s="1"/>
  <c r="DM3" i="1" s="1"/>
  <c r="DY3" i="1" s="1"/>
  <c r="EK3" i="1" s="1"/>
  <c r="EW3" i="1" s="1"/>
  <c r="AR3" i="1"/>
  <c r="BD3" i="1" s="1"/>
  <c r="BP3" i="1" s="1"/>
  <c r="CB3" i="1" s="1"/>
  <c r="CN3" i="1" s="1"/>
  <c r="CZ3" i="1" s="1"/>
  <c r="DL3" i="1" s="1"/>
  <c r="DX3" i="1" s="1"/>
  <c r="EJ3" i="1" s="1"/>
  <c r="EV3" i="1" s="1"/>
  <c r="AQ3" i="1"/>
  <c r="BC3" i="1" s="1"/>
  <c r="BO3" i="1" s="1"/>
  <c r="CA3" i="1" s="1"/>
  <c r="CM3" i="1" s="1"/>
  <c r="CY3" i="1" s="1"/>
  <c r="DK3" i="1" s="1"/>
  <c r="DW3" i="1" s="1"/>
  <c r="EI3" i="1" s="1"/>
  <c r="EU3" i="1" s="1"/>
  <c r="AP3" i="1"/>
  <c r="BB3" i="1" s="1"/>
  <c r="BN3" i="1" s="1"/>
  <c r="BZ3" i="1" s="1"/>
  <c r="CL3" i="1" s="1"/>
  <c r="CX3" i="1" s="1"/>
  <c r="DJ3" i="1" s="1"/>
  <c r="DV3" i="1" s="1"/>
  <c r="EH3" i="1" s="1"/>
  <c r="ET3" i="1" s="1"/>
  <c r="AO3" i="1"/>
  <c r="BA3" i="1" s="1"/>
  <c r="BM3" i="1" s="1"/>
  <c r="BY3" i="1" s="1"/>
  <c r="CK3" i="1" s="1"/>
  <c r="CW3" i="1" s="1"/>
  <c r="DI3" i="1" s="1"/>
  <c r="DU3" i="1" s="1"/>
  <c r="EG3" i="1" s="1"/>
  <c r="ES3" i="1" s="1"/>
  <c r="AN3" i="1"/>
  <c r="AZ3" i="1" s="1"/>
  <c r="BL3" i="1" s="1"/>
  <c r="BX3" i="1" s="1"/>
  <c r="CJ3" i="1" s="1"/>
  <c r="CV3" i="1" s="1"/>
  <c r="DH3" i="1" s="1"/>
  <c r="DT3" i="1" s="1"/>
  <c r="EF3" i="1" s="1"/>
  <c r="ER3" i="1" s="1"/>
  <c r="AM3" i="1"/>
  <c r="I4" i="11" l="1"/>
  <c r="I5" i="11" s="1"/>
  <c r="AY3" i="1"/>
  <c r="BK3" i="1" s="1"/>
  <c r="BW3" i="1" s="1"/>
  <c r="CI3" i="1" s="1"/>
  <c r="CU3" i="1" s="1"/>
  <c r="DG3" i="1" s="1"/>
  <c r="DS3" i="1" s="1"/>
  <c r="EE3" i="1" s="1"/>
  <c r="EQ3" i="1" s="1"/>
  <c r="N65" i="1"/>
  <c r="G66" i="1"/>
  <c r="G47" i="1"/>
  <c r="D24" i="1"/>
  <c r="E81" i="1"/>
  <c r="AA71" i="1"/>
  <c r="AA84" i="1"/>
  <c r="C39" i="1"/>
  <c r="G15" i="1"/>
  <c r="E68" i="1"/>
  <c r="C25" i="1"/>
  <c r="D16" i="1"/>
  <c r="C16" i="1" s="1"/>
  <c r="E91" i="1"/>
  <c r="EE140" i="1"/>
  <c r="AC139" i="1"/>
  <c r="EF140" i="1"/>
  <c r="AD139" i="1"/>
  <c r="EX140" i="1"/>
  <c r="AW139" i="1"/>
  <c r="EZ140" i="1"/>
  <c r="BG139" i="1"/>
  <c r="BH139" i="1"/>
  <c r="DJ139" i="1"/>
  <c r="CB140" i="1"/>
  <c r="DN139" i="1"/>
  <c r="DQ139" i="1"/>
  <c r="ET139" i="1"/>
  <c r="AP140" i="1"/>
  <c r="AR140" i="1"/>
  <c r="CA140" i="1"/>
  <c r="DM139" i="1"/>
  <c r="CQ140" i="1"/>
  <c r="E67" i="1"/>
  <c r="D79" i="1"/>
  <c r="BI139" i="1"/>
  <c r="EX139" i="1"/>
  <c r="CV140" i="1"/>
  <c r="CI139" i="1"/>
  <c r="AM140" i="1"/>
  <c r="CW140" i="1"/>
  <c r="CO139" i="1"/>
  <c r="AN140" i="1"/>
  <c r="AA144" i="1"/>
  <c r="AB4" i="1"/>
  <c r="D80" i="1"/>
  <c r="Z157" i="1"/>
  <c r="Z148" i="1"/>
  <c r="Z98" i="1"/>
  <c r="Z5" i="1"/>
  <c r="EY140" i="1"/>
  <c r="EQ140" i="1"/>
  <c r="EI140" i="1"/>
  <c r="EA140" i="1"/>
  <c r="DS140" i="1"/>
  <c r="DK140" i="1"/>
  <c r="DC140" i="1"/>
  <c r="CU140" i="1"/>
  <c r="CM140" i="1"/>
  <c r="CE140" i="1"/>
  <c r="BW140" i="1"/>
  <c r="BO140" i="1"/>
  <c r="BG140" i="1"/>
  <c r="AY140" i="1"/>
  <c r="AQ140" i="1"/>
  <c r="AI140" i="1"/>
  <c r="AA140" i="1"/>
  <c r="EV139" i="1"/>
  <c r="EN139" i="1"/>
  <c r="EF139" i="1"/>
  <c r="DX139" i="1"/>
  <c r="DP139" i="1"/>
  <c r="DH139" i="1"/>
  <c r="CZ139" i="1"/>
  <c r="CR139" i="1"/>
  <c r="CJ139" i="1"/>
  <c r="CB139" i="1"/>
  <c r="BT139" i="1"/>
  <c r="BL139" i="1"/>
  <c r="BD139" i="1"/>
  <c r="AV139" i="1"/>
  <c r="AN139" i="1"/>
  <c r="AF139" i="1"/>
  <c r="EU140" i="1"/>
  <c r="EL140" i="1"/>
  <c r="EC140" i="1"/>
  <c r="DT140" i="1"/>
  <c r="DJ140" i="1"/>
  <c r="DA140" i="1"/>
  <c r="CR140" i="1"/>
  <c r="CI140" i="1"/>
  <c r="BZ140" i="1"/>
  <c r="BQ140" i="1"/>
  <c r="BH140" i="1"/>
  <c r="AX140" i="1"/>
  <c r="AO140" i="1"/>
  <c r="AF140" i="1"/>
  <c r="EZ139" i="1"/>
  <c r="EQ139" i="1"/>
  <c r="EH139" i="1"/>
  <c r="DY139" i="1"/>
  <c r="DO139" i="1"/>
  <c r="DF139" i="1"/>
  <c r="CW139" i="1"/>
  <c r="CN139" i="1"/>
  <c r="CE139" i="1"/>
  <c r="BV139" i="1"/>
  <c r="BM139" i="1"/>
  <c r="BC139" i="1"/>
  <c r="AT139" i="1"/>
  <c r="AK139" i="1"/>
  <c r="AB139" i="1"/>
  <c r="ET140" i="1"/>
  <c r="EJ140" i="1"/>
  <c r="DY140" i="1"/>
  <c r="DO140" i="1"/>
  <c r="DE140" i="1"/>
  <c r="CT140" i="1"/>
  <c r="CJ140" i="1"/>
  <c r="BY140" i="1"/>
  <c r="BN140" i="1"/>
  <c r="BD140" i="1"/>
  <c r="AT140" i="1"/>
  <c r="AJ140" i="1"/>
  <c r="FB139" i="1"/>
  <c r="ER139" i="1"/>
  <c r="EG139" i="1"/>
  <c r="DV139" i="1"/>
  <c r="DL139" i="1"/>
  <c r="DB139" i="1"/>
  <c r="CQ139" i="1"/>
  <c r="CG139" i="1"/>
  <c r="BW139" i="1"/>
  <c r="BK139" i="1"/>
  <c r="BA139" i="1"/>
  <c r="AQ139" i="1"/>
  <c r="AG139" i="1"/>
  <c r="ES140" i="1"/>
  <c r="EH140" i="1"/>
  <c r="DX140" i="1"/>
  <c r="DN140" i="1"/>
  <c r="DD140" i="1"/>
  <c r="CS140" i="1"/>
  <c r="CH140" i="1"/>
  <c r="BX140" i="1"/>
  <c r="BM140" i="1"/>
  <c r="BC140" i="1"/>
  <c r="AS140" i="1"/>
  <c r="AH140" i="1"/>
  <c r="FA139" i="1"/>
  <c r="EP139" i="1"/>
  <c r="EE139" i="1"/>
  <c r="DU139" i="1"/>
  <c r="DK139" i="1"/>
  <c r="DA139" i="1"/>
  <c r="CP139" i="1"/>
  <c r="CF139" i="1"/>
  <c r="BU139" i="1"/>
  <c r="BJ139" i="1"/>
  <c r="AZ139" i="1"/>
  <c r="AP139" i="1"/>
  <c r="AE139" i="1"/>
  <c r="FB140" i="1"/>
  <c r="EO140" i="1"/>
  <c r="EB140" i="1"/>
  <c r="DM140" i="1"/>
  <c r="CY140" i="1"/>
  <c r="CL140" i="1"/>
  <c r="BV140" i="1"/>
  <c r="BJ140" i="1"/>
  <c r="AV140" i="1"/>
  <c r="AG140" i="1"/>
  <c r="EW139" i="1"/>
  <c r="EJ139" i="1"/>
  <c r="DT139" i="1"/>
  <c r="DG139" i="1"/>
  <c r="CT139" i="1"/>
  <c r="CD139" i="1"/>
  <c r="BQ139" i="1"/>
  <c r="BE139" i="1"/>
  <c r="AO139" i="1"/>
  <c r="AA139" i="1"/>
  <c r="FA140" i="1"/>
  <c r="EN140" i="1"/>
  <c r="DZ140" i="1"/>
  <c r="DL140" i="1"/>
  <c r="CX140" i="1"/>
  <c r="CK140" i="1"/>
  <c r="BU140" i="1"/>
  <c r="BI140" i="1"/>
  <c r="AU140" i="1"/>
  <c r="AE140" i="1"/>
  <c r="EU139" i="1"/>
  <c r="EI139" i="1"/>
  <c r="DS139" i="1"/>
  <c r="DE139" i="1"/>
  <c r="CS139" i="1"/>
  <c r="CC139" i="1"/>
  <c r="BP139" i="1"/>
  <c r="BB139" i="1"/>
  <c r="AM139" i="1"/>
  <c r="Z139" i="1"/>
  <c r="EP140" i="1"/>
  <c r="DV140" i="1"/>
  <c r="DF140" i="1"/>
  <c r="CN140" i="1"/>
  <c r="BS140" i="1"/>
  <c r="BA140" i="1"/>
  <c r="AK140" i="1"/>
  <c r="ES139" i="1"/>
  <c r="EA139" i="1"/>
  <c r="DI139" i="1"/>
  <c r="CM139" i="1"/>
  <c r="BX139" i="1"/>
  <c r="BF139" i="1"/>
  <c r="AJ139" i="1"/>
  <c r="DR140" i="1"/>
  <c r="CF140" i="1"/>
  <c r="AW140" i="1"/>
  <c r="DW139" i="1"/>
  <c r="CK139" i="1"/>
  <c r="AH139" i="1"/>
  <c r="EM140" i="1"/>
  <c r="DU140" i="1"/>
  <c r="DB140" i="1"/>
  <c r="CG140" i="1"/>
  <c r="BR140" i="1"/>
  <c r="AZ140" i="1"/>
  <c r="AD140" i="1"/>
  <c r="EO139" i="1"/>
  <c r="DZ139" i="1"/>
  <c r="DD139" i="1"/>
  <c r="CL139" i="1"/>
  <c r="BS139" i="1"/>
  <c r="AY139" i="1"/>
  <c r="AI139" i="1"/>
  <c r="EK140" i="1"/>
  <c r="CZ140" i="1"/>
  <c r="BP140" i="1"/>
  <c r="AC140" i="1"/>
  <c r="EM139" i="1"/>
  <c r="DC139" i="1"/>
  <c r="BR139" i="1"/>
  <c r="AX139" i="1"/>
  <c r="EW140" i="1"/>
  <c r="DQ140" i="1"/>
  <c r="CP140" i="1"/>
  <c r="BK140" i="1"/>
  <c r="AL140" i="1"/>
  <c r="ED139" i="1"/>
  <c r="CY139" i="1"/>
  <c r="BZ139" i="1"/>
  <c r="AU139" i="1"/>
  <c r="EV140" i="1"/>
  <c r="DP140" i="1"/>
  <c r="CO140" i="1"/>
  <c r="BF140" i="1"/>
  <c r="AB140" i="1"/>
  <c r="EC139" i="1"/>
  <c r="CX139" i="1"/>
  <c r="BY139" i="1"/>
  <c r="AS139" i="1"/>
  <c r="ER140" i="1"/>
  <c r="DI140" i="1"/>
  <c r="CD140" i="1"/>
  <c r="BE140" i="1"/>
  <c r="Z140" i="1"/>
  <c r="Z145" i="1" s="1"/>
  <c r="EB139" i="1"/>
  <c r="CV139" i="1"/>
  <c r="BO139" i="1"/>
  <c r="AR139" i="1"/>
  <c r="EG140" i="1"/>
  <c r="DH140" i="1"/>
  <c r="CC140" i="1"/>
  <c r="BB140" i="1"/>
  <c r="EY139" i="1"/>
  <c r="DR139" i="1"/>
  <c r="CU139" i="1"/>
  <c r="BN139" i="1"/>
  <c r="AL139" i="1"/>
  <c r="Z97" i="1"/>
  <c r="CA139" i="1"/>
  <c r="EK139" i="1"/>
  <c r="BL140" i="1"/>
  <c r="DW140" i="1"/>
  <c r="CH139" i="1"/>
  <c r="EL139" i="1"/>
  <c r="BT140" i="1"/>
  <c r="ED140" i="1"/>
  <c r="F63" i="1"/>
  <c r="D91" i="1"/>
  <c r="E63" i="1"/>
  <c r="D63" i="1"/>
  <c r="E66" i="1"/>
  <c r="D78" i="1"/>
  <c r="N27" i="1" l="1"/>
  <c r="N29" i="1"/>
  <c r="N42" i="1"/>
  <c r="N71" i="1"/>
  <c r="N49" i="1"/>
  <c r="N145" i="1"/>
  <c r="N43" i="1"/>
  <c r="N44" i="1"/>
  <c r="N46" i="1"/>
  <c r="N24" i="1"/>
  <c r="N47" i="1"/>
  <c r="H4" i="11"/>
  <c r="N110" i="1"/>
  <c r="N97" i="1"/>
  <c r="N98" i="1"/>
  <c r="N22" i="1"/>
  <c r="N30" i="1"/>
  <c r="N33" i="1"/>
  <c r="N53" i="1"/>
  <c r="N55" i="1"/>
  <c r="N28" i="1"/>
  <c r="N23" i="1"/>
  <c r="N64" i="1"/>
  <c r="G68" i="1"/>
  <c r="D37" i="1"/>
  <c r="AB82" i="1" s="1"/>
  <c r="D26" i="1"/>
  <c r="D25" i="1"/>
  <c r="D27" i="1" s="1"/>
  <c r="N45" i="1"/>
  <c r="N48" i="1"/>
  <c r="N52" i="1"/>
  <c r="Z96" i="1"/>
  <c r="N96" i="1" s="1"/>
  <c r="N148" i="1"/>
  <c r="G67" i="1"/>
  <c r="F66" i="1"/>
  <c r="N84" i="1"/>
  <c r="N34" i="1"/>
  <c r="N32" i="1"/>
  <c r="F81" i="1"/>
  <c r="E80" i="1"/>
  <c r="E79" i="1"/>
  <c r="E78" i="1"/>
  <c r="AA94" i="1"/>
  <c r="Z100" i="1"/>
  <c r="N100" i="1" s="1"/>
  <c r="N157" i="1"/>
  <c r="AB84" i="1"/>
  <c r="Z19" i="1"/>
  <c r="Z35" i="1" s="1"/>
  <c r="G63" i="1"/>
  <c r="O7" i="1"/>
  <c r="F16" i="1"/>
  <c r="Z154" i="1"/>
  <c r="N154" i="1" s="1"/>
  <c r="AB71" i="1"/>
  <c r="AB144" i="1"/>
  <c r="AB94" i="1" s="1"/>
  <c r="AC4" i="1"/>
  <c r="AA157" i="1"/>
  <c r="AA11" i="1"/>
  <c r="AA13" i="1"/>
  <c r="AA9" i="1"/>
  <c r="AA98" i="1"/>
  <c r="AA148" i="1"/>
  <c r="AA97" i="1"/>
  <c r="AA5" i="1"/>
  <c r="AB6" i="1"/>
  <c r="AA15" i="1"/>
  <c r="H5" i="11" l="1"/>
  <c r="J5" i="11" s="1"/>
  <c r="J17" i="11" s="1"/>
  <c r="J4" i="11"/>
  <c r="G69" i="1"/>
  <c r="D68" i="1"/>
  <c r="Z36" i="1"/>
  <c r="N35" i="1"/>
  <c r="D38" i="1"/>
  <c r="AA82" i="1"/>
  <c r="C37" i="1"/>
  <c r="Z87" i="1"/>
  <c r="Z82" i="1"/>
  <c r="AC87" i="1" s="1"/>
  <c r="F78" i="1"/>
  <c r="F79" i="1"/>
  <c r="F80" i="1"/>
  <c r="G81" i="1"/>
  <c r="AA96" i="1"/>
  <c r="AA100" i="1"/>
  <c r="AA14" i="1"/>
  <c r="AA47" i="1" s="1"/>
  <c r="AA16" i="1"/>
  <c r="AA10" i="1"/>
  <c r="AA12" i="1"/>
  <c r="AA29" i="1" s="1"/>
  <c r="AC84" i="1"/>
  <c r="AC82" i="1"/>
  <c r="P7" i="1"/>
  <c r="D17" i="1"/>
  <c r="AB156" i="1" s="1"/>
  <c r="AC144" i="1"/>
  <c r="AC94" i="1" s="1"/>
  <c r="AC71" i="1"/>
  <c r="AD4" i="1"/>
  <c r="AB157" i="1"/>
  <c r="AB100" i="1" s="1"/>
  <c r="AB97" i="1"/>
  <c r="AB148" i="1"/>
  <c r="AB96" i="1" s="1"/>
  <c r="AB13" i="1"/>
  <c r="AB9" i="1"/>
  <c r="AC6" i="1"/>
  <c r="AB5" i="1"/>
  <c r="AB98" i="1"/>
  <c r="AB15" i="1"/>
  <c r="AB11" i="1"/>
  <c r="AA19" i="1"/>
  <c r="AA43" i="1" l="1"/>
  <c r="AA45" i="1"/>
  <c r="AA64" i="1"/>
  <c r="AA65" i="1" s="1"/>
  <c r="D69" i="1"/>
  <c r="Z83" i="1"/>
  <c r="N83" i="1" s="1"/>
  <c r="AA83" i="1"/>
  <c r="C38" i="1"/>
  <c r="AB83" i="1"/>
  <c r="AA44" i="1"/>
  <c r="AA42" i="1"/>
  <c r="AB14" i="1"/>
  <c r="AB44" i="1" s="1"/>
  <c r="AA48" i="1"/>
  <c r="Z38" i="1"/>
  <c r="N36" i="1"/>
  <c r="AA53" i="1"/>
  <c r="AA27" i="1" s="1"/>
  <c r="AC83" i="1"/>
  <c r="AA87" i="1"/>
  <c r="N82" i="1"/>
  <c r="AB87" i="1"/>
  <c r="G80" i="1"/>
  <c r="AA46" i="1"/>
  <c r="G79" i="1"/>
  <c r="AA28" i="1"/>
  <c r="AA52" i="1"/>
  <c r="AA55" i="1"/>
  <c r="G78" i="1"/>
  <c r="AB10" i="1"/>
  <c r="AB16" i="1"/>
  <c r="AB12" i="1"/>
  <c r="AB28" i="1" s="1"/>
  <c r="AD84" i="1"/>
  <c r="AD82" i="1"/>
  <c r="AD83" i="1"/>
  <c r="Q7" i="1"/>
  <c r="AA156" i="1"/>
  <c r="F17" i="1"/>
  <c r="Z156" i="1"/>
  <c r="N156" i="1" s="1"/>
  <c r="AB19" i="1"/>
  <c r="AA22" i="1"/>
  <c r="AA35" i="1"/>
  <c r="AD144" i="1"/>
  <c r="AD94" i="1" s="1"/>
  <c r="AD71" i="1"/>
  <c r="AE4" i="1"/>
  <c r="AC156" i="1"/>
  <c r="AC157" i="1"/>
  <c r="AC100" i="1" s="1"/>
  <c r="AC148" i="1"/>
  <c r="AC96" i="1" s="1"/>
  <c r="AC97" i="1"/>
  <c r="AD6" i="1"/>
  <c r="AC9" i="1"/>
  <c r="AC98" i="1"/>
  <c r="AC15" i="1"/>
  <c r="AC11" i="1"/>
  <c r="AC13" i="1"/>
  <c r="AC5" i="1"/>
  <c r="AB29" i="1" l="1"/>
  <c r="AC10" i="1"/>
  <c r="AB47" i="1"/>
  <c r="AB55" i="1"/>
  <c r="AB64" i="1"/>
  <c r="AB65" i="1" s="1"/>
  <c r="AB42" i="1"/>
  <c r="AB46" i="1"/>
  <c r="AB45" i="1"/>
  <c r="AB52" i="1"/>
  <c r="AB48" i="1"/>
  <c r="AB43" i="1"/>
  <c r="AA49" i="1"/>
  <c r="AC14" i="1"/>
  <c r="AC45" i="1" s="1"/>
  <c r="AB53" i="1"/>
  <c r="AB27" i="1" s="1"/>
  <c r="Z54" i="1"/>
  <c r="N38" i="1"/>
  <c r="AA30" i="1"/>
  <c r="AC16" i="1"/>
  <c r="AC12" i="1"/>
  <c r="AC28" i="1" s="1"/>
  <c r="AE82" i="1"/>
  <c r="AE83" i="1"/>
  <c r="AE84" i="1"/>
  <c r="R7" i="1"/>
  <c r="D18" i="1"/>
  <c r="AE71" i="1"/>
  <c r="AF4" i="1"/>
  <c r="AE144" i="1"/>
  <c r="AA23" i="1"/>
  <c r="AC19" i="1"/>
  <c r="AB22" i="1"/>
  <c r="AB35" i="1"/>
  <c r="AD156" i="1"/>
  <c r="AD97" i="1"/>
  <c r="AE6" i="1"/>
  <c r="AD157" i="1"/>
  <c r="AD100" i="1" s="1"/>
  <c r="AD148" i="1"/>
  <c r="AD96" i="1" s="1"/>
  <c r="AD9" i="1"/>
  <c r="AD10" i="1" s="1"/>
  <c r="AD15" i="1"/>
  <c r="AD11" i="1"/>
  <c r="AD13" i="1"/>
  <c r="AD5" i="1"/>
  <c r="AD98" i="1"/>
  <c r="AB30" i="1" l="1"/>
  <c r="AC44" i="1"/>
  <c r="AC53" i="1"/>
  <c r="AC27" i="1" s="1"/>
  <c r="AC55" i="1"/>
  <c r="AB49" i="1"/>
  <c r="AC42" i="1"/>
  <c r="AC52" i="1"/>
  <c r="AC46" i="1"/>
  <c r="AC48" i="1"/>
  <c r="AC47" i="1"/>
  <c r="AC64" i="1"/>
  <c r="AC65" i="1" s="1"/>
  <c r="AC43" i="1"/>
  <c r="AC29" i="1"/>
  <c r="AC30" i="1" s="1"/>
  <c r="Z56" i="1"/>
  <c r="N54" i="1"/>
  <c r="AE94" i="1"/>
  <c r="AD12" i="1"/>
  <c r="AD28" i="1" s="1"/>
  <c r="AD16" i="1"/>
  <c r="AD14" i="1"/>
  <c r="AD43" i="1" s="1"/>
  <c r="AF82" i="1"/>
  <c r="AF83" i="1"/>
  <c r="AF84" i="1"/>
  <c r="S7" i="1"/>
  <c r="AA24" i="1"/>
  <c r="AB23" i="1"/>
  <c r="AB24" i="1" s="1"/>
  <c r="AE157" i="1"/>
  <c r="AE100" i="1" s="1"/>
  <c r="AE98" i="1"/>
  <c r="AE5" i="1"/>
  <c r="AE148" i="1"/>
  <c r="AE96" i="1" s="1"/>
  <c r="AE9" i="1"/>
  <c r="AF6" i="1"/>
  <c r="AE15" i="1"/>
  <c r="AE156" i="1"/>
  <c r="AE11" i="1"/>
  <c r="AE13" i="1"/>
  <c r="AE97" i="1"/>
  <c r="AF71" i="1"/>
  <c r="AF144" i="1"/>
  <c r="AF94" i="1" s="1"/>
  <c r="AG4" i="1"/>
  <c r="AD19" i="1"/>
  <c r="AC22" i="1"/>
  <c r="AC35" i="1"/>
  <c r="AC49" i="1" l="1"/>
  <c r="AE12" i="1"/>
  <c r="AE29" i="1" s="1"/>
  <c r="AD46" i="1"/>
  <c r="AD29" i="1"/>
  <c r="AD48" i="1"/>
  <c r="AD47" i="1"/>
  <c r="AE16" i="1"/>
  <c r="AD55" i="1"/>
  <c r="AD42" i="1"/>
  <c r="Z58" i="1"/>
  <c r="N56" i="1"/>
  <c r="AD52" i="1"/>
  <c r="AD45" i="1"/>
  <c r="AD64" i="1"/>
  <c r="AD65" i="1" s="1"/>
  <c r="AD53" i="1"/>
  <c r="AD27" i="1" s="1"/>
  <c r="AD44" i="1"/>
  <c r="AE14" i="1"/>
  <c r="AE48" i="1" s="1"/>
  <c r="AE10" i="1"/>
  <c r="AA33" i="1"/>
  <c r="T7" i="1"/>
  <c r="AG83" i="1"/>
  <c r="AG82" i="1"/>
  <c r="AG84" i="1"/>
  <c r="AA34" i="1"/>
  <c r="AA32" i="1"/>
  <c r="AE28" i="1"/>
  <c r="AE19" i="1"/>
  <c r="AD22" i="1"/>
  <c r="AD35" i="1"/>
  <c r="AB32" i="1"/>
  <c r="AB33" i="1"/>
  <c r="AB34" i="1"/>
  <c r="AG144" i="1"/>
  <c r="AG94" i="1" s="1"/>
  <c r="AG71" i="1"/>
  <c r="AH4" i="1"/>
  <c r="AC23" i="1"/>
  <c r="AF156" i="1"/>
  <c r="AF157" i="1"/>
  <c r="AF148" i="1"/>
  <c r="AF96" i="1" s="1"/>
  <c r="AF98" i="1"/>
  <c r="AF5" i="1"/>
  <c r="AG6" i="1"/>
  <c r="AF15" i="1"/>
  <c r="AF9" i="1"/>
  <c r="AF11" i="1"/>
  <c r="AF13" i="1"/>
  <c r="AF97" i="1"/>
  <c r="AD49" i="1" l="1"/>
  <c r="Z59" i="1"/>
  <c r="N58" i="1"/>
  <c r="Z61" i="1"/>
  <c r="N61" i="1" s="1"/>
  <c r="AE47" i="1"/>
  <c r="AE44" i="1"/>
  <c r="AE53" i="1"/>
  <c r="AE27" i="1" s="1"/>
  <c r="AE30" i="1" s="1"/>
  <c r="AE42" i="1"/>
  <c r="AE64" i="1"/>
  <c r="AE65" i="1" s="1"/>
  <c r="AF10" i="1"/>
  <c r="AE45" i="1"/>
  <c r="AE46" i="1"/>
  <c r="AF14" i="1"/>
  <c r="AF55" i="1" s="1"/>
  <c r="AE55" i="1"/>
  <c r="AE43" i="1"/>
  <c r="AE52" i="1"/>
  <c r="AF100" i="1"/>
  <c r="AF16" i="1"/>
  <c r="AF12" i="1"/>
  <c r="AF28" i="1" s="1"/>
  <c r="AD30" i="1"/>
  <c r="U7" i="1"/>
  <c r="AH83" i="1"/>
  <c r="AH82" i="1"/>
  <c r="AH84" i="1"/>
  <c r="AA36" i="1"/>
  <c r="AC24" i="1"/>
  <c r="AC32" i="1" s="1"/>
  <c r="AB36" i="1"/>
  <c r="AB38" i="1" s="1"/>
  <c r="AB54" i="1" s="1"/>
  <c r="AB56" i="1" s="1"/>
  <c r="AB58" i="1" s="1"/>
  <c r="AB59" i="1" s="1"/>
  <c r="AE22" i="1"/>
  <c r="AF19" i="1"/>
  <c r="AE35" i="1"/>
  <c r="AH144" i="1"/>
  <c r="AH94" i="1" s="1"/>
  <c r="AI4" i="1"/>
  <c r="AH71" i="1"/>
  <c r="AG148" i="1"/>
  <c r="AG96" i="1" s="1"/>
  <c r="AG156" i="1"/>
  <c r="AG157" i="1"/>
  <c r="AG100" i="1" s="1"/>
  <c r="AG15" i="1"/>
  <c r="AG16" i="1" s="1"/>
  <c r="AG11" i="1"/>
  <c r="AG5" i="1"/>
  <c r="AG97" i="1"/>
  <c r="AG9" i="1"/>
  <c r="AH6" i="1"/>
  <c r="AG13" i="1"/>
  <c r="AG98" i="1"/>
  <c r="AD23" i="1"/>
  <c r="AF53" i="1" l="1"/>
  <c r="AF27" i="1" s="1"/>
  <c r="AF47" i="1"/>
  <c r="AF64" i="1"/>
  <c r="AF65" i="1" s="1"/>
  <c r="AG10" i="1"/>
  <c r="AF44" i="1"/>
  <c r="AF42" i="1"/>
  <c r="AF45" i="1"/>
  <c r="AF48" i="1"/>
  <c r="AF43" i="1"/>
  <c r="AE49" i="1"/>
  <c r="AF52" i="1"/>
  <c r="AD24" i="1"/>
  <c r="AD34" i="1" s="1"/>
  <c r="AF46" i="1"/>
  <c r="AG14" i="1"/>
  <c r="AG46" i="1" s="1"/>
  <c r="AC34" i="1"/>
  <c r="AG12" i="1"/>
  <c r="AG29" i="1" s="1"/>
  <c r="AF29" i="1"/>
  <c r="AA38" i="1"/>
  <c r="AA54" i="1" s="1"/>
  <c r="V7" i="1"/>
  <c r="AI83" i="1"/>
  <c r="AI82" i="1"/>
  <c r="AI84" i="1"/>
  <c r="AC33" i="1"/>
  <c r="AB61" i="1"/>
  <c r="AI144" i="1"/>
  <c r="AI94" i="1" s="1"/>
  <c r="AJ4" i="1"/>
  <c r="AI71" i="1"/>
  <c r="AF22" i="1"/>
  <c r="AG19" i="1"/>
  <c r="AF35" i="1"/>
  <c r="AH157" i="1"/>
  <c r="AH100" i="1" s="1"/>
  <c r="AH148" i="1"/>
  <c r="AH96" i="1" s="1"/>
  <c r="AH98" i="1"/>
  <c r="AH15" i="1"/>
  <c r="AH156" i="1"/>
  <c r="AH11" i="1"/>
  <c r="AH97" i="1"/>
  <c r="AH5" i="1"/>
  <c r="AH13" i="1"/>
  <c r="AI6" i="1"/>
  <c r="AH9" i="1"/>
  <c r="AE23" i="1"/>
  <c r="AF30" i="1" l="1"/>
  <c r="AG42" i="1"/>
  <c r="AG53" i="1"/>
  <c r="AG27" i="1" s="1"/>
  <c r="AG64" i="1"/>
  <c r="AG65" i="1" s="1"/>
  <c r="AG48" i="1"/>
  <c r="AF49" i="1"/>
  <c r="AG52" i="1"/>
  <c r="AG55" i="1"/>
  <c r="AG44" i="1"/>
  <c r="AG45" i="1"/>
  <c r="AG47" i="1"/>
  <c r="AG43" i="1"/>
  <c r="AD32" i="1"/>
  <c r="AD33" i="1"/>
  <c r="AC36" i="1"/>
  <c r="AH12" i="1"/>
  <c r="AH29" i="1" s="1"/>
  <c r="AH16" i="1"/>
  <c r="AH10" i="1"/>
  <c r="AG28" i="1"/>
  <c r="AG30" i="1" s="1"/>
  <c r="AH14" i="1"/>
  <c r="AH53" i="1" s="1"/>
  <c r="AE24" i="1"/>
  <c r="AE32" i="1" s="1"/>
  <c r="W7" i="1"/>
  <c r="AJ84" i="1"/>
  <c r="AJ82" i="1"/>
  <c r="AJ83" i="1"/>
  <c r="AA56" i="1"/>
  <c r="AJ71" i="1"/>
  <c r="AJ144" i="1"/>
  <c r="AJ94" i="1" s="1"/>
  <c r="AK4" i="1"/>
  <c r="AG22" i="1"/>
  <c r="AH19" i="1"/>
  <c r="AG35" i="1"/>
  <c r="AF23" i="1"/>
  <c r="AI157" i="1"/>
  <c r="AI100" i="1" s="1"/>
  <c r="AI11" i="1"/>
  <c r="AI98" i="1"/>
  <c r="AI156" i="1"/>
  <c r="AI148" i="1"/>
  <c r="AI96" i="1" s="1"/>
  <c r="AI97" i="1"/>
  <c r="AI13" i="1"/>
  <c r="AI9" i="1"/>
  <c r="AI15" i="1"/>
  <c r="AI5" i="1"/>
  <c r="AJ6" i="1"/>
  <c r="AH43" i="1" l="1"/>
  <c r="AG49" i="1"/>
  <c r="AF24" i="1"/>
  <c r="AF33" i="1" s="1"/>
  <c r="AE34" i="1"/>
  <c r="AD36" i="1"/>
  <c r="AD38" i="1" s="1"/>
  <c r="AD54" i="1" s="1"/>
  <c r="AD56" i="1" s="1"/>
  <c r="AD58" i="1" s="1"/>
  <c r="AD59" i="1" s="1"/>
  <c r="AH46" i="1"/>
  <c r="AE33" i="1"/>
  <c r="AI16" i="1"/>
  <c r="AH27" i="1"/>
  <c r="AH48" i="1"/>
  <c r="AH45" i="1"/>
  <c r="AI10" i="1"/>
  <c r="AH64" i="1"/>
  <c r="AH28" i="1"/>
  <c r="AH52" i="1"/>
  <c r="AI12" i="1"/>
  <c r="AI29" i="1" s="1"/>
  <c r="AH44" i="1"/>
  <c r="AC38" i="1"/>
  <c r="AI14" i="1"/>
  <c r="AI47" i="1" s="1"/>
  <c r="AH42" i="1"/>
  <c r="AH55" i="1"/>
  <c r="AH47" i="1"/>
  <c r="X7" i="1"/>
  <c r="AK84" i="1"/>
  <c r="AK82" i="1"/>
  <c r="AK83" i="1"/>
  <c r="AA58" i="1"/>
  <c r="AK71" i="1"/>
  <c r="AK144" i="1"/>
  <c r="AK94" i="1" s="1"/>
  <c r="AL4" i="1"/>
  <c r="AJ97" i="1"/>
  <c r="AJ156" i="1"/>
  <c r="AJ148" i="1"/>
  <c r="AJ96" i="1" s="1"/>
  <c r="AJ13" i="1"/>
  <c r="AJ9" i="1"/>
  <c r="AJ157" i="1"/>
  <c r="AJ100" i="1" s="1"/>
  <c r="AJ98" i="1"/>
  <c r="AJ11" i="1"/>
  <c r="AJ15" i="1"/>
  <c r="AJ5" i="1"/>
  <c r="AK6" i="1"/>
  <c r="AH22" i="1"/>
  <c r="AI19" i="1"/>
  <c r="AH35" i="1"/>
  <c r="AG23" i="1"/>
  <c r="AG24" i="1" s="1"/>
  <c r="AF34" i="1" l="1"/>
  <c r="AI48" i="1"/>
  <c r="AI42" i="1"/>
  <c r="AI44" i="1"/>
  <c r="AI45" i="1"/>
  <c r="AI53" i="1"/>
  <c r="AI27" i="1" s="1"/>
  <c r="AF32" i="1"/>
  <c r="AF36" i="1" s="1"/>
  <c r="AF38" i="1" s="1"/>
  <c r="AF54" i="1" s="1"/>
  <c r="AI64" i="1"/>
  <c r="AI65" i="1" s="1"/>
  <c r="AD61" i="1"/>
  <c r="AJ16" i="1"/>
  <c r="AH30" i="1"/>
  <c r="AJ12" i="1"/>
  <c r="AJ29" i="1" s="1"/>
  <c r="AJ14" i="1"/>
  <c r="AJ64" i="1" s="1"/>
  <c r="AJ65" i="1" s="1"/>
  <c r="AI46" i="1"/>
  <c r="AH49" i="1"/>
  <c r="AE36" i="1"/>
  <c r="AE38" i="1" s="1"/>
  <c r="AE54" i="1" s="1"/>
  <c r="AE56" i="1" s="1"/>
  <c r="AE58" i="1" s="1"/>
  <c r="AE59" i="1" s="1"/>
  <c r="AI52" i="1"/>
  <c r="AI55" i="1"/>
  <c r="AI43" i="1"/>
  <c r="AJ10" i="1"/>
  <c r="AI28" i="1"/>
  <c r="AH65" i="1"/>
  <c r="AC54" i="1"/>
  <c r="AL84" i="1"/>
  <c r="AL83" i="1"/>
  <c r="AL82" i="1"/>
  <c r="AA59" i="1"/>
  <c r="AA61" i="1"/>
  <c r="AG32" i="1"/>
  <c r="AG34" i="1"/>
  <c r="AG33" i="1"/>
  <c r="AK156" i="1"/>
  <c r="AK148" i="1"/>
  <c r="AK96" i="1" s="1"/>
  <c r="AK157" i="1"/>
  <c r="AK100" i="1" s="1"/>
  <c r="AK97" i="1"/>
  <c r="AK98" i="1"/>
  <c r="AL6" i="1"/>
  <c r="AK11" i="1"/>
  <c r="AK13" i="1"/>
  <c r="AK15" i="1"/>
  <c r="AK5" i="1"/>
  <c r="AK9" i="1"/>
  <c r="AL144" i="1"/>
  <c r="AL94" i="1" s="1"/>
  <c r="AM4" i="1"/>
  <c r="AL71" i="1"/>
  <c r="AI22" i="1"/>
  <c r="AJ19" i="1"/>
  <c r="AI35" i="1"/>
  <c r="AH23" i="1"/>
  <c r="AK12" i="1" l="1"/>
  <c r="AK29" i="1" s="1"/>
  <c r="AJ47" i="1"/>
  <c r="AJ42" i="1"/>
  <c r="AJ43" i="1"/>
  <c r="AJ28" i="1"/>
  <c r="AJ46" i="1"/>
  <c r="AJ48" i="1"/>
  <c r="AK10" i="1"/>
  <c r="AI49" i="1"/>
  <c r="AJ53" i="1"/>
  <c r="AJ27" i="1" s="1"/>
  <c r="AJ52" i="1"/>
  <c r="AJ44" i="1"/>
  <c r="AJ55" i="1"/>
  <c r="AJ45" i="1"/>
  <c r="AE61" i="1"/>
  <c r="AH24" i="1"/>
  <c r="AH33" i="1" s="1"/>
  <c r="AK14" i="1"/>
  <c r="AK42" i="1" s="1"/>
  <c r="AI30" i="1"/>
  <c r="AK16" i="1"/>
  <c r="AC56" i="1"/>
  <c r="AF56" i="1"/>
  <c r="AF58" i="1" s="1"/>
  <c r="AF59" i="1" s="1"/>
  <c r="AM82" i="1"/>
  <c r="AM84" i="1"/>
  <c r="AM83" i="1"/>
  <c r="AG36" i="1"/>
  <c r="AG38" i="1" s="1"/>
  <c r="AL156" i="1"/>
  <c r="AL157" i="1"/>
  <c r="AL100" i="1" s="1"/>
  <c r="AL148" i="1"/>
  <c r="AL96" i="1" s="1"/>
  <c r="AL97" i="1"/>
  <c r="AM6" i="1"/>
  <c r="AL13" i="1"/>
  <c r="AL98" i="1"/>
  <c r="AL15" i="1"/>
  <c r="AL11" i="1"/>
  <c r="AL5" i="1"/>
  <c r="AL9" i="1"/>
  <c r="AK28" i="1"/>
  <c r="AK19" i="1"/>
  <c r="AJ22" i="1"/>
  <c r="AJ35" i="1"/>
  <c r="AM144" i="1"/>
  <c r="AN4" i="1"/>
  <c r="AI23" i="1"/>
  <c r="AI24" i="1" s="1"/>
  <c r="AL12" i="1" l="1"/>
  <c r="AL29" i="1" s="1"/>
  <c r="AJ30" i="1"/>
  <c r="AL10" i="1"/>
  <c r="AJ49" i="1"/>
  <c r="AK46" i="1"/>
  <c r="AK53" i="1"/>
  <c r="AK27" i="1" s="1"/>
  <c r="AK30" i="1" s="1"/>
  <c r="AK52" i="1"/>
  <c r="AH32" i="1"/>
  <c r="AH34" i="1"/>
  <c r="AM94" i="1"/>
  <c r="AK48" i="1"/>
  <c r="AK45" i="1"/>
  <c r="AK43" i="1"/>
  <c r="AC58" i="1"/>
  <c r="AL16" i="1"/>
  <c r="AK55" i="1"/>
  <c r="AL14" i="1"/>
  <c r="AL45" i="1" s="1"/>
  <c r="AK47" i="1"/>
  <c r="AK44" i="1"/>
  <c r="AK64" i="1"/>
  <c r="AF61" i="1"/>
  <c r="AN82" i="1"/>
  <c r="AN83" i="1"/>
  <c r="AN84" i="1"/>
  <c r="AI32" i="1"/>
  <c r="AI34" i="1"/>
  <c r="AI33" i="1"/>
  <c r="AG54" i="1"/>
  <c r="AJ23" i="1"/>
  <c r="AJ24" i="1" s="1"/>
  <c r="AM157" i="1"/>
  <c r="AM148" i="1"/>
  <c r="AM96" i="1" s="1"/>
  <c r="AM97" i="1"/>
  <c r="AM156" i="1"/>
  <c r="AM5" i="1"/>
  <c r="AM98" i="1"/>
  <c r="AM9" i="1"/>
  <c r="AM15" i="1"/>
  <c r="AM11" i="1"/>
  <c r="AM13" i="1"/>
  <c r="AN6" i="1"/>
  <c r="AN144" i="1"/>
  <c r="AN94" i="1" s="1"/>
  <c r="AO4" i="1"/>
  <c r="AL19" i="1"/>
  <c r="AK22" i="1"/>
  <c r="AK35" i="1"/>
  <c r="AL28" i="1" l="1"/>
  <c r="AM10" i="1"/>
  <c r="AL52" i="1"/>
  <c r="AL64" i="1"/>
  <c r="AL65" i="1" s="1"/>
  <c r="AH36" i="1"/>
  <c r="AH38" i="1" s="1"/>
  <c r="AH54" i="1" s="1"/>
  <c r="AL43" i="1"/>
  <c r="AL48" i="1"/>
  <c r="AL55" i="1"/>
  <c r="AM100" i="1"/>
  <c r="AM12" i="1"/>
  <c r="AM28" i="1" s="1"/>
  <c r="AL42" i="1"/>
  <c r="AM14" i="1"/>
  <c r="AM44" i="1" s="1"/>
  <c r="AC59" i="1"/>
  <c r="AC61" i="1"/>
  <c r="AM16" i="1"/>
  <c r="AL53" i="1"/>
  <c r="AK49" i="1"/>
  <c r="AK65" i="1"/>
  <c r="AL47" i="1"/>
  <c r="AL44" i="1"/>
  <c r="AL46" i="1"/>
  <c r="AG56" i="1"/>
  <c r="AO83" i="1"/>
  <c r="AO84" i="1"/>
  <c r="AO82" i="1"/>
  <c r="AJ32" i="1"/>
  <c r="AJ34" i="1"/>
  <c r="AJ33" i="1"/>
  <c r="AM19" i="1"/>
  <c r="AL22" i="1"/>
  <c r="AL35" i="1"/>
  <c r="AO144" i="1"/>
  <c r="AO94" i="1" s="1"/>
  <c r="AP4" i="1"/>
  <c r="AK23" i="1"/>
  <c r="AK24" i="1" s="1"/>
  <c r="AN156" i="1"/>
  <c r="AN157" i="1"/>
  <c r="AN100" i="1" s="1"/>
  <c r="AN5" i="1"/>
  <c r="AN9" i="1"/>
  <c r="AN97" i="1"/>
  <c r="AO6" i="1"/>
  <c r="AN11" i="1"/>
  <c r="AN13" i="1"/>
  <c r="AN15" i="1"/>
  <c r="AI36" i="1"/>
  <c r="AI38" i="1" s="1"/>
  <c r="AN16" i="1" l="1"/>
  <c r="AN10" i="1"/>
  <c r="AM29" i="1"/>
  <c r="AL49" i="1"/>
  <c r="AM52" i="1"/>
  <c r="AM64" i="1"/>
  <c r="AM53" i="1"/>
  <c r="AM55" i="1"/>
  <c r="AN14" i="1"/>
  <c r="AN43" i="1" s="1"/>
  <c r="AN12" i="1"/>
  <c r="AN28" i="1" s="1"/>
  <c r="AM42" i="1"/>
  <c r="AM43" i="1"/>
  <c r="AG58" i="1"/>
  <c r="AG61" i="1" s="1"/>
  <c r="AL27" i="1"/>
  <c r="AL30" i="1" s="1"/>
  <c r="AM48" i="1"/>
  <c r="AH56" i="1"/>
  <c r="AM45" i="1"/>
  <c r="AM47" i="1"/>
  <c r="AM46" i="1"/>
  <c r="AP83" i="1"/>
  <c r="AP82" i="1"/>
  <c r="AP84" i="1"/>
  <c r="AJ36" i="1"/>
  <c r="AJ38" i="1" s="1"/>
  <c r="AJ54" i="1" s="1"/>
  <c r="AJ56" i="1" s="1"/>
  <c r="AJ58" i="1" s="1"/>
  <c r="AJ59" i="1" s="1"/>
  <c r="AI54" i="1"/>
  <c r="AI56" i="1" s="1"/>
  <c r="AI58" i="1" s="1"/>
  <c r="AI59" i="1" s="1"/>
  <c r="AO157" i="1"/>
  <c r="AO100" i="1" s="1"/>
  <c r="AO156" i="1"/>
  <c r="AO15" i="1"/>
  <c r="AO9" i="1"/>
  <c r="AP6" i="1"/>
  <c r="AO13" i="1"/>
  <c r="AO5" i="1"/>
  <c r="AO11" i="1"/>
  <c r="AN19" i="1"/>
  <c r="AM22" i="1"/>
  <c r="AM35" i="1"/>
  <c r="AK34" i="1"/>
  <c r="AK33" i="1"/>
  <c r="AK32" i="1"/>
  <c r="AP144" i="1"/>
  <c r="AP94" i="1" s="1"/>
  <c r="AQ4" i="1"/>
  <c r="AL23" i="1"/>
  <c r="AL24" i="1" s="1"/>
  <c r="AO16" i="1" l="1"/>
  <c r="AO10" i="1"/>
  <c r="AN42" i="1"/>
  <c r="AN52" i="1"/>
  <c r="AN64" i="1"/>
  <c r="AN65" i="1" s="1"/>
  <c r="AN53" i="1"/>
  <c r="AN27" i="1" s="1"/>
  <c r="AN47" i="1"/>
  <c r="AN44" i="1"/>
  <c r="AN45" i="1"/>
  <c r="AM27" i="1"/>
  <c r="AM49" i="1"/>
  <c r="AM65" i="1"/>
  <c r="AN55" i="1"/>
  <c r="AN46" i="1"/>
  <c r="AH58" i="1"/>
  <c r="AO12" i="1"/>
  <c r="AO28" i="1" s="1"/>
  <c r="AN29" i="1"/>
  <c r="AN48" i="1"/>
  <c r="AO14" i="1"/>
  <c r="AO42" i="1" s="1"/>
  <c r="AG59" i="1"/>
  <c r="AQ83" i="1"/>
  <c r="AQ84" i="1"/>
  <c r="AQ82" i="1"/>
  <c r="AI61" i="1"/>
  <c r="AK36" i="1"/>
  <c r="AK38" i="1" s="1"/>
  <c r="AP157" i="1"/>
  <c r="AP100" i="1" s="1"/>
  <c r="AP156" i="1"/>
  <c r="AP148" i="1"/>
  <c r="AP96" i="1" s="1"/>
  <c r="AP98" i="1"/>
  <c r="AP15" i="1"/>
  <c r="AP16" i="1" s="1"/>
  <c r="AP11" i="1"/>
  <c r="AP97" i="1"/>
  <c r="AQ6" i="1"/>
  <c r="AP5" i="1"/>
  <c r="AP9" i="1"/>
  <c r="AP13" i="1"/>
  <c r="AQ144" i="1"/>
  <c r="AR4" i="1"/>
  <c r="AJ61" i="1"/>
  <c r="AL32" i="1"/>
  <c r="AL33" i="1"/>
  <c r="AL34" i="1"/>
  <c r="AM23" i="1"/>
  <c r="AO19" i="1"/>
  <c r="AN22" i="1"/>
  <c r="AN35" i="1"/>
  <c r="AO64" i="1"/>
  <c r="AO65" i="1" s="1"/>
  <c r="AN30" i="1" l="1"/>
  <c r="AP10" i="1"/>
  <c r="AO43" i="1"/>
  <c r="AO53" i="1"/>
  <c r="AO27" i="1" s="1"/>
  <c r="AO47" i="1"/>
  <c r="AP12" i="1"/>
  <c r="AP28" i="1" s="1"/>
  <c r="AO55" i="1"/>
  <c r="AO45" i="1"/>
  <c r="AO44" i="1"/>
  <c r="AP14" i="1"/>
  <c r="AP64" i="1" s="1"/>
  <c r="AO46" i="1"/>
  <c r="AO48" i="1"/>
  <c r="AN49" i="1"/>
  <c r="AQ94" i="1"/>
  <c r="AM30" i="1"/>
  <c r="AO29" i="1"/>
  <c r="AO52" i="1"/>
  <c r="AK54" i="1"/>
  <c r="AH59" i="1"/>
  <c r="AH61" i="1"/>
  <c r="AM24" i="1"/>
  <c r="AR84" i="1"/>
  <c r="AR83" i="1"/>
  <c r="AR82" i="1"/>
  <c r="AQ157" i="1"/>
  <c r="AQ100" i="1" s="1"/>
  <c r="AQ156" i="1"/>
  <c r="AQ11" i="1"/>
  <c r="AQ13" i="1"/>
  <c r="AQ9" i="1"/>
  <c r="AQ98" i="1"/>
  <c r="AQ15" i="1"/>
  <c r="AQ16" i="1" s="1"/>
  <c r="AQ5" i="1"/>
  <c r="AR6" i="1"/>
  <c r="AQ148" i="1"/>
  <c r="AQ96" i="1" s="1"/>
  <c r="AQ97" i="1"/>
  <c r="AL36" i="1"/>
  <c r="AO22" i="1"/>
  <c r="AP19" i="1"/>
  <c r="AO35" i="1"/>
  <c r="AR144" i="1"/>
  <c r="AR94" i="1" s="1"/>
  <c r="AS4" i="1"/>
  <c r="AN23" i="1"/>
  <c r="AN24" i="1" s="1"/>
  <c r="AQ12" i="1" l="1"/>
  <c r="AQ29" i="1" s="1"/>
  <c r="AQ10" i="1"/>
  <c r="AM34" i="1"/>
  <c r="AO30" i="1"/>
  <c r="AP29" i="1"/>
  <c r="AO49" i="1"/>
  <c r="AP47" i="1"/>
  <c r="AP44" i="1"/>
  <c r="AP48" i="1"/>
  <c r="AP42" i="1"/>
  <c r="AQ14" i="1"/>
  <c r="AQ48" i="1" s="1"/>
  <c r="AP53" i="1"/>
  <c r="AP27" i="1" s="1"/>
  <c r="AM32" i="1"/>
  <c r="AP43" i="1"/>
  <c r="AP46" i="1"/>
  <c r="AP55" i="1"/>
  <c r="AP52" i="1"/>
  <c r="AP45" i="1"/>
  <c r="AM33" i="1"/>
  <c r="AP65" i="1"/>
  <c r="AK56" i="1"/>
  <c r="AL38" i="1"/>
  <c r="AL54" i="1" s="1"/>
  <c r="AS84" i="1"/>
  <c r="AS83" i="1"/>
  <c r="AS82" i="1"/>
  <c r="AQ28" i="1"/>
  <c r="AN32" i="1"/>
  <c r="AN34" i="1"/>
  <c r="AN33" i="1"/>
  <c r="AR148" i="1"/>
  <c r="AR96" i="1" s="1"/>
  <c r="AR157" i="1"/>
  <c r="AR100" i="1" s="1"/>
  <c r="AR97" i="1"/>
  <c r="AR156" i="1"/>
  <c r="AR13" i="1"/>
  <c r="AR9" i="1"/>
  <c r="AR10" i="1" s="1"/>
  <c r="AR98" i="1"/>
  <c r="AR15" i="1"/>
  <c r="AR16" i="1" s="1"/>
  <c r="AR5" i="1"/>
  <c r="AS6" i="1"/>
  <c r="AR11" i="1"/>
  <c r="AR12" i="1" s="1"/>
  <c r="AO23" i="1"/>
  <c r="AO24" i="1" s="1"/>
  <c r="AP22" i="1"/>
  <c r="AQ19" i="1"/>
  <c r="AP35" i="1"/>
  <c r="AS144" i="1"/>
  <c r="AS94" i="1" s="1"/>
  <c r="AT4" i="1"/>
  <c r="AP30" i="1" l="1"/>
  <c r="AR14" i="1"/>
  <c r="AR46" i="1" s="1"/>
  <c r="AQ52" i="1"/>
  <c r="AQ45" i="1"/>
  <c r="AQ55" i="1"/>
  <c r="AQ46" i="1"/>
  <c r="AQ44" i="1"/>
  <c r="AQ47" i="1"/>
  <c r="AQ42" i="1"/>
  <c r="AQ53" i="1"/>
  <c r="AQ27" i="1" s="1"/>
  <c r="AQ30" i="1" s="1"/>
  <c r="AQ43" i="1"/>
  <c r="AQ64" i="1"/>
  <c r="AQ65" i="1" s="1"/>
  <c r="AP49" i="1"/>
  <c r="AM36" i="1"/>
  <c r="AM38" i="1" s="1"/>
  <c r="AM54" i="1" s="1"/>
  <c r="AK58" i="1"/>
  <c r="AL56" i="1"/>
  <c r="AL58" i="1" s="1"/>
  <c r="AL59" i="1" s="1"/>
  <c r="J54" i="1"/>
  <c r="AT84" i="1"/>
  <c r="AT83" i="1"/>
  <c r="AT82" i="1"/>
  <c r="AO33" i="1"/>
  <c r="AO34" i="1"/>
  <c r="AO32" i="1"/>
  <c r="AR29" i="1"/>
  <c r="AR28" i="1"/>
  <c r="AQ22" i="1"/>
  <c r="AR19" i="1"/>
  <c r="AQ35" i="1"/>
  <c r="AR42" i="1"/>
  <c r="AR45" i="1"/>
  <c r="AR44" i="1"/>
  <c r="AT144" i="1"/>
  <c r="AT94" i="1" s="1"/>
  <c r="AU4" i="1"/>
  <c r="AP23" i="1"/>
  <c r="AS157" i="1"/>
  <c r="AS100" i="1" s="1"/>
  <c r="AS156" i="1"/>
  <c r="AT6" i="1"/>
  <c r="AS15" i="1"/>
  <c r="AS16" i="1" s="1"/>
  <c r="AS5" i="1"/>
  <c r="AS11" i="1"/>
  <c r="AS12" i="1" s="1"/>
  <c r="AS9" i="1"/>
  <c r="AS10" i="1" s="1"/>
  <c r="AS148" i="1"/>
  <c r="AS96" i="1" s="1"/>
  <c r="AS97" i="1"/>
  <c r="AS98" i="1"/>
  <c r="AS13" i="1"/>
  <c r="AS14" i="1" s="1"/>
  <c r="AN36" i="1"/>
  <c r="AN38" i="1" s="1"/>
  <c r="AR64" i="1" l="1"/>
  <c r="AR65" i="1" s="1"/>
  <c r="AR53" i="1"/>
  <c r="AR27" i="1" s="1"/>
  <c r="AR48" i="1"/>
  <c r="AQ49" i="1"/>
  <c r="AR55" i="1"/>
  <c r="AR43" i="1"/>
  <c r="AR47" i="1"/>
  <c r="AR52" i="1"/>
  <c r="AP24" i="1"/>
  <c r="AP32" i="1" s="1"/>
  <c r="AM56" i="1"/>
  <c r="AL61" i="1"/>
  <c r="AK59" i="1"/>
  <c r="AK61" i="1"/>
  <c r="AU82" i="1"/>
  <c r="AU84" i="1"/>
  <c r="AU83" i="1"/>
  <c r="AO36" i="1"/>
  <c r="AO38" i="1" s="1"/>
  <c r="AO54" i="1" s="1"/>
  <c r="AO56" i="1" s="1"/>
  <c r="AO58" i="1" s="1"/>
  <c r="AO59" i="1" s="1"/>
  <c r="AR30" i="1"/>
  <c r="AS29" i="1"/>
  <c r="AS28" i="1"/>
  <c r="AS44" i="1"/>
  <c r="AS55" i="1"/>
  <c r="AS53" i="1"/>
  <c r="AS52" i="1"/>
  <c r="AS46" i="1"/>
  <c r="AS43" i="1"/>
  <c r="AS64" i="1"/>
  <c r="AS65" i="1" s="1"/>
  <c r="AS48" i="1"/>
  <c r="AS47" i="1"/>
  <c r="AS42" i="1"/>
  <c r="AS45" i="1"/>
  <c r="AS19" i="1"/>
  <c r="AR22" i="1"/>
  <c r="AR35" i="1"/>
  <c r="AT156" i="1"/>
  <c r="AU6" i="1"/>
  <c r="AT97" i="1"/>
  <c r="AT98" i="1"/>
  <c r="AT11" i="1"/>
  <c r="AT13" i="1"/>
  <c r="AT5" i="1"/>
  <c r="AT157" i="1"/>
  <c r="AT100" i="1" s="1"/>
  <c r="AT9" i="1"/>
  <c r="AT148" i="1"/>
  <c r="AT96" i="1" s="1"/>
  <c r="AT15" i="1"/>
  <c r="AN54" i="1"/>
  <c r="AN56" i="1" s="1"/>
  <c r="AN58" i="1" s="1"/>
  <c r="AN59" i="1" s="1"/>
  <c r="AU144" i="1"/>
  <c r="AU94" i="1" s="1"/>
  <c r="AV4" i="1"/>
  <c r="AQ23" i="1"/>
  <c r="AQ24" i="1" s="1"/>
  <c r="AR49" i="1" l="1"/>
  <c r="AS27" i="1"/>
  <c r="AS30" i="1" s="1"/>
  <c r="AP33" i="1"/>
  <c r="AP34" i="1"/>
  <c r="AM58" i="1"/>
  <c r="AT12" i="1"/>
  <c r="AT29" i="1" s="1"/>
  <c r="AT10" i="1"/>
  <c r="AT14" i="1"/>
  <c r="AT45" i="1" s="1"/>
  <c r="AT16" i="1"/>
  <c r="AV82" i="1"/>
  <c r="AV84" i="1"/>
  <c r="AV83" i="1"/>
  <c r="AO61" i="1"/>
  <c r="AQ34" i="1"/>
  <c r="AQ33" i="1"/>
  <c r="AQ32" i="1"/>
  <c r="AT19" i="1"/>
  <c r="AS22" i="1"/>
  <c r="AS35" i="1"/>
  <c r="AW4" i="1"/>
  <c r="AV144" i="1"/>
  <c r="AV94" i="1" s="1"/>
  <c r="AU156" i="1"/>
  <c r="AU97" i="1"/>
  <c r="AU98" i="1"/>
  <c r="AU5" i="1"/>
  <c r="AU11" i="1"/>
  <c r="AU13" i="1"/>
  <c r="AU157" i="1"/>
  <c r="AU100" i="1" s="1"/>
  <c r="AU9" i="1"/>
  <c r="AU148" i="1"/>
  <c r="AU96" i="1" s="1"/>
  <c r="AV6" i="1"/>
  <c r="AU15" i="1"/>
  <c r="AN61" i="1"/>
  <c r="AS49" i="1"/>
  <c r="AR23" i="1"/>
  <c r="AU12" i="1" l="1"/>
  <c r="AT28" i="1"/>
  <c r="AU10" i="1"/>
  <c r="AT46" i="1"/>
  <c r="AT48" i="1"/>
  <c r="AR24" i="1"/>
  <c r="AR32" i="1" s="1"/>
  <c r="AM59" i="1"/>
  <c r="AM61" i="1"/>
  <c r="AU16" i="1"/>
  <c r="AP36" i="1"/>
  <c r="AT64" i="1"/>
  <c r="AT47" i="1"/>
  <c r="AT53" i="1"/>
  <c r="AT42" i="1"/>
  <c r="AT44" i="1"/>
  <c r="AU14" i="1"/>
  <c r="AU45" i="1" s="1"/>
  <c r="AT43" i="1"/>
  <c r="AT55" i="1"/>
  <c r="AT52" i="1"/>
  <c r="AW83" i="1"/>
  <c r="AW84" i="1"/>
  <c r="AW82" i="1"/>
  <c r="AQ36" i="1"/>
  <c r="AQ38" i="1" s="1"/>
  <c r="AQ54" i="1" s="1"/>
  <c r="AQ56" i="1" s="1"/>
  <c r="AQ58" i="1" s="1"/>
  <c r="AQ59" i="1" s="1"/>
  <c r="AU28" i="1"/>
  <c r="AU29" i="1"/>
  <c r="AV156" i="1"/>
  <c r="AV97" i="1"/>
  <c r="AV98" i="1"/>
  <c r="AV5" i="1"/>
  <c r="AV13" i="1"/>
  <c r="AV148" i="1"/>
  <c r="AV96" i="1" s="1"/>
  <c r="AV9" i="1"/>
  <c r="AW6" i="1"/>
  <c r="AV15" i="1"/>
  <c r="AV11" i="1"/>
  <c r="AV157" i="1"/>
  <c r="AV100" i="1" s="1"/>
  <c r="AU19" i="1"/>
  <c r="AT22" i="1"/>
  <c r="AT35" i="1"/>
  <c r="AW144" i="1"/>
  <c r="AW94" i="1" s="1"/>
  <c r="AX4" i="1"/>
  <c r="AS23" i="1"/>
  <c r="AS24" i="1" s="1"/>
  <c r="AV12" i="1" l="1"/>
  <c r="AV29" i="1" s="1"/>
  <c r="AV10" i="1"/>
  <c r="AR33" i="1"/>
  <c r="AU46" i="1"/>
  <c r="AR34" i="1"/>
  <c r="AV14" i="1"/>
  <c r="AV45" i="1" s="1"/>
  <c r="AU43" i="1"/>
  <c r="AU47" i="1"/>
  <c r="AU48" i="1"/>
  <c r="AT49" i="1"/>
  <c r="AU64" i="1"/>
  <c r="AU65" i="1" s="1"/>
  <c r="AV16" i="1"/>
  <c r="AP38" i="1"/>
  <c r="AU53" i="1"/>
  <c r="AU27" i="1" s="1"/>
  <c r="AU30" i="1" s="1"/>
  <c r="AU52" i="1"/>
  <c r="AT65" i="1"/>
  <c r="AU42" i="1"/>
  <c r="AU55" i="1"/>
  <c r="AT27" i="1"/>
  <c r="AU44" i="1"/>
  <c r="AX83" i="1"/>
  <c r="AX84" i="1"/>
  <c r="AX82" i="1"/>
  <c r="AQ61" i="1"/>
  <c r="AV28" i="1"/>
  <c r="AX144" i="1"/>
  <c r="AX94" i="1" s="1"/>
  <c r="AY4" i="1"/>
  <c r="AW157" i="1"/>
  <c r="AW100" i="1" s="1"/>
  <c r="AW148" i="1"/>
  <c r="AW96" i="1" s="1"/>
  <c r="AW156" i="1"/>
  <c r="AW98" i="1"/>
  <c r="AW97" i="1"/>
  <c r="AW15" i="1"/>
  <c r="AW9" i="1"/>
  <c r="AX6" i="1"/>
  <c r="AW11" i="1"/>
  <c r="AW12" i="1" s="1"/>
  <c r="AW13" i="1"/>
  <c r="AW5" i="1"/>
  <c r="AT23" i="1"/>
  <c r="AV19" i="1"/>
  <c r="AU22" i="1"/>
  <c r="AU35" i="1"/>
  <c r="AS34" i="1"/>
  <c r="AS33" i="1"/>
  <c r="AS32" i="1"/>
  <c r="AW16" i="1" l="1"/>
  <c r="AW10" i="1"/>
  <c r="AR36" i="1"/>
  <c r="AR38" i="1" s="1"/>
  <c r="AR54" i="1" s="1"/>
  <c r="AR56" i="1" s="1"/>
  <c r="AR58" i="1" s="1"/>
  <c r="AR59" i="1" s="1"/>
  <c r="AV46" i="1"/>
  <c r="AV48" i="1"/>
  <c r="AV53" i="1"/>
  <c r="AV27" i="1" s="1"/>
  <c r="AV30" i="1" s="1"/>
  <c r="AV42" i="1"/>
  <c r="AV52" i="1"/>
  <c r="AV64" i="1"/>
  <c r="AV65" i="1" s="1"/>
  <c r="AV44" i="1"/>
  <c r="AU49" i="1"/>
  <c r="AV43" i="1"/>
  <c r="AV55" i="1"/>
  <c r="AW14" i="1"/>
  <c r="AW47" i="1" s="1"/>
  <c r="AV47" i="1"/>
  <c r="AP54" i="1"/>
  <c r="AT30" i="1"/>
  <c r="AT24" i="1"/>
  <c r="AY83" i="1"/>
  <c r="AY82" i="1"/>
  <c r="AY84" i="1"/>
  <c r="AS36" i="1"/>
  <c r="AS38" i="1" s="1"/>
  <c r="AS54" i="1" s="1"/>
  <c r="AS56" i="1" s="1"/>
  <c r="AS58" i="1" s="1"/>
  <c r="AS59" i="1" s="1"/>
  <c r="AW28" i="1"/>
  <c r="AW29" i="1"/>
  <c r="AX157" i="1"/>
  <c r="AX100" i="1" s="1"/>
  <c r="AX15" i="1"/>
  <c r="AX11" i="1"/>
  <c r="AX12" i="1" s="1"/>
  <c r="AX9" i="1"/>
  <c r="AY6" i="1"/>
  <c r="AX156" i="1"/>
  <c r="AX13" i="1"/>
  <c r="AX5" i="1"/>
  <c r="AU23" i="1"/>
  <c r="AU24" i="1" s="1"/>
  <c r="AW19" i="1"/>
  <c r="AV22" i="1"/>
  <c r="AV35" i="1"/>
  <c r="AY144" i="1"/>
  <c r="AZ4" i="1"/>
  <c r="AX10" i="1" l="1"/>
  <c r="AX16" i="1"/>
  <c r="AT34" i="1"/>
  <c r="AW46" i="1"/>
  <c r="AW52" i="1"/>
  <c r="AW64" i="1"/>
  <c r="AW65" i="1" s="1"/>
  <c r="AV49" i="1"/>
  <c r="AW55" i="1"/>
  <c r="AW43" i="1"/>
  <c r="AW53" i="1"/>
  <c r="AW27" i="1" s="1"/>
  <c r="AW30" i="1" s="1"/>
  <c r="AW44" i="1"/>
  <c r="AW48" i="1"/>
  <c r="AW42" i="1"/>
  <c r="AW45" i="1"/>
  <c r="AY94" i="1"/>
  <c r="AP56" i="1"/>
  <c r="AX14" i="1"/>
  <c r="AX55" i="1" s="1"/>
  <c r="AT32" i="1"/>
  <c r="AT33" i="1"/>
  <c r="AZ84" i="1"/>
  <c r="AZ82" i="1"/>
  <c r="AZ83" i="1"/>
  <c r="AS61" i="1"/>
  <c r="AW22" i="1"/>
  <c r="AX19" i="1"/>
  <c r="AW35" i="1"/>
  <c r="AU32" i="1"/>
  <c r="AU34" i="1"/>
  <c r="AU33" i="1"/>
  <c r="AR61" i="1"/>
  <c r="AZ144" i="1"/>
  <c r="AZ94" i="1" s="1"/>
  <c r="BA4" i="1"/>
  <c r="AX28" i="1"/>
  <c r="AX29" i="1"/>
  <c r="AV23" i="1"/>
  <c r="AV24" i="1" s="1"/>
  <c r="AY157" i="1"/>
  <c r="AY98" i="1"/>
  <c r="AY11" i="1"/>
  <c r="AY148" i="1"/>
  <c r="AY13" i="1"/>
  <c r="AY9" i="1"/>
  <c r="AY10" i="1" s="1"/>
  <c r="AZ6" i="1"/>
  <c r="AY156" i="1"/>
  <c r="AY97" i="1"/>
  <c r="AY15" i="1"/>
  <c r="AY5" i="1"/>
  <c r="AX43" i="1" l="1"/>
  <c r="AW49" i="1"/>
  <c r="AY100" i="1"/>
  <c r="AY96" i="1"/>
  <c r="AX42" i="1"/>
  <c r="AP58" i="1"/>
  <c r="AX47" i="1"/>
  <c r="AY12" i="1"/>
  <c r="AY29" i="1" s="1"/>
  <c r="AX48" i="1"/>
  <c r="AX44" i="1"/>
  <c r="AX46" i="1"/>
  <c r="AT36" i="1"/>
  <c r="AY14" i="1"/>
  <c r="AY52" i="1" s="1"/>
  <c r="AX45" i="1"/>
  <c r="AX52" i="1"/>
  <c r="AY16" i="1"/>
  <c r="AX53" i="1"/>
  <c r="AX64" i="1"/>
  <c r="BA84" i="1"/>
  <c r="BA82" i="1"/>
  <c r="BA83" i="1"/>
  <c r="AV34" i="1"/>
  <c r="AV33" i="1"/>
  <c r="AV32" i="1"/>
  <c r="AU36" i="1"/>
  <c r="AU38" i="1" s="1"/>
  <c r="AZ156" i="1"/>
  <c r="AZ97" i="1"/>
  <c r="AZ148" i="1"/>
  <c r="AZ96" i="1" s="1"/>
  <c r="AZ13" i="1"/>
  <c r="AZ9" i="1"/>
  <c r="AZ10" i="1" s="1"/>
  <c r="BA6" i="1"/>
  <c r="AZ15" i="1"/>
  <c r="AZ11" i="1"/>
  <c r="AZ98" i="1"/>
  <c r="AZ5" i="1"/>
  <c r="AZ157" i="1"/>
  <c r="AZ100" i="1" s="1"/>
  <c r="AW23" i="1"/>
  <c r="AW24" i="1" s="1"/>
  <c r="AX22" i="1"/>
  <c r="AY19" i="1"/>
  <c r="AX35" i="1"/>
  <c r="BA144" i="1"/>
  <c r="BA94" i="1" s="1"/>
  <c r="BB4" i="1"/>
  <c r="AY47" i="1" l="1"/>
  <c r="AY28" i="1"/>
  <c r="AZ16" i="1"/>
  <c r="AY55" i="1"/>
  <c r="AY44" i="1"/>
  <c r="AY48" i="1"/>
  <c r="AY43" i="1"/>
  <c r="AP59" i="1"/>
  <c r="AP61" i="1"/>
  <c r="AZ12" i="1"/>
  <c r="AZ14" i="1"/>
  <c r="AZ44" i="1" s="1"/>
  <c r="AY53" i="1"/>
  <c r="AY45" i="1"/>
  <c r="AY64" i="1"/>
  <c r="AX27" i="1"/>
  <c r="AT38" i="1"/>
  <c r="AX49" i="1"/>
  <c r="AY42" i="1"/>
  <c r="AY46" i="1"/>
  <c r="AX65" i="1"/>
  <c r="BB84" i="1"/>
  <c r="BB82" i="1"/>
  <c r="BB83" i="1"/>
  <c r="AV36" i="1"/>
  <c r="AV38" i="1" s="1"/>
  <c r="AV54" i="1" s="1"/>
  <c r="AV56" i="1" s="1"/>
  <c r="AV58" i="1" s="1"/>
  <c r="AV59" i="1" s="1"/>
  <c r="AW32" i="1"/>
  <c r="AW34" i="1"/>
  <c r="AW33" i="1"/>
  <c r="AZ55" i="1"/>
  <c r="AX23" i="1"/>
  <c r="AX24" i="1" s="1"/>
  <c r="AU54" i="1"/>
  <c r="AU56" i="1" s="1"/>
  <c r="AU58" i="1" s="1"/>
  <c r="AU59" i="1" s="1"/>
  <c r="BA156" i="1"/>
  <c r="BA157" i="1"/>
  <c r="BA148" i="1"/>
  <c r="BA96" i="1" s="1"/>
  <c r="BB6" i="1"/>
  <c r="BA9" i="1"/>
  <c r="BA10" i="1" s="1"/>
  <c r="BA15" i="1"/>
  <c r="BA5" i="1"/>
  <c r="BA97" i="1"/>
  <c r="BA11" i="1"/>
  <c r="BA98" i="1"/>
  <c r="BA13" i="1"/>
  <c r="AZ28" i="1"/>
  <c r="AZ29" i="1"/>
  <c r="BB144" i="1"/>
  <c r="BB94" i="1" s="1"/>
  <c r="BC4" i="1"/>
  <c r="AY22" i="1"/>
  <c r="AZ19" i="1"/>
  <c r="AY35" i="1"/>
  <c r="AZ64" i="1" l="1"/>
  <c r="AZ65" i="1" s="1"/>
  <c r="AZ52" i="1"/>
  <c r="BA16" i="1"/>
  <c r="AZ47" i="1"/>
  <c r="BA100" i="1"/>
  <c r="AZ53" i="1"/>
  <c r="AZ27" i="1" s="1"/>
  <c r="AZ30" i="1" s="1"/>
  <c r="AZ43" i="1"/>
  <c r="AZ48" i="1"/>
  <c r="AY27" i="1"/>
  <c r="AY49" i="1"/>
  <c r="BA12" i="1"/>
  <c r="BA29" i="1" s="1"/>
  <c r="AZ46" i="1"/>
  <c r="AY65" i="1"/>
  <c r="BA14" i="1"/>
  <c r="BA55" i="1" s="1"/>
  <c r="AZ42" i="1"/>
  <c r="AZ45" i="1"/>
  <c r="AT54" i="1"/>
  <c r="AX30" i="1"/>
  <c r="AX33" i="1" s="1"/>
  <c r="BC82" i="1"/>
  <c r="BC84" i="1"/>
  <c r="BC83" i="1"/>
  <c r="AU61" i="1"/>
  <c r="BA28" i="1"/>
  <c r="BA19" i="1"/>
  <c r="AZ22" i="1"/>
  <c r="AZ35" i="1"/>
  <c r="AW36" i="1"/>
  <c r="AW38" i="1" s="1"/>
  <c r="AY23" i="1"/>
  <c r="BB157" i="1"/>
  <c r="BB100" i="1" s="1"/>
  <c r="BB148" i="1"/>
  <c r="BB96" i="1" s="1"/>
  <c r="BC6" i="1"/>
  <c r="BB156" i="1"/>
  <c r="BB15" i="1"/>
  <c r="BB5" i="1"/>
  <c r="BB97" i="1"/>
  <c r="BB11" i="1"/>
  <c r="BB98" i="1"/>
  <c r="BB13" i="1"/>
  <c r="BB14" i="1" s="1"/>
  <c r="BB9" i="1"/>
  <c r="BB10" i="1" s="1"/>
  <c r="BC144" i="1"/>
  <c r="BC94" i="1" s="1"/>
  <c r="BD4" i="1"/>
  <c r="AV61" i="1"/>
  <c r="BA44" i="1" l="1"/>
  <c r="BA48" i="1"/>
  <c r="BB16" i="1"/>
  <c r="BA46" i="1"/>
  <c r="BA52" i="1"/>
  <c r="BA42" i="1"/>
  <c r="BA47" i="1"/>
  <c r="BA45" i="1"/>
  <c r="AZ49" i="1"/>
  <c r="AX34" i="1"/>
  <c r="AX32" i="1"/>
  <c r="AY30" i="1"/>
  <c r="BB12" i="1"/>
  <c r="BB28" i="1" s="1"/>
  <c r="BA53" i="1"/>
  <c r="BA43" i="1"/>
  <c r="BA64" i="1"/>
  <c r="AY24" i="1"/>
  <c r="AT56" i="1"/>
  <c r="BD82" i="1"/>
  <c r="BD83" i="1"/>
  <c r="BD84" i="1"/>
  <c r="BB55" i="1"/>
  <c r="BB52" i="1"/>
  <c r="BB46" i="1"/>
  <c r="BB53" i="1"/>
  <c r="BB27" i="1" s="1"/>
  <c r="BB48" i="1"/>
  <c r="BB45" i="1"/>
  <c r="BB44" i="1"/>
  <c r="BB47" i="1"/>
  <c r="BB64" i="1"/>
  <c r="BB42" i="1"/>
  <c r="BB43" i="1"/>
  <c r="AW54" i="1"/>
  <c r="AW56" i="1" s="1"/>
  <c r="AW58" i="1" s="1"/>
  <c r="AW59" i="1" s="1"/>
  <c r="AZ23" i="1"/>
  <c r="AZ24" i="1" s="1"/>
  <c r="BD144" i="1"/>
  <c r="BE4" i="1"/>
  <c r="BC156" i="1"/>
  <c r="BC157" i="1"/>
  <c r="BC100" i="1" s="1"/>
  <c r="BC148" i="1"/>
  <c r="BC96" i="1" s="1"/>
  <c r="BC5" i="1"/>
  <c r="BC15" i="1"/>
  <c r="BC97" i="1"/>
  <c r="BC11" i="1"/>
  <c r="BC98" i="1"/>
  <c r="BC13" i="1"/>
  <c r="BC14" i="1" s="1"/>
  <c r="BC9" i="1"/>
  <c r="BC10" i="1" s="1"/>
  <c r="BD6" i="1"/>
  <c r="BB19" i="1"/>
  <c r="BA22" i="1"/>
  <c r="BA35" i="1"/>
  <c r="BC16" i="1" l="1"/>
  <c r="AY33" i="1"/>
  <c r="AX36" i="1"/>
  <c r="AX38" i="1" s="1"/>
  <c r="BA49" i="1"/>
  <c r="BB29" i="1"/>
  <c r="BB30" i="1" s="1"/>
  <c r="AY32" i="1"/>
  <c r="AY34" i="1"/>
  <c r="BD94" i="1"/>
  <c r="BA27" i="1"/>
  <c r="BA65" i="1"/>
  <c r="BC12" i="1"/>
  <c r="BC29" i="1" s="1"/>
  <c r="BB65" i="1"/>
  <c r="AT58" i="1"/>
  <c r="BE83" i="1"/>
  <c r="BE82" i="1"/>
  <c r="BE84" i="1"/>
  <c r="AZ32" i="1"/>
  <c r="AZ34" i="1"/>
  <c r="AZ33" i="1"/>
  <c r="BC53" i="1"/>
  <c r="BC27" i="1" s="1"/>
  <c r="BC48" i="1"/>
  <c r="BC45" i="1"/>
  <c r="BC47" i="1"/>
  <c r="BC46" i="1"/>
  <c r="BC64" i="1"/>
  <c r="BC65" i="1" s="1"/>
  <c r="BC44" i="1"/>
  <c r="BC55" i="1"/>
  <c r="BC52" i="1"/>
  <c r="BC43" i="1"/>
  <c r="BC42" i="1"/>
  <c r="BB22" i="1"/>
  <c r="BC19" i="1"/>
  <c r="BB35" i="1"/>
  <c r="BD156" i="1"/>
  <c r="BD157" i="1"/>
  <c r="BD100" i="1" s="1"/>
  <c r="BD148" i="1"/>
  <c r="BD97" i="1"/>
  <c r="BD5" i="1"/>
  <c r="BD11" i="1"/>
  <c r="BD98" i="1"/>
  <c r="BD13" i="1"/>
  <c r="BD14" i="1" s="1"/>
  <c r="BD15" i="1"/>
  <c r="BD9" i="1"/>
  <c r="BD10" i="1" s="1"/>
  <c r="BE6" i="1"/>
  <c r="AX54" i="1"/>
  <c r="AW61" i="1"/>
  <c r="BB49" i="1"/>
  <c r="BA23" i="1"/>
  <c r="BA24" i="1" s="1"/>
  <c r="BE144" i="1"/>
  <c r="BE94" i="1" s="1"/>
  <c r="BF4" i="1"/>
  <c r="BD16" i="1" l="1"/>
  <c r="AY36" i="1"/>
  <c r="AY38" i="1" s="1"/>
  <c r="BD96" i="1"/>
  <c r="BC28" i="1"/>
  <c r="BC30" i="1" s="1"/>
  <c r="BD12" i="1"/>
  <c r="BD28" i="1" s="1"/>
  <c r="BA30" i="1"/>
  <c r="BA33" i="1" s="1"/>
  <c r="AT59" i="1"/>
  <c r="AT61" i="1"/>
  <c r="AX56" i="1"/>
  <c r="P56" i="1" s="1"/>
  <c r="BF83" i="1"/>
  <c r="BF82" i="1"/>
  <c r="BF84" i="1"/>
  <c r="AZ36" i="1"/>
  <c r="AZ38" i="1" s="1"/>
  <c r="BC49" i="1"/>
  <c r="BF144" i="1"/>
  <c r="BF94" i="1" s="1"/>
  <c r="BG4" i="1"/>
  <c r="BC22" i="1"/>
  <c r="BD19" i="1"/>
  <c r="BC35" i="1"/>
  <c r="BD45" i="1"/>
  <c r="BD48" i="1"/>
  <c r="BD46" i="1"/>
  <c r="BD55" i="1"/>
  <c r="BD42" i="1"/>
  <c r="BD44" i="1"/>
  <c r="BD52" i="1"/>
  <c r="BD43" i="1"/>
  <c r="BD53" i="1"/>
  <c r="BD27" i="1" s="1"/>
  <c r="BD47" i="1"/>
  <c r="BD64" i="1"/>
  <c r="BB23" i="1"/>
  <c r="BB24" i="1" s="1"/>
  <c r="BE156" i="1"/>
  <c r="BE148" i="1"/>
  <c r="BE96" i="1" s="1"/>
  <c r="BE157" i="1"/>
  <c r="BE100" i="1" s="1"/>
  <c r="BE97" i="1"/>
  <c r="BE98" i="1"/>
  <c r="BE15" i="1"/>
  <c r="BE16" i="1" s="1"/>
  <c r="BE11" i="1"/>
  <c r="BE5" i="1"/>
  <c r="BE13" i="1"/>
  <c r="BE14" i="1" s="1"/>
  <c r="BE9" i="1"/>
  <c r="BE10" i="1" s="1"/>
  <c r="BF6" i="1"/>
  <c r="BD29" i="1" l="1"/>
  <c r="BD30" i="1" s="1"/>
  <c r="BE12" i="1"/>
  <c r="BE29" i="1" s="1"/>
  <c r="BD65" i="1"/>
  <c r="BA32" i="1"/>
  <c r="BA34" i="1"/>
  <c r="AX58" i="1"/>
  <c r="P58" i="1" s="1"/>
  <c r="AY54" i="1"/>
  <c r="BG83" i="1"/>
  <c r="BG84" i="1"/>
  <c r="BG82" i="1"/>
  <c r="BB34" i="1"/>
  <c r="BB33" i="1"/>
  <c r="BB32" i="1"/>
  <c r="BE45" i="1"/>
  <c r="BE64" i="1"/>
  <c r="BE65" i="1" s="1"/>
  <c r="BE55" i="1"/>
  <c r="BE44" i="1"/>
  <c r="BE42" i="1"/>
  <c r="BE52" i="1"/>
  <c r="BE43" i="1"/>
  <c r="BE53" i="1"/>
  <c r="BE27" i="1" s="1"/>
  <c r="BE48" i="1"/>
  <c r="BE47" i="1"/>
  <c r="BE46" i="1"/>
  <c r="BG144" i="1"/>
  <c r="BG94" i="1" s="1"/>
  <c r="BH4" i="1"/>
  <c r="BE19" i="1"/>
  <c r="BD22" i="1"/>
  <c r="BD35" i="1"/>
  <c r="BD49" i="1"/>
  <c r="BC23" i="1"/>
  <c r="AZ54" i="1"/>
  <c r="AZ56" i="1" s="1"/>
  <c r="AZ58" i="1" s="1"/>
  <c r="AZ59" i="1" s="1"/>
  <c r="BF157" i="1"/>
  <c r="BF100" i="1" s="1"/>
  <c r="BF148" i="1"/>
  <c r="BF96" i="1" s="1"/>
  <c r="BF98" i="1"/>
  <c r="BF15" i="1"/>
  <c r="BF11" i="1"/>
  <c r="BF156" i="1"/>
  <c r="BF13" i="1"/>
  <c r="BF97" i="1"/>
  <c r="BF5" i="1"/>
  <c r="BF9" i="1"/>
  <c r="BG6" i="1"/>
  <c r="BE28" i="1" l="1"/>
  <c r="BC24" i="1"/>
  <c r="BC32" i="1" s="1"/>
  <c r="BA36" i="1"/>
  <c r="BF14" i="1"/>
  <c r="BF53" i="1" s="1"/>
  <c r="BF12" i="1"/>
  <c r="BF28" i="1" s="1"/>
  <c r="AX59" i="1"/>
  <c r="AX61" i="1"/>
  <c r="BF10" i="1"/>
  <c r="AY56" i="1"/>
  <c r="BF16" i="1"/>
  <c r="BH84" i="1"/>
  <c r="BH83" i="1"/>
  <c r="BH82" i="1"/>
  <c r="BB36" i="1"/>
  <c r="BB38" i="1" s="1"/>
  <c r="BB54" i="1" s="1"/>
  <c r="BB56" i="1" s="1"/>
  <c r="BB58" i="1" s="1"/>
  <c r="BB59" i="1" s="1"/>
  <c r="BE22" i="1"/>
  <c r="BF19" i="1"/>
  <c r="BE35" i="1"/>
  <c r="AZ61" i="1"/>
  <c r="BH144" i="1"/>
  <c r="BH94" i="1" s="1"/>
  <c r="BI4" i="1"/>
  <c r="BE49" i="1"/>
  <c r="BE30" i="1"/>
  <c r="BD23" i="1"/>
  <c r="BD24" i="1" s="1"/>
  <c r="BG157" i="1"/>
  <c r="BG100" i="1" s="1"/>
  <c r="BG98" i="1"/>
  <c r="BG11" i="1"/>
  <c r="BG148" i="1"/>
  <c r="BG96" i="1" s="1"/>
  <c r="BG13" i="1"/>
  <c r="BG14" i="1" s="1"/>
  <c r="BG9" i="1"/>
  <c r="BG97" i="1"/>
  <c r="BG15" i="1"/>
  <c r="BG156" i="1"/>
  <c r="BG5" i="1"/>
  <c r="BH6" i="1"/>
  <c r="BF47" i="1" l="1"/>
  <c r="BF42" i="1"/>
  <c r="BF46" i="1"/>
  <c r="BF52" i="1"/>
  <c r="BF45" i="1"/>
  <c r="BC34" i="1"/>
  <c r="BC33" i="1"/>
  <c r="BF43" i="1"/>
  <c r="BF44" i="1"/>
  <c r="BF55" i="1"/>
  <c r="BG16" i="1"/>
  <c r="BF64" i="1"/>
  <c r="BF29" i="1"/>
  <c r="BA38" i="1"/>
  <c r="BF48" i="1"/>
  <c r="BF27" i="1"/>
  <c r="BG10" i="1"/>
  <c r="AY58" i="1"/>
  <c r="BG12" i="1"/>
  <c r="BG29" i="1" s="1"/>
  <c r="BI84" i="1"/>
  <c r="BI82" i="1"/>
  <c r="BI83" i="1"/>
  <c r="BD33" i="1"/>
  <c r="BD32" i="1"/>
  <c r="BD34" i="1"/>
  <c r="BH157" i="1"/>
  <c r="BH100" i="1" s="1"/>
  <c r="BH97" i="1"/>
  <c r="BH98" i="1"/>
  <c r="BH148" i="1"/>
  <c r="BH96" i="1" s="1"/>
  <c r="BH13" i="1"/>
  <c r="BH14" i="1" s="1"/>
  <c r="BH9" i="1"/>
  <c r="BH156" i="1"/>
  <c r="BI6" i="1"/>
  <c r="BH11" i="1"/>
  <c r="BH5" i="1"/>
  <c r="BH15" i="1"/>
  <c r="BF22" i="1"/>
  <c r="BG19" i="1"/>
  <c r="BF35" i="1"/>
  <c r="BE23" i="1"/>
  <c r="BE24" i="1" s="1"/>
  <c r="BG64" i="1"/>
  <c r="BG65" i="1" s="1"/>
  <c r="BG53" i="1"/>
  <c r="BG27" i="1" s="1"/>
  <c r="BG47" i="1"/>
  <c r="BG55" i="1"/>
  <c r="BG52" i="1"/>
  <c r="BG42" i="1"/>
  <c r="BG43" i="1"/>
  <c r="BG48" i="1"/>
  <c r="BG46" i="1"/>
  <c r="BG45" i="1"/>
  <c r="BG44" i="1"/>
  <c r="BB61" i="1"/>
  <c r="BI144" i="1"/>
  <c r="BI94" i="1" s="1"/>
  <c r="BJ4" i="1"/>
  <c r="BC36" i="1" l="1"/>
  <c r="BC38" i="1" s="1"/>
  <c r="BF30" i="1"/>
  <c r="BF49" i="1"/>
  <c r="BA54" i="1"/>
  <c r="BG28" i="1"/>
  <c r="BG30" i="1" s="1"/>
  <c r="BF65" i="1"/>
  <c r="BH10" i="1"/>
  <c r="BH12" i="1"/>
  <c r="BH29" i="1" s="1"/>
  <c r="AY59" i="1"/>
  <c r="AY61" i="1"/>
  <c r="BH16" i="1"/>
  <c r="BJ84" i="1"/>
  <c r="BJ82" i="1"/>
  <c r="BJ83" i="1"/>
  <c r="BH48" i="1"/>
  <c r="BH64" i="1"/>
  <c r="BH65" i="1" s="1"/>
  <c r="BH47" i="1"/>
  <c r="BH43" i="1"/>
  <c r="BH55" i="1"/>
  <c r="BH52" i="1"/>
  <c r="BH42" i="1"/>
  <c r="BH53" i="1"/>
  <c r="BH46" i="1"/>
  <c r="BH45" i="1"/>
  <c r="BH44" i="1"/>
  <c r="BE33" i="1"/>
  <c r="BE32" i="1"/>
  <c r="BE34" i="1"/>
  <c r="BH19" i="1"/>
  <c r="BG22" i="1"/>
  <c r="BG35" i="1"/>
  <c r="BG49" i="1"/>
  <c r="BI157" i="1"/>
  <c r="BI100" i="1" s="1"/>
  <c r="BI156" i="1"/>
  <c r="BJ6" i="1"/>
  <c r="BI97" i="1"/>
  <c r="BI98" i="1"/>
  <c r="BI148" i="1"/>
  <c r="BI96" i="1" s="1"/>
  <c r="BI9" i="1"/>
  <c r="BI13" i="1"/>
  <c r="BI5" i="1"/>
  <c r="BI15" i="1"/>
  <c r="BI11" i="1"/>
  <c r="BF23" i="1"/>
  <c r="BC54" i="1"/>
  <c r="BD36" i="1"/>
  <c r="BD38" i="1" s="1"/>
  <c r="BJ144" i="1"/>
  <c r="BJ94" i="1" s="1"/>
  <c r="BK4" i="1"/>
  <c r="BI16" i="1" l="1"/>
  <c r="BA56" i="1"/>
  <c r="BC56" i="1"/>
  <c r="BH27" i="1"/>
  <c r="BH28" i="1"/>
  <c r="BI14" i="1"/>
  <c r="BI64" i="1" s="1"/>
  <c r="BF24" i="1"/>
  <c r="BF33" i="1" s="1"/>
  <c r="BI10" i="1"/>
  <c r="BI12" i="1"/>
  <c r="BI29" i="1" s="1"/>
  <c r="BK82" i="1"/>
  <c r="BK83" i="1"/>
  <c r="BK84" i="1"/>
  <c r="BJ156" i="1"/>
  <c r="BJ157" i="1"/>
  <c r="BJ100" i="1" s="1"/>
  <c r="BJ97" i="1"/>
  <c r="BJ98" i="1"/>
  <c r="BK6" i="1"/>
  <c r="BJ148" i="1"/>
  <c r="BJ96" i="1" s="1"/>
  <c r="BJ9" i="1"/>
  <c r="BJ15" i="1"/>
  <c r="BJ11" i="1"/>
  <c r="BJ13" i="1"/>
  <c r="BJ5" i="1"/>
  <c r="BI19" i="1"/>
  <c r="BH22" i="1"/>
  <c r="BH35" i="1"/>
  <c r="BE36" i="1"/>
  <c r="BE38" i="1" s="1"/>
  <c r="BH49" i="1"/>
  <c r="BG23" i="1"/>
  <c r="BG24" i="1" s="1"/>
  <c r="BK144" i="1"/>
  <c r="BL4" i="1"/>
  <c r="BD54" i="1"/>
  <c r="BD56" i="1" s="1"/>
  <c r="BD58" i="1" s="1"/>
  <c r="BD59" i="1" s="1"/>
  <c r="BI28" i="1" l="1"/>
  <c r="BI52" i="1"/>
  <c r="BJ16" i="1"/>
  <c r="BF34" i="1"/>
  <c r="BF32" i="1"/>
  <c r="BK94" i="1"/>
  <c r="BI46" i="1"/>
  <c r="BI53" i="1"/>
  <c r="BI27" i="1" s="1"/>
  <c r="BI30" i="1" s="1"/>
  <c r="BH30" i="1"/>
  <c r="BI48" i="1"/>
  <c r="BI55" i="1"/>
  <c r="BA58" i="1"/>
  <c r="BJ14" i="1"/>
  <c r="BJ43" i="1" s="1"/>
  <c r="BI45" i="1"/>
  <c r="BI44" i="1"/>
  <c r="BI43" i="1"/>
  <c r="BI42" i="1"/>
  <c r="BJ12" i="1"/>
  <c r="BJ29" i="1" s="1"/>
  <c r="BI47" i="1"/>
  <c r="BI65" i="1"/>
  <c r="BC58" i="1"/>
  <c r="BJ10" i="1"/>
  <c r="BL82" i="1"/>
  <c r="BL83" i="1"/>
  <c r="BL84" i="1"/>
  <c r="BG34" i="1"/>
  <c r="BG32" i="1"/>
  <c r="BG33" i="1"/>
  <c r="BJ19" i="1"/>
  <c r="BI22" i="1"/>
  <c r="BI35" i="1"/>
  <c r="BD61" i="1"/>
  <c r="BH23" i="1"/>
  <c r="BH24" i="1" s="1"/>
  <c r="BL144" i="1"/>
  <c r="BL94" i="1" s="1"/>
  <c r="BM4" i="1"/>
  <c r="BK156" i="1"/>
  <c r="BK148" i="1"/>
  <c r="BK5" i="1"/>
  <c r="BK97" i="1"/>
  <c r="BK9" i="1"/>
  <c r="BK98" i="1"/>
  <c r="BL6" i="1"/>
  <c r="BK15" i="1"/>
  <c r="BK157" i="1"/>
  <c r="BK11" i="1"/>
  <c r="BK13" i="1"/>
  <c r="BE54" i="1"/>
  <c r="BE56" i="1" s="1"/>
  <c r="BE58" i="1" s="1"/>
  <c r="BE59" i="1" s="1"/>
  <c r="BJ52" i="1" l="1"/>
  <c r="BJ46" i="1"/>
  <c r="BJ55" i="1"/>
  <c r="BJ53" i="1"/>
  <c r="BJ27" i="1" s="1"/>
  <c r="BF36" i="1"/>
  <c r="BF38" i="1" s="1"/>
  <c r="BJ48" i="1"/>
  <c r="BJ44" i="1"/>
  <c r="BJ45" i="1"/>
  <c r="BJ42" i="1"/>
  <c r="BK14" i="1"/>
  <c r="BK53" i="1" s="1"/>
  <c r="BJ47" i="1"/>
  <c r="BE61" i="1"/>
  <c r="BK100" i="1"/>
  <c r="BI49" i="1"/>
  <c r="BJ28" i="1"/>
  <c r="BJ64" i="1"/>
  <c r="BJ65" i="1" s="1"/>
  <c r="BK96" i="1"/>
  <c r="BA59" i="1"/>
  <c r="BA61" i="1"/>
  <c r="BK12" i="1"/>
  <c r="BK28" i="1" s="1"/>
  <c r="BK10" i="1"/>
  <c r="BC59" i="1"/>
  <c r="BC61" i="1"/>
  <c r="BK16" i="1"/>
  <c r="BM83" i="1"/>
  <c r="BM84" i="1"/>
  <c r="BM82" i="1"/>
  <c r="BI23" i="1"/>
  <c r="BK19" i="1"/>
  <c r="BJ22" i="1"/>
  <c r="BJ35" i="1"/>
  <c r="BL156" i="1"/>
  <c r="BL157" i="1"/>
  <c r="BL100" i="1" s="1"/>
  <c r="BL148" i="1"/>
  <c r="BL96" i="1" s="1"/>
  <c r="BL5" i="1"/>
  <c r="BL98" i="1"/>
  <c r="BM6" i="1"/>
  <c r="BL15" i="1"/>
  <c r="BL97" i="1"/>
  <c r="BL9" i="1"/>
  <c r="BL11" i="1"/>
  <c r="BL13" i="1"/>
  <c r="BH32" i="1"/>
  <c r="BH34" i="1"/>
  <c r="BH33" i="1"/>
  <c r="BK52" i="1"/>
  <c r="BG36" i="1"/>
  <c r="BG38" i="1" s="1"/>
  <c r="BM144" i="1"/>
  <c r="BM94" i="1" s="1"/>
  <c r="BN4" i="1"/>
  <c r="BJ49" i="1" l="1"/>
  <c r="BK46" i="1"/>
  <c r="BK43" i="1"/>
  <c r="BK55" i="1"/>
  <c r="BK42" i="1"/>
  <c r="BK47" i="1"/>
  <c r="BK44" i="1"/>
  <c r="BK45" i="1"/>
  <c r="BK48" i="1"/>
  <c r="BK64" i="1"/>
  <c r="BK65" i="1" s="1"/>
  <c r="BL14" i="1"/>
  <c r="BL44" i="1" s="1"/>
  <c r="BL12" i="1"/>
  <c r="BL28" i="1" s="1"/>
  <c r="BL16" i="1"/>
  <c r="BK29" i="1"/>
  <c r="BK27" i="1"/>
  <c r="BL10" i="1"/>
  <c r="BJ30" i="1"/>
  <c r="BF54" i="1"/>
  <c r="BI24" i="1"/>
  <c r="BI32" i="1" s="1"/>
  <c r="BN83" i="1"/>
  <c r="BN84" i="1"/>
  <c r="BN82" i="1"/>
  <c r="BM156" i="1"/>
  <c r="BM157" i="1"/>
  <c r="BM148" i="1"/>
  <c r="BM96" i="1" s="1"/>
  <c r="BM97" i="1"/>
  <c r="BM15" i="1"/>
  <c r="BM11" i="1"/>
  <c r="BM12" i="1" s="1"/>
  <c r="BM5" i="1"/>
  <c r="BM98" i="1"/>
  <c r="BM9" i="1"/>
  <c r="BN6" i="1"/>
  <c r="BM13" i="1"/>
  <c r="BJ23" i="1"/>
  <c r="BJ24" i="1" s="1"/>
  <c r="BN144" i="1"/>
  <c r="BN94" i="1" s="1"/>
  <c r="BO4" i="1"/>
  <c r="BG54" i="1"/>
  <c r="BG56" i="1" s="1"/>
  <c r="BG58" i="1" s="1"/>
  <c r="BG59" i="1" s="1"/>
  <c r="BH36" i="1"/>
  <c r="BH38" i="1" s="1"/>
  <c r="BK22" i="1"/>
  <c r="BL19" i="1"/>
  <c r="BK35" i="1"/>
  <c r="BL29" i="1" l="1"/>
  <c r="BK49" i="1"/>
  <c r="BL53" i="1"/>
  <c r="BL45" i="1"/>
  <c r="BI33" i="1"/>
  <c r="BL46" i="1"/>
  <c r="BM14" i="1"/>
  <c r="BM44" i="1" s="1"/>
  <c r="BL52" i="1"/>
  <c r="BL55" i="1"/>
  <c r="BL42" i="1"/>
  <c r="BL64" i="1"/>
  <c r="BL65" i="1" s="1"/>
  <c r="BL48" i="1"/>
  <c r="BL43" i="1"/>
  <c r="BL47" i="1"/>
  <c r="BI34" i="1"/>
  <c r="BI36" i="1" s="1"/>
  <c r="BK30" i="1"/>
  <c r="BM100" i="1"/>
  <c r="BM16" i="1"/>
  <c r="BL27" i="1"/>
  <c r="BM10" i="1"/>
  <c r="BF56" i="1"/>
  <c r="BO83" i="1"/>
  <c r="BO82" i="1"/>
  <c r="BO84" i="1"/>
  <c r="BG61" i="1"/>
  <c r="BJ34" i="1"/>
  <c r="BJ32" i="1"/>
  <c r="BJ33" i="1"/>
  <c r="BM28" i="1"/>
  <c r="BM29" i="1"/>
  <c r="BN157" i="1"/>
  <c r="BN100" i="1" s="1"/>
  <c r="BN156" i="1"/>
  <c r="BN148" i="1"/>
  <c r="BN96" i="1" s="1"/>
  <c r="BN98" i="1"/>
  <c r="BN97" i="1"/>
  <c r="BN15" i="1"/>
  <c r="BN11" i="1"/>
  <c r="BN12" i="1" s="1"/>
  <c r="BN5" i="1"/>
  <c r="BN13" i="1"/>
  <c r="BN9" i="1"/>
  <c r="BO6" i="1"/>
  <c r="BO144" i="1"/>
  <c r="BO94" i="1" s="1"/>
  <c r="BP4" i="1"/>
  <c r="BK23" i="1"/>
  <c r="BH54" i="1"/>
  <c r="BH56" i="1" s="1"/>
  <c r="BH58" i="1" s="1"/>
  <c r="BH59" i="1" s="1"/>
  <c r="BL22" i="1"/>
  <c r="BM19" i="1"/>
  <c r="BL35" i="1"/>
  <c r="BM53" i="1" l="1"/>
  <c r="BM27" i="1" s="1"/>
  <c r="BM48" i="1"/>
  <c r="BN14" i="1"/>
  <c r="BN47" i="1" s="1"/>
  <c r="BL49" i="1"/>
  <c r="BM64" i="1"/>
  <c r="BM65" i="1" s="1"/>
  <c r="BM52" i="1"/>
  <c r="BM55" i="1"/>
  <c r="BM43" i="1"/>
  <c r="BM45" i="1"/>
  <c r="BM46" i="1"/>
  <c r="BM47" i="1"/>
  <c r="BM42" i="1"/>
  <c r="BN10" i="1"/>
  <c r="BL30" i="1"/>
  <c r="BN16" i="1"/>
  <c r="BK24" i="1"/>
  <c r="BF58" i="1"/>
  <c r="BI38" i="1"/>
  <c r="BI54" i="1" s="1"/>
  <c r="BP84" i="1"/>
  <c r="BP82" i="1"/>
  <c r="BP83" i="1"/>
  <c r="BM30" i="1"/>
  <c r="BP144" i="1"/>
  <c r="BP94" i="1" s="1"/>
  <c r="BQ4" i="1"/>
  <c r="BN28" i="1"/>
  <c r="BN29" i="1"/>
  <c r="BL23" i="1"/>
  <c r="BL24" i="1" s="1"/>
  <c r="BJ36" i="1"/>
  <c r="BJ38" i="1" s="1"/>
  <c r="BO156" i="1"/>
  <c r="BO148" i="1"/>
  <c r="BO96" i="1" s="1"/>
  <c r="BO11" i="1"/>
  <c r="BO12" i="1" s="1"/>
  <c r="BO157" i="1"/>
  <c r="BO100" i="1" s="1"/>
  <c r="BO13" i="1"/>
  <c r="BO9" i="1"/>
  <c r="BO15" i="1"/>
  <c r="BO5" i="1"/>
  <c r="BO97" i="1"/>
  <c r="BO98" i="1"/>
  <c r="BP6" i="1"/>
  <c r="BN52" i="1"/>
  <c r="BM22" i="1"/>
  <c r="BN19" i="1"/>
  <c r="BM35" i="1"/>
  <c r="BH61" i="1"/>
  <c r="BN42" i="1" l="1"/>
  <c r="BN45" i="1"/>
  <c r="BO16" i="1"/>
  <c r="BN53" i="1"/>
  <c r="BN27" i="1" s="1"/>
  <c r="BN46" i="1"/>
  <c r="BO14" i="1"/>
  <c r="BO46" i="1" s="1"/>
  <c r="BN64" i="1"/>
  <c r="BN65" i="1" s="1"/>
  <c r="BN43" i="1"/>
  <c r="BN55" i="1"/>
  <c r="BN48" i="1"/>
  <c r="BN44" i="1"/>
  <c r="BM49" i="1"/>
  <c r="BO10" i="1"/>
  <c r="BK34" i="1"/>
  <c r="BK32" i="1"/>
  <c r="BK33" i="1"/>
  <c r="BI56" i="1"/>
  <c r="BF59" i="1"/>
  <c r="BF61" i="1"/>
  <c r="BQ84" i="1"/>
  <c r="BQ83" i="1"/>
  <c r="BQ82" i="1"/>
  <c r="BN30" i="1"/>
  <c r="BL33" i="1"/>
  <c r="BL34" i="1"/>
  <c r="BL32" i="1"/>
  <c r="BO29" i="1"/>
  <c r="BO28" i="1"/>
  <c r="BP157" i="1"/>
  <c r="BP100" i="1" s="1"/>
  <c r="BP156" i="1"/>
  <c r="BP97" i="1"/>
  <c r="BP98" i="1"/>
  <c r="BP13" i="1"/>
  <c r="BP9" i="1"/>
  <c r="BP148" i="1"/>
  <c r="BP11" i="1"/>
  <c r="BP12" i="1" s="1"/>
  <c r="BP15" i="1"/>
  <c r="BP5" i="1"/>
  <c r="BQ6" i="1"/>
  <c r="BM23" i="1"/>
  <c r="BM24" i="1" s="1"/>
  <c r="BJ54" i="1"/>
  <c r="BJ56" i="1" s="1"/>
  <c r="BJ58" i="1" s="1"/>
  <c r="BJ59" i="1" s="1"/>
  <c r="BN22" i="1"/>
  <c r="BO19" i="1"/>
  <c r="BN35" i="1"/>
  <c r="BQ144" i="1"/>
  <c r="BQ94" i="1" s="1"/>
  <c r="BR4" i="1"/>
  <c r="BO48" i="1" l="1"/>
  <c r="BO55" i="1"/>
  <c r="BO44" i="1"/>
  <c r="BO47" i="1"/>
  <c r="BP16" i="1"/>
  <c r="BO42" i="1"/>
  <c r="BO53" i="1"/>
  <c r="BO27" i="1" s="1"/>
  <c r="BO30" i="1" s="1"/>
  <c r="BO43" i="1"/>
  <c r="BO52" i="1"/>
  <c r="BO64" i="1"/>
  <c r="BO65" i="1" s="1"/>
  <c r="BP14" i="1"/>
  <c r="BP45" i="1" s="1"/>
  <c r="BO45" i="1"/>
  <c r="BN49" i="1"/>
  <c r="BP10" i="1"/>
  <c r="BP96" i="1"/>
  <c r="BK36" i="1"/>
  <c r="BK38" i="1" s="1"/>
  <c r="BI58" i="1"/>
  <c r="BR84" i="1"/>
  <c r="BR83" i="1"/>
  <c r="BR82" i="1"/>
  <c r="BL36" i="1"/>
  <c r="BL38" i="1" s="1"/>
  <c r="BL54" i="1" s="1"/>
  <c r="BL56" i="1" s="1"/>
  <c r="BL58" i="1" s="1"/>
  <c r="BL59" i="1" s="1"/>
  <c r="BM34" i="1"/>
  <c r="BM33" i="1"/>
  <c r="BM32" i="1"/>
  <c r="BP29" i="1"/>
  <c r="BP28" i="1"/>
  <c r="BQ157" i="1"/>
  <c r="BQ100" i="1" s="1"/>
  <c r="BQ98" i="1"/>
  <c r="BQ156" i="1"/>
  <c r="BR6" i="1"/>
  <c r="BQ11" i="1"/>
  <c r="BQ12" i="1" s="1"/>
  <c r="BQ13" i="1"/>
  <c r="BQ148" i="1"/>
  <c r="BQ96" i="1" s="1"/>
  <c r="BQ15" i="1"/>
  <c r="BQ5" i="1"/>
  <c r="BQ9" i="1"/>
  <c r="BQ97" i="1"/>
  <c r="BN23" i="1"/>
  <c r="BN24" i="1" s="1"/>
  <c r="BJ61" i="1"/>
  <c r="BR144" i="1"/>
  <c r="BR94" i="1" s="1"/>
  <c r="BS4" i="1"/>
  <c r="BO22" i="1"/>
  <c r="BP19" i="1"/>
  <c r="BO35" i="1"/>
  <c r="BP47" i="1" l="1"/>
  <c r="BQ16" i="1"/>
  <c r="BP55" i="1"/>
  <c r="BQ14" i="1"/>
  <c r="BQ42" i="1" s="1"/>
  <c r="BP53" i="1"/>
  <c r="BP27" i="1" s="1"/>
  <c r="BP30" i="1" s="1"/>
  <c r="BP43" i="1"/>
  <c r="BO49" i="1"/>
  <c r="BP44" i="1"/>
  <c r="BP48" i="1"/>
  <c r="BP64" i="1"/>
  <c r="BP65" i="1" s="1"/>
  <c r="BP52" i="1"/>
  <c r="BP46" i="1"/>
  <c r="BP42" i="1"/>
  <c r="BQ10" i="1"/>
  <c r="BI59" i="1"/>
  <c r="BI61" i="1"/>
  <c r="BK54" i="1"/>
  <c r="BS82" i="1"/>
  <c r="BS83" i="1"/>
  <c r="BS84" i="1"/>
  <c r="BM36" i="1"/>
  <c r="BM38" i="1" s="1"/>
  <c r="BM54" i="1" s="1"/>
  <c r="BM56" i="1" s="1"/>
  <c r="BM58" i="1" s="1"/>
  <c r="BM59" i="1" s="1"/>
  <c r="BQ64" i="1"/>
  <c r="BQ65" i="1" s="1"/>
  <c r="BQ55" i="1"/>
  <c r="BN34" i="1"/>
  <c r="BN33" i="1"/>
  <c r="BN32" i="1"/>
  <c r="BQ29" i="1"/>
  <c r="BQ28" i="1"/>
  <c r="BO23" i="1"/>
  <c r="BO24" i="1" s="1"/>
  <c r="BS144" i="1"/>
  <c r="BS94" i="1" s="1"/>
  <c r="BT4" i="1"/>
  <c r="BR156" i="1"/>
  <c r="BR148" i="1"/>
  <c r="BR96" i="1" s="1"/>
  <c r="BS6" i="1"/>
  <c r="BR157" i="1"/>
  <c r="BR100" i="1" s="1"/>
  <c r="BR13" i="1"/>
  <c r="BR15" i="1"/>
  <c r="BR5" i="1"/>
  <c r="BR11" i="1"/>
  <c r="BR97" i="1"/>
  <c r="BR9" i="1"/>
  <c r="BR98" i="1"/>
  <c r="BL61" i="1"/>
  <c r="BQ19" i="1"/>
  <c r="BP22" i="1"/>
  <c r="BP35" i="1"/>
  <c r="BQ44" i="1" l="1"/>
  <c r="BQ45" i="1"/>
  <c r="BQ46" i="1"/>
  <c r="BQ53" i="1"/>
  <c r="BQ27" i="1" s="1"/>
  <c r="BQ48" i="1"/>
  <c r="BQ47" i="1"/>
  <c r="BP49" i="1"/>
  <c r="BQ52" i="1"/>
  <c r="BQ43" i="1"/>
  <c r="BR14" i="1"/>
  <c r="BR64" i="1" s="1"/>
  <c r="BK56" i="1"/>
  <c r="BR10" i="1"/>
  <c r="BR16" i="1"/>
  <c r="BR12" i="1"/>
  <c r="BR29" i="1" s="1"/>
  <c r="BT82" i="1"/>
  <c r="BT84" i="1"/>
  <c r="BT83" i="1"/>
  <c r="BN36" i="1"/>
  <c r="BM61" i="1"/>
  <c r="BO32" i="1"/>
  <c r="BO34" i="1"/>
  <c r="BO33" i="1"/>
  <c r="BP23" i="1"/>
  <c r="BU4" i="1"/>
  <c r="BT144" i="1"/>
  <c r="BT94" i="1" s="1"/>
  <c r="BR19" i="1"/>
  <c r="BQ22" i="1"/>
  <c r="BQ35" i="1"/>
  <c r="BQ30" i="1"/>
  <c r="BS148" i="1"/>
  <c r="BS96" i="1" s="1"/>
  <c r="BS157" i="1"/>
  <c r="BS100" i="1" s="1"/>
  <c r="BS5" i="1"/>
  <c r="BS156" i="1"/>
  <c r="BS97" i="1"/>
  <c r="BS98" i="1"/>
  <c r="BS9" i="1"/>
  <c r="BS15" i="1"/>
  <c r="BS11" i="1"/>
  <c r="BS13" i="1"/>
  <c r="BT6" i="1"/>
  <c r="BQ49" i="1" l="1"/>
  <c r="BR28" i="1"/>
  <c r="BS12" i="1"/>
  <c r="BS29" i="1" s="1"/>
  <c r="BS16" i="1"/>
  <c r="BR45" i="1"/>
  <c r="BR46" i="1"/>
  <c r="BR47" i="1"/>
  <c r="BR53" i="1"/>
  <c r="BR27" i="1" s="1"/>
  <c r="BR30" i="1" s="1"/>
  <c r="BS14" i="1"/>
  <c r="BS52" i="1" s="1"/>
  <c r="BP24" i="1"/>
  <c r="BP32" i="1" s="1"/>
  <c r="BR52" i="1"/>
  <c r="BR42" i="1"/>
  <c r="BR43" i="1"/>
  <c r="BR55" i="1"/>
  <c r="BR48" i="1"/>
  <c r="BR44" i="1"/>
  <c r="BN38" i="1"/>
  <c r="BN54" i="1" s="1"/>
  <c r="BR65" i="1"/>
  <c r="BK58" i="1"/>
  <c r="BS10" i="1"/>
  <c r="BU83" i="1"/>
  <c r="BU82" i="1"/>
  <c r="BU84" i="1"/>
  <c r="BS28" i="1"/>
  <c r="BQ23" i="1"/>
  <c r="BQ24" i="1" s="1"/>
  <c r="BU144" i="1"/>
  <c r="BU94" i="1" s="1"/>
  <c r="BV4" i="1"/>
  <c r="BS19" i="1"/>
  <c r="BR22" i="1"/>
  <c r="BR35" i="1"/>
  <c r="BT156" i="1"/>
  <c r="BT5" i="1"/>
  <c r="BT97" i="1"/>
  <c r="BT98" i="1"/>
  <c r="BT9" i="1"/>
  <c r="BT157" i="1"/>
  <c r="BT100" i="1" s="1"/>
  <c r="BU6" i="1"/>
  <c r="BT148" i="1"/>
  <c r="BT96" i="1" s="1"/>
  <c r="BT15" i="1"/>
  <c r="BT11" i="1"/>
  <c r="BT12" i="1" s="1"/>
  <c r="BT13" i="1"/>
  <c r="BO36" i="1"/>
  <c r="BO38" i="1" s="1"/>
  <c r="BT14" i="1" l="1"/>
  <c r="BT46" i="1" s="1"/>
  <c r="BT16" i="1"/>
  <c r="BS47" i="1"/>
  <c r="BP33" i="1"/>
  <c r="BS64" i="1"/>
  <c r="BS65" i="1" s="1"/>
  <c r="BP34" i="1"/>
  <c r="BS45" i="1"/>
  <c r="BR49" i="1"/>
  <c r="BS42" i="1"/>
  <c r="BN56" i="1"/>
  <c r="BS55" i="1"/>
  <c r="BS43" i="1"/>
  <c r="BS48" i="1"/>
  <c r="BS46" i="1"/>
  <c r="BS53" i="1"/>
  <c r="BS27" i="1" s="1"/>
  <c r="BS30" i="1" s="1"/>
  <c r="BS44" i="1"/>
  <c r="BK59" i="1"/>
  <c r="BK61" i="1"/>
  <c r="BT10" i="1"/>
  <c r="BV83" i="1"/>
  <c r="BV84" i="1"/>
  <c r="BV82" i="1"/>
  <c r="BT45" i="1"/>
  <c r="BT64" i="1"/>
  <c r="BT65" i="1" s="1"/>
  <c r="BT52" i="1"/>
  <c r="BT42" i="1"/>
  <c r="BQ34" i="1"/>
  <c r="BQ32" i="1"/>
  <c r="BQ33" i="1"/>
  <c r="BT28" i="1"/>
  <c r="BT29" i="1"/>
  <c r="BO54" i="1"/>
  <c r="BO56" i="1" s="1"/>
  <c r="BU148" i="1"/>
  <c r="BU96" i="1" s="1"/>
  <c r="BU156" i="1"/>
  <c r="BU97" i="1"/>
  <c r="BU98" i="1"/>
  <c r="BU15" i="1"/>
  <c r="BU9" i="1"/>
  <c r="BU157" i="1"/>
  <c r="BU100" i="1" s="1"/>
  <c r="BV6" i="1"/>
  <c r="BU11" i="1"/>
  <c r="BU12" i="1" s="1"/>
  <c r="BU13" i="1"/>
  <c r="BU14" i="1" s="1"/>
  <c r="BU5" i="1"/>
  <c r="BR23" i="1"/>
  <c r="BT19" i="1"/>
  <c r="BS22" i="1"/>
  <c r="BS35" i="1"/>
  <c r="BV144" i="1"/>
  <c r="BV94" i="1" s="1"/>
  <c r="BW4" i="1"/>
  <c r="BT53" i="1" l="1"/>
  <c r="BT27" i="1" s="1"/>
  <c r="BT47" i="1"/>
  <c r="BT48" i="1"/>
  <c r="BP36" i="1"/>
  <c r="BP38" i="1" s="1"/>
  <c r="BP54" i="1" s="1"/>
  <c r="BP56" i="1" s="1"/>
  <c r="BP58" i="1" s="1"/>
  <c r="BP59" i="1" s="1"/>
  <c r="BT44" i="1"/>
  <c r="BT55" i="1"/>
  <c r="BT43" i="1"/>
  <c r="BS49" i="1"/>
  <c r="BU10" i="1"/>
  <c r="BN58" i="1"/>
  <c r="BO58" i="1"/>
  <c r="BO61" i="1" s="1"/>
  <c r="BR24" i="1"/>
  <c r="BR34" i="1" s="1"/>
  <c r="BU16" i="1"/>
  <c r="BW83" i="1"/>
  <c r="BW82" i="1"/>
  <c r="BW84" i="1"/>
  <c r="BU48" i="1"/>
  <c r="BU42" i="1"/>
  <c r="BU52" i="1"/>
  <c r="BU43" i="1"/>
  <c r="BU55" i="1"/>
  <c r="BU46" i="1"/>
  <c r="BU45" i="1"/>
  <c r="BU44" i="1"/>
  <c r="BU64" i="1"/>
  <c r="BU65" i="1" s="1"/>
  <c r="BU53" i="1"/>
  <c r="BU27" i="1" s="1"/>
  <c r="BU47" i="1"/>
  <c r="BU28" i="1"/>
  <c r="BU29" i="1"/>
  <c r="BW144" i="1"/>
  <c r="BX4" i="1"/>
  <c r="BQ36" i="1"/>
  <c r="BS23" i="1"/>
  <c r="BS24" i="1" s="1"/>
  <c r="BU19" i="1"/>
  <c r="BT22" i="1"/>
  <c r="BT35" i="1"/>
  <c r="BT30" i="1"/>
  <c r="BV157" i="1"/>
  <c r="BV100" i="1" s="1"/>
  <c r="BV156" i="1"/>
  <c r="BV15" i="1"/>
  <c r="BV11" i="1"/>
  <c r="BW6" i="1"/>
  <c r="BV13" i="1"/>
  <c r="BV14" i="1" s="1"/>
  <c r="BV5" i="1"/>
  <c r="BV9" i="1"/>
  <c r="BT49" i="1" l="1"/>
  <c r="BV10" i="1"/>
  <c r="BW94" i="1"/>
  <c r="BR33" i="1"/>
  <c r="BV16" i="1"/>
  <c r="BQ38" i="1"/>
  <c r="BQ54" i="1" s="1"/>
  <c r="BR32" i="1"/>
  <c r="BR36" i="1" s="1"/>
  <c r="BN59" i="1"/>
  <c r="BN61" i="1"/>
  <c r="BO59" i="1"/>
  <c r="BV12" i="1"/>
  <c r="BV29" i="1" s="1"/>
  <c r="BX84" i="1"/>
  <c r="BX82" i="1"/>
  <c r="BX83" i="1"/>
  <c r="BV52" i="1"/>
  <c r="BV46" i="1"/>
  <c r="BV53" i="1"/>
  <c r="BV27" i="1" s="1"/>
  <c r="BV48" i="1"/>
  <c r="BV42" i="1"/>
  <c r="BV45" i="1"/>
  <c r="BV55" i="1"/>
  <c r="BV44" i="1"/>
  <c r="BV64" i="1"/>
  <c r="BV65" i="1" s="1"/>
  <c r="BV47" i="1"/>
  <c r="BV43" i="1"/>
  <c r="BS33" i="1"/>
  <c r="BS32" i="1"/>
  <c r="BS34" i="1"/>
  <c r="BW157" i="1"/>
  <c r="BW11" i="1"/>
  <c r="BW13" i="1"/>
  <c r="BW9" i="1"/>
  <c r="BW10" i="1" s="1"/>
  <c r="BW15" i="1"/>
  <c r="BW5" i="1"/>
  <c r="BX6" i="1"/>
  <c r="BW98" i="1"/>
  <c r="BP61" i="1"/>
  <c r="BT23" i="1"/>
  <c r="BT24" i="1" s="1"/>
  <c r="BV28" i="1"/>
  <c r="BU22" i="1"/>
  <c r="BV19" i="1"/>
  <c r="BU35" i="1"/>
  <c r="BX144" i="1"/>
  <c r="BX94" i="1" s="1"/>
  <c r="BY4" i="1"/>
  <c r="BU30" i="1"/>
  <c r="BU49" i="1"/>
  <c r="BW12" i="1" l="1"/>
  <c r="BW100" i="1"/>
  <c r="BQ56" i="1"/>
  <c r="BW14" i="1"/>
  <c r="BW42" i="1" s="1"/>
  <c r="BR38" i="1"/>
  <c r="BW16" i="1"/>
  <c r="BY84" i="1"/>
  <c r="BY82" i="1"/>
  <c r="BY83" i="1"/>
  <c r="BT34" i="1"/>
  <c r="BT32" i="1"/>
  <c r="BT33" i="1"/>
  <c r="BV22" i="1"/>
  <c r="BW19" i="1"/>
  <c r="BV35" i="1"/>
  <c r="BV49" i="1"/>
  <c r="BV30" i="1"/>
  <c r="BX157" i="1"/>
  <c r="BX100" i="1" s="1"/>
  <c r="BX148" i="1"/>
  <c r="BX96" i="1" s="1"/>
  <c r="BX97" i="1"/>
  <c r="BX13" i="1"/>
  <c r="BX9" i="1"/>
  <c r="BX15" i="1"/>
  <c r="BX5" i="1"/>
  <c r="BX98" i="1"/>
  <c r="BY6" i="1"/>
  <c r="BX11" i="1"/>
  <c r="BX12" i="1" s="1"/>
  <c r="BS36" i="1"/>
  <c r="BS38" i="1" s="1"/>
  <c r="BY144" i="1"/>
  <c r="BY94" i="1" s="1"/>
  <c r="BZ4" i="1"/>
  <c r="BU23" i="1"/>
  <c r="BU24" i="1" s="1"/>
  <c r="BW29" i="1"/>
  <c r="BW28" i="1"/>
  <c r="BW44" i="1" l="1"/>
  <c r="BW43" i="1"/>
  <c r="BQ58" i="1"/>
  <c r="BW48" i="1"/>
  <c r="BX16" i="1"/>
  <c r="BR54" i="1"/>
  <c r="BW45" i="1"/>
  <c r="BW52" i="1"/>
  <c r="BW47" i="1"/>
  <c r="BW46" i="1"/>
  <c r="BW53" i="1"/>
  <c r="BW55" i="1"/>
  <c r="BW64" i="1"/>
  <c r="BX10" i="1"/>
  <c r="BX14" i="1"/>
  <c r="BX53" i="1" s="1"/>
  <c r="BX27" i="1" s="1"/>
  <c r="BZ84" i="1"/>
  <c r="BZ82" i="1"/>
  <c r="BZ83" i="1"/>
  <c r="BU34" i="1"/>
  <c r="BU32" i="1"/>
  <c r="BU33" i="1"/>
  <c r="BZ144" i="1"/>
  <c r="BZ94" i="1" s="1"/>
  <c r="CA4" i="1"/>
  <c r="BX29" i="1"/>
  <c r="BX28" i="1"/>
  <c r="BS54" i="1"/>
  <c r="BS56" i="1" s="1"/>
  <c r="BS58" i="1" s="1"/>
  <c r="BS59" i="1" s="1"/>
  <c r="BW22" i="1"/>
  <c r="BX19" i="1"/>
  <c r="BW35" i="1"/>
  <c r="BT36" i="1"/>
  <c r="BT38" i="1" s="1"/>
  <c r="BV23" i="1"/>
  <c r="BV24" i="1" s="1"/>
  <c r="BY157" i="1"/>
  <c r="BY100" i="1" s="1"/>
  <c r="BY148" i="1"/>
  <c r="BY96" i="1" s="1"/>
  <c r="BY98" i="1"/>
  <c r="BZ6" i="1"/>
  <c r="BY15" i="1"/>
  <c r="BY5" i="1"/>
  <c r="BY11" i="1"/>
  <c r="BY12" i="1" s="1"/>
  <c r="BY97" i="1"/>
  <c r="BY9" i="1"/>
  <c r="BY13" i="1"/>
  <c r="BX55" i="1" l="1"/>
  <c r="BX42" i="1"/>
  <c r="BX47" i="1"/>
  <c r="BX64" i="1"/>
  <c r="BX65" i="1" s="1"/>
  <c r="BY14" i="1"/>
  <c r="BY47" i="1" s="1"/>
  <c r="BX44" i="1"/>
  <c r="BY10" i="1"/>
  <c r="BX48" i="1"/>
  <c r="BX46" i="1"/>
  <c r="BX52" i="1"/>
  <c r="BQ59" i="1"/>
  <c r="BQ61" i="1"/>
  <c r="BX43" i="1"/>
  <c r="BW49" i="1"/>
  <c r="BX45" i="1"/>
  <c r="BW65" i="1"/>
  <c r="BY16" i="1"/>
  <c r="BR56" i="1"/>
  <c r="BW27" i="1"/>
  <c r="CA82" i="1"/>
  <c r="CA83" i="1"/>
  <c r="CA84" i="1"/>
  <c r="BS61" i="1"/>
  <c r="BT54" i="1"/>
  <c r="BT56" i="1" s="1"/>
  <c r="BT58" i="1" s="1"/>
  <c r="BT59" i="1" s="1"/>
  <c r="BY29" i="1"/>
  <c r="BY28" i="1"/>
  <c r="BX30" i="1"/>
  <c r="BY19" i="1"/>
  <c r="BX22" i="1"/>
  <c r="BX35" i="1"/>
  <c r="CB4" i="1"/>
  <c r="CA144" i="1"/>
  <c r="CA94" i="1" s="1"/>
  <c r="BU36" i="1"/>
  <c r="BU38" i="1" s="1"/>
  <c r="BW23" i="1"/>
  <c r="BV34" i="1"/>
  <c r="BV32" i="1"/>
  <c r="BV33" i="1"/>
  <c r="BZ157" i="1"/>
  <c r="BZ100" i="1" s="1"/>
  <c r="BZ148" i="1"/>
  <c r="BZ96" i="1" s="1"/>
  <c r="BZ98" i="1"/>
  <c r="CA6" i="1"/>
  <c r="BZ11" i="1"/>
  <c r="BZ12" i="1" s="1"/>
  <c r="BZ97" i="1"/>
  <c r="BZ13" i="1"/>
  <c r="BZ5" i="1"/>
  <c r="BZ9" i="1"/>
  <c r="BZ15" i="1"/>
  <c r="BY44" i="1" l="1"/>
  <c r="BY46" i="1"/>
  <c r="BY42" i="1"/>
  <c r="BY45" i="1"/>
  <c r="BY48" i="1"/>
  <c r="BY64" i="1"/>
  <c r="BY65" i="1" s="1"/>
  <c r="BY43" i="1"/>
  <c r="BY53" i="1"/>
  <c r="BY27" i="1" s="1"/>
  <c r="BY30" i="1" s="1"/>
  <c r="BY52" i="1"/>
  <c r="BY55" i="1"/>
  <c r="BX49" i="1"/>
  <c r="BZ10" i="1"/>
  <c r="BZ14" i="1"/>
  <c r="BZ48" i="1" s="1"/>
  <c r="BZ16" i="1"/>
  <c r="BW24" i="1"/>
  <c r="BW30" i="1"/>
  <c r="BR58" i="1"/>
  <c r="CB82" i="1"/>
  <c r="CB84" i="1"/>
  <c r="CB83" i="1"/>
  <c r="BT61" i="1"/>
  <c r="BZ28" i="1"/>
  <c r="BZ29" i="1"/>
  <c r="BZ19" i="1"/>
  <c r="BY22" i="1"/>
  <c r="BY35" i="1"/>
  <c r="CA157" i="1"/>
  <c r="CA100" i="1" s="1"/>
  <c r="CA5" i="1"/>
  <c r="CA148" i="1"/>
  <c r="CA96" i="1" s="1"/>
  <c r="CA11" i="1"/>
  <c r="CA12" i="1" s="1"/>
  <c r="CA97" i="1"/>
  <c r="CA13" i="1"/>
  <c r="CA98" i="1"/>
  <c r="CA9" i="1"/>
  <c r="CB6" i="1"/>
  <c r="CA15" i="1"/>
  <c r="BU54" i="1"/>
  <c r="CB144" i="1"/>
  <c r="CB94" i="1" s="1"/>
  <c r="CC4" i="1"/>
  <c r="BV36" i="1"/>
  <c r="BV38" i="1" s="1"/>
  <c r="BX23" i="1"/>
  <c r="BX24" i="1" s="1"/>
  <c r="BY49" i="1" l="1"/>
  <c r="CA16" i="1"/>
  <c r="BZ45" i="1"/>
  <c r="CA14" i="1"/>
  <c r="CA53" i="1" s="1"/>
  <c r="BZ46" i="1"/>
  <c r="BZ47" i="1"/>
  <c r="BZ52" i="1"/>
  <c r="BZ64" i="1"/>
  <c r="BZ65" i="1" s="1"/>
  <c r="BZ43" i="1"/>
  <c r="BZ55" i="1"/>
  <c r="BZ42" i="1"/>
  <c r="CA10" i="1"/>
  <c r="BZ53" i="1"/>
  <c r="BZ27" i="1" s="1"/>
  <c r="BZ44" i="1"/>
  <c r="BW32" i="1"/>
  <c r="BW34" i="1"/>
  <c r="BW33" i="1"/>
  <c r="BR59" i="1"/>
  <c r="BR61" i="1"/>
  <c r="BU56" i="1"/>
  <c r="CC83" i="1"/>
  <c r="CC82" i="1"/>
  <c r="CC84" i="1"/>
  <c r="BZ30" i="1"/>
  <c r="BX33" i="1"/>
  <c r="BX32" i="1"/>
  <c r="BX34" i="1"/>
  <c r="CA64" i="1"/>
  <c r="CA65" i="1" s="1"/>
  <c r="CA46" i="1"/>
  <c r="CA45" i="1"/>
  <c r="CA44" i="1"/>
  <c r="CA29" i="1"/>
  <c r="CA28" i="1"/>
  <c r="BV54" i="1"/>
  <c r="BV56" i="1" s="1"/>
  <c r="BV58" i="1" s="1"/>
  <c r="BV59" i="1" s="1"/>
  <c r="BY23" i="1"/>
  <c r="BY24" i="1" s="1"/>
  <c r="CA19" i="1"/>
  <c r="BZ22" i="1"/>
  <c r="BZ35" i="1"/>
  <c r="CB157" i="1"/>
  <c r="CB100" i="1" s="1"/>
  <c r="CB148" i="1"/>
  <c r="CB96" i="1" s="1"/>
  <c r="CB5" i="1"/>
  <c r="CB97" i="1"/>
  <c r="CB13" i="1"/>
  <c r="CB98" i="1"/>
  <c r="CB9" i="1"/>
  <c r="CC6" i="1"/>
  <c r="CB15" i="1"/>
  <c r="CB16" i="1" s="1"/>
  <c r="CB11" i="1"/>
  <c r="CB12" i="1" s="1"/>
  <c r="CC144" i="1"/>
  <c r="CC94" i="1" s="1"/>
  <c r="CD4" i="1"/>
  <c r="CA48" i="1" l="1"/>
  <c r="CA55" i="1"/>
  <c r="CA52" i="1"/>
  <c r="CA43" i="1"/>
  <c r="CA42" i="1"/>
  <c r="CA47" i="1"/>
  <c r="CA49" i="1" s="1"/>
  <c r="CB14" i="1"/>
  <c r="CB53" i="1" s="1"/>
  <c r="CB27" i="1" s="1"/>
  <c r="BZ49" i="1"/>
  <c r="CB10" i="1"/>
  <c r="CA27" i="1"/>
  <c r="CA30" i="1" s="1"/>
  <c r="BW36" i="1"/>
  <c r="BU58" i="1"/>
  <c r="BV61" i="1"/>
  <c r="CD83" i="1"/>
  <c r="CD84" i="1"/>
  <c r="CD82" i="1"/>
  <c r="CB28" i="1"/>
  <c r="CB29" i="1"/>
  <c r="CC148" i="1"/>
  <c r="CC96" i="1" s="1"/>
  <c r="CC157" i="1"/>
  <c r="CC100" i="1" s="1"/>
  <c r="CC15" i="1"/>
  <c r="CC16" i="1" s="1"/>
  <c r="CC98" i="1"/>
  <c r="CC9" i="1"/>
  <c r="CC5" i="1"/>
  <c r="CD6" i="1"/>
  <c r="CC97" i="1"/>
  <c r="CC11" i="1"/>
  <c r="CC12" i="1" s="1"/>
  <c r="CC13" i="1"/>
  <c r="BZ23" i="1"/>
  <c r="BZ24" i="1" s="1"/>
  <c r="CB19" i="1"/>
  <c r="CA22" i="1"/>
  <c r="CA35" i="1"/>
  <c r="BX36" i="1"/>
  <c r="BX38" i="1" s="1"/>
  <c r="CD144" i="1"/>
  <c r="CD94" i="1" s="1"/>
  <c r="CE4" i="1"/>
  <c r="BY34" i="1"/>
  <c r="BY32" i="1"/>
  <c r="BY33" i="1"/>
  <c r="CB46" i="1" l="1"/>
  <c r="CB52" i="1"/>
  <c r="CB55" i="1"/>
  <c r="CB45" i="1"/>
  <c r="CC14" i="1"/>
  <c r="CC47" i="1" s="1"/>
  <c r="CB48" i="1"/>
  <c r="CB43" i="1"/>
  <c r="CB44" i="1"/>
  <c r="CB49" i="1" s="1"/>
  <c r="CB42" i="1"/>
  <c r="CB64" i="1"/>
  <c r="CB65" i="1" s="1"/>
  <c r="CB47" i="1"/>
  <c r="CC10" i="1"/>
  <c r="BW38" i="1"/>
  <c r="BU59" i="1"/>
  <c r="BU61" i="1"/>
  <c r="CE83" i="1"/>
  <c r="CE84" i="1"/>
  <c r="CE82" i="1"/>
  <c r="CC28" i="1"/>
  <c r="CC29" i="1"/>
  <c r="CD157" i="1"/>
  <c r="CD100" i="1" s="1"/>
  <c r="CD148" i="1"/>
  <c r="CD96" i="1" s="1"/>
  <c r="CD98" i="1"/>
  <c r="CD15" i="1"/>
  <c r="CD11" i="1"/>
  <c r="CD97" i="1"/>
  <c r="CD9" i="1"/>
  <c r="CE6" i="1"/>
  <c r="CD13" i="1"/>
  <c r="CD5" i="1"/>
  <c r="BZ34" i="1"/>
  <c r="BZ33" i="1"/>
  <c r="BZ32" i="1"/>
  <c r="CE144" i="1"/>
  <c r="CE94" i="1" s="1"/>
  <c r="CF4" i="1"/>
  <c r="BX54" i="1"/>
  <c r="BX56" i="1" s="1"/>
  <c r="BX58" i="1" s="1"/>
  <c r="BX59" i="1" s="1"/>
  <c r="BY36" i="1"/>
  <c r="BY38" i="1" s="1"/>
  <c r="CB30" i="1"/>
  <c r="CC19" i="1"/>
  <c r="CB22" i="1"/>
  <c r="CB35" i="1"/>
  <c r="CA23" i="1"/>
  <c r="CA24" i="1" s="1"/>
  <c r="CC44" i="1" l="1"/>
  <c r="CC48" i="1"/>
  <c r="CC43" i="1"/>
  <c r="CC64" i="1"/>
  <c r="CC65" i="1" s="1"/>
  <c r="CC42" i="1"/>
  <c r="CC45" i="1"/>
  <c r="CC46" i="1"/>
  <c r="CC53" i="1"/>
  <c r="CC27" i="1" s="1"/>
  <c r="CC30" i="1" s="1"/>
  <c r="CC55" i="1"/>
  <c r="CC52" i="1"/>
  <c r="BW54" i="1"/>
  <c r="CD14" i="1"/>
  <c r="CD43" i="1" s="1"/>
  <c r="CD10" i="1"/>
  <c r="CD12" i="1"/>
  <c r="CD29" i="1" s="1"/>
  <c r="CD16" i="1"/>
  <c r="CF84" i="1"/>
  <c r="CF83" i="1"/>
  <c r="CF82" i="1"/>
  <c r="BZ36" i="1"/>
  <c r="BZ38" i="1" s="1"/>
  <c r="BZ54" i="1" s="1"/>
  <c r="BZ56" i="1" s="1"/>
  <c r="BZ58" i="1" s="1"/>
  <c r="BZ59" i="1" s="1"/>
  <c r="CA32" i="1"/>
  <c r="CA33" i="1"/>
  <c r="CA34" i="1"/>
  <c r="CB23" i="1"/>
  <c r="BY54" i="1"/>
  <c r="BY56" i="1" s="1"/>
  <c r="BY58" i="1" s="1"/>
  <c r="BY59" i="1" s="1"/>
  <c r="CC22" i="1"/>
  <c r="CD19" i="1"/>
  <c r="CC35" i="1"/>
  <c r="BX61" i="1"/>
  <c r="CE157" i="1"/>
  <c r="CE100" i="1" s="1"/>
  <c r="CE97" i="1"/>
  <c r="CE11" i="1"/>
  <c r="CE13" i="1"/>
  <c r="CE9" i="1"/>
  <c r="CE98" i="1"/>
  <c r="CF6" i="1"/>
  <c r="CE15" i="1"/>
  <c r="CE5" i="1"/>
  <c r="CE148" i="1"/>
  <c r="CE96" i="1" s="1"/>
  <c r="CF144" i="1"/>
  <c r="CF94" i="1" s="1"/>
  <c r="CG4" i="1"/>
  <c r="CC49" i="1" l="1"/>
  <c r="CE14" i="1"/>
  <c r="CE64" i="1" s="1"/>
  <c r="CE65" i="1" s="1"/>
  <c r="CD48" i="1"/>
  <c r="CD64" i="1"/>
  <c r="CD65" i="1" s="1"/>
  <c r="CD42" i="1"/>
  <c r="CD53" i="1"/>
  <c r="CD27" i="1" s="1"/>
  <c r="CD46" i="1"/>
  <c r="CD52" i="1"/>
  <c r="CD44" i="1"/>
  <c r="CD45" i="1"/>
  <c r="CD55" i="1"/>
  <c r="CD47" i="1"/>
  <c r="CE16" i="1"/>
  <c r="CE10" i="1"/>
  <c r="CB24" i="1"/>
  <c r="CB33" i="1" s="1"/>
  <c r="BW56" i="1"/>
  <c r="CD28" i="1"/>
  <c r="CE12" i="1"/>
  <c r="CE29" i="1" s="1"/>
  <c r="CG84" i="1"/>
  <c r="CG83" i="1"/>
  <c r="CG82" i="1"/>
  <c r="CC23" i="1"/>
  <c r="CC24" i="1" s="1"/>
  <c r="CE53" i="1"/>
  <c r="CE27" i="1" s="1"/>
  <c r="CE48" i="1"/>
  <c r="CE55" i="1"/>
  <c r="CE44" i="1"/>
  <c r="CE46" i="1"/>
  <c r="BY61" i="1"/>
  <c r="CD22" i="1"/>
  <c r="CE19" i="1"/>
  <c r="CD35" i="1"/>
  <c r="CF97" i="1"/>
  <c r="CF157" i="1"/>
  <c r="CF100" i="1" s="1"/>
  <c r="CF13" i="1"/>
  <c r="CF14" i="1" s="1"/>
  <c r="CF9" i="1"/>
  <c r="CF98" i="1"/>
  <c r="CG6" i="1"/>
  <c r="CF11" i="1"/>
  <c r="CF15" i="1"/>
  <c r="CF5" i="1"/>
  <c r="CF148" i="1"/>
  <c r="CF96" i="1" s="1"/>
  <c r="BZ61" i="1"/>
  <c r="CG144" i="1"/>
  <c r="CG94" i="1" s="1"/>
  <c r="CH4" i="1"/>
  <c r="CA36" i="1"/>
  <c r="CE52" i="1" l="1"/>
  <c r="CE43" i="1"/>
  <c r="CE45" i="1"/>
  <c r="CE47" i="1"/>
  <c r="CE42" i="1"/>
  <c r="CD49" i="1"/>
  <c r="CF16" i="1"/>
  <c r="CB34" i="1"/>
  <c r="CB32" i="1"/>
  <c r="CE28" i="1"/>
  <c r="CE30" i="1" s="1"/>
  <c r="BW58" i="1"/>
  <c r="CA38" i="1"/>
  <c r="CA54" i="1" s="1"/>
  <c r="CF12" i="1"/>
  <c r="CF28" i="1" s="1"/>
  <c r="CD30" i="1"/>
  <c r="CF10" i="1"/>
  <c r="CH84" i="1"/>
  <c r="CH82" i="1"/>
  <c r="CH83" i="1"/>
  <c r="CC32" i="1"/>
  <c r="CC33" i="1"/>
  <c r="CC34" i="1"/>
  <c r="CG97" i="1"/>
  <c r="CG148" i="1"/>
  <c r="CG96" i="1" s="1"/>
  <c r="CG98" i="1"/>
  <c r="CH6" i="1"/>
  <c r="CG157" i="1"/>
  <c r="CG100" i="1" s="1"/>
  <c r="CG9" i="1"/>
  <c r="CG15" i="1"/>
  <c r="CG5" i="1"/>
  <c r="CG11" i="1"/>
  <c r="CG13" i="1"/>
  <c r="CG14" i="1" s="1"/>
  <c r="CE22" i="1"/>
  <c r="CF19" i="1"/>
  <c r="CE35" i="1"/>
  <c r="CD23" i="1"/>
  <c r="CH144" i="1"/>
  <c r="CH94" i="1" s="1"/>
  <c r="CI4" i="1"/>
  <c r="CF48" i="1"/>
  <c r="CF64" i="1"/>
  <c r="CF45" i="1"/>
  <c r="CF44" i="1"/>
  <c r="CF43" i="1"/>
  <c r="CF52" i="1"/>
  <c r="CF55" i="1"/>
  <c r="CF47" i="1"/>
  <c r="CF42" i="1"/>
  <c r="CF53" i="1"/>
  <c r="CF27" i="1" s="1"/>
  <c r="CF46" i="1"/>
  <c r="CE49" i="1" l="1"/>
  <c r="CG16" i="1"/>
  <c r="CB36" i="1"/>
  <c r="CB38" i="1" s="1"/>
  <c r="CB54" i="1" s="1"/>
  <c r="CB56" i="1" s="1"/>
  <c r="CB58" i="1" s="1"/>
  <c r="CB59" i="1" s="1"/>
  <c r="CG10" i="1"/>
  <c r="BW59" i="1"/>
  <c r="BW61" i="1"/>
  <c r="CA56" i="1"/>
  <c r="CG12" i="1"/>
  <c r="CG28" i="1" s="1"/>
  <c r="CF29" i="1"/>
  <c r="CF65" i="1"/>
  <c r="CD24" i="1"/>
  <c r="CD32" i="1" s="1"/>
  <c r="CI82" i="1"/>
  <c r="CI84" i="1"/>
  <c r="CI83" i="1"/>
  <c r="CG44" i="1"/>
  <c r="CG55" i="1"/>
  <c r="CG43" i="1"/>
  <c r="CG52" i="1"/>
  <c r="CG64" i="1"/>
  <c r="CG65" i="1" s="1"/>
  <c r="CG48" i="1"/>
  <c r="CG47" i="1"/>
  <c r="CG42" i="1"/>
  <c r="CG53" i="1"/>
  <c r="CG27" i="1" s="1"/>
  <c r="CG46" i="1"/>
  <c r="CG45" i="1"/>
  <c r="CE23" i="1"/>
  <c r="CE24" i="1" s="1"/>
  <c r="CI144" i="1"/>
  <c r="CJ4" i="1"/>
  <c r="CG19" i="1"/>
  <c r="CF22" i="1"/>
  <c r="CF35" i="1"/>
  <c r="CF49" i="1"/>
  <c r="CH157" i="1"/>
  <c r="CH100" i="1" s="1"/>
  <c r="CI6" i="1"/>
  <c r="CH15" i="1"/>
  <c r="CH5" i="1"/>
  <c r="CH9" i="1"/>
  <c r="CH10" i="1" s="1"/>
  <c r="CH11" i="1"/>
  <c r="CH13" i="1"/>
  <c r="CH14" i="1" s="1"/>
  <c r="CC36" i="1"/>
  <c r="CC38" i="1" s="1"/>
  <c r="CD34" i="1" l="1"/>
  <c r="CD33" i="1"/>
  <c r="CI94" i="1"/>
  <c r="CF30" i="1"/>
  <c r="CH16" i="1"/>
  <c r="CG29" i="1"/>
  <c r="CG30" i="1" s="1"/>
  <c r="CA58" i="1"/>
  <c r="CH12" i="1"/>
  <c r="CH28" i="1" s="1"/>
  <c r="CJ82" i="1"/>
  <c r="CJ83" i="1"/>
  <c r="CJ84" i="1"/>
  <c r="CH55" i="1"/>
  <c r="CH44" i="1"/>
  <c r="CH53" i="1"/>
  <c r="CH27" i="1" s="1"/>
  <c r="CH47" i="1"/>
  <c r="CH48" i="1"/>
  <c r="CH43" i="1"/>
  <c r="CH42" i="1"/>
  <c r="CH52" i="1"/>
  <c r="CH46" i="1"/>
  <c r="CH45" i="1"/>
  <c r="CH64" i="1"/>
  <c r="CH65" i="1" s="1"/>
  <c r="CE33" i="1"/>
  <c r="CE32" i="1"/>
  <c r="CE34" i="1"/>
  <c r="CK4" i="1"/>
  <c r="CJ144" i="1"/>
  <c r="CJ94" i="1" s="1"/>
  <c r="CI157" i="1"/>
  <c r="CI147" i="1"/>
  <c r="CI148" i="1"/>
  <c r="CI98" i="1"/>
  <c r="CI97" i="1"/>
  <c r="CI5" i="1"/>
  <c r="CI15" i="1"/>
  <c r="CI11" i="1"/>
  <c r="CJ6" i="1"/>
  <c r="CI13" i="1"/>
  <c r="CI14" i="1" s="1"/>
  <c r="CI9" i="1"/>
  <c r="CF23" i="1"/>
  <c r="CB61" i="1"/>
  <c r="CH19" i="1"/>
  <c r="CG22" i="1"/>
  <c r="CG35" i="1"/>
  <c r="CC54" i="1"/>
  <c r="CC56" i="1" s="1"/>
  <c r="CC58" i="1" s="1"/>
  <c r="CC59" i="1" s="1"/>
  <c r="CG49" i="1"/>
  <c r="CI100" i="1" l="1"/>
  <c r="CD36" i="1"/>
  <c r="CD38" i="1" s="1"/>
  <c r="CI96" i="1"/>
  <c r="CI12" i="1"/>
  <c r="CI29" i="1" s="1"/>
  <c r="CA59" i="1"/>
  <c r="CA61" i="1"/>
  <c r="CF24" i="1"/>
  <c r="CF33" i="1" s="1"/>
  <c r="CI10" i="1"/>
  <c r="CH29" i="1"/>
  <c r="CH30" i="1" s="1"/>
  <c r="CI16" i="1"/>
  <c r="CK83" i="1"/>
  <c r="CK84" i="1"/>
  <c r="CK82" i="1"/>
  <c r="CH49" i="1"/>
  <c r="CG23" i="1"/>
  <c r="CG24" i="1" s="1"/>
  <c r="CI64" i="1"/>
  <c r="CI53" i="1"/>
  <c r="CI47" i="1"/>
  <c r="CI55" i="1"/>
  <c r="CI52" i="1"/>
  <c r="CI46" i="1"/>
  <c r="CI45" i="1"/>
  <c r="CI44" i="1"/>
  <c r="CI48" i="1"/>
  <c r="CI43" i="1"/>
  <c r="CI42" i="1"/>
  <c r="CE36" i="1"/>
  <c r="CE38" i="1" s="1"/>
  <c r="CK144" i="1"/>
  <c r="CK94" i="1" s="1"/>
  <c r="CL4" i="1"/>
  <c r="CH22" i="1"/>
  <c r="CI19" i="1"/>
  <c r="CH35" i="1"/>
  <c r="CJ147" i="1"/>
  <c r="CJ148" i="1"/>
  <c r="CJ96" i="1" s="1"/>
  <c r="CJ5" i="1"/>
  <c r="CJ11" i="1"/>
  <c r="CJ13" i="1"/>
  <c r="CJ14" i="1" s="1"/>
  <c r="CJ15" i="1"/>
  <c r="CJ97" i="1"/>
  <c r="CJ157" i="1"/>
  <c r="CJ100" i="1" s="1"/>
  <c r="CJ98" i="1"/>
  <c r="CJ9" i="1"/>
  <c r="CK6" i="1"/>
  <c r="CC61" i="1"/>
  <c r="CJ10" i="1" l="1"/>
  <c r="CI65" i="1"/>
  <c r="CF34" i="1"/>
  <c r="CF32" i="1"/>
  <c r="CD54" i="1"/>
  <c r="CD56" i="1" s="1"/>
  <c r="CI27" i="1"/>
  <c r="CI28" i="1"/>
  <c r="CJ12" i="1"/>
  <c r="CJ28" i="1" s="1"/>
  <c r="CJ16" i="1"/>
  <c r="CL83" i="1"/>
  <c r="CL82" i="1"/>
  <c r="CL84" i="1"/>
  <c r="CG34" i="1"/>
  <c r="CG32" i="1"/>
  <c r="CG33" i="1"/>
  <c r="CJ64" i="1"/>
  <c r="CJ65" i="1" s="1"/>
  <c r="CJ45" i="1"/>
  <c r="CJ55" i="1"/>
  <c r="CJ48" i="1"/>
  <c r="CJ46" i="1"/>
  <c r="CJ44" i="1"/>
  <c r="CJ42" i="1"/>
  <c r="CJ52" i="1"/>
  <c r="CJ47" i="1"/>
  <c r="CJ53" i="1"/>
  <c r="CJ27" i="1" s="1"/>
  <c r="CJ43" i="1"/>
  <c r="CI22" i="1"/>
  <c r="CJ19" i="1"/>
  <c r="CI35" i="1"/>
  <c r="CH23" i="1"/>
  <c r="CH24" i="1" s="1"/>
  <c r="CE54" i="1"/>
  <c r="CE56" i="1" s="1"/>
  <c r="CE58" i="1" s="1"/>
  <c r="CE59" i="1" s="1"/>
  <c r="CL144" i="1"/>
  <c r="CL94" i="1" s="1"/>
  <c r="CM4" i="1"/>
  <c r="CK157" i="1"/>
  <c r="CK148" i="1"/>
  <c r="CK147" i="1"/>
  <c r="CK15" i="1"/>
  <c r="CK11" i="1"/>
  <c r="CK5" i="1"/>
  <c r="CK13" i="1"/>
  <c r="CK14" i="1" s="1"/>
  <c r="CK97" i="1"/>
  <c r="CK98" i="1"/>
  <c r="CK9" i="1"/>
  <c r="CL6" i="1"/>
  <c r="CI49" i="1"/>
  <c r="CF36" i="1" l="1"/>
  <c r="CF38" i="1" s="1"/>
  <c r="CF54" i="1" s="1"/>
  <c r="CF56" i="1" s="1"/>
  <c r="CF58" i="1" s="1"/>
  <c r="CF59" i="1" s="1"/>
  <c r="CK100" i="1"/>
  <c r="CK12" i="1"/>
  <c r="CK28" i="1" s="1"/>
  <c r="CK96" i="1"/>
  <c r="CI30" i="1"/>
  <c r="CJ29" i="1"/>
  <c r="CJ30" i="1" s="1"/>
  <c r="CK10" i="1"/>
  <c r="CD58" i="1"/>
  <c r="CK16" i="1"/>
  <c r="CM83" i="1"/>
  <c r="CM84" i="1"/>
  <c r="CM82" i="1"/>
  <c r="CE61" i="1"/>
  <c r="CJ49" i="1"/>
  <c r="CK55" i="1"/>
  <c r="CK52" i="1"/>
  <c r="CK46" i="1"/>
  <c r="CK42" i="1"/>
  <c r="CK48" i="1"/>
  <c r="CK44" i="1"/>
  <c r="CK47" i="1"/>
  <c r="CK45" i="1"/>
  <c r="CK53" i="1"/>
  <c r="CK27" i="1" s="1"/>
  <c r="CK43" i="1"/>
  <c r="CK64" i="1"/>
  <c r="CK65" i="1" s="1"/>
  <c r="CH34" i="1"/>
  <c r="CH33" i="1"/>
  <c r="CH32" i="1"/>
  <c r="CN4" i="1"/>
  <c r="CM144" i="1"/>
  <c r="CM94" i="1" s="1"/>
  <c r="CK19" i="1"/>
  <c r="CJ22" i="1"/>
  <c r="CJ35" i="1"/>
  <c r="CL157" i="1"/>
  <c r="CL100" i="1" s="1"/>
  <c r="CL148" i="1"/>
  <c r="CL96" i="1" s="1"/>
  <c r="CL147" i="1"/>
  <c r="CL98" i="1"/>
  <c r="CL15" i="1"/>
  <c r="CL11" i="1"/>
  <c r="CL13" i="1"/>
  <c r="CL14" i="1" s="1"/>
  <c r="CL97" i="1"/>
  <c r="CL9" i="1"/>
  <c r="CL5" i="1"/>
  <c r="CM6" i="1"/>
  <c r="CI23" i="1"/>
  <c r="CF61" i="1"/>
  <c r="CG36" i="1"/>
  <c r="CG38" i="1" s="1"/>
  <c r="CL12" i="1" l="1"/>
  <c r="CL28" i="1" s="1"/>
  <c r="CL10" i="1"/>
  <c r="CK29" i="1"/>
  <c r="CK30" i="1" s="1"/>
  <c r="CL16" i="1"/>
  <c r="CI24" i="1"/>
  <c r="CD59" i="1"/>
  <c r="CD61" i="1"/>
  <c r="CN84" i="1"/>
  <c r="CN83" i="1"/>
  <c r="CN82" i="1"/>
  <c r="CL52" i="1"/>
  <c r="CL46" i="1"/>
  <c r="CL53" i="1"/>
  <c r="CL27" i="1" s="1"/>
  <c r="CL55" i="1"/>
  <c r="CL42" i="1"/>
  <c r="CL48" i="1"/>
  <c r="CL44" i="1"/>
  <c r="CL47" i="1"/>
  <c r="CL45" i="1"/>
  <c r="CL43" i="1"/>
  <c r="CL64" i="1"/>
  <c r="CL65" i="1" s="1"/>
  <c r="CK49" i="1"/>
  <c r="CM157" i="1"/>
  <c r="CM100" i="1" s="1"/>
  <c r="CM148" i="1"/>
  <c r="CM147" i="1"/>
  <c r="CM11" i="1"/>
  <c r="CM13" i="1"/>
  <c r="CM14" i="1" s="1"/>
  <c r="CM9" i="1"/>
  <c r="CM97" i="1"/>
  <c r="CM15" i="1"/>
  <c r="CM16" i="1" s="1"/>
  <c r="CM98" i="1"/>
  <c r="CM5" i="1"/>
  <c r="CN6" i="1"/>
  <c r="CG54" i="1"/>
  <c r="CK22" i="1"/>
  <c r="CL19" i="1"/>
  <c r="CK35" i="1"/>
  <c r="CN144" i="1"/>
  <c r="CO4" i="1"/>
  <c r="CJ23" i="1"/>
  <c r="CH36" i="1"/>
  <c r="CH38" i="1" s="1"/>
  <c r="CM10" i="1" l="1"/>
  <c r="CL29" i="1"/>
  <c r="CL30" i="1" s="1"/>
  <c r="CM12" i="1"/>
  <c r="CM29" i="1" s="1"/>
  <c r="CM96" i="1"/>
  <c r="CN94" i="1"/>
  <c r="CI33" i="1"/>
  <c r="CI32" i="1"/>
  <c r="CI34" i="1"/>
  <c r="CJ24" i="1"/>
  <c r="CJ34" i="1" s="1"/>
  <c r="CG56" i="1"/>
  <c r="CO84" i="1"/>
  <c r="CO83" i="1"/>
  <c r="CO82" i="1"/>
  <c r="CM64" i="1"/>
  <c r="CM65" i="1" s="1"/>
  <c r="CM53" i="1"/>
  <c r="CM27" i="1" s="1"/>
  <c r="CM47" i="1"/>
  <c r="CM52" i="1"/>
  <c r="CM46" i="1"/>
  <c r="CM48" i="1"/>
  <c r="CM45" i="1"/>
  <c r="CM42" i="1"/>
  <c r="CM43" i="1"/>
  <c r="CM55" i="1"/>
  <c r="CM44" i="1"/>
  <c r="CO144" i="1"/>
  <c r="CO94" i="1" s="1"/>
  <c r="CP4" i="1"/>
  <c r="CL22" i="1"/>
  <c r="CM19" i="1"/>
  <c r="CL35" i="1"/>
  <c r="CK23" i="1"/>
  <c r="CN147" i="1"/>
  <c r="CN97" i="1"/>
  <c r="CN13" i="1"/>
  <c r="CN14" i="1" s="1"/>
  <c r="CN9" i="1"/>
  <c r="CO6" i="1"/>
  <c r="CN148" i="1"/>
  <c r="CN96" i="1" s="1"/>
  <c r="CN15" i="1"/>
  <c r="CN16" i="1" s="1"/>
  <c r="CN11" i="1"/>
  <c r="CN12" i="1" s="1"/>
  <c r="CN98" i="1"/>
  <c r="CN5" i="1"/>
  <c r="CN157" i="1"/>
  <c r="CN100" i="1" s="1"/>
  <c r="CH54" i="1"/>
  <c r="CH56" i="1" s="1"/>
  <c r="CH58" i="1" s="1"/>
  <c r="CH59" i="1" s="1"/>
  <c r="CL49" i="1"/>
  <c r="CN10" i="1" l="1"/>
  <c r="CM28" i="1"/>
  <c r="CI36" i="1"/>
  <c r="CI38" i="1" s="1"/>
  <c r="CJ32" i="1"/>
  <c r="CJ33" i="1"/>
  <c r="CK24" i="1"/>
  <c r="CG58" i="1"/>
  <c r="CP84" i="1"/>
  <c r="CP83" i="1"/>
  <c r="CP82" i="1"/>
  <c r="CN29" i="1"/>
  <c r="CN28" i="1"/>
  <c r="CN48" i="1"/>
  <c r="CN45" i="1"/>
  <c r="CN43" i="1"/>
  <c r="CN47" i="1"/>
  <c r="CN42" i="1"/>
  <c r="CN46" i="1"/>
  <c r="CN64" i="1"/>
  <c r="CN53" i="1"/>
  <c r="CN27" i="1" s="1"/>
  <c r="CN55" i="1"/>
  <c r="CN44" i="1"/>
  <c r="CN52" i="1"/>
  <c r="CN19" i="1"/>
  <c r="CM22" i="1"/>
  <c r="CM35" i="1"/>
  <c r="CO157" i="1"/>
  <c r="CO100" i="1" s="1"/>
  <c r="CO147" i="1"/>
  <c r="CO97" i="1"/>
  <c r="CP6" i="1"/>
  <c r="CO148" i="1"/>
  <c r="CO96" i="1" s="1"/>
  <c r="CO9" i="1"/>
  <c r="CO10" i="1" s="1"/>
  <c r="CO98" i="1"/>
  <c r="CO11" i="1"/>
  <c r="CO12" i="1" s="1"/>
  <c r="CO13" i="1"/>
  <c r="CO14" i="1" s="1"/>
  <c r="CO5" i="1"/>
  <c r="CO15" i="1"/>
  <c r="CO16" i="1" s="1"/>
  <c r="CL23" i="1"/>
  <c r="CL24" i="1" s="1"/>
  <c r="CM30" i="1"/>
  <c r="CH61" i="1"/>
  <c r="CP144" i="1"/>
  <c r="CQ4" i="1"/>
  <c r="CM49" i="1"/>
  <c r="CJ36" i="1" l="1"/>
  <c r="CJ38" i="1" s="1"/>
  <c r="CJ54" i="1" s="1"/>
  <c r="CJ56" i="1" s="1"/>
  <c r="CJ58" i="1" s="1"/>
  <c r="CJ59" i="1" s="1"/>
  <c r="CK33" i="1"/>
  <c r="CK32" i="1"/>
  <c r="CI54" i="1"/>
  <c r="CN65" i="1"/>
  <c r="CK34" i="1"/>
  <c r="CG59" i="1"/>
  <c r="CG61" i="1"/>
  <c r="CP94" i="1"/>
  <c r="CQ82" i="1"/>
  <c r="CQ83" i="1"/>
  <c r="CQ84" i="1"/>
  <c r="CN30" i="1"/>
  <c r="CL33" i="1"/>
  <c r="CL34" i="1"/>
  <c r="CL32" i="1"/>
  <c r="CO44" i="1"/>
  <c r="CO55" i="1"/>
  <c r="CO48" i="1"/>
  <c r="CO45" i="1"/>
  <c r="CO43" i="1"/>
  <c r="CO46" i="1"/>
  <c r="CO64" i="1"/>
  <c r="CO65" i="1" s="1"/>
  <c r="CO53" i="1"/>
  <c r="CO27" i="1" s="1"/>
  <c r="CO52" i="1"/>
  <c r="CO42" i="1"/>
  <c r="CO47" i="1"/>
  <c r="CO28" i="1"/>
  <c r="CO29" i="1"/>
  <c r="CP97" i="1"/>
  <c r="CQ6" i="1"/>
  <c r="CP157" i="1"/>
  <c r="CP98" i="1"/>
  <c r="CP148" i="1"/>
  <c r="CP147" i="1"/>
  <c r="CP9" i="1"/>
  <c r="CP13" i="1"/>
  <c r="CP5" i="1"/>
  <c r="CP15" i="1"/>
  <c r="CP11" i="1"/>
  <c r="CM23" i="1"/>
  <c r="CO19" i="1"/>
  <c r="CN22" i="1"/>
  <c r="CN35" i="1"/>
  <c r="CQ144" i="1"/>
  <c r="CQ94" i="1" s="1"/>
  <c r="CR4" i="1"/>
  <c r="CN49" i="1"/>
  <c r="CJ61" i="1" l="1"/>
  <c r="CK36" i="1"/>
  <c r="CK38" i="1" s="1"/>
  <c r="CK54" i="1" s="1"/>
  <c r="CK56" i="1" s="1"/>
  <c r="CM24" i="1"/>
  <c r="CM34" i="1" s="1"/>
  <c r="CI56" i="1"/>
  <c r="CP96" i="1"/>
  <c r="CP100" i="1"/>
  <c r="CP10" i="1"/>
  <c r="CP16" i="1"/>
  <c r="CP12" i="1"/>
  <c r="CP28" i="1" s="1"/>
  <c r="CP14" i="1"/>
  <c r="CP46" i="1" s="1"/>
  <c r="CR82" i="1"/>
  <c r="CR83" i="1"/>
  <c r="CR84" i="1"/>
  <c r="CL36" i="1"/>
  <c r="CL38" i="1" s="1"/>
  <c r="CL54" i="1" s="1"/>
  <c r="CL56" i="1" s="1"/>
  <c r="CL58" i="1" s="1"/>
  <c r="CL59" i="1" s="1"/>
  <c r="CO49" i="1"/>
  <c r="CO30" i="1"/>
  <c r="CN23" i="1"/>
  <c r="CN24" i="1" s="1"/>
  <c r="CP19" i="1"/>
  <c r="CO22" i="1"/>
  <c r="CO35" i="1"/>
  <c r="CQ157" i="1"/>
  <c r="CQ100" i="1" s="1"/>
  <c r="CQ147" i="1"/>
  <c r="CQ98" i="1"/>
  <c r="CQ5" i="1"/>
  <c r="CQ148" i="1"/>
  <c r="CQ96" i="1" s="1"/>
  <c r="CQ9" i="1"/>
  <c r="CR6" i="1"/>
  <c r="CQ97" i="1"/>
  <c r="CQ15" i="1"/>
  <c r="CQ11" i="1"/>
  <c r="CQ13" i="1"/>
  <c r="CR144" i="1"/>
  <c r="CS4" i="1"/>
  <c r="CI58" i="1" l="1"/>
  <c r="CM33" i="1"/>
  <c r="CM32" i="1"/>
  <c r="CQ10" i="1"/>
  <c r="CR94" i="1"/>
  <c r="CP52" i="1"/>
  <c r="CK58" i="1"/>
  <c r="CP43" i="1"/>
  <c r="CQ16" i="1"/>
  <c r="CP29" i="1"/>
  <c r="CP48" i="1"/>
  <c r="CP64" i="1"/>
  <c r="CP65" i="1" s="1"/>
  <c r="CQ12" i="1"/>
  <c r="CQ28" i="1" s="1"/>
  <c r="CP53" i="1"/>
  <c r="CP47" i="1"/>
  <c r="CP44" i="1"/>
  <c r="CQ14" i="1"/>
  <c r="CQ43" i="1" s="1"/>
  <c r="CP42" i="1"/>
  <c r="CP55" i="1"/>
  <c r="CP45" i="1"/>
  <c r="CS83" i="1"/>
  <c r="CS82" i="1"/>
  <c r="CS84" i="1"/>
  <c r="CL61" i="1"/>
  <c r="CN33" i="1"/>
  <c r="CN34" i="1"/>
  <c r="CN32" i="1"/>
  <c r="CS144" i="1"/>
  <c r="CS94" i="1" s="1"/>
  <c r="CT4" i="1"/>
  <c r="CO23" i="1"/>
  <c r="CR157" i="1"/>
  <c r="CR100" i="1" s="1"/>
  <c r="CR147" i="1"/>
  <c r="CR148" i="1"/>
  <c r="CR96" i="1" s="1"/>
  <c r="CR98" i="1"/>
  <c r="CR5" i="1"/>
  <c r="CR97" i="1"/>
  <c r="CS6" i="1"/>
  <c r="CR15" i="1"/>
  <c r="CR9" i="1"/>
  <c r="CR11" i="1"/>
  <c r="CR13" i="1"/>
  <c r="CQ19" i="1"/>
  <c r="CP22" i="1"/>
  <c r="CP35" i="1"/>
  <c r="CM36" i="1" l="1"/>
  <c r="CM38" i="1" s="1"/>
  <c r="CM54" i="1" s="1"/>
  <c r="CR10" i="1"/>
  <c r="CO24" i="1"/>
  <c r="CO34" i="1" s="1"/>
  <c r="CI59" i="1"/>
  <c r="CI61" i="1"/>
  <c r="CQ46" i="1"/>
  <c r="CK59" i="1"/>
  <c r="CK61" i="1"/>
  <c r="CQ42" i="1"/>
  <c r="CQ48" i="1"/>
  <c r="CQ45" i="1"/>
  <c r="CQ53" i="1"/>
  <c r="CQ27" i="1" s="1"/>
  <c r="CQ47" i="1"/>
  <c r="CQ44" i="1"/>
  <c r="CQ64" i="1"/>
  <c r="CQ65" i="1" s="1"/>
  <c r="CR16" i="1"/>
  <c r="CR14" i="1"/>
  <c r="CR44" i="1" s="1"/>
  <c r="CP49" i="1"/>
  <c r="CQ55" i="1"/>
  <c r="CR12" i="1"/>
  <c r="CR28" i="1" s="1"/>
  <c r="CQ29" i="1"/>
  <c r="CQ52" i="1"/>
  <c r="CP27" i="1"/>
  <c r="CT83" i="1"/>
  <c r="CT82" i="1"/>
  <c r="CT84" i="1"/>
  <c r="CN36" i="1"/>
  <c r="CN38" i="1" s="1"/>
  <c r="CN54" i="1" s="1"/>
  <c r="CN56" i="1" s="1"/>
  <c r="CN58" i="1" s="1"/>
  <c r="CN59" i="1" s="1"/>
  <c r="CP23" i="1"/>
  <c r="CQ22" i="1"/>
  <c r="CR19" i="1"/>
  <c r="CQ35" i="1"/>
  <c r="CT144" i="1"/>
  <c r="CT94" i="1" s="1"/>
  <c r="CU4" i="1"/>
  <c r="CS148" i="1"/>
  <c r="CS96" i="1" s="1"/>
  <c r="CS157" i="1"/>
  <c r="CS100" i="1" s="1"/>
  <c r="CS97" i="1"/>
  <c r="CS98" i="1"/>
  <c r="CS15" i="1"/>
  <c r="CS147" i="1"/>
  <c r="CS11" i="1"/>
  <c r="CS5" i="1"/>
  <c r="CS9" i="1"/>
  <c r="CT6" i="1"/>
  <c r="CS13" i="1"/>
  <c r="CR55" i="1" l="1"/>
  <c r="CR52" i="1"/>
  <c r="CQ49" i="1"/>
  <c r="CR53" i="1"/>
  <c r="CR27" i="1" s="1"/>
  <c r="CR47" i="1"/>
  <c r="CO33" i="1"/>
  <c r="CO32" i="1"/>
  <c r="CO36" i="1" s="1"/>
  <c r="CO38" i="1" s="1"/>
  <c r="CM56" i="1"/>
  <c r="CM58" i="1" s="1"/>
  <c r="CR29" i="1"/>
  <c r="CS12" i="1"/>
  <c r="CS28" i="1" s="1"/>
  <c r="CS16" i="1"/>
  <c r="CP30" i="1"/>
  <c r="CR43" i="1"/>
  <c r="CQ30" i="1"/>
  <c r="CR46" i="1"/>
  <c r="CR64" i="1"/>
  <c r="CR48" i="1"/>
  <c r="CR45" i="1"/>
  <c r="CS14" i="1"/>
  <c r="CS64" i="1" s="1"/>
  <c r="CS65" i="1" s="1"/>
  <c r="CR42" i="1"/>
  <c r="CP24" i="1"/>
  <c r="CS10" i="1"/>
  <c r="CU83" i="1"/>
  <c r="CU82" i="1"/>
  <c r="CU84" i="1"/>
  <c r="CN61" i="1"/>
  <c r="CV4" i="1"/>
  <c r="CU144" i="1"/>
  <c r="CR22" i="1"/>
  <c r="CS19" i="1"/>
  <c r="CR35" i="1"/>
  <c r="CT157" i="1"/>
  <c r="CT100" i="1" s="1"/>
  <c r="CT148" i="1"/>
  <c r="CT96" i="1" s="1"/>
  <c r="CT98" i="1"/>
  <c r="CT97" i="1"/>
  <c r="CT15" i="1"/>
  <c r="CT11" i="1"/>
  <c r="CT5" i="1"/>
  <c r="CT13" i="1"/>
  <c r="CT9" i="1"/>
  <c r="CU6" i="1"/>
  <c r="CT147" i="1"/>
  <c r="CQ23" i="1"/>
  <c r="CR30" i="1" l="1"/>
  <c r="CS46" i="1"/>
  <c r="CS52" i="1"/>
  <c r="CS47" i="1"/>
  <c r="CU94" i="1"/>
  <c r="CM61" i="1"/>
  <c r="CQ24" i="1"/>
  <c r="CQ33" i="1" s="1"/>
  <c r="CP33" i="1"/>
  <c r="CS29" i="1"/>
  <c r="CS44" i="1"/>
  <c r="CS42" i="1"/>
  <c r="CR65" i="1"/>
  <c r="CM59" i="1"/>
  <c r="CS48" i="1"/>
  <c r="CS43" i="1"/>
  <c r="CS45" i="1"/>
  <c r="CS53" i="1"/>
  <c r="CS27" i="1" s="1"/>
  <c r="CT16" i="1"/>
  <c r="CT12" i="1"/>
  <c r="CT29" i="1" s="1"/>
  <c r="CS55" i="1"/>
  <c r="CT10" i="1"/>
  <c r="CT14" i="1"/>
  <c r="CT46" i="1" s="1"/>
  <c r="CP32" i="1"/>
  <c r="CP34" i="1"/>
  <c r="CR49" i="1"/>
  <c r="CV84" i="1"/>
  <c r="CV82" i="1"/>
  <c r="CV83" i="1"/>
  <c r="CV144" i="1"/>
  <c r="CV94" i="1" s="1"/>
  <c r="CW4" i="1"/>
  <c r="CU157" i="1"/>
  <c r="CU98" i="1"/>
  <c r="CU11" i="1"/>
  <c r="CU9" i="1"/>
  <c r="CU148" i="1"/>
  <c r="CU13" i="1"/>
  <c r="CU147" i="1"/>
  <c r="CU15" i="1"/>
  <c r="CU5" i="1"/>
  <c r="CU97" i="1"/>
  <c r="CV6" i="1"/>
  <c r="CS22" i="1"/>
  <c r="CT19" i="1"/>
  <c r="CS35" i="1"/>
  <c r="CO54" i="1"/>
  <c r="CR23" i="1"/>
  <c r="CT28" i="1" l="1"/>
  <c r="CU100" i="1"/>
  <c r="CQ34" i="1"/>
  <c r="CU10" i="1"/>
  <c r="CQ32" i="1"/>
  <c r="CS49" i="1"/>
  <c r="CT55" i="1"/>
  <c r="CU96" i="1"/>
  <c r="CU16" i="1"/>
  <c r="CT47" i="1"/>
  <c r="CO56" i="1"/>
  <c r="CT48" i="1"/>
  <c r="CT43" i="1"/>
  <c r="CT52" i="1"/>
  <c r="CP36" i="1"/>
  <c r="CS30" i="1"/>
  <c r="CT44" i="1"/>
  <c r="CT53" i="1"/>
  <c r="CU12" i="1"/>
  <c r="CU28" i="1" s="1"/>
  <c r="CR24" i="1"/>
  <c r="CT64" i="1"/>
  <c r="CT42" i="1"/>
  <c r="CU14" i="1"/>
  <c r="CU55" i="1" s="1"/>
  <c r="CT45" i="1"/>
  <c r="CW84" i="1"/>
  <c r="CW82" i="1"/>
  <c r="CW83" i="1"/>
  <c r="CV97" i="1"/>
  <c r="CV147" i="1"/>
  <c r="CV148" i="1"/>
  <c r="CV96" i="1" s="1"/>
  <c r="CV13" i="1"/>
  <c r="CV9" i="1"/>
  <c r="CV157" i="1"/>
  <c r="CV100" i="1" s="1"/>
  <c r="CV11" i="1"/>
  <c r="CV98" i="1"/>
  <c r="CW6" i="1"/>
  <c r="CV15" i="1"/>
  <c r="CV5" i="1"/>
  <c r="CT22" i="1"/>
  <c r="CU19" i="1"/>
  <c r="CT35" i="1"/>
  <c r="CW144" i="1"/>
  <c r="CW94" i="1" s="1"/>
  <c r="CX4" i="1"/>
  <c r="CS23" i="1"/>
  <c r="CS24" i="1" s="1"/>
  <c r="CQ36" i="1" l="1"/>
  <c r="CQ38" i="1" s="1"/>
  <c r="CU64" i="1"/>
  <c r="CU53" i="1"/>
  <c r="CU27" i="1" s="1"/>
  <c r="CU45" i="1"/>
  <c r="CU42" i="1"/>
  <c r="CU46" i="1"/>
  <c r="CU47" i="1"/>
  <c r="CV16" i="1"/>
  <c r="CU43" i="1"/>
  <c r="CU44" i="1"/>
  <c r="CU48" i="1"/>
  <c r="CO58" i="1"/>
  <c r="CU65" i="1"/>
  <c r="CT65" i="1"/>
  <c r="CR34" i="1"/>
  <c r="CP38" i="1"/>
  <c r="CT49" i="1"/>
  <c r="CU29" i="1"/>
  <c r="CU52" i="1"/>
  <c r="CV10" i="1"/>
  <c r="CV14" i="1"/>
  <c r="CV52" i="1" s="1"/>
  <c r="CR32" i="1"/>
  <c r="CR33" i="1"/>
  <c r="CV12" i="1"/>
  <c r="CV29" i="1" s="1"/>
  <c r="CT27" i="1"/>
  <c r="CX84" i="1"/>
  <c r="CX82" i="1"/>
  <c r="CX83" i="1"/>
  <c r="CS34" i="1"/>
  <c r="CS33" i="1"/>
  <c r="CS32" i="1"/>
  <c r="CU22" i="1"/>
  <c r="CV19" i="1"/>
  <c r="CU35" i="1"/>
  <c r="CT23" i="1"/>
  <c r="CT24" i="1" s="1"/>
  <c r="CQ54" i="1"/>
  <c r="CQ56" i="1" s="1"/>
  <c r="CQ58" i="1" s="1"/>
  <c r="CQ59" i="1" s="1"/>
  <c r="CW157" i="1"/>
  <c r="CW100" i="1" s="1"/>
  <c r="CW147" i="1"/>
  <c r="CW148" i="1"/>
  <c r="CW96" i="1" s="1"/>
  <c r="CX6" i="1"/>
  <c r="CW97" i="1"/>
  <c r="CW11" i="1"/>
  <c r="CW98" i="1"/>
  <c r="CW13" i="1"/>
  <c r="CW9" i="1"/>
  <c r="CW15" i="1"/>
  <c r="CW5" i="1"/>
  <c r="CX144" i="1"/>
  <c r="CX94" i="1" s="1"/>
  <c r="CY4" i="1"/>
  <c r="CV28" i="1" l="1"/>
  <c r="CU49" i="1"/>
  <c r="CW16" i="1"/>
  <c r="CV64" i="1"/>
  <c r="CV65" i="1" s="1"/>
  <c r="CV47" i="1"/>
  <c r="CU30" i="1"/>
  <c r="CO59" i="1"/>
  <c r="CO61" i="1"/>
  <c r="CR36" i="1"/>
  <c r="CP54" i="1"/>
  <c r="CV55" i="1"/>
  <c r="CV42" i="1"/>
  <c r="CV45" i="1"/>
  <c r="CV44" i="1"/>
  <c r="CW10" i="1"/>
  <c r="CW14" i="1"/>
  <c r="CW43" i="1" s="1"/>
  <c r="CV48" i="1"/>
  <c r="CV43" i="1"/>
  <c r="CV46" i="1"/>
  <c r="CT30" i="1"/>
  <c r="CW12" i="1"/>
  <c r="CW29" i="1" s="1"/>
  <c r="CV53" i="1"/>
  <c r="CY82" i="1"/>
  <c r="CY84" i="1"/>
  <c r="CY83" i="1"/>
  <c r="CS36" i="1"/>
  <c r="CX157" i="1"/>
  <c r="CX100" i="1" s="1"/>
  <c r="CX147" i="1"/>
  <c r="CX148" i="1"/>
  <c r="CX97" i="1"/>
  <c r="CY6" i="1"/>
  <c r="CX98" i="1"/>
  <c r="CX13" i="1"/>
  <c r="CX11" i="1"/>
  <c r="CX15" i="1"/>
  <c r="CX5" i="1"/>
  <c r="CX9" i="1"/>
  <c r="CQ61" i="1"/>
  <c r="CW19" i="1"/>
  <c r="CV22" i="1"/>
  <c r="CV35" i="1"/>
  <c r="CU23" i="1"/>
  <c r="CZ4" i="1"/>
  <c r="CY144" i="1"/>
  <c r="CY94" i="1" s="1"/>
  <c r="CX16" i="1" l="1"/>
  <c r="CW55" i="1"/>
  <c r="CW64" i="1"/>
  <c r="CW65" i="1" s="1"/>
  <c r="CX96" i="1"/>
  <c r="CW44" i="1"/>
  <c r="CU24" i="1"/>
  <c r="CU32" i="1" s="1"/>
  <c r="CW46" i="1"/>
  <c r="CW52" i="1"/>
  <c r="CP56" i="1"/>
  <c r="CT34" i="1"/>
  <c r="CT33" i="1"/>
  <c r="CR38" i="1"/>
  <c r="CT32" i="1"/>
  <c r="CW47" i="1"/>
  <c r="CW45" i="1"/>
  <c r="CW28" i="1"/>
  <c r="CW48" i="1"/>
  <c r="CX10" i="1"/>
  <c r="CW42" i="1"/>
  <c r="CX12" i="1"/>
  <c r="CX28" i="1" s="1"/>
  <c r="CW53" i="1"/>
  <c r="CW27" i="1" s="1"/>
  <c r="CV49" i="1"/>
  <c r="CV27" i="1"/>
  <c r="CX14" i="1"/>
  <c r="CX46" i="1" s="1"/>
  <c r="CS38" i="1"/>
  <c r="CZ82" i="1"/>
  <c r="CZ83" i="1"/>
  <c r="CZ84" i="1"/>
  <c r="DA4" i="1"/>
  <c r="CZ144" i="1"/>
  <c r="CX19" i="1"/>
  <c r="CW22" i="1"/>
  <c r="CW35" i="1"/>
  <c r="CV23" i="1"/>
  <c r="CV24" i="1" s="1"/>
  <c r="CY147" i="1"/>
  <c r="CY97" i="1"/>
  <c r="CY148" i="1"/>
  <c r="CY96" i="1" s="1"/>
  <c r="CY157" i="1"/>
  <c r="CY5" i="1"/>
  <c r="CY9" i="1"/>
  <c r="CY98" i="1"/>
  <c r="CY15" i="1"/>
  <c r="CY16" i="1" s="1"/>
  <c r="CY13" i="1"/>
  <c r="CY11" i="1"/>
  <c r="CZ6" i="1"/>
  <c r="CY100" i="1" l="1"/>
  <c r="CU33" i="1"/>
  <c r="CT36" i="1"/>
  <c r="CT38" i="1" s="1"/>
  <c r="CT54" i="1" s="1"/>
  <c r="CT56" i="1" s="1"/>
  <c r="CT58" i="1" s="1"/>
  <c r="CT59" i="1" s="1"/>
  <c r="CX44" i="1"/>
  <c r="CU34" i="1"/>
  <c r="CU36" i="1" s="1"/>
  <c r="CZ94" i="1"/>
  <c r="CW30" i="1"/>
  <c r="CY12" i="1"/>
  <c r="CY29" i="1" s="1"/>
  <c r="CY14" i="1"/>
  <c r="CY44" i="1" s="1"/>
  <c r="CX47" i="1"/>
  <c r="CX42" i="1"/>
  <c r="CR54" i="1"/>
  <c r="CW49" i="1"/>
  <c r="CP58" i="1"/>
  <c r="CX45" i="1"/>
  <c r="CX53" i="1"/>
  <c r="CX27" i="1" s="1"/>
  <c r="CY10" i="1"/>
  <c r="CX43" i="1"/>
  <c r="CX48" i="1"/>
  <c r="CX52" i="1"/>
  <c r="CX55" i="1"/>
  <c r="CX64" i="1"/>
  <c r="CX29" i="1"/>
  <c r="CS54" i="1"/>
  <c r="CV30" i="1"/>
  <c r="CV33" i="1" s="1"/>
  <c r="DA83" i="1"/>
  <c r="DA84" i="1"/>
  <c r="DA82" i="1"/>
  <c r="CW23" i="1"/>
  <c r="CW24" i="1" s="1"/>
  <c r="CY19" i="1"/>
  <c r="CX22" i="1"/>
  <c r="CX35" i="1"/>
  <c r="CZ157" i="1"/>
  <c r="CZ100" i="1" s="1"/>
  <c r="CZ147" i="1"/>
  <c r="CZ148" i="1"/>
  <c r="CZ96" i="1" s="1"/>
  <c r="CZ98" i="1"/>
  <c r="CZ5" i="1"/>
  <c r="CZ9" i="1"/>
  <c r="DA6" i="1"/>
  <c r="CZ97" i="1"/>
  <c r="CZ15" i="1"/>
  <c r="CZ16" i="1" s="1"/>
  <c r="CZ11" i="1"/>
  <c r="CZ13" i="1"/>
  <c r="DA144" i="1"/>
  <c r="DA94" i="1" s="1"/>
  <c r="DB4" i="1"/>
  <c r="CY64" i="1" l="1"/>
  <c r="CY65" i="1" s="1"/>
  <c r="CY28" i="1"/>
  <c r="CZ12" i="1"/>
  <c r="CZ28" i="1" s="1"/>
  <c r="CX30" i="1"/>
  <c r="CY43" i="1"/>
  <c r="CY45" i="1"/>
  <c r="CY46" i="1"/>
  <c r="CX65" i="1"/>
  <c r="CY53" i="1"/>
  <c r="CY27" i="1" s="1"/>
  <c r="CY52" i="1"/>
  <c r="CY47" i="1"/>
  <c r="CV32" i="1"/>
  <c r="CZ10" i="1"/>
  <c r="CZ14" i="1"/>
  <c r="CZ44" i="1" s="1"/>
  <c r="CY48" i="1"/>
  <c r="CY55" i="1"/>
  <c r="CY42" i="1"/>
  <c r="CU38" i="1"/>
  <c r="CR56" i="1"/>
  <c r="CX49" i="1"/>
  <c r="CP61" i="1"/>
  <c r="CP59" i="1"/>
  <c r="CV34" i="1"/>
  <c r="CS56" i="1"/>
  <c r="DB83" i="1"/>
  <c r="DB84" i="1"/>
  <c r="DB82" i="1"/>
  <c r="DB144" i="1"/>
  <c r="DC4" i="1"/>
  <c r="DA157" i="1"/>
  <c r="DA100" i="1" s="1"/>
  <c r="DA148" i="1"/>
  <c r="DA96" i="1" s="1"/>
  <c r="DA98" i="1"/>
  <c r="DA147" i="1"/>
  <c r="DA15" i="1"/>
  <c r="DA16" i="1" s="1"/>
  <c r="DA9" i="1"/>
  <c r="DB6" i="1"/>
  <c r="DA97" i="1"/>
  <c r="DA11" i="1"/>
  <c r="DA12" i="1" s="1"/>
  <c r="DA13" i="1"/>
  <c r="DA5" i="1"/>
  <c r="CT61" i="1"/>
  <c r="CY22" i="1"/>
  <c r="CZ19" i="1"/>
  <c r="CY35" i="1"/>
  <c r="CW34" i="1"/>
  <c r="CW33" i="1"/>
  <c r="CW32" i="1"/>
  <c r="CX23" i="1"/>
  <c r="CX24" i="1" s="1"/>
  <c r="CZ45" i="1" l="1"/>
  <c r="DA14" i="1"/>
  <c r="DA43" i="1" s="1"/>
  <c r="CZ29" i="1"/>
  <c r="CZ48" i="1"/>
  <c r="CY30" i="1"/>
  <c r="CZ43" i="1"/>
  <c r="CZ46" i="1"/>
  <c r="CZ53" i="1"/>
  <c r="CZ27" i="1" s="1"/>
  <c r="CZ30" i="1" s="1"/>
  <c r="CV36" i="1"/>
  <c r="CV38" i="1" s="1"/>
  <c r="CV54" i="1" s="1"/>
  <c r="CY49" i="1"/>
  <c r="CZ64" i="1"/>
  <c r="CZ65" i="1" s="1"/>
  <c r="DA10" i="1"/>
  <c r="CZ55" i="1"/>
  <c r="CZ52" i="1"/>
  <c r="CZ47" i="1"/>
  <c r="CZ42" i="1"/>
  <c r="CR58" i="1"/>
  <c r="DB94" i="1"/>
  <c r="CU54" i="1"/>
  <c r="CS58" i="1"/>
  <c r="DC83" i="1"/>
  <c r="DC84" i="1"/>
  <c r="DC82" i="1"/>
  <c r="CW36" i="1"/>
  <c r="CW38" i="1" s="1"/>
  <c r="CW54" i="1" s="1"/>
  <c r="CW56" i="1" s="1"/>
  <c r="CW58" i="1" s="1"/>
  <c r="CW59" i="1" s="1"/>
  <c r="DA28" i="1"/>
  <c r="DA29" i="1"/>
  <c r="CX32" i="1"/>
  <c r="CX33" i="1"/>
  <c r="CX34" i="1"/>
  <c r="CY23" i="1"/>
  <c r="CY24" i="1" s="1"/>
  <c r="DA19" i="1"/>
  <c r="CZ22" i="1"/>
  <c r="CZ35" i="1"/>
  <c r="DB157" i="1"/>
  <c r="DB148" i="1"/>
  <c r="DB98" i="1"/>
  <c r="DB147" i="1"/>
  <c r="DB15" i="1"/>
  <c r="DB11" i="1"/>
  <c r="DC6" i="1"/>
  <c r="DB13" i="1"/>
  <c r="DB5" i="1"/>
  <c r="DB9" i="1"/>
  <c r="DB97" i="1"/>
  <c r="DA64" i="1"/>
  <c r="DA65" i="1" s="1"/>
  <c r="DA47" i="1"/>
  <c r="DA42" i="1"/>
  <c r="DA45" i="1"/>
  <c r="DA48" i="1"/>
  <c r="DA46" i="1"/>
  <c r="DA55" i="1"/>
  <c r="DA44" i="1"/>
  <c r="DC144" i="1"/>
  <c r="DC94" i="1" s="1"/>
  <c r="DD4" i="1"/>
  <c r="DA52" i="1" l="1"/>
  <c r="DA53" i="1"/>
  <c r="DA27" i="1" s="1"/>
  <c r="CZ49" i="1"/>
  <c r="CU56" i="1"/>
  <c r="CR59" i="1"/>
  <c r="CR61" i="1"/>
  <c r="DB100" i="1"/>
  <c r="DB96" i="1"/>
  <c r="DB10" i="1"/>
  <c r="DB16" i="1"/>
  <c r="DB14" i="1"/>
  <c r="DB42" i="1" s="1"/>
  <c r="CV56" i="1"/>
  <c r="DB12" i="1"/>
  <c r="DB28" i="1" s="1"/>
  <c r="CS59" i="1"/>
  <c r="CS61" i="1"/>
  <c r="DD84" i="1"/>
  <c r="DD83" i="1"/>
  <c r="DD82" i="1"/>
  <c r="DA30" i="1"/>
  <c r="CX36" i="1"/>
  <c r="CX38" i="1" s="1"/>
  <c r="CX54" i="1" s="1"/>
  <c r="CX56" i="1" s="1"/>
  <c r="CX58" i="1" s="1"/>
  <c r="CX59" i="1" s="1"/>
  <c r="CY32" i="1"/>
  <c r="CY34" i="1"/>
  <c r="CY33" i="1"/>
  <c r="DD144" i="1"/>
  <c r="DE4" i="1"/>
  <c r="DC157" i="1"/>
  <c r="DC100" i="1" s="1"/>
  <c r="DC147" i="1"/>
  <c r="DC11" i="1"/>
  <c r="DC13" i="1"/>
  <c r="DC9" i="1"/>
  <c r="DC97" i="1"/>
  <c r="DC148" i="1"/>
  <c r="DC96" i="1" s="1"/>
  <c r="DC15" i="1"/>
  <c r="DC5" i="1"/>
  <c r="DC98" i="1"/>
  <c r="DD6" i="1"/>
  <c r="DA22" i="1"/>
  <c r="DB19" i="1"/>
  <c r="DA35" i="1"/>
  <c r="DA49" i="1"/>
  <c r="CZ23" i="1"/>
  <c r="CZ24" i="1" s="1"/>
  <c r="CW61" i="1"/>
  <c r="DB43" i="1" l="1"/>
  <c r="DB46" i="1"/>
  <c r="DB64" i="1"/>
  <c r="DB65" i="1" s="1"/>
  <c r="DB44" i="1"/>
  <c r="DB52" i="1"/>
  <c r="DC16" i="1"/>
  <c r="DD94" i="1"/>
  <c r="DC10" i="1"/>
  <c r="CU58" i="1"/>
  <c r="DC12" i="1"/>
  <c r="DC28" i="1" s="1"/>
  <c r="DB29" i="1"/>
  <c r="DB45" i="1"/>
  <c r="DB53" i="1"/>
  <c r="DB27" i="1" s="1"/>
  <c r="DB47" i="1"/>
  <c r="CV58" i="1"/>
  <c r="DB55" i="1"/>
  <c r="DB48" i="1"/>
  <c r="DC14" i="1"/>
  <c r="DC45" i="1" s="1"/>
  <c r="DE84" i="1"/>
  <c r="DE83" i="1"/>
  <c r="DE82" i="1"/>
  <c r="DB22" i="1"/>
  <c r="DC19" i="1"/>
  <c r="DB35" i="1"/>
  <c r="DA23" i="1"/>
  <c r="DA24" i="1" s="1"/>
  <c r="DD148" i="1"/>
  <c r="DD96" i="1" s="1"/>
  <c r="DD97" i="1"/>
  <c r="DD157" i="1"/>
  <c r="DD147" i="1"/>
  <c r="DD13" i="1"/>
  <c r="DD9" i="1"/>
  <c r="DD98" i="1"/>
  <c r="DD15" i="1"/>
  <c r="DD5" i="1"/>
  <c r="DD11" i="1"/>
  <c r="DE6" i="1"/>
  <c r="CZ34" i="1"/>
  <c r="CZ32" i="1"/>
  <c r="CZ33" i="1"/>
  <c r="DE144" i="1"/>
  <c r="DE94" i="1" s="1"/>
  <c r="DF4" i="1"/>
  <c r="DC64" i="1"/>
  <c r="DC65" i="1" s="1"/>
  <c r="DC53" i="1"/>
  <c r="DC27" i="1" s="1"/>
  <c r="CY36" i="1"/>
  <c r="CY38" i="1" s="1"/>
  <c r="CX61" i="1"/>
  <c r="DC42" i="1" l="1"/>
  <c r="DC48" i="1"/>
  <c r="DC43" i="1"/>
  <c r="DD10" i="1"/>
  <c r="DC52" i="1"/>
  <c r="DC47" i="1"/>
  <c r="DC29" i="1"/>
  <c r="DC30" i="1" s="1"/>
  <c r="DB30" i="1"/>
  <c r="CU59" i="1"/>
  <c r="CU61" i="1"/>
  <c r="DC55" i="1"/>
  <c r="DD12" i="1"/>
  <c r="DD28" i="1" s="1"/>
  <c r="DD16" i="1"/>
  <c r="DC46" i="1"/>
  <c r="DD100" i="1"/>
  <c r="DD14" i="1"/>
  <c r="DD47" i="1" s="1"/>
  <c r="CV59" i="1"/>
  <c r="CV61" i="1"/>
  <c r="DC44" i="1"/>
  <c r="DB49" i="1"/>
  <c r="DF84" i="1"/>
  <c r="DF82" i="1"/>
  <c r="DF83" i="1"/>
  <c r="DA34" i="1"/>
  <c r="DA33" i="1"/>
  <c r="DA32" i="1"/>
  <c r="CY54" i="1"/>
  <c r="DB23" i="1"/>
  <c r="DE157" i="1"/>
  <c r="DE100" i="1" s="1"/>
  <c r="DE97" i="1"/>
  <c r="DE98" i="1"/>
  <c r="DF6" i="1"/>
  <c r="DE15" i="1"/>
  <c r="DE5" i="1"/>
  <c r="DE11" i="1"/>
  <c r="DE13" i="1"/>
  <c r="DE147" i="1"/>
  <c r="DE148" i="1"/>
  <c r="DE96" i="1" s="1"/>
  <c r="DE9" i="1"/>
  <c r="CZ36" i="1"/>
  <c r="CZ38" i="1" s="1"/>
  <c r="DC22" i="1"/>
  <c r="DD19" i="1"/>
  <c r="DC35" i="1"/>
  <c r="DF144" i="1"/>
  <c r="DG4" i="1"/>
  <c r="DD29" i="1" l="1"/>
  <c r="DC49" i="1"/>
  <c r="DF94" i="1"/>
  <c r="DD43" i="1"/>
  <c r="DD46" i="1"/>
  <c r="DE10" i="1"/>
  <c r="DE16" i="1"/>
  <c r="DD52" i="1"/>
  <c r="DD53" i="1"/>
  <c r="DD45" i="1"/>
  <c r="DE14" i="1"/>
  <c r="DE44" i="1" s="1"/>
  <c r="DD55" i="1"/>
  <c r="DE12" i="1"/>
  <c r="DE29" i="1" s="1"/>
  <c r="CY56" i="1"/>
  <c r="DD42" i="1"/>
  <c r="DD44" i="1"/>
  <c r="DD64" i="1"/>
  <c r="DD48" i="1"/>
  <c r="DB24" i="1"/>
  <c r="DG82" i="1"/>
  <c r="DG84" i="1"/>
  <c r="DG83" i="1"/>
  <c r="DA36" i="1"/>
  <c r="DA38" i="1" s="1"/>
  <c r="DA54" i="1" s="1"/>
  <c r="DA56" i="1" s="1"/>
  <c r="DA58" i="1" s="1"/>
  <c r="DA59" i="1" s="1"/>
  <c r="CZ54" i="1"/>
  <c r="CZ56" i="1" s="1"/>
  <c r="CZ58" i="1" s="1"/>
  <c r="CZ59" i="1" s="1"/>
  <c r="DF97" i="1"/>
  <c r="DF98" i="1"/>
  <c r="DG6" i="1"/>
  <c r="DF11" i="1"/>
  <c r="DF13" i="1"/>
  <c r="DF15" i="1"/>
  <c r="DF5" i="1"/>
  <c r="DF157" i="1"/>
  <c r="DF100" i="1" s="1"/>
  <c r="DF147" i="1"/>
  <c r="DF148" i="1"/>
  <c r="DF96" i="1" s="1"/>
  <c r="DF9" i="1"/>
  <c r="DG144" i="1"/>
  <c r="DH4" i="1"/>
  <c r="DE19" i="1"/>
  <c r="DD22" i="1"/>
  <c r="DD35" i="1"/>
  <c r="DC23" i="1"/>
  <c r="DC24" i="1" s="1"/>
  <c r="DG94" i="1" l="1"/>
  <c r="DE46" i="1"/>
  <c r="DD49" i="1"/>
  <c r="DB33" i="1"/>
  <c r="DD65" i="1"/>
  <c r="DE43" i="1"/>
  <c r="DE47" i="1"/>
  <c r="DF16" i="1"/>
  <c r="DE48" i="1"/>
  <c r="DB34" i="1"/>
  <c r="DD27" i="1"/>
  <c r="DE42" i="1"/>
  <c r="DE55" i="1"/>
  <c r="DF10" i="1"/>
  <c r="CY58" i="1"/>
  <c r="DE52" i="1"/>
  <c r="DE28" i="1"/>
  <c r="DE53" i="1"/>
  <c r="DE27" i="1" s="1"/>
  <c r="DF14" i="1"/>
  <c r="DF55" i="1" s="1"/>
  <c r="DE64" i="1"/>
  <c r="DE65" i="1" s="1"/>
  <c r="DF12" i="1"/>
  <c r="DF28" i="1" s="1"/>
  <c r="DE45" i="1"/>
  <c r="DB32" i="1"/>
  <c r="DH82" i="1"/>
  <c r="DH84" i="1"/>
  <c r="DH83" i="1"/>
  <c r="DF64" i="1"/>
  <c r="DF65" i="1" s="1"/>
  <c r="DF42" i="1"/>
  <c r="DC34" i="1"/>
  <c r="DC33" i="1"/>
  <c r="DC32" i="1"/>
  <c r="DI4" i="1"/>
  <c r="DH144" i="1"/>
  <c r="DA61" i="1"/>
  <c r="CZ61" i="1"/>
  <c r="DD23" i="1"/>
  <c r="DG147" i="1"/>
  <c r="DG97" i="1"/>
  <c r="DG5" i="1"/>
  <c r="DG11" i="1"/>
  <c r="DG13" i="1"/>
  <c r="DG157" i="1"/>
  <c r="DG148" i="1"/>
  <c r="DH6" i="1"/>
  <c r="DG9" i="1"/>
  <c r="DG15" i="1"/>
  <c r="DG98" i="1"/>
  <c r="DF19" i="1"/>
  <c r="DE22" i="1"/>
  <c r="DE35" i="1"/>
  <c r="DF46" i="1" l="1"/>
  <c r="DG96" i="1"/>
  <c r="DF29" i="1"/>
  <c r="DD24" i="1"/>
  <c r="DE49" i="1"/>
  <c r="DH94" i="1"/>
  <c r="DG100" i="1"/>
  <c r="DF52" i="1"/>
  <c r="DE30" i="1"/>
  <c r="DF47" i="1"/>
  <c r="DF48" i="1"/>
  <c r="DF53" i="1"/>
  <c r="DF27" i="1" s="1"/>
  <c r="DF45" i="1"/>
  <c r="DG14" i="1"/>
  <c r="DG52" i="1" s="1"/>
  <c r="DF43" i="1"/>
  <c r="DB36" i="1"/>
  <c r="DF44" i="1"/>
  <c r="DG16" i="1"/>
  <c r="DG10" i="1"/>
  <c r="DG12" i="1"/>
  <c r="DG29" i="1" s="1"/>
  <c r="CY59" i="1"/>
  <c r="CY61" i="1"/>
  <c r="DD30" i="1"/>
  <c r="DI83" i="1"/>
  <c r="DI82" i="1"/>
  <c r="DI84" i="1"/>
  <c r="DG19" i="1"/>
  <c r="DF22" i="1"/>
  <c r="DF35" i="1"/>
  <c r="DI144" i="1"/>
  <c r="DI94" i="1" s="1"/>
  <c r="DJ4" i="1"/>
  <c r="DE23" i="1"/>
  <c r="DH147" i="1"/>
  <c r="DH157" i="1"/>
  <c r="DH100" i="1" s="1"/>
  <c r="DH148" i="1"/>
  <c r="DH96" i="1" s="1"/>
  <c r="DH97" i="1"/>
  <c r="DH5" i="1"/>
  <c r="DH13" i="1"/>
  <c r="DH9" i="1"/>
  <c r="DI6" i="1"/>
  <c r="DH98" i="1"/>
  <c r="DH15" i="1"/>
  <c r="DH11" i="1"/>
  <c r="DC36" i="1"/>
  <c r="DC38" i="1" s="1"/>
  <c r="DF30" i="1" l="1"/>
  <c r="DH14" i="1"/>
  <c r="DH44" i="1" s="1"/>
  <c r="DG44" i="1"/>
  <c r="DG28" i="1"/>
  <c r="DF49" i="1"/>
  <c r="DG42" i="1"/>
  <c r="DD34" i="1"/>
  <c r="DB38" i="1"/>
  <c r="DG64" i="1"/>
  <c r="DG47" i="1"/>
  <c r="DG45" i="1"/>
  <c r="DG46" i="1"/>
  <c r="DG55" i="1"/>
  <c r="DG43" i="1"/>
  <c r="DG53" i="1"/>
  <c r="DG48" i="1"/>
  <c r="DH10" i="1"/>
  <c r="DE24" i="1"/>
  <c r="DE32" i="1" s="1"/>
  <c r="DH12" i="1"/>
  <c r="DH28" i="1" s="1"/>
  <c r="DD32" i="1"/>
  <c r="DH16" i="1"/>
  <c r="DD33" i="1"/>
  <c r="DJ83" i="1"/>
  <c r="DJ82" i="1"/>
  <c r="DJ84" i="1"/>
  <c r="DI157" i="1"/>
  <c r="DI148" i="1"/>
  <c r="DI147" i="1"/>
  <c r="DI98" i="1"/>
  <c r="DI15" i="1"/>
  <c r="DI9" i="1"/>
  <c r="DI5" i="1"/>
  <c r="DJ6" i="1"/>
  <c r="DI97" i="1"/>
  <c r="DI11" i="1"/>
  <c r="DI13" i="1"/>
  <c r="DF23" i="1"/>
  <c r="DJ144" i="1"/>
  <c r="DJ94" i="1" s="1"/>
  <c r="DK4" i="1"/>
  <c r="DH48" i="1"/>
  <c r="DH19" i="1"/>
  <c r="DG22" i="1"/>
  <c r="DG35" i="1"/>
  <c r="DC54" i="1"/>
  <c r="DC56" i="1" s="1"/>
  <c r="DC58" i="1" s="1"/>
  <c r="DC59" i="1" s="1"/>
  <c r="DH43" i="1" l="1"/>
  <c r="DH53" i="1"/>
  <c r="DH27" i="1" s="1"/>
  <c r="DH55" i="1"/>
  <c r="DH45" i="1"/>
  <c r="DH46" i="1"/>
  <c r="DH42" i="1"/>
  <c r="DI14" i="1"/>
  <c r="DI43" i="1" s="1"/>
  <c r="DH47" i="1"/>
  <c r="DH64" i="1"/>
  <c r="DH65" i="1" s="1"/>
  <c r="DH52" i="1"/>
  <c r="DI100" i="1"/>
  <c r="DI96" i="1"/>
  <c r="DI10" i="1"/>
  <c r="DG27" i="1"/>
  <c r="DE33" i="1"/>
  <c r="DE34" i="1"/>
  <c r="DG49" i="1"/>
  <c r="DB54" i="1"/>
  <c r="DG65" i="1"/>
  <c r="DF24" i="1"/>
  <c r="DF33" i="1" s="1"/>
  <c r="DI12" i="1"/>
  <c r="DI28" i="1" s="1"/>
  <c r="DH29" i="1"/>
  <c r="DD36" i="1"/>
  <c r="DI16" i="1"/>
  <c r="DK83" i="1"/>
  <c r="DK82" i="1"/>
  <c r="DK84" i="1"/>
  <c r="DC61" i="1"/>
  <c r="DG23" i="1"/>
  <c r="DI19" i="1"/>
  <c r="DH22" i="1"/>
  <c r="DH35" i="1"/>
  <c r="DJ157" i="1"/>
  <c r="DJ100" i="1" s="1"/>
  <c r="DJ148" i="1"/>
  <c r="DJ96" i="1" s="1"/>
  <c r="DJ147" i="1"/>
  <c r="DJ98" i="1"/>
  <c r="DJ15" i="1"/>
  <c r="DJ11" i="1"/>
  <c r="DJ9" i="1"/>
  <c r="DK6" i="1"/>
  <c r="DJ97" i="1"/>
  <c r="DJ5" i="1"/>
  <c r="DJ13" i="1"/>
  <c r="DL4" i="1"/>
  <c r="DK144" i="1"/>
  <c r="DH30" i="1" l="1"/>
  <c r="DI44" i="1"/>
  <c r="DJ12" i="1"/>
  <c r="DI48" i="1"/>
  <c r="DI46" i="1"/>
  <c r="DI42" i="1"/>
  <c r="DI47" i="1"/>
  <c r="DH49" i="1"/>
  <c r="DI64" i="1"/>
  <c r="DI65" i="1" s="1"/>
  <c r="DJ14" i="1"/>
  <c r="DJ53" i="1" s="1"/>
  <c r="DI52" i="1"/>
  <c r="DI53" i="1"/>
  <c r="DI27" i="1" s="1"/>
  <c r="DI55" i="1"/>
  <c r="DI45" i="1"/>
  <c r="DI29" i="1"/>
  <c r="DK94" i="1"/>
  <c r="DJ10" i="1"/>
  <c r="DG24" i="1"/>
  <c r="DG30" i="1"/>
  <c r="DF34" i="1"/>
  <c r="DB56" i="1"/>
  <c r="DJ16" i="1"/>
  <c r="DE36" i="1"/>
  <c r="DE38" i="1" s="1"/>
  <c r="DE54" i="1" s="1"/>
  <c r="DE56" i="1" s="1"/>
  <c r="DE58" i="1" s="1"/>
  <c r="DE59" i="1" s="1"/>
  <c r="DF32" i="1"/>
  <c r="DD38" i="1"/>
  <c r="DL84" i="1"/>
  <c r="DL83" i="1"/>
  <c r="DL82" i="1"/>
  <c r="DJ28" i="1"/>
  <c r="DJ29" i="1"/>
  <c r="DI22" i="1"/>
  <c r="DJ19" i="1"/>
  <c r="DI35" i="1"/>
  <c r="DK157" i="1"/>
  <c r="DK148" i="1"/>
  <c r="DK147" i="1"/>
  <c r="DK98" i="1"/>
  <c r="DK11" i="1"/>
  <c r="DK12" i="1" s="1"/>
  <c r="DK13" i="1"/>
  <c r="DK9" i="1"/>
  <c r="DL6" i="1"/>
  <c r="DK97" i="1"/>
  <c r="DK15" i="1"/>
  <c r="DK5" i="1"/>
  <c r="DH23" i="1"/>
  <c r="DM4" i="1"/>
  <c r="DL144" i="1"/>
  <c r="DL94" i="1" s="1"/>
  <c r="DG33" i="1" l="1"/>
  <c r="DK14" i="1"/>
  <c r="DK53" i="1" s="1"/>
  <c r="DK27" i="1" s="1"/>
  <c r="DJ47" i="1"/>
  <c r="DJ64" i="1"/>
  <c r="DJ65" i="1" s="1"/>
  <c r="DI49" i="1"/>
  <c r="DJ46" i="1"/>
  <c r="DJ52" i="1"/>
  <c r="DJ45" i="1"/>
  <c r="DJ55" i="1"/>
  <c r="DJ43" i="1"/>
  <c r="DJ44" i="1"/>
  <c r="DJ42" i="1"/>
  <c r="DI30" i="1"/>
  <c r="DJ48" i="1"/>
  <c r="DK16" i="1"/>
  <c r="DG32" i="1"/>
  <c r="DK100" i="1"/>
  <c r="DK10" i="1"/>
  <c r="DK96" i="1"/>
  <c r="DJ27" i="1"/>
  <c r="DG34" i="1"/>
  <c r="DH24" i="1"/>
  <c r="DH32" i="1" s="1"/>
  <c r="DB58" i="1"/>
  <c r="DF36" i="1"/>
  <c r="DF38" i="1" s="1"/>
  <c r="DF54" i="1" s="1"/>
  <c r="DF56" i="1" s="1"/>
  <c r="DF58" i="1" s="1"/>
  <c r="DF59" i="1" s="1"/>
  <c r="DD54" i="1"/>
  <c r="DM84" i="1"/>
  <c r="DM83" i="1"/>
  <c r="DM82" i="1"/>
  <c r="DK64" i="1"/>
  <c r="DK65" i="1" s="1"/>
  <c r="DK47" i="1"/>
  <c r="DK44" i="1"/>
  <c r="DK43" i="1"/>
  <c r="DK28" i="1"/>
  <c r="DK29" i="1"/>
  <c r="DJ22" i="1"/>
  <c r="DK19" i="1"/>
  <c r="DJ35" i="1"/>
  <c r="DI23" i="1"/>
  <c r="DM144" i="1"/>
  <c r="DM94" i="1" s="1"/>
  <c r="DN4" i="1"/>
  <c r="DE61" i="1"/>
  <c r="DL157" i="1"/>
  <c r="DL100" i="1" s="1"/>
  <c r="DL97" i="1"/>
  <c r="DL13" i="1"/>
  <c r="DL14" i="1" s="1"/>
  <c r="DL9" i="1"/>
  <c r="DM6" i="1"/>
  <c r="DL98" i="1"/>
  <c r="DL148" i="1"/>
  <c r="DL96" i="1" s="1"/>
  <c r="DL147" i="1"/>
  <c r="DL15" i="1"/>
  <c r="DL11" i="1"/>
  <c r="DL12" i="1" s="1"/>
  <c r="DL5" i="1"/>
  <c r="DK45" i="1" l="1"/>
  <c r="DK52" i="1"/>
  <c r="DK46" i="1"/>
  <c r="DK55" i="1"/>
  <c r="DK48" i="1"/>
  <c r="DK42" i="1"/>
  <c r="DJ49" i="1"/>
  <c r="DL16" i="1"/>
  <c r="DL10" i="1"/>
  <c r="DH33" i="1"/>
  <c r="DH34" i="1"/>
  <c r="DI24" i="1"/>
  <c r="DI34" i="1" s="1"/>
  <c r="DG36" i="1"/>
  <c r="DJ30" i="1"/>
  <c r="DB61" i="1"/>
  <c r="DB59" i="1"/>
  <c r="DD56" i="1"/>
  <c r="DN84" i="1"/>
  <c r="DN82" i="1"/>
  <c r="DN83" i="1"/>
  <c r="DL64" i="1"/>
  <c r="DL65" i="1" s="1"/>
  <c r="DL48" i="1"/>
  <c r="DL43" i="1"/>
  <c r="DL55" i="1"/>
  <c r="DL46" i="1"/>
  <c r="DL45" i="1"/>
  <c r="DL47" i="1"/>
  <c r="DL53" i="1"/>
  <c r="DL27" i="1" s="1"/>
  <c r="DL44" i="1"/>
  <c r="DL42" i="1"/>
  <c r="DL52" i="1"/>
  <c r="DL29" i="1"/>
  <c r="DL28" i="1"/>
  <c r="DJ23" i="1"/>
  <c r="DJ24" i="1" s="1"/>
  <c r="DN144" i="1"/>
  <c r="DO4" i="1"/>
  <c r="DK30" i="1"/>
  <c r="DK22" i="1"/>
  <c r="DL19" i="1"/>
  <c r="DK35" i="1"/>
  <c r="DF61" i="1"/>
  <c r="DM157" i="1"/>
  <c r="DM100" i="1" s="1"/>
  <c r="DN6" i="1"/>
  <c r="DM148" i="1"/>
  <c r="DM96" i="1" s="1"/>
  <c r="DM9" i="1"/>
  <c r="DM97" i="1"/>
  <c r="DM98" i="1"/>
  <c r="DM15" i="1"/>
  <c r="DM16" i="1" s="1"/>
  <c r="DM5" i="1"/>
  <c r="DM147" i="1"/>
  <c r="DM11" i="1"/>
  <c r="DM12" i="1" s="1"/>
  <c r="DM13" i="1"/>
  <c r="DM14" i="1" s="1"/>
  <c r="DK49" i="1" l="1"/>
  <c r="DH36" i="1"/>
  <c r="DM10" i="1"/>
  <c r="DG38" i="1"/>
  <c r="DI32" i="1"/>
  <c r="DI33" i="1"/>
  <c r="DN94" i="1"/>
  <c r="DH38" i="1"/>
  <c r="DH54" i="1" s="1"/>
  <c r="DH56" i="1" s="1"/>
  <c r="DH58" i="1" s="1"/>
  <c r="DH59" i="1" s="1"/>
  <c r="DD58" i="1"/>
  <c r="DO82" i="1"/>
  <c r="DO84" i="1"/>
  <c r="DO83" i="1"/>
  <c r="DL30" i="1"/>
  <c r="DJ32" i="1"/>
  <c r="DJ33" i="1"/>
  <c r="DJ34" i="1"/>
  <c r="DN148" i="1"/>
  <c r="DN157" i="1"/>
  <c r="DO6" i="1"/>
  <c r="DN97" i="1"/>
  <c r="DN98" i="1"/>
  <c r="DN15" i="1"/>
  <c r="DN5" i="1"/>
  <c r="DN147" i="1"/>
  <c r="DN9" i="1"/>
  <c r="DN11" i="1"/>
  <c r="DN13" i="1"/>
  <c r="DP4" i="1"/>
  <c r="DO144" i="1"/>
  <c r="DO94" i="1" s="1"/>
  <c r="DM28" i="1"/>
  <c r="DM29" i="1"/>
  <c r="DM44" i="1"/>
  <c r="DM55" i="1"/>
  <c r="DM43" i="1"/>
  <c r="DM52" i="1"/>
  <c r="DM46" i="1"/>
  <c r="DM47" i="1"/>
  <c r="DM42" i="1"/>
  <c r="DM48" i="1"/>
  <c r="DM64" i="1"/>
  <c r="DM65" i="1" s="1"/>
  <c r="DM53" i="1"/>
  <c r="DM45" i="1"/>
  <c r="DM19" i="1"/>
  <c r="DL22" i="1"/>
  <c r="DL35" i="1"/>
  <c r="DK23" i="1"/>
  <c r="DK24" i="1" s="1"/>
  <c r="DL49" i="1"/>
  <c r="DG54" i="1" l="1"/>
  <c r="DM27" i="1"/>
  <c r="DM30" i="1" s="1"/>
  <c r="DI36" i="1"/>
  <c r="DN100" i="1"/>
  <c r="DN96" i="1"/>
  <c r="DN10" i="1"/>
  <c r="DN16" i="1"/>
  <c r="DN14" i="1"/>
  <c r="DN43" i="1" s="1"/>
  <c r="DD59" i="1"/>
  <c r="DD61" i="1"/>
  <c r="DN12" i="1"/>
  <c r="DN29" i="1" s="1"/>
  <c r="DP82" i="1"/>
  <c r="DP83" i="1"/>
  <c r="DP84" i="1"/>
  <c r="DJ36" i="1"/>
  <c r="DK33" i="1"/>
  <c r="DK34" i="1"/>
  <c r="DK32" i="1"/>
  <c r="DM49" i="1"/>
  <c r="DL23" i="1"/>
  <c r="DP144" i="1"/>
  <c r="DP94" i="1" s="1"/>
  <c r="DQ4" i="1"/>
  <c r="DO147" i="1"/>
  <c r="DO148" i="1"/>
  <c r="DO96" i="1" s="1"/>
  <c r="DO98" i="1"/>
  <c r="DO5" i="1"/>
  <c r="DO97" i="1"/>
  <c r="DO15" i="1"/>
  <c r="DO11" i="1"/>
  <c r="DO157" i="1"/>
  <c r="DO100" i="1" s="1"/>
  <c r="DO9" i="1"/>
  <c r="DP6" i="1"/>
  <c r="DO13" i="1"/>
  <c r="DH61" i="1"/>
  <c r="DN19" i="1"/>
  <c r="DM22" i="1"/>
  <c r="DM35" i="1"/>
  <c r="DN52" i="1" l="1"/>
  <c r="DO16" i="1"/>
  <c r="DI38" i="1"/>
  <c r="DL24" i="1"/>
  <c r="DL32" i="1" s="1"/>
  <c r="DN53" i="1"/>
  <c r="DG56" i="1"/>
  <c r="DN46" i="1"/>
  <c r="DO10" i="1"/>
  <c r="DN44" i="1"/>
  <c r="DN28" i="1"/>
  <c r="DO12" i="1"/>
  <c r="DO29" i="1" s="1"/>
  <c r="DN45" i="1"/>
  <c r="DN48" i="1"/>
  <c r="DN47" i="1"/>
  <c r="DN55" i="1"/>
  <c r="DN64" i="1"/>
  <c r="DN65" i="1" s="1"/>
  <c r="DJ38" i="1"/>
  <c r="DJ54" i="1" s="1"/>
  <c r="DJ56" i="1" s="1"/>
  <c r="DJ58" i="1" s="1"/>
  <c r="DJ59" i="1" s="1"/>
  <c r="DO14" i="1"/>
  <c r="DO64" i="1" s="1"/>
  <c r="DO65" i="1" s="1"/>
  <c r="DN42" i="1"/>
  <c r="DQ83" i="1"/>
  <c r="DQ82" i="1"/>
  <c r="DQ84" i="1"/>
  <c r="DK36" i="1"/>
  <c r="DK38" i="1" s="1"/>
  <c r="DK54" i="1" s="1"/>
  <c r="DK56" i="1" s="1"/>
  <c r="DK58" i="1" s="1"/>
  <c r="DK59" i="1" s="1"/>
  <c r="DQ144" i="1"/>
  <c r="DQ94" i="1" s="1"/>
  <c r="DR4" i="1"/>
  <c r="DN22" i="1"/>
  <c r="DO19" i="1"/>
  <c r="DN35" i="1"/>
  <c r="DP147" i="1"/>
  <c r="DP148" i="1"/>
  <c r="DP96" i="1" s="1"/>
  <c r="DP97" i="1"/>
  <c r="DP5" i="1"/>
  <c r="DP98" i="1"/>
  <c r="DP11" i="1"/>
  <c r="DP157" i="1"/>
  <c r="DP100" i="1" s="1"/>
  <c r="DP13" i="1"/>
  <c r="DQ6" i="1"/>
  <c r="DP15" i="1"/>
  <c r="DP9" i="1"/>
  <c r="DM23" i="1"/>
  <c r="DM24" i="1" s="1"/>
  <c r="DP16" i="1" l="1"/>
  <c r="DL34" i="1"/>
  <c r="DL33" i="1"/>
  <c r="DG58" i="1"/>
  <c r="DN27" i="1"/>
  <c r="DN30" i="1" s="1"/>
  <c r="DI54" i="1"/>
  <c r="DJ61" i="1"/>
  <c r="DO53" i="1"/>
  <c r="DN49" i="1"/>
  <c r="DP10" i="1"/>
  <c r="DO28" i="1"/>
  <c r="DP12" i="1"/>
  <c r="DP29" i="1" s="1"/>
  <c r="DO55" i="1"/>
  <c r="DO47" i="1"/>
  <c r="DO42" i="1"/>
  <c r="DO43" i="1"/>
  <c r="DO52" i="1"/>
  <c r="DO44" i="1"/>
  <c r="DO48" i="1"/>
  <c r="DO45" i="1"/>
  <c r="DP14" i="1"/>
  <c r="DP46" i="1" s="1"/>
  <c r="DO46" i="1"/>
  <c r="DR83" i="1"/>
  <c r="DR82" i="1"/>
  <c r="DR84" i="1"/>
  <c r="DK61" i="1"/>
  <c r="DR144" i="1"/>
  <c r="DR94" i="1" s="1"/>
  <c r="DS4" i="1"/>
  <c r="DN23" i="1"/>
  <c r="DO22" i="1"/>
  <c r="DP19" i="1"/>
  <c r="DO35" i="1"/>
  <c r="DQ148" i="1"/>
  <c r="DQ96" i="1" s="1"/>
  <c r="DQ97" i="1"/>
  <c r="DQ98" i="1"/>
  <c r="DQ147" i="1"/>
  <c r="DQ15" i="1"/>
  <c r="DQ11" i="1"/>
  <c r="DQ5" i="1"/>
  <c r="DQ157" i="1"/>
  <c r="DQ13" i="1"/>
  <c r="DQ9" i="1"/>
  <c r="DR6" i="1"/>
  <c r="DM32" i="1"/>
  <c r="DM33" i="1"/>
  <c r="DM34" i="1"/>
  <c r="DL36" i="1" l="1"/>
  <c r="DL38" i="1" s="1"/>
  <c r="DI56" i="1"/>
  <c r="DP53" i="1"/>
  <c r="DP27" i="1" s="1"/>
  <c r="DP52" i="1"/>
  <c r="DP28" i="1"/>
  <c r="DP30" i="1" s="1"/>
  <c r="DG59" i="1"/>
  <c r="DG61" i="1"/>
  <c r="DP48" i="1"/>
  <c r="DQ14" i="1"/>
  <c r="DQ45" i="1" s="1"/>
  <c r="DP43" i="1"/>
  <c r="DP47" i="1"/>
  <c r="DQ16" i="1"/>
  <c r="DP42" i="1"/>
  <c r="DO27" i="1"/>
  <c r="DQ100" i="1"/>
  <c r="DQ10" i="1"/>
  <c r="DO49" i="1"/>
  <c r="DP44" i="1"/>
  <c r="DP45" i="1"/>
  <c r="DN24" i="1"/>
  <c r="DQ12" i="1"/>
  <c r="DQ28" i="1" s="1"/>
  <c r="DP55" i="1"/>
  <c r="DP64" i="1"/>
  <c r="DS83" i="1"/>
  <c r="DS82" i="1"/>
  <c r="DS84" i="1"/>
  <c r="DM36" i="1"/>
  <c r="DL54" i="1"/>
  <c r="DL56" i="1" s="1"/>
  <c r="DR148" i="1"/>
  <c r="DR96" i="1" s="1"/>
  <c r="DR98" i="1"/>
  <c r="DR147" i="1"/>
  <c r="DR15" i="1"/>
  <c r="DR97" i="1"/>
  <c r="DR11" i="1"/>
  <c r="DR13" i="1"/>
  <c r="DR9" i="1"/>
  <c r="DR5" i="1"/>
  <c r="DS6" i="1"/>
  <c r="DS144" i="1"/>
  <c r="DT4" i="1"/>
  <c r="DQ19" i="1"/>
  <c r="DP22" i="1"/>
  <c r="DP35" i="1"/>
  <c r="DO23" i="1"/>
  <c r="DO24" i="1" s="1"/>
  <c r="DQ47" i="1" l="1"/>
  <c r="DQ52" i="1"/>
  <c r="DQ42" i="1"/>
  <c r="DS94" i="1"/>
  <c r="DM38" i="1"/>
  <c r="DQ48" i="1"/>
  <c r="DI58" i="1"/>
  <c r="DQ53" i="1"/>
  <c r="DQ27" i="1" s="1"/>
  <c r="DP65" i="1"/>
  <c r="DR14" i="1"/>
  <c r="DR42" i="1" s="1"/>
  <c r="DQ43" i="1"/>
  <c r="DQ44" i="1"/>
  <c r="DQ46" i="1"/>
  <c r="DQ55" i="1"/>
  <c r="DP49" i="1"/>
  <c r="DQ64" i="1"/>
  <c r="DQ65" i="1" s="1"/>
  <c r="DO30" i="1"/>
  <c r="DO33" i="1" s="1"/>
  <c r="DR12" i="1"/>
  <c r="DR28" i="1" s="1"/>
  <c r="DQ29" i="1"/>
  <c r="DR10" i="1"/>
  <c r="DN33" i="1"/>
  <c r="DN34" i="1"/>
  <c r="DL58" i="1"/>
  <c r="DN32" i="1"/>
  <c r="DR16" i="1"/>
  <c r="DT84" i="1"/>
  <c r="DT83" i="1"/>
  <c r="DT82" i="1"/>
  <c r="DP23" i="1"/>
  <c r="DT144" i="1"/>
  <c r="DT94" i="1" s="1"/>
  <c r="DU4" i="1"/>
  <c r="DQ22" i="1"/>
  <c r="DR19" i="1"/>
  <c r="DQ35" i="1"/>
  <c r="DS147" i="1"/>
  <c r="DS98" i="1"/>
  <c r="DS97" i="1"/>
  <c r="DS11" i="1"/>
  <c r="DS148" i="1"/>
  <c r="DS13" i="1"/>
  <c r="DS9" i="1"/>
  <c r="DS15" i="1"/>
  <c r="DS5" i="1"/>
  <c r="DT6" i="1"/>
  <c r="DR64" i="1" l="1"/>
  <c r="DR65" i="1" s="1"/>
  <c r="DR45" i="1"/>
  <c r="DR44" i="1"/>
  <c r="DR48" i="1"/>
  <c r="DS14" i="1"/>
  <c r="DS64" i="1" s="1"/>
  <c r="DR55" i="1"/>
  <c r="DR53" i="1"/>
  <c r="DR27" i="1" s="1"/>
  <c r="DR46" i="1"/>
  <c r="DR43" i="1"/>
  <c r="DR52" i="1"/>
  <c r="DQ49" i="1"/>
  <c r="DO32" i="1"/>
  <c r="DO34" i="1"/>
  <c r="DS96" i="1"/>
  <c r="DI61" i="1"/>
  <c r="DI59" i="1"/>
  <c r="DQ30" i="1"/>
  <c r="DS16" i="1"/>
  <c r="DM54" i="1"/>
  <c r="DR29" i="1"/>
  <c r="DS12" i="1"/>
  <c r="DS29" i="1" s="1"/>
  <c r="DR47" i="1"/>
  <c r="DL61" i="1"/>
  <c r="DS10" i="1"/>
  <c r="DP24" i="1"/>
  <c r="DL59" i="1"/>
  <c r="DN36" i="1"/>
  <c r="DU84" i="1"/>
  <c r="DU82" i="1"/>
  <c r="DU83" i="1"/>
  <c r="DU144" i="1"/>
  <c r="DU94" i="1" s="1"/>
  <c r="DV4" i="1"/>
  <c r="DR22" i="1"/>
  <c r="DS19" i="1"/>
  <c r="DR35" i="1"/>
  <c r="DQ23" i="1"/>
  <c r="DQ24" i="1" s="1"/>
  <c r="DT157" i="1"/>
  <c r="DT100" i="1" s="1"/>
  <c r="DT147" i="1"/>
  <c r="DT97" i="1"/>
  <c r="DT98" i="1"/>
  <c r="DT148" i="1"/>
  <c r="DT96" i="1" s="1"/>
  <c r="DT13" i="1"/>
  <c r="DT9" i="1"/>
  <c r="DU6" i="1"/>
  <c r="DT15" i="1"/>
  <c r="DT11" i="1"/>
  <c r="DT5" i="1"/>
  <c r="DS52" i="1" l="1"/>
  <c r="DS45" i="1"/>
  <c r="DS43" i="1"/>
  <c r="DS48" i="1"/>
  <c r="DS42" i="1"/>
  <c r="DS47" i="1"/>
  <c r="DS55" i="1"/>
  <c r="DS53" i="1"/>
  <c r="DS27" i="1" s="1"/>
  <c r="DS44" i="1"/>
  <c r="DS46" i="1"/>
  <c r="DR49" i="1"/>
  <c r="DO36" i="1"/>
  <c r="DO38" i="1" s="1"/>
  <c r="DO54" i="1" s="1"/>
  <c r="DO56" i="1" s="1"/>
  <c r="DO58" i="1" s="1"/>
  <c r="DO59" i="1" s="1"/>
  <c r="DT16" i="1"/>
  <c r="DS65" i="1"/>
  <c r="DM56" i="1"/>
  <c r="DP32" i="1"/>
  <c r="DP34" i="1"/>
  <c r="DP33" i="1"/>
  <c r="DS28" i="1"/>
  <c r="DR30" i="1"/>
  <c r="DT12" i="1"/>
  <c r="DT28" i="1" s="1"/>
  <c r="DT10" i="1"/>
  <c r="DT14" i="1"/>
  <c r="DT44" i="1" s="1"/>
  <c r="DN38" i="1"/>
  <c r="DV84" i="1"/>
  <c r="DV82" i="1"/>
  <c r="DV83" i="1"/>
  <c r="DQ33" i="1"/>
  <c r="DQ34" i="1"/>
  <c r="DQ32" i="1"/>
  <c r="DR23" i="1"/>
  <c r="DR24" i="1" s="1"/>
  <c r="DS22" i="1"/>
  <c r="DT19" i="1"/>
  <c r="DS35" i="1"/>
  <c r="DU157" i="1"/>
  <c r="DU100" i="1" s="1"/>
  <c r="DU148" i="1"/>
  <c r="DU96" i="1" s="1"/>
  <c r="DU147" i="1"/>
  <c r="DV6" i="1"/>
  <c r="DU98" i="1"/>
  <c r="DU9" i="1"/>
  <c r="DU15" i="1"/>
  <c r="DU11" i="1"/>
  <c r="DU13" i="1"/>
  <c r="DU5" i="1"/>
  <c r="DU97" i="1"/>
  <c r="DV144" i="1"/>
  <c r="DV94" i="1" s="1"/>
  <c r="DW4" i="1"/>
  <c r="DU16" i="1" l="1"/>
  <c r="DS49" i="1"/>
  <c r="DT29" i="1"/>
  <c r="DS30" i="1"/>
  <c r="DM58" i="1"/>
  <c r="DT53" i="1"/>
  <c r="DT52" i="1"/>
  <c r="DT42" i="1"/>
  <c r="DP36" i="1"/>
  <c r="DT43" i="1"/>
  <c r="DT46" i="1"/>
  <c r="DT47" i="1"/>
  <c r="DU14" i="1"/>
  <c r="DU52" i="1" s="1"/>
  <c r="DT55" i="1"/>
  <c r="DT64" i="1"/>
  <c r="DT45" i="1"/>
  <c r="DT48" i="1"/>
  <c r="DU12" i="1"/>
  <c r="DU28" i="1" s="1"/>
  <c r="DN54" i="1"/>
  <c r="DU10" i="1"/>
  <c r="DW82" i="1"/>
  <c r="DW84" i="1"/>
  <c r="DW83" i="1"/>
  <c r="DO61" i="1"/>
  <c r="DR34" i="1"/>
  <c r="DR33" i="1"/>
  <c r="DR32" i="1"/>
  <c r="DQ36" i="1"/>
  <c r="DQ38" i="1" s="1"/>
  <c r="DV157" i="1"/>
  <c r="DV100" i="1" s="1"/>
  <c r="DV148" i="1"/>
  <c r="DV96" i="1" s="1"/>
  <c r="DV147" i="1"/>
  <c r="DW6" i="1"/>
  <c r="DV9" i="1"/>
  <c r="DV11" i="1"/>
  <c r="DV13" i="1"/>
  <c r="DV5" i="1"/>
  <c r="DV97" i="1"/>
  <c r="DV98" i="1"/>
  <c r="DV15" i="1"/>
  <c r="DV16" i="1" s="1"/>
  <c r="DU19" i="1"/>
  <c r="DT22" i="1"/>
  <c r="DT35" i="1"/>
  <c r="DS23" i="1"/>
  <c r="DW144" i="1"/>
  <c r="DX4" i="1"/>
  <c r="DU45" i="1" l="1"/>
  <c r="DU46" i="1"/>
  <c r="DU48" i="1"/>
  <c r="DV14" i="1"/>
  <c r="DV44" i="1" s="1"/>
  <c r="DW94" i="1"/>
  <c r="DM59" i="1"/>
  <c r="DM61" i="1"/>
  <c r="DT49" i="1"/>
  <c r="DU42" i="1"/>
  <c r="DU44" i="1"/>
  <c r="DU47" i="1"/>
  <c r="DT65" i="1"/>
  <c r="DU43" i="1"/>
  <c r="DU55" i="1"/>
  <c r="DT27" i="1"/>
  <c r="DU53" i="1"/>
  <c r="DU27" i="1" s="1"/>
  <c r="DU64" i="1"/>
  <c r="DU65" i="1" s="1"/>
  <c r="DV12" i="1"/>
  <c r="DV29" i="1" s="1"/>
  <c r="DU29" i="1"/>
  <c r="DP38" i="1"/>
  <c r="DN56" i="1"/>
  <c r="DS24" i="1"/>
  <c r="DV10" i="1"/>
  <c r="DX82" i="1"/>
  <c r="DX84" i="1"/>
  <c r="DX83" i="1"/>
  <c r="DR36" i="1"/>
  <c r="DX144" i="1"/>
  <c r="DX94" i="1" s="1"/>
  <c r="DY4" i="1"/>
  <c r="DW157" i="1"/>
  <c r="DW100" i="1" s="1"/>
  <c r="DW147" i="1"/>
  <c r="DW5" i="1"/>
  <c r="DW9" i="1"/>
  <c r="DX6" i="1"/>
  <c r="DW15" i="1"/>
  <c r="DW16" i="1" s="1"/>
  <c r="DW148" i="1"/>
  <c r="DW96" i="1" s="1"/>
  <c r="DW13" i="1"/>
  <c r="DW97" i="1"/>
  <c r="DW98" i="1"/>
  <c r="DW11" i="1"/>
  <c r="DQ54" i="1"/>
  <c r="DQ56" i="1" s="1"/>
  <c r="DQ58" i="1" s="1"/>
  <c r="DQ59" i="1" s="1"/>
  <c r="DT23" i="1"/>
  <c r="DT24" i="1" s="1"/>
  <c r="DV19" i="1"/>
  <c r="DU22" i="1"/>
  <c r="DU35" i="1"/>
  <c r="DU49" i="1" l="1"/>
  <c r="DV45" i="1"/>
  <c r="DW10" i="1"/>
  <c r="DV28" i="1"/>
  <c r="DV48" i="1"/>
  <c r="DV42" i="1"/>
  <c r="DV46" i="1"/>
  <c r="DV53" i="1"/>
  <c r="DV27" i="1" s="1"/>
  <c r="DV52" i="1"/>
  <c r="DV47" i="1"/>
  <c r="DV55" i="1"/>
  <c r="DV64" i="1"/>
  <c r="DV65" i="1" s="1"/>
  <c r="DV43" i="1"/>
  <c r="DW14" i="1"/>
  <c r="DW43" i="1" s="1"/>
  <c r="DU30" i="1"/>
  <c r="DT30" i="1"/>
  <c r="DT33" i="1" s="1"/>
  <c r="DW12" i="1"/>
  <c r="DW28" i="1" s="1"/>
  <c r="DP54" i="1"/>
  <c r="DS32" i="1"/>
  <c r="DS34" i="1"/>
  <c r="DN58" i="1"/>
  <c r="DS33" i="1"/>
  <c r="DR38" i="1"/>
  <c r="DY83" i="1"/>
  <c r="DY82" i="1"/>
  <c r="DY84" i="1"/>
  <c r="DY144" i="1"/>
  <c r="DY94" i="1" s="1"/>
  <c r="DZ4" i="1"/>
  <c r="DX147" i="1"/>
  <c r="DX148" i="1"/>
  <c r="DX96" i="1" s="1"/>
  <c r="DX5" i="1"/>
  <c r="DX157" i="1"/>
  <c r="DX100" i="1" s="1"/>
  <c r="DY6" i="1"/>
  <c r="DX15" i="1"/>
  <c r="DX16" i="1" s="1"/>
  <c r="DX97" i="1"/>
  <c r="DX98" i="1"/>
  <c r="DX9" i="1"/>
  <c r="DX10" i="1" s="1"/>
  <c r="DX11" i="1"/>
  <c r="DX13" i="1"/>
  <c r="DQ61" i="1"/>
  <c r="DU23" i="1"/>
  <c r="DW19" i="1"/>
  <c r="DV22" i="1"/>
  <c r="DV35" i="1"/>
  <c r="DV30" i="1" l="1"/>
  <c r="DW46" i="1"/>
  <c r="DW52" i="1"/>
  <c r="DW48" i="1"/>
  <c r="DW45" i="1"/>
  <c r="DW42" i="1"/>
  <c r="DW53" i="1"/>
  <c r="DW27" i="1" s="1"/>
  <c r="DW55" i="1"/>
  <c r="DX14" i="1"/>
  <c r="DX52" i="1" s="1"/>
  <c r="DW47" i="1"/>
  <c r="DW64" i="1"/>
  <c r="DW65" i="1" s="1"/>
  <c r="DW44" i="1"/>
  <c r="DX12" i="1"/>
  <c r="DX28" i="1" s="1"/>
  <c r="DV49" i="1"/>
  <c r="DW29" i="1"/>
  <c r="DT32" i="1"/>
  <c r="DT34" i="1"/>
  <c r="DS36" i="1"/>
  <c r="DS38" i="1" s="1"/>
  <c r="DP56" i="1"/>
  <c r="DN59" i="1"/>
  <c r="DN61" i="1"/>
  <c r="DR54" i="1"/>
  <c r="DU24" i="1"/>
  <c r="DU34" i="1" s="1"/>
  <c r="DZ83" i="1"/>
  <c r="DZ84" i="1"/>
  <c r="DZ82" i="1"/>
  <c r="DV23" i="1"/>
  <c r="DV24" i="1" s="1"/>
  <c r="DW22" i="1"/>
  <c r="DX19" i="1"/>
  <c r="DW35" i="1"/>
  <c r="DY148" i="1"/>
  <c r="DY96" i="1" s="1"/>
  <c r="DY157" i="1"/>
  <c r="DY100" i="1" s="1"/>
  <c r="DY97" i="1"/>
  <c r="DY147" i="1"/>
  <c r="DY15" i="1"/>
  <c r="DY16" i="1" s="1"/>
  <c r="DY11" i="1"/>
  <c r="DY5" i="1"/>
  <c r="DY98" i="1"/>
  <c r="DY9" i="1"/>
  <c r="DY10" i="1" s="1"/>
  <c r="DZ6" i="1"/>
  <c r="DY13" i="1"/>
  <c r="DZ144" i="1"/>
  <c r="EA4" i="1"/>
  <c r="DY14" i="1" l="1"/>
  <c r="DY42" i="1" s="1"/>
  <c r="DW49" i="1"/>
  <c r="DX42" i="1"/>
  <c r="DX55" i="1"/>
  <c r="DW30" i="1"/>
  <c r="DX46" i="1"/>
  <c r="DX47" i="1"/>
  <c r="DX64" i="1"/>
  <c r="DX65" i="1" s="1"/>
  <c r="DX48" i="1"/>
  <c r="DY12" i="1"/>
  <c r="DY28" i="1" s="1"/>
  <c r="DX53" i="1"/>
  <c r="DX27" i="1" s="1"/>
  <c r="DX44" i="1"/>
  <c r="DX45" i="1"/>
  <c r="DX43" i="1"/>
  <c r="DX29" i="1"/>
  <c r="DT36" i="1"/>
  <c r="DT38" i="1" s="1"/>
  <c r="DT54" i="1" s="1"/>
  <c r="DT56" i="1" s="1"/>
  <c r="DT58" i="1" s="1"/>
  <c r="DT59" i="1" s="1"/>
  <c r="DU33" i="1"/>
  <c r="DP58" i="1"/>
  <c r="DZ94" i="1"/>
  <c r="DS54" i="1"/>
  <c r="DU32" i="1"/>
  <c r="DR56" i="1"/>
  <c r="EA83" i="1"/>
  <c r="EA82" i="1"/>
  <c r="EA84" i="1"/>
  <c r="DV34" i="1"/>
  <c r="DV33" i="1"/>
  <c r="DV32" i="1"/>
  <c r="DZ157" i="1"/>
  <c r="DZ148" i="1"/>
  <c r="DZ98" i="1"/>
  <c r="DZ97" i="1"/>
  <c r="DZ147" i="1"/>
  <c r="DZ15" i="1"/>
  <c r="DZ11" i="1"/>
  <c r="DZ5" i="1"/>
  <c r="DZ13" i="1"/>
  <c r="DZ9" i="1"/>
  <c r="EA6" i="1"/>
  <c r="DX22" i="1"/>
  <c r="DY19" i="1"/>
  <c r="DX35" i="1"/>
  <c r="DW23" i="1"/>
  <c r="DW24" i="1" s="1"/>
  <c r="DY48" i="1"/>
  <c r="DY45" i="1"/>
  <c r="DY46" i="1"/>
  <c r="DY55" i="1"/>
  <c r="DY47" i="1"/>
  <c r="DY64" i="1"/>
  <c r="DY65" i="1" s="1"/>
  <c r="DY44" i="1"/>
  <c r="DY52" i="1"/>
  <c r="EB4" i="1"/>
  <c r="EA144" i="1"/>
  <c r="EA94" i="1" s="1"/>
  <c r="DY43" i="1" l="1"/>
  <c r="DY53" i="1"/>
  <c r="DY27" i="1" s="1"/>
  <c r="DX30" i="1"/>
  <c r="DY29" i="1"/>
  <c r="DX49" i="1"/>
  <c r="DT61" i="1"/>
  <c r="DU36" i="1"/>
  <c r="DS56" i="1"/>
  <c r="DP59" i="1"/>
  <c r="DP61" i="1"/>
  <c r="DZ96" i="1"/>
  <c r="DZ100" i="1"/>
  <c r="DZ12" i="1"/>
  <c r="DZ29" i="1" s="1"/>
  <c r="DZ16" i="1"/>
  <c r="DZ10" i="1"/>
  <c r="DZ14" i="1"/>
  <c r="DZ46" i="1" s="1"/>
  <c r="DR58" i="1"/>
  <c r="EB84" i="1"/>
  <c r="EB83" i="1"/>
  <c r="EB82" i="1"/>
  <c r="DY49" i="1"/>
  <c r="DV36" i="1"/>
  <c r="DV38" i="1" s="1"/>
  <c r="DW33" i="1"/>
  <c r="DW32" i="1"/>
  <c r="DW34" i="1"/>
  <c r="EB144" i="1"/>
  <c r="EC4" i="1"/>
  <c r="DY22" i="1"/>
  <c r="DZ19" i="1"/>
  <c r="DY35" i="1"/>
  <c r="DX23" i="1"/>
  <c r="DX24" i="1" s="1"/>
  <c r="EA157" i="1"/>
  <c r="EA100" i="1" s="1"/>
  <c r="EA11" i="1"/>
  <c r="EA98" i="1"/>
  <c r="EA13" i="1"/>
  <c r="EA9" i="1"/>
  <c r="EA15" i="1"/>
  <c r="EA5" i="1"/>
  <c r="EA147" i="1"/>
  <c r="EA148" i="1"/>
  <c r="EA96" i="1" s="1"/>
  <c r="EA97" i="1"/>
  <c r="EB6" i="1"/>
  <c r="DY30" i="1" l="1"/>
  <c r="DZ52" i="1"/>
  <c r="DZ64" i="1"/>
  <c r="DZ44" i="1"/>
  <c r="DS58" i="1"/>
  <c r="DS61" i="1" s="1"/>
  <c r="DU38" i="1"/>
  <c r="EA12" i="1"/>
  <c r="EA28" i="1" s="1"/>
  <c r="DZ28" i="1"/>
  <c r="EB94" i="1"/>
  <c r="DZ43" i="1"/>
  <c r="DZ55" i="1"/>
  <c r="DZ47" i="1"/>
  <c r="DZ53" i="1"/>
  <c r="DZ42" i="1"/>
  <c r="DZ45" i="1"/>
  <c r="EA14" i="1"/>
  <c r="EA53" i="1" s="1"/>
  <c r="EA27" i="1" s="1"/>
  <c r="DZ48" i="1"/>
  <c r="DR59" i="1"/>
  <c r="DR61" i="1"/>
  <c r="EA16" i="1"/>
  <c r="EA10" i="1"/>
  <c r="DZ65" i="1"/>
  <c r="EC84" i="1"/>
  <c r="EC83" i="1"/>
  <c r="EC82" i="1"/>
  <c r="DV54" i="1"/>
  <c r="DW36" i="1"/>
  <c r="DW38" i="1" s="1"/>
  <c r="DW54" i="1" s="1"/>
  <c r="DW56" i="1" s="1"/>
  <c r="DW58" i="1" s="1"/>
  <c r="DW59" i="1" s="1"/>
  <c r="DX34" i="1"/>
  <c r="DX32" i="1"/>
  <c r="DX33" i="1"/>
  <c r="EB157" i="1"/>
  <c r="EB100" i="1" s="1"/>
  <c r="EB97" i="1"/>
  <c r="EB98" i="1"/>
  <c r="EB13" i="1"/>
  <c r="EB9" i="1"/>
  <c r="EB147" i="1"/>
  <c r="EB148" i="1"/>
  <c r="EB96" i="1" s="1"/>
  <c r="EB11" i="1"/>
  <c r="EB5" i="1"/>
  <c r="EC6" i="1"/>
  <c r="EB15" i="1"/>
  <c r="DZ22" i="1"/>
  <c r="EA19" i="1"/>
  <c r="DZ35" i="1"/>
  <c r="EC144" i="1"/>
  <c r="EC94" i="1" s="1"/>
  <c r="ED4" i="1"/>
  <c r="DY23" i="1"/>
  <c r="DY24" i="1" s="1"/>
  <c r="DS59" i="1" l="1"/>
  <c r="EB12" i="1"/>
  <c r="EA52" i="1"/>
  <c r="EA29" i="1"/>
  <c r="EA30" i="1" s="1"/>
  <c r="DU54" i="1"/>
  <c r="EA64" i="1"/>
  <c r="EA65" i="1" s="1"/>
  <c r="DV56" i="1"/>
  <c r="DV58" i="1" s="1"/>
  <c r="DV59" i="1" s="1"/>
  <c r="DZ49" i="1"/>
  <c r="EA45" i="1"/>
  <c r="EA43" i="1"/>
  <c r="EA46" i="1"/>
  <c r="DZ27" i="1"/>
  <c r="EA55" i="1"/>
  <c r="EA47" i="1"/>
  <c r="EB14" i="1"/>
  <c r="EB47" i="1" s="1"/>
  <c r="EA44" i="1"/>
  <c r="EA48" i="1"/>
  <c r="EA42" i="1"/>
  <c r="EB16" i="1"/>
  <c r="EB10" i="1"/>
  <c r="ED84" i="1"/>
  <c r="ED82" i="1"/>
  <c r="ED83" i="1"/>
  <c r="DY32" i="1"/>
  <c r="DY34" i="1"/>
  <c r="DY33" i="1"/>
  <c r="EC157" i="1"/>
  <c r="EC100" i="1" s="1"/>
  <c r="EC98" i="1"/>
  <c r="ED6" i="1"/>
  <c r="EC97" i="1"/>
  <c r="EC148" i="1"/>
  <c r="EC96" i="1" s="1"/>
  <c r="EC11" i="1"/>
  <c r="EC12" i="1" s="1"/>
  <c r="EC13" i="1"/>
  <c r="EC147" i="1"/>
  <c r="EC9" i="1"/>
  <c r="EC15" i="1"/>
  <c r="EC5" i="1"/>
  <c r="DX36" i="1"/>
  <c r="EB28" i="1"/>
  <c r="EB29" i="1"/>
  <c r="DZ23" i="1"/>
  <c r="EE4" i="1"/>
  <c r="ED144" i="1"/>
  <c r="ED94" i="1" s="1"/>
  <c r="EA22" i="1"/>
  <c r="EB19" i="1"/>
  <c r="EA35" i="1"/>
  <c r="DW61" i="1"/>
  <c r="EB64" i="1" l="1"/>
  <c r="EB65" i="1" s="1"/>
  <c r="EB52" i="1"/>
  <c r="EB55" i="1"/>
  <c r="DU56" i="1"/>
  <c r="DV61" i="1"/>
  <c r="DX38" i="1"/>
  <c r="DX54" i="1" s="1"/>
  <c r="DX56" i="1" s="1"/>
  <c r="EB44" i="1"/>
  <c r="EB45" i="1"/>
  <c r="EB48" i="1"/>
  <c r="EB46" i="1"/>
  <c r="EB53" i="1"/>
  <c r="EB27" i="1" s="1"/>
  <c r="EB30" i="1" s="1"/>
  <c r="EB42" i="1"/>
  <c r="EA49" i="1"/>
  <c r="DZ30" i="1"/>
  <c r="EB43" i="1"/>
  <c r="EC16" i="1"/>
  <c r="EC14" i="1"/>
  <c r="EC52" i="1" s="1"/>
  <c r="EC10" i="1"/>
  <c r="DZ24" i="1"/>
  <c r="EE82" i="1"/>
  <c r="EE83" i="1"/>
  <c r="EE84" i="1"/>
  <c r="EC28" i="1"/>
  <c r="EC29" i="1"/>
  <c r="EE144" i="1"/>
  <c r="EF4" i="1"/>
  <c r="EA23" i="1"/>
  <c r="EA24" i="1" s="1"/>
  <c r="ED147" i="1"/>
  <c r="ED157" i="1"/>
  <c r="ED100" i="1" s="1"/>
  <c r="ED148" i="1"/>
  <c r="EE6" i="1"/>
  <c r="ED97" i="1"/>
  <c r="ED98" i="1"/>
  <c r="ED13" i="1"/>
  <c r="ED9" i="1"/>
  <c r="ED15" i="1"/>
  <c r="ED11" i="1"/>
  <c r="ED5" i="1"/>
  <c r="DY36" i="1"/>
  <c r="DY38" i="1" s="1"/>
  <c r="EC19" i="1"/>
  <c r="EB22" i="1"/>
  <c r="EB35" i="1"/>
  <c r="ED16" i="1" l="1"/>
  <c r="EC47" i="1"/>
  <c r="DU58" i="1"/>
  <c r="EB49" i="1"/>
  <c r="EE94" i="1"/>
  <c r="DZ34" i="1"/>
  <c r="ED96" i="1"/>
  <c r="DZ32" i="1"/>
  <c r="ED14" i="1"/>
  <c r="ED44" i="1" s="1"/>
  <c r="EC43" i="1"/>
  <c r="ED10" i="1"/>
  <c r="EC46" i="1"/>
  <c r="EC48" i="1"/>
  <c r="DX58" i="1"/>
  <c r="EC53" i="1"/>
  <c r="EC44" i="1"/>
  <c r="EC45" i="1"/>
  <c r="EC42" i="1"/>
  <c r="EC55" i="1"/>
  <c r="EC64" i="1"/>
  <c r="ED12" i="1"/>
  <c r="ED28" i="1" s="1"/>
  <c r="DZ33" i="1"/>
  <c r="EF82" i="1"/>
  <c r="EF84" i="1"/>
  <c r="EF83" i="1"/>
  <c r="EA33" i="1"/>
  <c r="EA32" i="1"/>
  <c r="EA34" i="1"/>
  <c r="DY54" i="1"/>
  <c r="DY56" i="1" s="1"/>
  <c r="DY58" i="1" s="1"/>
  <c r="DY59" i="1" s="1"/>
  <c r="EF144" i="1"/>
  <c r="EF94" i="1" s="1"/>
  <c r="EG4" i="1"/>
  <c r="EE147" i="1"/>
  <c r="EE157" i="1"/>
  <c r="EE100" i="1" s="1"/>
  <c r="EE148" i="1"/>
  <c r="EE97" i="1"/>
  <c r="EE98" i="1"/>
  <c r="EE5" i="1"/>
  <c r="EE9" i="1"/>
  <c r="EF6" i="1"/>
  <c r="EE11" i="1"/>
  <c r="EE15" i="1"/>
  <c r="EE16" i="1" s="1"/>
  <c r="EE13" i="1"/>
  <c r="ED19" i="1"/>
  <c r="EC22" i="1"/>
  <c r="EC35" i="1"/>
  <c r="EB23" i="1"/>
  <c r="EB24" i="1" s="1"/>
  <c r="ED45" i="1" l="1"/>
  <c r="ED46" i="1"/>
  <c r="ED53" i="1"/>
  <c r="ED27" i="1" s="1"/>
  <c r="ED42" i="1"/>
  <c r="EE96" i="1"/>
  <c r="DU59" i="1"/>
  <c r="DU61" i="1"/>
  <c r="ED55" i="1"/>
  <c r="ED47" i="1"/>
  <c r="ED64" i="1"/>
  <c r="ED65" i="1" s="1"/>
  <c r="ED52" i="1"/>
  <c r="ED48" i="1"/>
  <c r="DZ36" i="1"/>
  <c r="DZ38" i="1" s="1"/>
  <c r="EE10" i="1"/>
  <c r="ED43" i="1"/>
  <c r="EC65" i="1"/>
  <c r="EC49" i="1"/>
  <c r="ED29" i="1"/>
  <c r="EC27" i="1"/>
  <c r="EE14" i="1"/>
  <c r="EE48" i="1" s="1"/>
  <c r="DX59" i="1"/>
  <c r="EE12" i="1"/>
  <c r="EE29" i="1" s="1"/>
  <c r="DX61" i="1"/>
  <c r="EG83" i="1"/>
  <c r="EG84" i="1"/>
  <c r="EG82" i="1"/>
  <c r="EB32" i="1"/>
  <c r="EB34" i="1"/>
  <c r="EB33" i="1"/>
  <c r="EC23" i="1"/>
  <c r="EF147" i="1"/>
  <c r="EF148" i="1"/>
  <c r="EF96" i="1" s="1"/>
  <c r="EF5" i="1"/>
  <c r="EF157" i="1"/>
  <c r="EF100" i="1" s="1"/>
  <c r="EF9" i="1"/>
  <c r="EF97" i="1"/>
  <c r="EG6" i="1"/>
  <c r="EF98" i="1"/>
  <c r="EF15" i="1"/>
  <c r="EF16" i="1" s="1"/>
  <c r="EF11" i="1"/>
  <c r="EF13" i="1"/>
  <c r="EE19" i="1"/>
  <c r="ED22" i="1"/>
  <c r="ED35" i="1"/>
  <c r="DY61" i="1"/>
  <c r="EA36" i="1"/>
  <c r="EA38" i="1" s="1"/>
  <c r="EG144" i="1"/>
  <c r="EG94" i="1" s="1"/>
  <c r="EH4" i="1"/>
  <c r="ED30" i="1" l="1"/>
  <c r="ED49" i="1"/>
  <c r="EF10" i="1"/>
  <c r="EE55" i="1"/>
  <c r="EE42" i="1"/>
  <c r="EE28" i="1"/>
  <c r="EF12" i="1"/>
  <c r="EF28" i="1" s="1"/>
  <c r="EE64" i="1"/>
  <c r="EE44" i="1"/>
  <c r="EE53" i="1"/>
  <c r="EC30" i="1"/>
  <c r="EE47" i="1"/>
  <c r="DZ54" i="1"/>
  <c r="EC24" i="1"/>
  <c r="EE43" i="1"/>
  <c r="EE45" i="1"/>
  <c r="EE46" i="1"/>
  <c r="EE52" i="1"/>
  <c r="EF14" i="1"/>
  <c r="EF53" i="1" s="1"/>
  <c r="EF27" i="1" s="1"/>
  <c r="EH83" i="1"/>
  <c r="EH84" i="1"/>
  <c r="EH82" i="1"/>
  <c r="EG157" i="1"/>
  <c r="EG100" i="1" s="1"/>
  <c r="EG148" i="1"/>
  <c r="EG96" i="1" s="1"/>
  <c r="EG15" i="1"/>
  <c r="EG16" i="1" s="1"/>
  <c r="EG9" i="1"/>
  <c r="EG97" i="1"/>
  <c r="EH6" i="1"/>
  <c r="EG98" i="1"/>
  <c r="EG147" i="1"/>
  <c r="EG11" i="1"/>
  <c r="EG13" i="1"/>
  <c r="EG5" i="1"/>
  <c r="ED23" i="1"/>
  <c r="ED24" i="1" s="1"/>
  <c r="EE22" i="1"/>
  <c r="EF19" i="1"/>
  <c r="EE35" i="1"/>
  <c r="EB36" i="1"/>
  <c r="EB38" i="1" s="1"/>
  <c r="EH144" i="1"/>
  <c r="EI4" i="1"/>
  <c r="EA54" i="1"/>
  <c r="EA56" i="1" s="1"/>
  <c r="EA58" i="1" s="1"/>
  <c r="EA59" i="1" s="1"/>
  <c r="EH94" i="1" l="1"/>
  <c r="EG12" i="1"/>
  <c r="EG28" i="1" s="1"/>
  <c r="EE65" i="1"/>
  <c r="EF52" i="1"/>
  <c r="EE49" i="1"/>
  <c r="EC33" i="1"/>
  <c r="EF64" i="1"/>
  <c r="EF65" i="1" s="1"/>
  <c r="EF45" i="1"/>
  <c r="EF47" i="1"/>
  <c r="EF55" i="1"/>
  <c r="EF42" i="1"/>
  <c r="EF46" i="1"/>
  <c r="EG14" i="1"/>
  <c r="EG48" i="1" s="1"/>
  <c r="EF48" i="1"/>
  <c r="EF29" i="1"/>
  <c r="DZ56" i="1"/>
  <c r="EC32" i="1"/>
  <c r="EC34" i="1"/>
  <c r="EF44" i="1"/>
  <c r="EF43" i="1"/>
  <c r="EG10" i="1"/>
  <c r="EE27" i="1"/>
  <c r="EI83" i="1"/>
  <c r="EI82" i="1"/>
  <c r="EI84" i="1"/>
  <c r="ED32" i="1"/>
  <c r="ED33" i="1"/>
  <c r="ED34" i="1"/>
  <c r="EA61" i="1"/>
  <c r="EH157" i="1"/>
  <c r="EH100" i="1" s="1"/>
  <c r="EH148" i="1"/>
  <c r="EH96" i="1" s="1"/>
  <c r="EH98" i="1"/>
  <c r="EH147" i="1"/>
  <c r="EH97" i="1"/>
  <c r="EH15" i="1"/>
  <c r="EH16" i="1" s="1"/>
  <c r="EH11" i="1"/>
  <c r="EI6" i="1"/>
  <c r="EH13" i="1"/>
  <c r="EH5" i="1"/>
  <c r="EH9" i="1"/>
  <c r="EF22" i="1"/>
  <c r="EG19" i="1"/>
  <c r="EF35" i="1"/>
  <c r="EB54" i="1"/>
  <c r="EB56" i="1" s="1"/>
  <c r="EB58" i="1" s="1"/>
  <c r="EB59" i="1" s="1"/>
  <c r="EE23" i="1"/>
  <c r="EG29" i="1"/>
  <c r="EI144" i="1"/>
  <c r="EI94" i="1" s="1"/>
  <c r="EJ4" i="1"/>
  <c r="EG42" i="1" l="1"/>
  <c r="EG43" i="1"/>
  <c r="EG46" i="1"/>
  <c r="EG53" i="1"/>
  <c r="EG27" i="1" s="1"/>
  <c r="EG30" i="1" s="1"/>
  <c r="EG64" i="1"/>
  <c r="EG65" i="1" s="1"/>
  <c r="EG55" i="1"/>
  <c r="EH12" i="1"/>
  <c r="EH29" i="1" s="1"/>
  <c r="EG47" i="1"/>
  <c r="EF30" i="1"/>
  <c r="EG45" i="1"/>
  <c r="EG44" i="1"/>
  <c r="EE30" i="1"/>
  <c r="EF49" i="1"/>
  <c r="EC36" i="1"/>
  <c r="EC38" i="1"/>
  <c r="EH10" i="1"/>
  <c r="EE24" i="1"/>
  <c r="EH14" i="1"/>
  <c r="EH53" i="1" s="1"/>
  <c r="EG52" i="1"/>
  <c r="DZ58" i="1"/>
  <c r="EJ84" i="1"/>
  <c r="EJ82" i="1"/>
  <c r="EJ83" i="1"/>
  <c r="EG22" i="1"/>
  <c r="EH19" i="1"/>
  <c r="EG35" i="1"/>
  <c r="EF23" i="1"/>
  <c r="EF24" i="1" s="1"/>
  <c r="EB61" i="1"/>
  <c r="EJ144" i="1"/>
  <c r="EJ94" i="1" s="1"/>
  <c r="EK4" i="1"/>
  <c r="EI157" i="1"/>
  <c r="EI100" i="1" s="1"/>
  <c r="EI148" i="1"/>
  <c r="EI147" i="1"/>
  <c r="EI97" i="1"/>
  <c r="EI11" i="1"/>
  <c r="EI13" i="1"/>
  <c r="EI9" i="1"/>
  <c r="EI98" i="1"/>
  <c r="EI15" i="1"/>
  <c r="EI16" i="1" s="1"/>
  <c r="EI5" i="1"/>
  <c r="EJ6" i="1"/>
  <c r="ED36" i="1"/>
  <c r="ED38" i="1" s="1"/>
  <c r="EG49" i="1" l="1"/>
  <c r="EH28" i="1"/>
  <c r="EI12" i="1"/>
  <c r="EI96" i="1"/>
  <c r="EE33" i="1"/>
  <c r="EH64" i="1"/>
  <c r="EE34" i="1"/>
  <c r="EH43" i="1"/>
  <c r="EE32" i="1"/>
  <c r="EH27" i="1"/>
  <c r="EH30" i="1" s="1"/>
  <c r="EH55" i="1"/>
  <c r="EH46" i="1"/>
  <c r="EI14" i="1"/>
  <c r="EI53" i="1" s="1"/>
  <c r="EI27" i="1" s="1"/>
  <c r="EH48" i="1"/>
  <c r="DZ59" i="1"/>
  <c r="DZ61" i="1"/>
  <c r="EC54" i="1"/>
  <c r="EH47" i="1"/>
  <c r="EH52" i="1"/>
  <c r="EH44" i="1"/>
  <c r="EH45" i="1"/>
  <c r="EI10" i="1"/>
  <c r="EH42" i="1"/>
  <c r="EK84" i="1"/>
  <c r="EK83" i="1"/>
  <c r="EK82" i="1"/>
  <c r="EI29" i="1"/>
  <c r="EI28" i="1"/>
  <c r="EF32" i="1"/>
  <c r="EF33" i="1"/>
  <c r="EF34" i="1"/>
  <c r="EL4" i="1"/>
  <c r="EK144" i="1"/>
  <c r="EK94" i="1" s="1"/>
  <c r="ED54" i="1"/>
  <c r="ED56" i="1" s="1"/>
  <c r="ED58" i="1" s="1"/>
  <c r="ED59" i="1" s="1"/>
  <c r="EH22" i="1"/>
  <c r="EI19" i="1"/>
  <c r="EH35" i="1"/>
  <c r="EJ148" i="1"/>
  <c r="EJ96" i="1" s="1"/>
  <c r="EJ97" i="1"/>
  <c r="EJ147" i="1"/>
  <c r="EJ157" i="1"/>
  <c r="EJ100" i="1" s="1"/>
  <c r="EJ13" i="1"/>
  <c r="EJ9" i="1"/>
  <c r="EJ98" i="1"/>
  <c r="EJ15" i="1"/>
  <c r="EJ16" i="1" s="1"/>
  <c r="EJ5" i="1"/>
  <c r="EJ11" i="1"/>
  <c r="EK6" i="1"/>
  <c r="EG23" i="1"/>
  <c r="EJ12" i="1" l="1"/>
  <c r="EJ29" i="1" s="1"/>
  <c r="EH65" i="1"/>
  <c r="EH49" i="1"/>
  <c r="EJ10" i="1"/>
  <c r="EI46" i="1"/>
  <c r="EE36" i="1"/>
  <c r="EI64" i="1"/>
  <c r="EI65" i="1" s="1"/>
  <c r="EI52" i="1"/>
  <c r="EI42" i="1"/>
  <c r="EI48" i="1"/>
  <c r="EI44" i="1"/>
  <c r="EJ14" i="1"/>
  <c r="EJ53" i="1" s="1"/>
  <c r="EJ27" i="1" s="1"/>
  <c r="EI45" i="1"/>
  <c r="EC56" i="1"/>
  <c r="EG24" i="1"/>
  <c r="EI43" i="1"/>
  <c r="EI47" i="1"/>
  <c r="EI55" i="1"/>
  <c r="EL84" i="1"/>
  <c r="EL82" i="1"/>
  <c r="EL83" i="1"/>
  <c r="EH23" i="1"/>
  <c r="EH24" i="1" s="1"/>
  <c r="EK157" i="1"/>
  <c r="EK100" i="1" s="1"/>
  <c r="EK147" i="1"/>
  <c r="EK98" i="1"/>
  <c r="EL6" i="1"/>
  <c r="EK97" i="1"/>
  <c r="EK15" i="1"/>
  <c r="EK16" i="1" s="1"/>
  <c r="EK5" i="1"/>
  <c r="EK11" i="1"/>
  <c r="EK148" i="1"/>
  <c r="EK13" i="1"/>
  <c r="EK9" i="1"/>
  <c r="EF36" i="1"/>
  <c r="EF38" i="1" s="1"/>
  <c r="EI22" i="1"/>
  <c r="EJ19" i="1"/>
  <c r="EI35" i="1"/>
  <c r="EI30" i="1"/>
  <c r="EL144" i="1"/>
  <c r="EM4" i="1"/>
  <c r="ED61" i="1"/>
  <c r="EJ28" i="1" l="1"/>
  <c r="EK12" i="1"/>
  <c r="EK96" i="1"/>
  <c r="EG34" i="1"/>
  <c r="EE38" i="1"/>
  <c r="EJ43" i="1"/>
  <c r="EJ44" i="1"/>
  <c r="EJ48" i="1"/>
  <c r="EK10" i="1"/>
  <c r="EL94" i="1"/>
  <c r="EI49" i="1"/>
  <c r="EJ52" i="1"/>
  <c r="EJ45" i="1"/>
  <c r="EJ55" i="1"/>
  <c r="EJ64" i="1"/>
  <c r="EK14" i="1"/>
  <c r="EK43" i="1" s="1"/>
  <c r="EJ46" i="1"/>
  <c r="EG33" i="1"/>
  <c r="EG32" i="1"/>
  <c r="EJ47" i="1"/>
  <c r="EC58" i="1"/>
  <c r="EJ42" i="1"/>
  <c r="EM82" i="1"/>
  <c r="EM84" i="1"/>
  <c r="EM83" i="1"/>
  <c r="EK29" i="1"/>
  <c r="EK28" i="1"/>
  <c r="EH32" i="1"/>
  <c r="EH33" i="1"/>
  <c r="EH34" i="1"/>
  <c r="EF54" i="1"/>
  <c r="EF56" i="1" s="1"/>
  <c r="EF58" i="1" s="1"/>
  <c r="EF59" i="1" s="1"/>
  <c r="EK19" i="1"/>
  <c r="EJ22" i="1"/>
  <c r="EJ35" i="1"/>
  <c r="EL157" i="1"/>
  <c r="EL100" i="1" s="1"/>
  <c r="EL98" i="1"/>
  <c r="EM6" i="1"/>
  <c r="EL148" i="1"/>
  <c r="EL11" i="1"/>
  <c r="EL13" i="1"/>
  <c r="EL97" i="1"/>
  <c r="EL15" i="1"/>
  <c r="EL5" i="1"/>
  <c r="EL9" i="1"/>
  <c r="EL147" i="1"/>
  <c r="EJ30" i="1"/>
  <c r="EI23" i="1"/>
  <c r="EI24" i="1" s="1"/>
  <c r="EN4" i="1"/>
  <c r="EM144" i="1"/>
  <c r="EM94" i="1" s="1"/>
  <c r="EK64" i="1" l="1"/>
  <c r="EK65" i="1" s="1"/>
  <c r="EK47" i="1"/>
  <c r="EJ65" i="1"/>
  <c r="EK53" i="1"/>
  <c r="EK27" i="1" s="1"/>
  <c r="EK30" i="1" s="1"/>
  <c r="EG36" i="1"/>
  <c r="EK42" i="1"/>
  <c r="EK52" i="1"/>
  <c r="EE54" i="1"/>
  <c r="EK55" i="1"/>
  <c r="EK44" i="1"/>
  <c r="EL96" i="1"/>
  <c r="EJ49" i="1"/>
  <c r="EK48" i="1"/>
  <c r="EK45" i="1"/>
  <c r="EK46" i="1"/>
  <c r="EL10" i="1"/>
  <c r="EL16" i="1"/>
  <c r="EC59" i="1"/>
  <c r="EC61" i="1"/>
  <c r="EL12" i="1"/>
  <c r="EL29" i="1" s="1"/>
  <c r="EL14" i="1"/>
  <c r="EL42" i="1" s="1"/>
  <c r="EN82" i="1"/>
  <c r="EN84" i="1"/>
  <c r="EN83" i="1"/>
  <c r="EI32" i="1"/>
  <c r="EI34" i="1"/>
  <c r="EI33" i="1"/>
  <c r="EM147" i="1"/>
  <c r="EM157" i="1"/>
  <c r="EM100" i="1" s="1"/>
  <c r="EM5" i="1"/>
  <c r="EM148" i="1"/>
  <c r="EM96" i="1" s="1"/>
  <c r="EM11" i="1"/>
  <c r="EM13" i="1"/>
  <c r="EM97" i="1"/>
  <c r="EM15" i="1"/>
  <c r="EM98" i="1"/>
  <c r="EM9" i="1"/>
  <c r="EN6" i="1"/>
  <c r="EL19" i="1"/>
  <c r="EK22" i="1"/>
  <c r="EK35" i="1"/>
  <c r="EH36" i="1"/>
  <c r="EH38" i="1" s="1"/>
  <c r="EN144" i="1"/>
  <c r="EN94" i="1" s="1"/>
  <c r="EO4" i="1"/>
  <c r="EJ23" i="1"/>
  <c r="EJ24" i="1" s="1"/>
  <c r="EF61" i="1"/>
  <c r="EK49" i="1" l="1"/>
  <c r="EG38" i="1"/>
  <c r="EE56" i="1"/>
  <c r="EL28" i="1"/>
  <c r="EL43" i="1"/>
  <c r="EL44" i="1"/>
  <c r="EL64" i="1"/>
  <c r="EL65" i="1" s="1"/>
  <c r="EL45" i="1"/>
  <c r="EL49" i="1" s="1"/>
  <c r="EM16" i="1"/>
  <c r="EL48" i="1"/>
  <c r="EL53" i="1"/>
  <c r="EL27" i="1" s="1"/>
  <c r="EL47" i="1"/>
  <c r="EL55" i="1"/>
  <c r="EL46" i="1"/>
  <c r="EM14" i="1"/>
  <c r="EM47" i="1" s="1"/>
  <c r="EL52" i="1"/>
  <c r="EM10" i="1"/>
  <c r="EM12" i="1"/>
  <c r="EM28" i="1" s="1"/>
  <c r="EO83" i="1"/>
  <c r="EO84" i="1"/>
  <c r="EO82" i="1"/>
  <c r="EJ34" i="1"/>
  <c r="EJ33" i="1"/>
  <c r="EJ32" i="1"/>
  <c r="EH54" i="1"/>
  <c r="EH56" i="1" s="1"/>
  <c r="EH58" i="1" s="1"/>
  <c r="EH59" i="1" s="1"/>
  <c r="EK23" i="1"/>
  <c r="EK24" i="1" s="1"/>
  <c r="EM19" i="1"/>
  <c r="EL22" i="1"/>
  <c r="EL35" i="1"/>
  <c r="EN147" i="1"/>
  <c r="EN148" i="1"/>
  <c r="EN96" i="1" s="1"/>
  <c r="EN5" i="1"/>
  <c r="EN97" i="1"/>
  <c r="EN98" i="1"/>
  <c r="EN157" i="1"/>
  <c r="EN100" i="1" s="1"/>
  <c r="EN13" i="1"/>
  <c r="EN11" i="1"/>
  <c r="EN9" i="1"/>
  <c r="EO6" i="1"/>
  <c r="EN15" i="1"/>
  <c r="EO144" i="1"/>
  <c r="EP4" i="1"/>
  <c r="EI36" i="1"/>
  <c r="EI38" i="1" s="1"/>
  <c r="EN16" i="1" l="1"/>
  <c r="EM48" i="1"/>
  <c r="EL30" i="1"/>
  <c r="EG54" i="1"/>
  <c r="EE58" i="1"/>
  <c r="EM53" i="1"/>
  <c r="EM27" i="1" s="1"/>
  <c r="EM55" i="1"/>
  <c r="EM45" i="1"/>
  <c r="EO94" i="1"/>
  <c r="EM42" i="1"/>
  <c r="EM52" i="1"/>
  <c r="EM43" i="1"/>
  <c r="EN10" i="1"/>
  <c r="EM46" i="1"/>
  <c r="EM44" i="1"/>
  <c r="EM64" i="1"/>
  <c r="EM65" i="1" s="1"/>
  <c r="EM29" i="1"/>
  <c r="EN12" i="1"/>
  <c r="EN28" i="1" s="1"/>
  <c r="EN14" i="1"/>
  <c r="EN52" i="1" s="1"/>
  <c r="EP83" i="1"/>
  <c r="EP82" i="1"/>
  <c r="EP84" i="1"/>
  <c r="EH61" i="1"/>
  <c r="EK33" i="1"/>
  <c r="EK32" i="1"/>
  <c r="EK34" i="1"/>
  <c r="EN19" i="1"/>
  <c r="EM22" i="1"/>
  <c r="EM35" i="1"/>
  <c r="EJ36" i="1"/>
  <c r="EI54" i="1"/>
  <c r="EI56" i="1" s="1"/>
  <c r="EI58" i="1" s="1"/>
  <c r="EI59" i="1" s="1"/>
  <c r="EL23" i="1"/>
  <c r="EP144" i="1"/>
  <c r="EP94" i="1" s="1"/>
  <c r="EQ4" i="1"/>
  <c r="EO148" i="1"/>
  <c r="EO96" i="1" s="1"/>
  <c r="EO97" i="1"/>
  <c r="EO98" i="1"/>
  <c r="EO15" i="1"/>
  <c r="EO147" i="1"/>
  <c r="EO9" i="1"/>
  <c r="EO13" i="1"/>
  <c r="EO157" i="1"/>
  <c r="EO100" i="1" s="1"/>
  <c r="EO5" i="1"/>
  <c r="EP6" i="1"/>
  <c r="EO11" i="1"/>
  <c r="EM49" i="1" l="1"/>
  <c r="EE59" i="1"/>
  <c r="EE61" i="1"/>
  <c r="EG56" i="1"/>
  <c r="EJ38" i="1"/>
  <c r="EN29" i="1"/>
  <c r="EM30" i="1"/>
  <c r="EN53" i="1"/>
  <c r="EN43" i="1"/>
  <c r="EN64" i="1"/>
  <c r="EN65" i="1" s="1"/>
  <c r="EN55" i="1"/>
  <c r="EN44" i="1"/>
  <c r="EN45" i="1"/>
  <c r="EO10" i="1"/>
  <c r="EN47" i="1"/>
  <c r="EN48" i="1"/>
  <c r="EN46" i="1"/>
  <c r="EO14" i="1"/>
  <c r="EO42" i="1" s="1"/>
  <c r="EO16" i="1"/>
  <c r="EN42" i="1"/>
  <c r="EO12" i="1"/>
  <c r="EO29" i="1" s="1"/>
  <c r="EL24" i="1"/>
  <c r="EQ83" i="1"/>
  <c r="EQ82" i="1"/>
  <c r="EQ84" i="1"/>
  <c r="EK36" i="1"/>
  <c r="EK38" i="1" s="1"/>
  <c r="EK54" i="1" s="1"/>
  <c r="EK56" i="1" s="1"/>
  <c r="EK58" i="1" s="1"/>
  <c r="EK59" i="1" s="1"/>
  <c r="EQ144" i="1"/>
  <c r="EQ94" i="1" s="1"/>
  <c r="ER4" i="1"/>
  <c r="EO19" i="1"/>
  <c r="EN22" i="1"/>
  <c r="EN35" i="1"/>
  <c r="EM23" i="1"/>
  <c r="EM24" i="1" s="1"/>
  <c r="EP148" i="1"/>
  <c r="EP147" i="1"/>
  <c r="EP98" i="1"/>
  <c r="EP97" i="1"/>
  <c r="EP15" i="1"/>
  <c r="EP11" i="1"/>
  <c r="EP9" i="1"/>
  <c r="EQ6" i="1"/>
  <c r="EP5" i="1"/>
  <c r="EP13" i="1"/>
  <c r="EI61" i="1"/>
  <c r="EG58" i="1" l="1"/>
  <c r="EO53" i="1"/>
  <c r="EO27" i="1" s="1"/>
  <c r="EO48" i="1"/>
  <c r="EJ54" i="1"/>
  <c r="EO52" i="1"/>
  <c r="EO64" i="1"/>
  <c r="EO65" i="1" s="1"/>
  <c r="EO44" i="1"/>
  <c r="EO45" i="1"/>
  <c r="EN27" i="1"/>
  <c r="EO47" i="1"/>
  <c r="EO43" i="1"/>
  <c r="EO46" i="1"/>
  <c r="EP96" i="1"/>
  <c r="EO55" i="1"/>
  <c r="EO28" i="1"/>
  <c r="EP14" i="1"/>
  <c r="EP48" i="1" s="1"/>
  <c r="EL33" i="1"/>
  <c r="EP10" i="1"/>
  <c r="EP16" i="1"/>
  <c r="EL34" i="1"/>
  <c r="EP12" i="1"/>
  <c r="EP29" i="1" s="1"/>
  <c r="EL32" i="1"/>
  <c r="EN49" i="1"/>
  <c r="ER84" i="1"/>
  <c r="ER83" i="1"/>
  <c r="ER82" i="1"/>
  <c r="EM32" i="1"/>
  <c r="EM34" i="1"/>
  <c r="EM33" i="1"/>
  <c r="EN23" i="1"/>
  <c r="EN24" i="1" s="1"/>
  <c r="ER144" i="1"/>
  <c r="ER94" i="1" s="1"/>
  <c r="ES4" i="1"/>
  <c r="EO22" i="1"/>
  <c r="EP19" i="1"/>
  <c r="EO35" i="1"/>
  <c r="EQ156" i="1"/>
  <c r="EQ97" i="1"/>
  <c r="EQ98" i="1"/>
  <c r="EQ11" i="1"/>
  <c r="EQ147" i="1"/>
  <c r="EQ13" i="1"/>
  <c r="EQ9" i="1"/>
  <c r="ER6" i="1"/>
  <c r="EQ157" i="1"/>
  <c r="EQ100" i="1" s="1"/>
  <c r="EQ148" i="1"/>
  <c r="EQ96" i="1" s="1"/>
  <c r="EQ5" i="1"/>
  <c r="EQ15" i="1"/>
  <c r="EK61" i="1"/>
  <c r="EP28" i="1" l="1"/>
  <c r="EO30" i="1"/>
  <c r="EG59" i="1"/>
  <c r="EG61" i="1"/>
  <c r="EQ14" i="1"/>
  <c r="EQ64" i="1" s="1"/>
  <c r="EQ65" i="1" s="1"/>
  <c r="EP53" i="1"/>
  <c r="EP27" i="1" s="1"/>
  <c r="EP30" i="1" s="1"/>
  <c r="EJ56" i="1"/>
  <c r="EL36" i="1"/>
  <c r="EN30" i="1"/>
  <c r="EP43" i="1"/>
  <c r="EO49" i="1"/>
  <c r="EP44" i="1"/>
  <c r="EQ10" i="1"/>
  <c r="EP42" i="1"/>
  <c r="EP47" i="1"/>
  <c r="EP64" i="1"/>
  <c r="EQ16" i="1"/>
  <c r="EQ12" i="1"/>
  <c r="EQ28" i="1" s="1"/>
  <c r="EP45" i="1"/>
  <c r="EP46" i="1"/>
  <c r="EP52" i="1"/>
  <c r="EP55" i="1"/>
  <c r="ES84" i="1"/>
  <c r="ES83" i="1"/>
  <c r="ES82" i="1"/>
  <c r="EM36" i="1"/>
  <c r="EM38" i="1" s="1"/>
  <c r="EM54" i="1" s="1"/>
  <c r="EM56" i="1" s="1"/>
  <c r="EM58" i="1" s="1"/>
  <c r="EM59" i="1" s="1"/>
  <c r="EP22" i="1"/>
  <c r="EQ19" i="1"/>
  <c r="EP35" i="1"/>
  <c r="ES144" i="1"/>
  <c r="ES94" i="1" s="1"/>
  <c r="ET4" i="1"/>
  <c r="EO23" i="1"/>
  <c r="ER156" i="1"/>
  <c r="ER97" i="1"/>
  <c r="ER147" i="1"/>
  <c r="ER13" i="1"/>
  <c r="ER9" i="1"/>
  <c r="ES6" i="1"/>
  <c r="ER98" i="1"/>
  <c r="ER15" i="1"/>
  <c r="ER11" i="1"/>
  <c r="ER157" i="1"/>
  <c r="ER100" i="1" s="1"/>
  <c r="ER148" i="1"/>
  <c r="ER96" i="1" s="1"/>
  <c r="ER5" i="1"/>
  <c r="EQ52" i="1" l="1"/>
  <c r="EQ45" i="1"/>
  <c r="EQ48" i="1"/>
  <c r="ER14" i="1"/>
  <c r="ER46" i="1" s="1"/>
  <c r="EQ43" i="1"/>
  <c r="EQ44" i="1"/>
  <c r="EJ58" i="1"/>
  <c r="EQ55" i="1"/>
  <c r="ER12" i="1"/>
  <c r="ER28" i="1" s="1"/>
  <c r="EQ47" i="1"/>
  <c r="EQ29" i="1"/>
  <c r="EQ42" i="1"/>
  <c r="EQ53" i="1"/>
  <c r="EQ27" i="1" s="1"/>
  <c r="EQ46" i="1"/>
  <c r="EL38" i="1"/>
  <c r="EL54" i="1" s="1"/>
  <c r="EN34" i="1"/>
  <c r="EN33" i="1"/>
  <c r="EP65" i="1"/>
  <c r="EN32" i="1"/>
  <c r="ER16" i="1"/>
  <c r="EO24" i="1"/>
  <c r="EO33" i="1" s="1"/>
  <c r="ER10" i="1"/>
  <c r="EP49" i="1"/>
  <c r="ET84" i="1"/>
  <c r="ET82" i="1"/>
  <c r="ET83" i="1"/>
  <c r="EP23" i="1"/>
  <c r="ET144" i="1"/>
  <c r="ET94" i="1" s="1"/>
  <c r="EU4" i="1"/>
  <c r="ES157" i="1"/>
  <c r="ES100" i="1" s="1"/>
  <c r="ES148" i="1"/>
  <c r="ES96" i="1" s="1"/>
  <c r="ES147" i="1"/>
  <c r="ES97" i="1"/>
  <c r="ET6" i="1"/>
  <c r="ES9" i="1"/>
  <c r="ES15" i="1"/>
  <c r="ES5" i="1"/>
  <c r="ES156" i="1"/>
  <c r="ES11" i="1"/>
  <c r="ES13" i="1"/>
  <c r="ES98" i="1"/>
  <c r="EM61" i="1"/>
  <c r="ER19" i="1"/>
  <c r="EQ22" i="1"/>
  <c r="EQ35" i="1"/>
  <c r="ER64" i="1" l="1"/>
  <c r="ER65" i="1" s="1"/>
  <c r="ER42" i="1"/>
  <c r="ER52" i="1"/>
  <c r="ER53" i="1"/>
  <c r="ER27" i="1" s="1"/>
  <c r="ER43" i="1"/>
  <c r="ER44" i="1"/>
  <c r="ER47" i="1"/>
  <c r="ER45" i="1"/>
  <c r="EQ30" i="1"/>
  <c r="ER55" i="1"/>
  <c r="ER48" i="1"/>
  <c r="EO32" i="1"/>
  <c r="EO34" i="1"/>
  <c r="ER29" i="1"/>
  <c r="ER30" i="1" s="1"/>
  <c r="EQ49" i="1"/>
  <c r="ES12" i="1"/>
  <c r="ES28" i="1" s="1"/>
  <c r="EJ59" i="1"/>
  <c r="EJ61" i="1"/>
  <c r="EL56" i="1"/>
  <c r="EL58" i="1" s="1"/>
  <c r="ES16" i="1"/>
  <c r="EN36" i="1"/>
  <c r="EP24" i="1"/>
  <c r="EP33" i="1" s="1"/>
  <c r="ES14" i="1"/>
  <c r="ES43" i="1" s="1"/>
  <c r="ES10" i="1"/>
  <c r="EU82" i="1"/>
  <c r="EU83" i="1"/>
  <c r="EU84" i="1"/>
  <c r="EQ23" i="1"/>
  <c r="ES19" i="1"/>
  <c r="ER22" i="1"/>
  <c r="ER35" i="1"/>
  <c r="ET157" i="1"/>
  <c r="ET100" i="1" s="1"/>
  <c r="ET156" i="1"/>
  <c r="ET148" i="1"/>
  <c r="ET96" i="1" s="1"/>
  <c r="ET147" i="1"/>
  <c r="ET98" i="1"/>
  <c r="EU6" i="1"/>
  <c r="ET15" i="1"/>
  <c r="ET5" i="1"/>
  <c r="ET9" i="1"/>
  <c r="ET11" i="1"/>
  <c r="ET13" i="1"/>
  <c r="ET97" i="1"/>
  <c r="EU144" i="1"/>
  <c r="EU94" i="1" s="1"/>
  <c r="EV4" i="1"/>
  <c r="ER49" i="1" l="1"/>
  <c r="ES29" i="1"/>
  <c r="EO36" i="1"/>
  <c r="ET12" i="1"/>
  <c r="ET29" i="1" s="1"/>
  <c r="ES55" i="1"/>
  <c r="ES44" i="1"/>
  <c r="EP32" i="1"/>
  <c r="EP34" i="1"/>
  <c r="ET16" i="1"/>
  <c r="ES42" i="1"/>
  <c r="ET10" i="1"/>
  <c r="ES64" i="1"/>
  <c r="ES65" i="1" s="1"/>
  <c r="EN38" i="1"/>
  <c r="ES45" i="1"/>
  <c r="ET14" i="1"/>
  <c r="ET47" i="1" s="1"/>
  <c r="ES46" i="1"/>
  <c r="ES52" i="1"/>
  <c r="ES53" i="1"/>
  <c r="ES27" i="1" s="1"/>
  <c r="ES30" i="1" s="1"/>
  <c r="EO38" i="1"/>
  <c r="EL59" i="1"/>
  <c r="EL61" i="1"/>
  <c r="ES47" i="1"/>
  <c r="EQ24" i="1"/>
  <c r="EQ34" i="1" s="1"/>
  <c r="ES48" i="1"/>
  <c r="EV82" i="1"/>
  <c r="EV84" i="1"/>
  <c r="EV83" i="1"/>
  <c r="ET28" i="1"/>
  <c r="ER23" i="1"/>
  <c r="ER24" i="1" s="1"/>
  <c r="ET19" i="1"/>
  <c r="ES22" i="1"/>
  <c r="ES35" i="1"/>
  <c r="EV144" i="1"/>
  <c r="EV94" i="1" s="1"/>
  <c r="EW4" i="1"/>
  <c r="EU157" i="1"/>
  <c r="EU100" i="1" s="1"/>
  <c r="EU156" i="1"/>
  <c r="EU147" i="1"/>
  <c r="EU148" i="1"/>
  <c r="EU96" i="1" s="1"/>
  <c r="EU98" i="1"/>
  <c r="EU5" i="1"/>
  <c r="EU15" i="1"/>
  <c r="EU11" i="1"/>
  <c r="EU9" i="1"/>
  <c r="EV6" i="1"/>
  <c r="EU13" i="1"/>
  <c r="EU97" i="1"/>
  <c r="EU12" i="1" l="1"/>
  <c r="EP36" i="1"/>
  <c r="EP38" i="1" s="1"/>
  <c r="EP54" i="1" s="1"/>
  <c r="EP56" i="1" s="1"/>
  <c r="EP58" i="1" s="1"/>
  <c r="EP59" i="1" s="1"/>
  <c r="ET44" i="1"/>
  <c r="ET55" i="1"/>
  <c r="ET52" i="1"/>
  <c r="ET64" i="1"/>
  <c r="ET65" i="1" s="1"/>
  <c r="ET53" i="1"/>
  <c r="ET27" i="1" s="1"/>
  <c r="ET30" i="1" s="1"/>
  <c r="ET46" i="1"/>
  <c r="ET42" i="1"/>
  <c r="EU14" i="1"/>
  <c r="EU44" i="1" s="1"/>
  <c r="ET45" i="1"/>
  <c r="EU10" i="1"/>
  <c r="ET48" i="1"/>
  <c r="ET43" i="1"/>
  <c r="ES49" i="1"/>
  <c r="EN54" i="1"/>
  <c r="EU16" i="1"/>
  <c r="EO54" i="1"/>
  <c r="EQ32" i="1"/>
  <c r="EQ33" i="1"/>
  <c r="EW83" i="1"/>
  <c r="EW82" i="1"/>
  <c r="EW84" i="1"/>
  <c r="EU29" i="1"/>
  <c r="EU28" i="1"/>
  <c r="EW144" i="1"/>
  <c r="EW94" i="1" s="1"/>
  <c r="EX4" i="1"/>
  <c r="EV156" i="1"/>
  <c r="EV157" i="1"/>
  <c r="EV100" i="1" s="1"/>
  <c r="EV147" i="1"/>
  <c r="EV148" i="1"/>
  <c r="EV96" i="1" s="1"/>
  <c r="EV5" i="1"/>
  <c r="EV11" i="1"/>
  <c r="EV12" i="1" s="1"/>
  <c r="EV13" i="1"/>
  <c r="EV97" i="1"/>
  <c r="EV9" i="1"/>
  <c r="EW6" i="1"/>
  <c r="EV15" i="1"/>
  <c r="EV98" i="1"/>
  <c r="ER34" i="1"/>
  <c r="ER33" i="1"/>
  <c r="ER32" i="1"/>
  <c r="ES23" i="1"/>
  <c r="ET22" i="1"/>
  <c r="EU19" i="1"/>
  <c r="ET35" i="1"/>
  <c r="EV10" i="1" l="1"/>
  <c r="EU55" i="1"/>
  <c r="EU45" i="1"/>
  <c r="ET49" i="1"/>
  <c r="EU46" i="1"/>
  <c r="EU48" i="1"/>
  <c r="EU43" i="1"/>
  <c r="EU47" i="1"/>
  <c r="EV14" i="1"/>
  <c r="EV64" i="1" s="1"/>
  <c r="EV65" i="1" s="1"/>
  <c r="EU53" i="1"/>
  <c r="EU27" i="1" s="1"/>
  <c r="EU30" i="1" s="1"/>
  <c r="EU52" i="1"/>
  <c r="EV16" i="1"/>
  <c r="EU42" i="1"/>
  <c r="EU64" i="1"/>
  <c r="EU65" i="1" s="1"/>
  <c r="X54" i="1"/>
  <c r="EN56" i="1"/>
  <c r="EQ36" i="1"/>
  <c r="EQ38" i="1" s="1"/>
  <c r="EQ54" i="1" s="1"/>
  <c r="EQ56" i="1" s="1"/>
  <c r="EQ58" i="1" s="1"/>
  <c r="EQ59" i="1" s="1"/>
  <c r="ES24" i="1"/>
  <c r="ES32" i="1" s="1"/>
  <c r="EO56" i="1"/>
  <c r="EX83" i="1"/>
  <c r="EX82" i="1"/>
  <c r="EX84" i="1"/>
  <c r="ER36" i="1"/>
  <c r="ER38" i="1" s="1"/>
  <c r="ER54" i="1" s="1"/>
  <c r="ER56" i="1" s="1"/>
  <c r="ER58" i="1" s="1"/>
  <c r="ER59" i="1" s="1"/>
  <c r="EV29" i="1"/>
  <c r="EV28" i="1"/>
  <c r="EW148" i="1"/>
  <c r="EW96" i="1" s="1"/>
  <c r="EW157" i="1"/>
  <c r="EW100" i="1" s="1"/>
  <c r="EW15" i="1"/>
  <c r="EW16" i="1" s="1"/>
  <c r="EW11" i="1"/>
  <c r="EW12" i="1" s="1"/>
  <c r="EW5" i="1"/>
  <c r="EW13" i="1"/>
  <c r="EW156" i="1"/>
  <c r="EW97" i="1"/>
  <c r="EW98" i="1"/>
  <c r="EX6" i="1"/>
  <c r="EW147" i="1"/>
  <c r="EW9" i="1"/>
  <c r="EW10" i="1" s="1"/>
  <c r="EX144" i="1"/>
  <c r="EX94" i="1" s="1"/>
  <c r="EY4" i="1"/>
  <c r="EU22" i="1"/>
  <c r="EV19" i="1"/>
  <c r="EU35" i="1"/>
  <c r="ET23" i="1"/>
  <c r="ET24" i="1" s="1"/>
  <c r="EP61" i="1"/>
  <c r="EV47" i="1" l="1"/>
  <c r="EV42" i="1"/>
  <c r="EW14" i="1"/>
  <c r="EW55" i="1" s="1"/>
  <c r="EU49" i="1"/>
  <c r="EV44" i="1"/>
  <c r="EV46" i="1"/>
  <c r="EV52" i="1"/>
  <c r="EV53" i="1"/>
  <c r="EV27" i="1" s="1"/>
  <c r="EV30" i="1" s="1"/>
  <c r="EV55" i="1"/>
  <c r="EV45" i="1"/>
  <c r="EV48" i="1"/>
  <c r="EV43" i="1"/>
  <c r="ES34" i="1"/>
  <c r="ES33" i="1"/>
  <c r="EN58" i="1"/>
  <c r="EO58" i="1"/>
  <c r="EY83" i="1"/>
  <c r="EY84" i="1"/>
  <c r="EY82" i="1"/>
  <c r="EQ61" i="1"/>
  <c r="EW28" i="1"/>
  <c r="EW29" i="1"/>
  <c r="ET33" i="1"/>
  <c r="ET32" i="1"/>
  <c r="ET34" i="1"/>
  <c r="EY144" i="1"/>
  <c r="EY94" i="1" s="1"/>
  <c r="EZ4" i="1"/>
  <c r="ER61" i="1"/>
  <c r="EU23" i="1"/>
  <c r="EU24" i="1" s="1"/>
  <c r="EX157" i="1"/>
  <c r="EX100" i="1" s="1"/>
  <c r="EX148" i="1"/>
  <c r="EX96" i="1" s="1"/>
  <c r="EX98" i="1"/>
  <c r="EX15" i="1"/>
  <c r="EX16" i="1" s="1"/>
  <c r="EX11" i="1"/>
  <c r="EX12" i="1" s="1"/>
  <c r="EX13" i="1"/>
  <c r="EX156" i="1"/>
  <c r="EX97" i="1"/>
  <c r="EX147" i="1"/>
  <c r="EX9" i="1"/>
  <c r="EX10" i="1" s="1"/>
  <c r="EX5" i="1"/>
  <c r="EY6" i="1"/>
  <c r="EW19" i="1"/>
  <c r="EV22" i="1"/>
  <c r="EV35" i="1"/>
  <c r="EW48" i="1" l="1"/>
  <c r="EW43" i="1"/>
  <c r="EW44" i="1"/>
  <c r="EW45" i="1"/>
  <c r="EW47" i="1"/>
  <c r="EW42" i="1"/>
  <c r="EX14" i="1"/>
  <c r="EX43" i="1" s="1"/>
  <c r="EW46" i="1"/>
  <c r="EW53" i="1"/>
  <c r="EW27" i="1" s="1"/>
  <c r="EW30" i="1" s="1"/>
  <c r="EW52" i="1"/>
  <c r="EW64" i="1"/>
  <c r="EW65" i="1" s="1"/>
  <c r="ES36" i="1"/>
  <c r="ES38" i="1" s="1"/>
  <c r="ES54" i="1" s="1"/>
  <c r="EV49" i="1"/>
  <c r="EN61" i="1"/>
  <c r="EN59" i="1"/>
  <c r="EO59" i="1"/>
  <c r="EO61" i="1"/>
  <c r="EZ84" i="1"/>
  <c r="EZ83" i="1"/>
  <c r="EZ82" i="1"/>
  <c r="EX28" i="1"/>
  <c r="EX29" i="1"/>
  <c r="EU34" i="1"/>
  <c r="EU32" i="1"/>
  <c r="EU33" i="1"/>
  <c r="EZ144" i="1"/>
  <c r="EZ94" i="1" s="1"/>
  <c r="FA4" i="1"/>
  <c r="EV23" i="1"/>
  <c r="EV24" i="1" s="1"/>
  <c r="ET36" i="1"/>
  <c r="ET38" i="1" s="1"/>
  <c r="EY157" i="1"/>
  <c r="EY100" i="1" s="1"/>
  <c r="EY156" i="1"/>
  <c r="EY148" i="1"/>
  <c r="EY96" i="1" s="1"/>
  <c r="EY147" i="1"/>
  <c r="EY11" i="1"/>
  <c r="EY12" i="1" s="1"/>
  <c r="EY13" i="1"/>
  <c r="EY9" i="1"/>
  <c r="EY10" i="1" s="1"/>
  <c r="EY97" i="1"/>
  <c r="EY98" i="1"/>
  <c r="EY15" i="1"/>
  <c r="EY16" i="1" s="1"/>
  <c r="EY5" i="1"/>
  <c r="EZ6" i="1"/>
  <c r="EW22" i="1"/>
  <c r="EX19" i="1"/>
  <c r="EW35" i="1"/>
  <c r="EX48" i="1" l="1"/>
  <c r="EW49" i="1"/>
  <c r="EX52" i="1"/>
  <c r="EX64" i="1"/>
  <c r="EX65" i="1" s="1"/>
  <c r="EX44" i="1"/>
  <c r="EX45" i="1"/>
  <c r="EX42" i="1"/>
  <c r="EY14" i="1"/>
  <c r="EY47" i="1" s="1"/>
  <c r="EX46" i="1"/>
  <c r="EX55" i="1"/>
  <c r="EX53" i="1"/>
  <c r="EX27" i="1" s="1"/>
  <c r="EX30" i="1" s="1"/>
  <c r="EX47" i="1"/>
  <c r="ES56" i="1"/>
  <c r="FA84" i="1"/>
  <c r="FA83" i="1"/>
  <c r="FA82" i="1"/>
  <c r="EV34" i="1"/>
  <c r="EV32" i="1"/>
  <c r="EV33" i="1"/>
  <c r="EY29" i="1"/>
  <c r="EY28" i="1"/>
  <c r="FA144" i="1"/>
  <c r="FA94" i="1" s="1"/>
  <c r="FB4" i="1"/>
  <c r="EW23" i="1"/>
  <c r="EW24" i="1" s="1"/>
  <c r="EZ156" i="1"/>
  <c r="EZ147" i="1"/>
  <c r="EZ97" i="1"/>
  <c r="EZ157" i="1"/>
  <c r="EZ100" i="1" s="1"/>
  <c r="EZ13" i="1"/>
  <c r="EZ9" i="1"/>
  <c r="EZ10" i="1" s="1"/>
  <c r="EZ98" i="1"/>
  <c r="FA6" i="1"/>
  <c r="EZ15" i="1"/>
  <c r="EZ16" i="1" s="1"/>
  <c r="EZ11" i="1"/>
  <c r="EZ12" i="1" s="1"/>
  <c r="EZ5" i="1"/>
  <c r="EZ148" i="1"/>
  <c r="EZ96" i="1" s="1"/>
  <c r="EU36" i="1"/>
  <c r="EU38" i="1" s="1"/>
  <c r="EX22" i="1"/>
  <c r="EY19" i="1"/>
  <c r="EX35" i="1"/>
  <c r="ET54" i="1"/>
  <c r="ET56" i="1" s="1"/>
  <c r="ET58" i="1" s="1"/>
  <c r="ET59" i="1" s="1"/>
  <c r="EY45" i="1" l="1"/>
  <c r="EY43" i="1"/>
  <c r="EY55" i="1"/>
  <c r="EY42" i="1"/>
  <c r="EY53" i="1"/>
  <c r="EY27" i="1" s="1"/>
  <c r="EY30" i="1" s="1"/>
  <c r="EY64" i="1"/>
  <c r="EY65" i="1" s="1"/>
  <c r="EZ14" i="1"/>
  <c r="EZ52" i="1" s="1"/>
  <c r="EY48" i="1"/>
  <c r="EY49" i="1" s="1"/>
  <c r="EY52" i="1"/>
  <c r="EY46" i="1"/>
  <c r="EY44" i="1"/>
  <c r="EX49" i="1"/>
  <c r="ES58" i="1"/>
  <c r="FB84" i="1"/>
  <c r="FB82" i="1"/>
  <c r="FB83" i="1"/>
  <c r="ET61" i="1"/>
  <c r="EW34" i="1"/>
  <c r="EW33" i="1"/>
  <c r="EW32" i="1"/>
  <c r="EY22" i="1"/>
  <c r="EZ19" i="1"/>
  <c r="EY35" i="1"/>
  <c r="EZ29" i="1"/>
  <c r="EZ28" i="1"/>
  <c r="EX23" i="1"/>
  <c r="EX24" i="1" s="1"/>
  <c r="EU54" i="1"/>
  <c r="EU56" i="1" s="1"/>
  <c r="EU58" i="1" s="1"/>
  <c r="EU59" i="1" s="1"/>
  <c r="EV36" i="1"/>
  <c r="EV38" i="1" s="1"/>
  <c r="FA156" i="1"/>
  <c r="FA157" i="1"/>
  <c r="FA100" i="1" s="1"/>
  <c r="FA147" i="1"/>
  <c r="FA97" i="1"/>
  <c r="FA98" i="1"/>
  <c r="FB6" i="1"/>
  <c r="FA9" i="1"/>
  <c r="FA10" i="1" s="1"/>
  <c r="FA148" i="1"/>
  <c r="FA96" i="1" s="1"/>
  <c r="FA15" i="1"/>
  <c r="FA16" i="1" s="1"/>
  <c r="FA11" i="1"/>
  <c r="FA12" i="1" s="1"/>
  <c r="FA13" i="1"/>
  <c r="FA5" i="1"/>
  <c r="FB144" i="1"/>
  <c r="EZ55" i="1" l="1"/>
  <c r="EZ42" i="1"/>
  <c r="EZ43" i="1"/>
  <c r="EZ46" i="1"/>
  <c r="EZ64" i="1"/>
  <c r="EZ65" i="1" s="1"/>
  <c r="EZ53" i="1"/>
  <c r="EZ27" i="1" s="1"/>
  <c r="EZ30" i="1" s="1"/>
  <c r="EZ45" i="1"/>
  <c r="EZ44" i="1"/>
  <c r="EZ48" i="1"/>
  <c r="EZ47" i="1"/>
  <c r="FA14" i="1"/>
  <c r="FA52" i="1" s="1"/>
  <c r="O82" i="1"/>
  <c r="P82" i="1"/>
  <c r="Q82" i="1"/>
  <c r="R82" i="1"/>
  <c r="S82" i="1"/>
  <c r="T82" i="1"/>
  <c r="U82" i="1"/>
  <c r="V82" i="1"/>
  <c r="W82" i="1"/>
  <c r="X82" i="1"/>
  <c r="O144" i="1"/>
  <c r="P144" i="1"/>
  <c r="Q144" i="1"/>
  <c r="R144" i="1"/>
  <c r="S144" i="1"/>
  <c r="T144" i="1"/>
  <c r="U144" i="1"/>
  <c r="V144" i="1"/>
  <c r="W144" i="1"/>
  <c r="X144" i="1"/>
  <c r="O83" i="1"/>
  <c r="P83" i="1"/>
  <c r="Q83" i="1"/>
  <c r="R83" i="1"/>
  <c r="S83" i="1"/>
  <c r="T83" i="1"/>
  <c r="U83" i="1"/>
  <c r="V83" i="1"/>
  <c r="W83" i="1"/>
  <c r="X83" i="1"/>
  <c r="O84" i="1"/>
  <c r="P84" i="1"/>
  <c r="Q84" i="1"/>
  <c r="R84" i="1"/>
  <c r="S84" i="1"/>
  <c r="T84" i="1"/>
  <c r="U84" i="1"/>
  <c r="V84" i="1"/>
  <c r="W84" i="1"/>
  <c r="X84" i="1"/>
  <c r="FB94" i="1"/>
  <c r="ES59" i="1"/>
  <c r="ES61" i="1"/>
  <c r="G18" i="1"/>
  <c r="C17" i="1"/>
  <c r="G16" i="1"/>
  <c r="G17" i="1"/>
  <c r="C18" i="1"/>
  <c r="FA44" i="1"/>
  <c r="FA55" i="1"/>
  <c r="FA64" i="1"/>
  <c r="FA65" i="1" s="1"/>
  <c r="FA48" i="1"/>
  <c r="FA45" i="1"/>
  <c r="EV54" i="1"/>
  <c r="EV56" i="1" s="1"/>
  <c r="EV58" i="1" s="1"/>
  <c r="EV59" i="1" s="1"/>
  <c r="EY23" i="1"/>
  <c r="EY24" i="1" s="1"/>
  <c r="EW36" i="1"/>
  <c r="EW38" i="1" s="1"/>
  <c r="FA19" i="1"/>
  <c r="EZ22" i="1"/>
  <c r="EZ35" i="1"/>
  <c r="EX34" i="1"/>
  <c r="EX32" i="1"/>
  <c r="EX33" i="1"/>
  <c r="FA28" i="1"/>
  <c r="FA29" i="1"/>
  <c r="EU61" i="1"/>
  <c r="FB156" i="1"/>
  <c r="FB157" i="1"/>
  <c r="FB97" i="1"/>
  <c r="FB98" i="1"/>
  <c r="FB9" i="1"/>
  <c r="FB148" i="1"/>
  <c r="FB147" i="1"/>
  <c r="FB15" i="1"/>
  <c r="FB11" i="1"/>
  <c r="FB13" i="1"/>
  <c r="FB5" i="1"/>
  <c r="FA43" i="1" l="1"/>
  <c r="FA46" i="1"/>
  <c r="FA47" i="1"/>
  <c r="FA53" i="1"/>
  <c r="FA27" i="1" s="1"/>
  <c r="FA42" i="1"/>
  <c r="EZ49" i="1"/>
  <c r="Q157" i="1"/>
  <c r="R157" i="1"/>
  <c r="S157" i="1"/>
  <c r="T157" i="1"/>
  <c r="U157" i="1"/>
  <c r="Q156" i="1"/>
  <c r="R156" i="1"/>
  <c r="O98" i="1"/>
  <c r="Q98" i="1"/>
  <c r="T98" i="1"/>
  <c r="U98" i="1"/>
  <c r="V98" i="1"/>
  <c r="W98" i="1"/>
  <c r="X98" i="1"/>
  <c r="O97" i="1"/>
  <c r="Q97" i="1"/>
  <c r="T97" i="1"/>
  <c r="U97" i="1"/>
  <c r="V97" i="1"/>
  <c r="W97" i="1"/>
  <c r="X97" i="1"/>
  <c r="T147" i="1"/>
  <c r="U147" i="1"/>
  <c r="V147" i="1"/>
  <c r="W147" i="1"/>
  <c r="X147" i="1"/>
  <c r="O148" i="1"/>
  <c r="Q148" i="1"/>
  <c r="T148" i="1"/>
  <c r="U148" i="1"/>
  <c r="V148" i="1"/>
  <c r="W148" i="1"/>
  <c r="X148" i="1"/>
  <c r="O94" i="1"/>
  <c r="P94" i="1"/>
  <c r="Q94" i="1"/>
  <c r="R94" i="1"/>
  <c r="S94" i="1"/>
  <c r="T94" i="1"/>
  <c r="U94" i="1"/>
  <c r="V94" i="1"/>
  <c r="W94" i="1"/>
  <c r="X94" i="1"/>
  <c r="FB96" i="1"/>
  <c r="FB100" i="1"/>
  <c r="FB10" i="1"/>
  <c r="FB16" i="1"/>
  <c r="L82" i="1"/>
  <c r="L84" i="1"/>
  <c r="E18" i="1"/>
  <c r="FB14" i="1"/>
  <c r="FB48" i="1" s="1"/>
  <c r="FB12" i="1"/>
  <c r="FB29" i="1" s="1"/>
  <c r="EV61" i="1"/>
  <c r="L83" i="1"/>
  <c r="FB19" i="1"/>
  <c r="FA22" i="1"/>
  <c r="FA35" i="1"/>
  <c r="EW54" i="1"/>
  <c r="EW56" i="1" s="1"/>
  <c r="EW58" i="1" s="1"/>
  <c r="EW59" i="1" s="1"/>
  <c r="EZ23" i="1"/>
  <c r="EZ24" i="1" s="1"/>
  <c r="EY33" i="1"/>
  <c r="EY32" i="1"/>
  <c r="EY34" i="1"/>
  <c r="EX36" i="1"/>
  <c r="EX38" i="1" s="1"/>
  <c r="FA30" i="1"/>
  <c r="FA49" i="1" l="1"/>
  <c r="Q100" i="1"/>
  <c r="R100" i="1"/>
  <c r="S100" i="1"/>
  <c r="T100" i="1"/>
  <c r="U100" i="1"/>
  <c r="O96" i="1"/>
  <c r="Q96" i="1"/>
  <c r="T96" i="1"/>
  <c r="U96" i="1"/>
  <c r="V96" i="1"/>
  <c r="W96" i="1"/>
  <c r="X96" i="1"/>
  <c r="O48" i="1"/>
  <c r="P48" i="1"/>
  <c r="Q48" i="1"/>
  <c r="R48" i="1"/>
  <c r="S48" i="1"/>
  <c r="T48" i="1"/>
  <c r="U48" i="1"/>
  <c r="V48" i="1"/>
  <c r="W48" i="1"/>
  <c r="X48" i="1"/>
  <c r="O29" i="1"/>
  <c r="P29" i="1"/>
  <c r="Q29" i="1"/>
  <c r="R29" i="1"/>
  <c r="S29" i="1"/>
  <c r="T29" i="1"/>
  <c r="U29" i="1"/>
  <c r="V29" i="1"/>
  <c r="W29" i="1"/>
  <c r="X29" i="1"/>
  <c r="FB47" i="1"/>
  <c r="FB53" i="1"/>
  <c r="FB64" i="1"/>
  <c r="FB43" i="1"/>
  <c r="FB52" i="1"/>
  <c r="FB44" i="1"/>
  <c r="FB42" i="1"/>
  <c r="FB46" i="1"/>
  <c r="FB45" i="1"/>
  <c r="FB55" i="1"/>
  <c r="FB28" i="1"/>
  <c r="EZ33" i="1"/>
  <c r="EZ32" i="1"/>
  <c r="EZ34" i="1"/>
  <c r="FB22" i="1"/>
  <c r="FB35" i="1"/>
  <c r="EX54" i="1"/>
  <c r="EX56" i="1" s="1"/>
  <c r="EX58" i="1" s="1"/>
  <c r="EX59" i="1" s="1"/>
  <c r="FA23" i="1"/>
  <c r="FA24" i="1" s="1"/>
  <c r="EY36" i="1"/>
  <c r="EY38" i="1" s="1"/>
  <c r="EW61" i="1"/>
  <c r="O44" i="1" l="1"/>
  <c r="P44" i="1"/>
  <c r="Q44" i="1"/>
  <c r="R44" i="1"/>
  <c r="S44" i="1"/>
  <c r="T44" i="1"/>
  <c r="U44" i="1"/>
  <c r="V44" i="1"/>
  <c r="W44" i="1"/>
  <c r="X44" i="1"/>
  <c r="O55" i="1"/>
  <c r="P55" i="1"/>
  <c r="Q55" i="1"/>
  <c r="R55" i="1"/>
  <c r="S55" i="1"/>
  <c r="T55" i="1"/>
  <c r="U55" i="1"/>
  <c r="V55" i="1"/>
  <c r="W55" i="1"/>
  <c r="X55" i="1"/>
  <c r="O53" i="1"/>
  <c r="P53" i="1"/>
  <c r="Q53" i="1"/>
  <c r="R53" i="1"/>
  <c r="S53" i="1"/>
  <c r="T53" i="1"/>
  <c r="U53" i="1"/>
  <c r="V53" i="1"/>
  <c r="W53" i="1"/>
  <c r="X53" i="1"/>
  <c r="O45" i="1"/>
  <c r="P45" i="1"/>
  <c r="Q45" i="1"/>
  <c r="R45" i="1"/>
  <c r="S45" i="1"/>
  <c r="T45" i="1"/>
  <c r="U45" i="1"/>
  <c r="V45" i="1"/>
  <c r="W45" i="1"/>
  <c r="X45" i="1"/>
  <c r="O47" i="1"/>
  <c r="P47" i="1"/>
  <c r="Q47" i="1"/>
  <c r="R47" i="1"/>
  <c r="S47" i="1"/>
  <c r="T47" i="1"/>
  <c r="U47" i="1"/>
  <c r="V47" i="1"/>
  <c r="W47" i="1"/>
  <c r="X47" i="1"/>
  <c r="O52" i="1"/>
  <c r="P52" i="1"/>
  <c r="Q52" i="1"/>
  <c r="R52" i="1"/>
  <c r="S52" i="1"/>
  <c r="T52" i="1"/>
  <c r="U52" i="1"/>
  <c r="V52" i="1"/>
  <c r="W52" i="1"/>
  <c r="X52" i="1"/>
  <c r="O43" i="1"/>
  <c r="P43" i="1"/>
  <c r="Q43" i="1"/>
  <c r="R43" i="1"/>
  <c r="S43" i="1"/>
  <c r="T43" i="1"/>
  <c r="U43" i="1"/>
  <c r="V43" i="1"/>
  <c r="W43" i="1"/>
  <c r="X43" i="1"/>
  <c r="O28" i="1"/>
  <c r="P28" i="1"/>
  <c r="Q28" i="1"/>
  <c r="R28" i="1"/>
  <c r="S28" i="1"/>
  <c r="T28" i="1"/>
  <c r="U28" i="1"/>
  <c r="V28" i="1"/>
  <c r="W28" i="1"/>
  <c r="X28" i="1"/>
  <c r="O64" i="1"/>
  <c r="P64" i="1"/>
  <c r="Q64" i="1"/>
  <c r="R64" i="1"/>
  <c r="S64" i="1"/>
  <c r="T64" i="1"/>
  <c r="U64" i="1"/>
  <c r="V64" i="1"/>
  <c r="W64" i="1"/>
  <c r="X64" i="1"/>
  <c r="O35" i="1"/>
  <c r="P35" i="1"/>
  <c r="Q35" i="1"/>
  <c r="R35" i="1"/>
  <c r="S35" i="1"/>
  <c r="T35" i="1"/>
  <c r="U35" i="1"/>
  <c r="V35" i="1"/>
  <c r="W35" i="1"/>
  <c r="X35" i="1"/>
  <c r="O46" i="1"/>
  <c r="P46" i="1"/>
  <c r="Q46" i="1"/>
  <c r="R46" i="1"/>
  <c r="S46" i="1"/>
  <c r="T46" i="1"/>
  <c r="U46" i="1"/>
  <c r="V46" i="1"/>
  <c r="W46" i="1"/>
  <c r="X46" i="1"/>
  <c r="O22" i="1"/>
  <c r="P22" i="1"/>
  <c r="Q22" i="1"/>
  <c r="R22" i="1"/>
  <c r="S22" i="1"/>
  <c r="T22" i="1"/>
  <c r="U22" i="1"/>
  <c r="V22" i="1"/>
  <c r="W22" i="1"/>
  <c r="X22" i="1"/>
  <c r="O42" i="1"/>
  <c r="P42" i="1"/>
  <c r="Q42" i="1"/>
  <c r="R42" i="1"/>
  <c r="S42" i="1"/>
  <c r="T42" i="1"/>
  <c r="U42" i="1"/>
  <c r="V42" i="1"/>
  <c r="W42" i="1"/>
  <c r="X42" i="1"/>
  <c r="FB65" i="1"/>
  <c r="FB27" i="1"/>
  <c r="FB49" i="1"/>
  <c r="EX61" i="1"/>
  <c r="FA33" i="1"/>
  <c r="FA32" i="1"/>
  <c r="FA34" i="1"/>
  <c r="EY54" i="1"/>
  <c r="EY56" i="1" s="1"/>
  <c r="EY58" i="1" s="1"/>
  <c r="EY59" i="1" s="1"/>
  <c r="FB23" i="1"/>
  <c r="EZ36" i="1"/>
  <c r="EZ38" i="1" s="1"/>
  <c r="O49" i="1" l="1"/>
  <c r="P49" i="1"/>
  <c r="Q49" i="1"/>
  <c r="R49" i="1"/>
  <c r="S49" i="1"/>
  <c r="T49" i="1"/>
  <c r="U49" i="1"/>
  <c r="V49" i="1"/>
  <c r="W49" i="1"/>
  <c r="X49" i="1"/>
  <c r="FB30" i="1"/>
  <c r="O27" i="1"/>
  <c r="P27" i="1"/>
  <c r="Q27" i="1"/>
  <c r="R27" i="1"/>
  <c r="S27" i="1"/>
  <c r="T27" i="1"/>
  <c r="U27" i="1"/>
  <c r="V27" i="1"/>
  <c r="W27" i="1"/>
  <c r="X27" i="1"/>
  <c r="O23" i="1"/>
  <c r="P23" i="1"/>
  <c r="Q23" i="1"/>
  <c r="R23" i="1"/>
  <c r="S23" i="1"/>
  <c r="T23" i="1"/>
  <c r="U23" i="1"/>
  <c r="V23" i="1"/>
  <c r="W23" i="1"/>
  <c r="X23" i="1"/>
  <c r="O65" i="1"/>
  <c r="P65" i="1"/>
  <c r="Q65" i="1"/>
  <c r="R65" i="1"/>
  <c r="S65" i="1"/>
  <c r="T65" i="1"/>
  <c r="U65" i="1"/>
  <c r="V65" i="1"/>
  <c r="W65" i="1"/>
  <c r="X65" i="1"/>
  <c r="FB24" i="1"/>
  <c r="FA36" i="1"/>
  <c r="FA38" i="1" s="1"/>
  <c r="FA54" i="1" s="1"/>
  <c r="FA56" i="1" s="1"/>
  <c r="FA58" i="1" s="1"/>
  <c r="FA59" i="1" s="1"/>
  <c r="EY61" i="1"/>
  <c r="EZ54" i="1"/>
  <c r="EZ56" i="1" s="1"/>
  <c r="EZ58" i="1" s="1"/>
  <c r="EZ59" i="1" s="1"/>
  <c r="O30" i="1" l="1"/>
  <c r="P30" i="1"/>
  <c r="Q30" i="1"/>
  <c r="R30" i="1"/>
  <c r="S30" i="1"/>
  <c r="T30" i="1"/>
  <c r="U30" i="1"/>
  <c r="V30" i="1"/>
  <c r="W30" i="1"/>
  <c r="X30" i="1"/>
  <c r="O24" i="1"/>
  <c r="P24" i="1"/>
  <c r="Q24" i="1"/>
  <c r="R24" i="1"/>
  <c r="S24" i="1"/>
  <c r="T24" i="1"/>
  <c r="U24" i="1"/>
  <c r="V24" i="1"/>
  <c r="W24" i="1"/>
  <c r="X24" i="1"/>
  <c r="FB32" i="1"/>
  <c r="FB33" i="1"/>
  <c r="FB34" i="1"/>
  <c r="EZ61" i="1"/>
  <c r="FA61" i="1"/>
  <c r="O33" i="1" l="1"/>
  <c r="P33" i="1"/>
  <c r="Q33" i="1"/>
  <c r="R33" i="1"/>
  <c r="S33" i="1"/>
  <c r="T33" i="1"/>
  <c r="U33" i="1"/>
  <c r="V33" i="1"/>
  <c r="W33" i="1"/>
  <c r="X33" i="1"/>
  <c r="O34" i="1"/>
  <c r="O32" i="1"/>
  <c r="P32" i="1"/>
  <c r="Q32" i="1"/>
  <c r="R32" i="1"/>
  <c r="S32" i="1"/>
  <c r="T32" i="1"/>
  <c r="U32" i="1"/>
  <c r="V32" i="1"/>
  <c r="W32" i="1"/>
  <c r="X32" i="1"/>
  <c r="FB36" i="1"/>
  <c r="O36" i="1" l="1"/>
  <c r="P36" i="1"/>
  <c r="Q36" i="1"/>
  <c r="R36" i="1"/>
  <c r="S36" i="1"/>
  <c r="T36" i="1"/>
  <c r="U36" i="1"/>
  <c r="V36" i="1"/>
  <c r="W36" i="1"/>
  <c r="X36" i="1"/>
  <c r="FB38" i="1"/>
  <c r="FB54" i="1" s="1"/>
  <c r="O54" i="1" l="1"/>
  <c r="P54" i="1"/>
  <c r="Q54" i="1"/>
  <c r="R54" i="1"/>
  <c r="S54" i="1"/>
  <c r="T54" i="1"/>
  <c r="U54" i="1"/>
  <c r="V54" i="1"/>
  <c r="W54" i="1"/>
  <c r="O38" i="1"/>
  <c r="P38" i="1"/>
  <c r="Q38" i="1"/>
  <c r="R38" i="1"/>
  <c r="S38" i="1"/>
  <c r="T38" i="1"/>
  <c r="U38" i="1"/>
  <c r="V38" i="1"/>
  <c r="W38" i="1"/>
  <c r="X38" i="1"/>
  <c r="FB56" i="1"/>
  <c r="FB58" i="1" l="1"/>
  <c r="O56" i="1"/>
  <c r="Q56" i="1"/>
  <c r="R56" i="1"/>
  <c r="S56" i="1"/>
  <c r="T56" i="1"/>
  <c r="U56" i="1"/>
  <c r="V56" i="1"/>
  <c r="W56" i="1"/>
  <c r="X56" i="1"/>
  <c r="FB59" i="1"/>
  <c r="FB61" i="1"/>
  <c r="O61" i="1" l="1"/>
  <c r="P61" i="1"/>
  <c r="Q61" i="1"/>
  <c r="R61" i="1"/>
  <c r="S61" i="1"/>
  <c r="T61" i="1"/>
  <c r="U61" i="1"/>
  <c r="V61" i="1"/>
  <c r="W61" i="1"/>
  <c r="X61" i="1"/>
  <c r="O58" i="1"/>
  <c r="Q58" i="1"/>
  <c r="R58" i="1"/>
  <c r="S58" i="1"/>
  <c r="T58" i="1"/>
  <c r="U58" i="1"/>
  <c r="V58" i="1"/>
  <c r="W58" i="1"/>
  <c r="X58" i="1"/>
  <c r="L22" i="1" l="1"/>
  <c r="L33" i="1"/>
  <c r="L45" i="1"/>
  <c r="L55" i="1"/>
  <c r="L23" i="1"/>
  <c r="L34" i="1"/>
  <c r="L46" i="1"/>
  <c r="L56" i="1"/>
  <c r="L24" i="1"/>
  <c r="L36" i="1"/>
  <c r="L28" i="1"/>
  <c r="L49" i="1"/>
  <c r="L64" i="1"/>
  <c r="L42" i="1"/>
  <c r="Z72" i="1"/>
  <c r="N72" i="1" s="1"/>
  <c r="L30" i="1"/>
  <c r="L53" i="1"/>
  <c r="L35" i="1"/>
  <c r="L47" i="1"/>
  <c r="L58" i="1"/>
  <c r="L27" i="1"/>
  <c r="L48" i="1"/>
  <c r="L61" i="1"/>
  <c r="L38" i="1"/>
  <c r="L29" i="1"/>
  <c r="L52" i="1"/>
  <c r="L65" i="1"/>
  <c r="L32" i="1"/>
  <c r="L43" i="1"/>
  <c r="L44" i="1"/>
  <c r="L54" i="1"/>
  <c r="AA72" i="1"/>
  <c r="AB72" i="1"/>
  <c r="AB73" i="1" s="1"/>
  <c r="AB76" i="1" s="1"/>
  <c r="AC72" i="1"/>
  <c r="AC73" i="1" s="1"/>
  <c r="AC76" i="1" s="1"/>
  <c r="AD72" i="1"/>
  <c r="AD73" i="1" s="1"/>
  <c r="AD76" i="1" s="1"/>
  <c r="AE72" i="1"/>
  <c r="AE73" i="1" s="1"/>
  <c r="AE76" i="1" s="1"/>
  <c r="AF72" i="1"/>
  <c r="AF73" i="1" s="1"/>
  <c r="AF76" i="1" s="1"/>
  <c r="AG72" i="1"/>
  <c r="AG73" i="1" s="1"/>
  <c r="AG76" i="1" s="1"/>
  <c r="AH72" i="1"/>
  <c r="AI72" i="1"/>
  <c r="AI73" i="1" s="1"/>
  <c r="AI76" i="1" s="1"/>
  <c r="AJ72" i="1"/>
  <c r="AJ73" i="1" s="1"/>
  <c r="AJ76" i="1" s="1"/>
  <c r="AK72" i="1"/>
  <c r="AK73" i="1" s="1"/>
  <c r="AK76" i="1" s="1"/>
  <c r="AL72" i="1"/>
  <c r="AL73" i="1" s="1"/>
  <c r="AL76" i="1" s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P72" i="1"/>
  <c r="BQ72" i="1"/>
  <c r="BR72" i="1"/>
  <c r="BS72" i="1"/>
  <c r="BT72" i="1"/>
  <c r="BU72" i="1"/>
  <c r="BV72" i="1"/>
  <c r="BW72" i="1"/>
  <c r="BX72" i="1"/>
  <c r="BY72" i="1"/>
  <c r="BZ72" i="1"/>
  <c r="CA72" i="1"/>
  <c r="CB72" i="1"/>
  <c r="CC72" i="1"/>
  <c r="CD72" i="1"/>
  <c r="CE72" i="1"/>
  <c r="CF72" i="1"/>
  <c r="CG72" i="1"/>
  <c r="CH72" i="1"/>
  <c r="CI72" i="1"/>
  <c r="CJ72" i="1"/>
  <c r="CK72" i="1"/>
  <c r="CL72" i="1"/>
  <c r="CM72" i="1"/>
  <c r="CN72" i="1"/>
  <c r="CO72" i="1"/>
  <c r="CP72" i="1"/>
  <c r="CQ72" i="1"/>
  <c r="CR72" i="1"/>
  <c r="CS72" i="1"/>
  <c r="CT72" i="1"/>
  <c r="CU72" i="1"/>
  <c r="CV72" i="1"/>
  <c r="CW72" i="1"/>
  <c r="CX72" i="1"/>
  <c r="CY72" i="1"/>
  <c r="CZ72" i="1"/>
  <c r="DA72" i="1"/>
  <c r="DB72" i="1"/>
  <c r="DC72" i="1"/>
  <c r="DD72" i="1"/>
  <c r="DE72" i="1"/>
  <c r="DF72" i="1"/>
  <c r="DG72" i="1"/>
  <c r="DH72" i="1"/>
  <c r="DI72" i="1"/>
  <c r="DJ72" i="1"/>
  <c r="DK72" i="1"/>
  <c r="DL72" i="1"/>
  <c r="DM72" i="1"/>
  <c r="DN72" i="1"/>
  <c r="DO72" i="1"/>
  <c r="DP72" i="1"/>
  <c r="DQ72" i="1"/>
  <c r="DR72" i="1"/>
  <c r="DS72" i="1"/>
  <c r="DT72" i="1"/>
  <c r="DU72" i="1"/>
  <c r="DV72" i="1"/>
  <c r="DW72" i="1"/>
  <c r="DX72" i="1"/>
  <c r="DY72" i="1"/>
  <c r="DZ72" i="1"/>
  <c r="EA72" i="1"/>
  <c r="EB72" i="1"/>
  <c r="EC72" i="1"/>
  <c r="ED72" i="1"/>
  <c r="EE72" i="1"/>
  <c r="EF72" i="1"/>
  <c r="EG72" i="1"/>
  <c r="EH72" i="1"/>
  <c r="EI72" i="1"/>
  <c r="EJ72" i="1"/>
  <c r="EK72" i="1"/>
  <c r="EL72" i="1"/>
  <c r="EM72" i="1"/>
  <c r="EN72" i="1"/>
  <c r="EO72" i="1"/>
  <c r="EP72" i="1"/>
  <c r="EQ72" i="1"/>
  <c r="ER72" i="1"/>
  <c r="ES72" i="1"/>
  <c r="ET72" i="1"/>
  <c r="EU72" i="1"/>
  <c r="EV72" i="1"/>
  <c r="EW72" i="1"/>
  <c r="EX72" i="1"/>
  <c r="EY72" i="1"/>
  <c r="EZ72" i="1"/>
  <c r="FA72" i="1"/>
  <c r="FB72" i="1"/>
  <c r="Z153" i="1"/>
  <c r="N153" i="1" s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N98" i="1" s="1"/>
  <c r="AO153" i="1"/>
  <c r="AO98" i="1" s="1"/>
  <c r="AP153" i="1"/>
  <c r="AQ153" i="1"/>
  <c r="AR153" i="1"/>
  <c r="AS153" i="1"/>
  <c r="AT153" i="1"/>
  <c r="AU153" i="1"/>
  <c r="AV153" i="1"/>
  <c r="AW153" i="1"/>
  <c r="AY153" i="1"/>
  <c r="AZ153" i="1"/>
  <c r="BA153" i="1"/>
  <c r="BB153" i="1"/>
  <c r="BC153" i="1"/>
  <c r="BD153" i="1"/>
  <c r="BE153" i="1"/>
  <c r="BF153" i="1"/>
  <c r="BG153" i="1"/>
  <c r="BH153" i="1"/>
  <c r="BI153" i="1"/>
  <c r="BJ153" i="1"/>
  <c r="BK153" i="1"/>
  <c r="BL153" i="1"/>
  <c r="BM153" i="1"/>
  <c r="BN153" i="1"/>
  <c r="BO153" i="1"/>
  <c r="BP153" i="1"/>
  <c r="BQ153" i="1"/>
  <c r="BR153" i="1"/>
  <c r="BS153" i="1"/>
  <c r="BT153" i="1"/>
  <c r="BU153" i="1"/>
  <c r="BW153" i="1"/>
  <c r="BX153" i="1"/>
  <c r="BY153" i="1"/>
  <c r="BZ153" i="1"/>
  <c r="CA153" i="1"/>
  <c r="CB153" i="1"/>
  <c r="CC153" i="1"/>
  <c r="CD153" i="1"/>
  <c r="CE153" i="1"/>
  <c r="CF153" i="1"/>
  <c r="CG153" i="1"/>
  <c r="CI153" i="1"/>
  <c r="CJ153" i="1"/>
  <c r="CK153" i="1"/>
  <c r="CL153" i="1"/>
  <c r="CM153" i="1"/>
  <c r="CN153" i="1"/>
  <c r="CO153" i="1"/>
  <c r="CP153" i="1"/>
  <c r="CQ153" i="1"/>
  <c r="CR153" i="1"/>
  <c r="CS153" i="1"/>
  <c r="CT153" i="1"/>
  <c r="CU153" i="1"/>
  <c r="CV153" i="1"/>
  <c r="CW153" i="1"/>
  <c r="CX153" i="1"/>
  <c r="CY153" i="1"/>
  <c r="CZ153" i="1"/>
  <c r="DA153" i="1"/>
  <c r="DB153" i="1"/>
  <c r="DC153" i="1"/>
  <c r="DD153" i="1"/>
  <c r="DE153" i="1"/>
  <c r="DF153" i="1"/>
  <c r="DG153" i="1"/>
  <c r="DH153" i="1"/>
  <c r="DI153" i="1"/>
  <c r="DJ153" i="1"/>
  <c r="DK153" i="1"/>
  <c r="DL153" i="1"/>
  <c r="DM153" i="1"/>
  <c r="DN153" i="1"/>
  <c r="DO153" i="1"/>
  <c r="DP153" i="1"/>
  <c r="DQ153" i="1"/>
  <c r="DR153" i="1"/>
  <c r="DS153" i="1"/>
  <c r="DT153" i="1"/>
  <c r="DU153" i="1"/>
  <c r="DV153" i="1"/>
  <c r="DW153" i="1"/>
  <c r="DX153" i="1"/>
  <c r="DY153" i="1"/>
  <c r="DZ153" i="1"/>
  <c r="EA153" i="1"/>
  <c r="EB153" i="1"/>
  <c r="EC153" i="1"/>
  <c r="ED153" i="1"/>
  <c r="EE153" i="1"/>
  <c r="EF153" i="1"/>
  <c r="EG153" i="1"/>
  <c r="EH153" i="1"/>
  <c r="EI153" i="1"/>
  <c r="EJ153" i="1"/>
  <c r="EK153" i="1"/>
  <c r="EL153" i="1"/>
  <c r="EM153" i="1"/>
  <c r="EN153" i="1"/>
  <c r="EO153" i="1"/>
  <c r="EP153" i="1"/>
  <c r="EQ153" i="1"/>
  <c r="ER153" i="1"/>
  <c r="ES153" i="1"/>
  <c r="ET153" i="1"/>
  <c r="EU153" i="1"/>
  <c r="EV153" i="1"/>
  <c r="EW153" i="1"/>
  <c r="EX153" i="1"/>
  <c r="EY153" i="1"/>
  <c r="EZ153" i="1"/>
  <c r="FA153" i="1"/>
  <c r="FB153" i="1"/>
  <c r="Z67" i="1"/>
  <c r="N67" i="1" s="1"/>
  <c r="AA67" i="1"/>
  <c r="AB67" i="1"/>
  <c r="AB80" i="1" s="1"/>
  <c r="AD67" i="1"/>
  <c r="AD80" i="1" s="1"/>
  <c r="AC67" i="1"/>
  <c r="AC80" i="1" s="1"/>
  <c r="AE67" i="1"/>
  <c r="AE80" i="1" s="1"/>
  <c r="AF67" i="1"/>
  <c r="AF80" i="1" s="1"/>
  <c r="AG67" i="1"/>
  <c r="AG80" i="1" s="1"/>
  <c r="AH67" i="1"/>
  <c r="AI67" i="1"/>
  <c r="AI80" i="1" s="1"/>
  <c r="AJ67" i="1"/>
  <c r="AJ80" i="1" s="1"/>
  <c r="AK67" i="1"/>
  <c r="AK80" i="1" s="1"/>
  <c r="AL67" i="1"/>
  <c r="AL80" i="1" s="1"/>
  <c r="AO67" i="1"/>
  <c r="AO80" i="1" s="1"/>
  <c r="AM67" i="1"/>
  <c r="AN67" i="1"/>
  <c r="AN80" i="1" s="1"/>
  <c r="AQ67" i="1"/>
  <c r="AQ80" i="1" s="1"/>
  <c r="AP67" i="1"/>
  <c r="AP80" i="1" s="1"/>
  <c r="AS67" i="1"/>
  <c r="AS80" i="1" s="1"/>
  <c r="AR67" i="1"/>
  <c r="AR80" i="1" s="1"/>
  <c r="AT67" i="1"/>
  <c r="AU67" i="1"/>
  <c r="AU80" i="1" s="1"/>
  <c r="AV67" i="1"/>
  <c r="AV80" i="1" s="1"/>
  <c r="AW67" i="1"/>
  <c r="AW80" i="1" s="1"/>
  <c r="AX67" i="1"/>
  <c r="AX80" i="1" s="1"/>
  <c r="AY67" i="1"/>
  <c r="BA67" i="1"/>
  <c r="BA80" i="1" s="1"/>
  <c r="AZ67" i="1"/>
  <c r="AZ80" i="1" s="1"/>
  <c r="BB67" i="1"/>
  <c r="BB80" i="1" s="1"/>
  <c r="BC67" i="1"/>
  <c r="BC80" i="1" s="1"/>
  <c r="BD67" i="1"/>
  <c r="BD80" i="1" s="1"/>
  <c r="BF67" i="1"/>
  <c r="BE67" i="1"/>
  <c r="BE80" i="1" s="1"/>
  <c r="BG67" i="1"/>
  <c r="BG80" i="1" s="1"/>
  <c r="BH67" i="1"/>
  <c r="BH80" i="1" s="1"/>
  <c r="BI67" i="1"/>
  <c r="BI80" i="1" s="1"/>
  <c r="BJ67" i="1"/>
  <c r="BJ80" i="1" s="1"/>
  <c r="BK67" i="1"/>
  <c r="BM67" i="1"/>
  <c r="BM80" i="1" s="1"/>
  <c r="BL67" i="1"/>
  <c r="BL80" i="1" s="1"/>
  <c r="BN67" i="1"/>
  <c r="BN80" i="1" s="1"/>
  <c r="BO67" i="1"/>
  <c r="BO80" i="1" s="1"/>
  <c r="BP67" i="1"/>
  <c r="BP80" i="1" s="1"/>
  <c r="BQ67" i="1"/>
  <c r="BQ80" i="1" s="1"/>
  <c r="BR67" i="1"/>
  <c r="BS67" i="1"/>
  <c r="BS80" i="1" s="1"/>
  <c r="BT67" i="1"/>
  <c r="BT80" i="1" s="1"/>
  <c r="BV67" i="1"/>
  <c r="BV80" i="1" s="1"/>
  <c r="BU67" i="1"/>
  <c r="BU80" i="1" s="1"/>
  <c r="BW67" i="1"/>
  <c r="BX67" i="1"/>
  <c r="BX80" i="1" s="1"/>
  <c r="BZ67" i="1"/>
  <c r="BZ80" i="1" s="1"/>
  <c r="BY67" i="1"/>
  <c r="BY80" i="1" s="1"/>
  <c r="CA67" i="1"/>
  <c r="CA80" i="1" s="1"/>
  <c r="CB67" i="1"/>
  <c r="CB80" i="1" s="1"/>
  <c r="CD67" i="1"/>
  <c r="CC67" i="1"/>
  <c r="CC80" i="1" s="1"/>
  <c r="CE67" i="1"/>
  <c r="CE80" i="1" s="1"/>
  <c r="CF67" i="1"/>
  <c r="CF80" i="1" s="1"/>
  <c r="CG67" i="1"/>
  <c r="CG80" i="1" s="1"/>
  <c r="CH67" i="1"/>
  <c r="CH80" i="1" s="1"/>
  <c r="CJ67" i="1"/>
  <c r="CJ80" i="1" s="1"/>
  <c r="CI67" i="1"/>
  <c r="CL67" i="1"/>
  <c r="CL80" i="1" s="1"/>
  <c r="CK67" i="1"/>
  <c r="CK80" i="1" s="1"/>
  <c r="CM67" i="1"/>
  <c r="CM80" i="1" s="1"/>
  <c r="CN67" i="1"/>
  <c r="CN80" i="1" s="1"/>
  <c r="CO67" i="1"/>
  <c r="CO80" i="1" s="1"/>
  <c r="CP67" i="1"/>
  <c r="CS67" i="1"/>
  <c r="CS80" i="1" s="1"/>
  <c r="CQ67" i="1"/>
  <c r="CQ80" i="1" s="1"/>
  <c r="CR67" i="1"/>
  <c r="CR80" i="1" s="1"/>
  <c r="CU67" i="1"/>
  <c r="CT67" i="1"/>
  <c r="CT80" i="1" s="1"/>
  <c r="CW67" i="1"/>
  <c r="CW80" i="1" s="1"/>
  <c r="CV67" i="1"/>
  <c r="CV80" i="1" s="1"/>
  <c r="CX67" i="1"/>
  <c r="CX80" i="1" s="1"/>
  <c r="CY67" i="1"/>
  <c r="CY80" i="1" s="1"/>
  <c r="DA67" i="1"/>
  <c r="DA80" i="1" s="1"/>
  <c r="CZ67" i="1"/>
  <c r="CZ80" i="1" s="1"/>
  <c r="DB67" i="1"/>
  <c r="DC67" i="1"/>
  <c r="DC80" i="1" s="1"/>
  <c r="DD67" i="1"/>
  <c r="DD80" i="1" s="1"/>
  <c r="DE67" i="1"/>
  <c r="DE80" i="1" s="1"/>
  <c r="DF67" i="1"/>
  <c r="DF80" i="1" s="1"/>
  <c r="DG67" i="1"/>
  <c r="DH67" i="1"/>
  <c r="DH80" i="1" s="1"/>
  <c r="DJ67" i="1"/>
  <c r="DJ80" i="1" s="1"/>
  <c r="DK67" i="1"/>
  <c r="DK80" i="1" s="1"/>
  <c r="DI67" i="1"/>
  <c r="DI80" i="1" s="1"/>
  <c r="DM67" i="1"/>
  <c r="DM80" i="1" s="1"/>
  <c r="DL67" i="1"/>
  <c r="DL80" i="1" s="1"/>
  <c r="DP67" i="1"/>
  <c r="DP80" i="1" s="1"/>
  <c r="DO67" i="1"/>
  <c r="DO80" i="1" s="1"/>
  <c r="DN67" i="1"/>
  <c r="DQ67" i="1"/>
  <c r="DQ80" i="1" s="1"/>
  <c r="DR67" i="1"/>
  <c r="DR80" i="1" s="1"/>
  <c r="DS67" i="1"/>
  <c r="DT67" i="1"/>
  <c r="DT80" i="1" s="1"/>
  <c r="DU67" i="1"/>
  <c r="DU80" i="1" s="1"/>
  <c r="DV67" i="1"/>
  <c r="DV80" i="1" s="1"/>
  <c r="DW67" i="1"/>
  <c r="DW80" i="1" s="1"/>
  <c r="DX67" i="1"/>
  <c r="DX80" i="1" s="1"/>
  <c r="DZ67" i="1"/>
  <c r="DY67" i="1"/>
  <c r="DY80" i="1" s="1"/>
  <c r="EA67" i="1"/>
  <c r="EA80" i="1" s="1"/>
  <c r="EC67" i="1"/>
  <c r="EC80" i="1" s="1"/>
  <c r="EB67" i="1"/>
  <c r="EB80" i="1" s="1"/>
  <c r="EE67" i="1"/>
  <c r="ED67" i="1"/>
  <c r="ED80" i="1" s="1"/>
  <c r="EF67" i="1"/>
  <c r="EF80" i="1" s="1"/>
  <c r="EH67" i="1"/>
  <c r="EH80" i="1" s="1"/>
  <c r="EG67" i="1"/>
  <c r="EG80" i="1" s="1"/>
  <c r="EI67" i="1"/>
  <c r="EI80" i="1" s="1"/>
  <c r="EK67" i="1"/>
  <c r="EK80" i="1" s="1"/>
  <c r="EJ67" i="1"/>
  <c r="EJ80" i="1" s="1"/>
  <c r="EL67" i="1"/>
  <c r="EM67" i="1"/>
  <c r="EM80" i="1" s="1"/>
  <c r="EN67" i="1"/>
  <c r="EN80" i="1" s="1"/>
  <c r="EO67" i="1"/>
  <c r="EO80" i="1" s="1"/>
  <c r="EQ67" i="1"/>
  <c r="EQ80" i="1" s="1"/>
  <c r="EP67" i="1"/>
  <c r="EP80" i="1" s="1"/>
  <c r="ER67" i="1"/>
  <c r="ER80" i="1" s="1"/>
  <c r="ES67" i="1"/>
  <c r="ES80" i="1" s="1"/>
  <c r="ET67" i="1"/>
  <c r="ET80" i="1" s="1"/>
  <c r="EU67" i="1"/>
  <c r="EU80" i="1" s="1"/>
  <c r="EV67" i="1"/>
  <c r="EV80" i="1" s="1"/>
  <c r="EX67" i="1"/>
  <c r="EX80" i="1" s="1"/>
  <c r="EW67" i="1"/>
  <c r="EW80" i="1" s="1"/>
  <c r="EZ67" i="1"/>
  <c r="EZ80" i="1" s="1"/>
  <c r="EY67" i="1"/>
  <c r="EY80" i="1" s="1"/>
  <c r="FA67" i="1"/>
  <c r="FA80" i="1" s="1"/>
  <c r="FB67" i="1"/>
  <c r="X153" i="1" l="1"/>
  <c r="V153" i="1"/>
  <c r="T153" i="1"/>
  <c r="N68" i="1"/>
  <c r="W153" i="1"/>
  <c r="U153" i="1"/>
  <c r="Q153" i="1"/>
  <c r="O153" i="1"/>
  <c r="W72" i="1"/>
  <c r="U72" i="1"/>
  <c r="S72" i="1"/>
  <c r="Q72" i="1"/>
  <c r="AA73" i="1"/>
  <c r="AA74" i="1" s="1"/>
  <c r="O72" i="1"/>
  <c r="X72" i="1"/>
  <c r="V72" i="1"/>
  <c r="T72" i="1"/>
  <c r="R72" i="1"/>
  <c r="P72" i="1"/>
  <c r="EE80" i="1"/>
  <c r="X67" i="1"/>
  <c r="CU80" i="1"/>
  <c r="U67" i="1"/>
  <c r="AM80" i="1"/>
  <c r="P67" i="1"/>
  <c r="CI80" i="1"/>
  <c r="T67" i="1"/>
  <c r="DS80" i="1"/>
  <c r="W67" i="1"/>
  <c r="DG80" i="1"/>
  <c r="V67" i="1"/>
  <c r="BW80" i="1"/>
  <c r="S67" i="1"/>
  <c r="BK80" i="1"/>
  <c r="R67" i="1"/>
  <c r="AY80" i="1"/>
  <c r="Q67" i="1"/>
  <c r="O67" i="1"/>
  <c r="AH73" i="1"/>
  <c r="AH76" i="1" s="1"/>
  <c r="AH80" i="1"/>
  <c r="AA80" i="1"/>
  <c r="DB80" i="1"/>
  <c r="DZ80" i="1"/>
  <c r="DN80" i="1"/>
  <c r="EL80" i="1"/>
  <c r="CP80" i="1"/>
  <c r="FB80" i="1"/>
  <c r="Z80" i="1"/>
  <c r="N80" i="1" s="1"/>
  <c r="Z73" i="1"/>
  <c r="N73" i="1" s="1"/>
  <c r="L72" i="1"/>
  <c r="BR80" i="1"/>
  <c r="AT80" i="1"/>
  <c r="CD80" i="1"/>
  <c r="BF80" i="1"/>
  <c r="L67" i="1"/>
  <c r="EI69" i="1"/>
  <c r="ET71" i="1"/>
  <c r="ET73" i="1" s="1"/>
  <c r="ET76" i="1" s="1"/>
  <c r="DP69" i="1"/>
  <c r="EA71" i="1"/>
  <c r="EA73" i="1" s="1"/>
  <c r="EA76" i="1" s="1"/>
  <c r="DM69" i="1"/>
  <c r="DX71" i="1"/>
  <c r="DX73" i="1" s="1"/>
  <c r="DX76" i="1" s="1"/>
  <c r="DF69" i="1"/>
  <c r="DQ71" i="1"/>
  <c r="DQ73" i="1" s="1"/>
  <c r="DQ76" i="1" s="1"/>
  <c r="CX69" i="1"/>
  <c r="DI71" i="1"/>
  <c r="DI73" i="1" s="1"/>
  <c r="DI76" i="1" s="1"/>
  <c r="CL69" i="1"/>
  <c r="CW71" i="1"/>
  <c r="CW73" i="1" s="1"/>
  <c r="CW76" i="1" s="1"/>
  <c r="BY69" i="1"/>
  <c r="CJ71" i="1"/>
  <c r="CJ73" i="1" s="1"/>
  <c r="CJ76" i="1" s="1"/>
  <c r="BF69" i="1"/>
  <c r="BQ71" i="1"/>
  <c r="BQ73" i="1" s="1"/>
  <c r="BQ76" i="1" s="1"/>
  <c r="BB69" i="1"/>
  <c r="BM71" i="1"/>
  <c r="BM73" i="1" s="1"/>
  <c r="BM76" i="1" s="1"/>
  <c r="AB69" i="1"/>
  <c r="AM71" i="1"/>
  <c r="EN69" i="1"/>
  <c r="EY71" i="1"/>
  <c r="EY73" i="1" s="1"/>
  <c r="EY76" i="1" s="1"/>
  <c r="EA69" i="1"/>
  <c r="EL71" i="1"/>
  <c r="DS69" i="1"/>
  <c r="ED71" i="1"/>
  <c r="ED73" i="1" s="1"/>
  <c r="ED76" i="1" s="1"/>
  <c r="CP69" i="1"/>
  <c r="DA71" i="1"/>
  <c r="DA73" i="1" s="1"/>
  <c r="DA76" i="1" s="1"/>
  <c r="CN69" i="1"/>
  <c r="CY71" i="1"/>
  <c r="CY73" i="1" s="1"/>
  <c r="CY76" i="1" s="1"/>
  <c r="BZ69" i="1"/>
  <c r="CK71" i="1"/>
  <c r="CK73" i="1" s="1"/>
  <c r="CK76" i="1" s="1"/>
  <c r="BW69" i="1"/>
  <c r="CH71" i="1"/>
  <c r="CH73" i="1" s="1"/>
  <c r="CH76" i="1" s="1"/>
  <c r="BL69" i="1"/>
  <c r="BW71" i="1"/>
  <c r="BG69" i="1"/>
  <c r="BR71" i="1"/>
  <c r="AY69" i="1"/>
  <c r="BJ71" i="1"/>
  <c r="BJ73" i="1" s="1"/>
  <c r="BJ76" i="1" s="1"/>
  <c r="AN69" i="1"/>
  <c r="AY71" i="1"/>
  <c r="AL77" i="1"/>
  <c r="AL74" i="1"/>
  <c r="AA69" i="1"/>
  <c r="AB77" i="1"/>
  <c r="AB74" i="1"/>
  <c r="ET69" i="1"/>
  <c r="CQ69" i="1"/>
  <c r="DB71" i="1"/>
  <c r="CE69" i="1"/>
  <c r="CP71" i="1"/>
  <c r="BO69" i="1"/>
  <c r="BZ71" i="1"/>
  <c r="BZ73" i="1" s="1"/>
  <c r="BZ76" i="1" s="1"/>
  <c r="AM69" i="1"/>
  <c r="AX71" i="1"/>
  <c r="AX73" i="1" s="1"/>
  <c r="AX76" i="1" s="1"/>
  <c r="EJ69" i="1"/>
  <c r="EU71" i="1"/>
  <c r="EU73" i="1" s="1"/>
  <c r="EU76" i="1" s="1"/>
  <c r="DC69" i="1"/>
  <c r="DN71" i="1"/>
  <c r="CO69" i="1"/>
  <c r="CZ71" i="1"/>
  <c r="CZ73" i="1" s="1"/>
  <c r="CZ76" i="1" s="1"/>
  <c r="BM69" i="1"/>
  <c r="BX71" i="1"/>
  <c r="BX73" i="1" s="1"/>
  <c r="BX76" i="1" s="1"/>
  <c r="AR69" i="1"/>
  <c r="BC71" i="1"/>
  <c r="BC73" i="1" s="1"/>
  <c r="BC76" i="1" s="1"/>
  <c r="AI77" i="1"/>
  <c r="AI74" i="1"/>
  <c r="AE77" i="1"/>
  <c r="AE74" i="1"/>
  <c r="DT69" i="1"/>
  <c r="EE71" i="1"/>
  <c r="CZ69" i="1"/>
  <c r="DK71" i="1"/>
  <c r="DK73" i="1" s="1"/>
  <c r="DK76" i="1" s="1"/>
  <c r="CB69" i="1"/>
  <c r="CM71" i="1"/>
  <c r="CM73" i="1" s="1"/>
  <c r="CM76" i="1" s="1"/>
  <c r="BR69" i="1"/>
  <c r="CC71" i="1"/>
  <c r="CC73" i="1" s="1"/>
  <c r="CC76" i="1" s="1"/>
  <c r="DH69" i="1"/>
  <c r="DS71" i="1"/>
  <c r="CT69" i="1"/>
  <c r="DE71" i="1"/>
  <c r="DE73" i="1" s="1"/>
  <c r="DE76" i="1" s="1"/>
  <c r="AF77" i="1"/>
  <c r="AF74" i="1"/>
  <c r="EV69" i="1"/>
  <c r="EP69" i="1"/>
  <c r="FA71" i="1"/>
  <c r="FA73" i="1" s="1"/>
  <c r="FA76" i="1" s="1"/>
  <c r="EL69" i="1"/>
  <c r="EW71" i="1"/>
  <c r="EW73" i="1" s="1"/>
  <c r="EW76" i="1" s="1"/>
  <c r="EF69" i="1"/>
  <c r="EQ71" i="1"/>
  <c r="EQ73" i="1" s="1"/>
  <c r="EQ76" i="1" s="1"/>
  <c r="DE69" i="1"/>
  <c r="DP71" i="1"/>
  <c r="DP73" i="1" s="1"/>
  <c r="DP76" i="1" s="1"/>
  <c r="DA69" i="1"/>
  <c r="DL71" i="1"/>
  <c r="DL73" i="1" s="1"/>
  <c r="DL76" i="1" s="1"/>
  <c r="CM69" i="1"/>
  <c r="CX71" i="1"/>
  <c r="CX73" i="1" s="1"/>
  <c r="CX76" i="1" s="1"/>
  <c r="CG69" i="1"/>
  <c r="CR71" i="1"/>
  <c r="CR73" i="1" s="1"/>
  <c r="CR76" i="1" s="1"/>
  <c r="BQ69" i="1"/>
  <c r="CB71" i="1"/>
  <c r="CB73" i="1" s="1"/>
  <c r="CB76" i="1" s="1"/>
  <c r="BD69" i="1"/>
  <c r="BO71" i="1"/>
  <c r="BO73" i="1" s="1"/>
  <c r="BO76" i="1" s="1"/>
  <c r="AT69" i="1"/>
  <c r="BE71" i="1"/>
  <c r="BE73" i="1" s="1"/>
  <c r="BE76" i="1" s="1"/>
  <c r="AI69" i="1"/>
  <c r="AT71" i="1"/>
  <c r="ES69" i="1"/>
  <c r="DV69" i="1"/>
  <c r="EG71" i="1"/>
  <c r="EG73" i="1" s="1"/>
  <c r="EG76" i="1" s="1"/>
  <c r="BI69" i="1"/>
  <c r="BT71" i="1"/>
  <c r="BT73" i="1" s="1"/>
  <c r="BT76" i="1" s="1"/>
  <c r="AZ69" i="1"/>
  <c r="BK71" i="1"/>
  <c r="AV69" i="1"/>
  <c r="BG71" i="1"/>
  <c r="BG73" i="1" s="1"/>
  <c r="BG76" i="1" s="1"/>
  <c r="AK74" i="1"/>
  <c r="AK77" i="1"/>
  <c r="FA69" i="1"/>
  <c r="EW69" i="1"/>
  <c r="EU69" i="1"/>
  <c r="EQ69" i="1"/>
  <c r="FB71" i="1"/>
  <c r="O71" i="1" s="1"/>
  <c r="EK69" i="1"/>
  <c r="EV71" i="1"/>
  <c r="EV73" i="1" s="1"/>
  <c r="EV76" i="1" s="1"/>
  <c r="EB69" i="1"/>
  <c r="EM71" i="1"/>
  <c r="EM73" i="1" s="1"/>
  <c r="EM76" i="1" s="1"/>
  <c r="DX69" i="1"/>
  <c r="EI71" i="1"/>
  <c r="EI73" i="1" s="1"/>
  <c r="EI76" i="1" s="1"/>
  <c r="DL69" i="1"/>
  <c r="DW71" i="1"/>
  <c r="DW73" i="1" s="1"/>
  <c r="DW76" i="1" s="1"/>
  <c r="DG69" i="1"/>
  <c r="DR71" i="1"/>
  <c r="CU69" i="1"/>
  <c r="DF71" i="1"/>
  <c r="DF73" i="1" s="1"/>
  <c r="DF76" i="1" s="1"/>
  <c r="CI69" i="1"/>
  <c r="CT71" i="1"/>
  <c r="CT73" i="1" s="1"/>
  <c r="CT76" i="1" s="1"/>
  <c r="BU69" i="1"/>
  <c r="CF71" i="1"/>
  <c r="CF73" i="1" s="1"/>
  <c r="CF76" i="1" s="1"/>
  <c r="BT69" i="1"/>
  <c r="CE71" i="1"/>
  <c r="CE73" i="1" s="1"/>
  <c r="CE76" i="1" s="1"/>
  <c r="BP69" i="1"/>
  <c r="CA71" i="1"/>
  <c r="CA73" i="1" s="1"/>
  <c r="CA76" i="1" s="1"/>
  <c r="AX69" i="1"/>
  <c r="BI71" i="1"/>
  <c r="BI73" i="1" s="1"/>
  <c r="BI76" i="1" s="1"/>
  <c r="AK69" i="1"/>
  <c r="AV71" i="1"/>
  <c r="AV73" i="1" s="1"/>
  <c r="AV76" i="1" s="1"/>
  <c r="AH69" i="1"/>
  <c r="AS71" i="1"/>
  <c r="AS73" i="1" s="1"/>
  <c r="AS76" i="1" s="1"/>
  <c r="AF69" i="1"/>
  <c r="AQ71" i="1"/>
  <c r="AQ73" i="1" s="1"/>
  <c r="AQ76" i="1" s="1"/>
  <c r="AC69" i="1"/>
  <c r="AN71" i="1"/>
  <c r="AN73" i="1" s="1"/>
  <c r="AN76" i="1" s="1"/>
  <c r="EX69" i="1"/>
  <c r="EM69" i="1"/>
  <c r="EX71" i="1"/>
  <c r="EX73" i="1" s="1"/>
  <c r="EX76" i="1" s="1"/>
  <c r="EG69" i="1"/>
  <c r="ER71" i="1"/>
  <c r="ER73" i="1" s="1"/>
  <c r="ER76" i="1" s="1"/>
  <c r="ED69" i="1"/>
  <c r="EO71" i="1"/>
  <c r="EO73" i="1" s="1"/>
  <c r="EO76" i="1" s="1"/>
  <c r="DY69" i="1"/>
  <c r="EJ71" i="1"/>
  <c r="EJ73" i="1" s="1"/>
  <c r="EJ76" i="1" s="1"/>
  <c r="DU69" i="1"/>
  <c r="EF71" i="1"/>
  <c r="EF73" i="1" s="1"/>
  <c r="EF76" i="1" s="1"/>
  <c r="DN69" i="1"/>
  <c r="DY71" i="1"/>
  <c r="DY73" i="1" s="1"/>
  <c r="DY76" i="1" s="1"/>
  <c r="DI69" i="1"/>
  <c r="DT71" i="1"/>
  <c r="DT73" i="1" s="1"/>
  <c r="DT76" i="1" s="1"/>
  <c r="DB69" i="1"/>
  <c r="DM71" i="1"/>
  <c r="DM73" i="1" s="1"/>
  <c r="DM76" i="1" s="1"/>
  <c r="CY69" i="1"/>
  <c r="DJ71" i="1"/>
  <c r="DJ73" i="1" s="1"/>
  <c r="DJ76" i="1" s="1"/>
  <c r="CV69" i="1"/>
  <c r="DG71" i="1"/>
  <c r="CS69" i="1"/>
  <c r="DD71" i="1"/>
  <c r="DD73" i="1" s="1"/>
  <c r="DD76" i="1" s="1"/>
  <c r="CJ69" i="1"/>
  <c r="CU71" i="1"/>
  <c r="CC69" i="1"/>
  <c r="CN71" i="1"/>
  <c r="CN73" i="1" s="1"/>
  <c r="CN76" i="1" s="1"/>
  <c r="CA69" i="1"/>
  <c r="CL71" i="1"/>
  <c r="CL73" i="1" s="1"/>
  <c r="CL76" i="1" s="1"/>
  <c r="BX69" i="1"/>
  <c r="CI71" i="1"/>
  <c r="BK69" i="1"/>
  <c r="BV71" i="1"/>
  <c r="AW69" i="1"/>
  <c r="BH71" i="1"/>
  <c r="BH73" i="1" s="1"/>
  <c r="BH76" i="1" s="1"/>
  <c r="AU69" i="1"/>
  <c r="BF71" i="1"/>
  <c r="AP69" i="1"/>
  <c r="BA71" i="1"/>
  <c r="BA73" i="1" s="1"/>
  <c r="BA76" i="1" s="1"/>
  <c r="AO69" i="1"/>
  <c r="AZ71" i="1"/>
  <c r="AZ73" i="1" s="1"/>
  <c r="AZ76" i="1" s="1"/>
  <c r="AD69" i="1"/>
  <c r="AO71" i="1"/>
  <c r="AO73" i="1" s="1"/>
  <c r="AO76" i="1" s="1"/>
  <c r="AD77" i="1"/>
  <c r="AD74" i="1"/>
  <c r="EY69" i="1"/>
  <c r="ER69" i="1"/>
  <c r="EH69" i="1"/>
  <c r="ES71" i="1"/>
  <c r="ES73" i="1" s="1"/>
  <c r="ES76" i="1" s="1"/>
  <c r="EE69" i="1"/>
  <c r="EP71" i="1"/>
  <c r="EP73" i="1" s="1"/>
  <c r="EP76" i="1" s="1"/>
  <c r="EC69" i="1"/>
  <c r="EN71" i="1"/>
  <c r="EN73" i="1" s="1"/>
  <c r="EN76" i="1" s="1"/>
  <c r="DR69" i="1"/>
  <c r="EC71" i="1"/>
  <c r="EC73" i="1" s="1"/>
  <c r="EC76" i="1" s="1"/>
  <c r="DO69" i="1"/>
  <c r="DZ71" i="1"/>
  <c r="DK69" i="1"/>
  <c r="DV71" i="1"/>
  <c r="DV73" i="1" s="1"/>
  <c r="DV76" i="1" s="1"/>
  <c r="CW69" i="1"/>
  <c r="DH71" i="1"/>
  <c r="DH73" i="1" s="1"/>
  <c r="DH76" i="1" s="1"/>
  <c r="CK69" i="1"/>
  <c r="CV71" i="1"/>
  <c r="CV73" i="1" s="1"/>
  <c r="CV76" i="1" s="1"/>
  <c r="CH69" i="1"/>
  <c r="CS71" i="1"/>
  <c r="CS73" i="1" s="1"/>
  <c r="CS76" i="1" s="1"/>
  <c r="CF69" i="1"/>
  <c r="CQ71" i="1"/>
  <c r="CQ73" i="1" s="1"/>
  <c r="CQ76" i="1" s="1"/>
  <c r="BS69" i="1"/>
  <c r="CD71" i="1"/>
  <c r="BN69" i="1"/>
  <c r="BY71" i="1"/>
  <c r="BY73" i="1" s="1"/>
  <c r="BY76" i="1" s="1"/>
  <c r="BH69" i="1"/>
  <c r="BS71" i="1"/>
  <c r="BS73" i="1" s="1"/>
  <c r="BS76" i="1" s="1"/>
  <c r="BE69" i="1"/>
  <c r="BP71" i="1"/>
  <c r="BP73" i="1" s="1"/>
  <c r="BP76" i="1" s="1"/>
  <c r="BC69" i="1"/>
  <c r="BN71" i="1"/>
  <c r="BN73" i="1" s="1"/>
  <c r="BN76" i="1" s="1"/>
  <c r="BA69" i="1"/>
  <c r="BL71" i="1"/>
  <c r="BL73" i="1" s="1"/>
  <c r="BL76" i="1" s="1"/>
  <c r="AS69" i="1"/>
  <c r="BD71" i="1"/>
  <c r="BD73" i="1" s="1"/>
  <c r="BD76" i="1" s="1"/>
  <c r="AQ69" i="1"/>
  <c r="BB71" i="1"/>
  <c r="BB73" i="1" s="1"/>
  <c r="BB76" i="1" s="1"/>
  <c r="AE69" i="1"/>
  <c r="AP71" i="1"/>
  <c r="AP73" i="1" s="1"/>
  <c r="AP76" i="1" s="1"/>
  <c r="AG77" i="1"/>
  <c r="AG74" i="1"/>
  <c r="Z155" i="1"/>
  <c r="N155" i="1" s="1"/>
  <c r="Z146" i="1"/>
  <c r="N146" i="1" s="1"/>
  <c r="Z69" i="1"/>
  <c r="N69" i="1" s="1"/>
  <c r="FB69" i="1"/>
  <c r="EZ69" i="1"/>
  <c r="EO69" i="1"/>
  <c r="EZ71" i="1"/>
  <c r="EZ73" i="1" s="1"/>
  <c r="EZ76" i="1" s="1"/>
  <c r="DZ69" i="1"/>
  <c r="EK71" i="1"/>
  <c r="EK73" i="1" s="1"/>
  <c r="EK76" i="1" s="1"/>
  <c r="DW69" i="1"/>
  <c r="EH71" i="1"/>
  <c r="EH73" i="1" s="1"/>
  <c r="EH76" i="1" s="1"/>
  <c r="DQ69" i="1"/>
  <c r="EB71" i="1"/>
  <c r="EB73" i="1" s="1"/>
  <c r="EB76" i="1" s="1"/>
  <c r="DJ69" i="1"/>
  <c r="DU71" i="1"/>
  <c r="DU73" i="1" s="1"/>
  <c r="DU76" i="1" s="1"/>
  <c r="DD69" i="1"/>
  <c r="DO71" i="1"/>
  <c r="DO73" i="1" s="1"/>
  <c r="DO76" i="1" s="1"/>
  <c r="CR69" i="1"/>
  <c r="DC71" i="1"/>
  <c r="DC73" i="1" s="1"/>
  <c r="DC76" i="1" s="1"/>
  <c r="CD69" i="1"/>
  <c r="CO71" i="1"/>
  <c r="CO73" i="1" s="1"/>
  <c r="CO76" i="1" s="1"/>
  <c r="BV69" i="1"/>
  <c r="CG71" i="1"/>
  <c r="CG73" i="1" s="1"/>
  <c r="CG76" i="1" s="1"/>
  <c r="BJ69" i="1"/>
  <c r="BU71" i="1"/>
  <c r="BU73" i="1" s="1"/>
  <c r="BU76" i="1" s="1"/>
  <c r="AL69" i="1"/>
  <c r="AW71" i="1"/>
  <c r="AW73" i="1" s="1"/>
  <c r="AW76" i="1" s="1"/>
  <c r="AJ69" i="1"/>
  <c r="AU71" i="1"/>
  <c r="AU73" i="1" s="1"/>
  <c r="AU76" i="1" s="1"/>
  <c r="AG69" i="1"/>
  <c r="AR71" i="1"/>
  <c r="AR73" i="1" s="1"/>
  <c r="AR76" i="1" s="1"/>
  <c r="AJ74" i="1"/>
  <c r="AJ77" i="1"/>
  <c r="AC74" i="1"/>
  <c r="AC77" i="1"/>
  <c r="V68" i="1" l="1"/>
  <c r="X68" i="1"/>
  <c r="T68" i="1"/>
  <c r="R80" i="1"/>
  <c r="T80" i="1"/>
  <c r="U68" i="1"/>
  <c r="O68" i="1"/>
  <c r="Q68" i="1"/>
  <c r="W68" i="1"/>
  <c r="R68" i="1"/>
  <c r="S68" i="1"/>
  <c r="P68" i="1"/>
  <c r="AA76" i="1"/>
  <c r="AA77" i="1" s="1"/>
  <c r="AA81" i="1" s="1"/>
  <c r="AA85" i="1" s="1"/>
  <c r="S80" i="1"/>
  <c r="S69" i="1"/>
  <c r="P80" i="1"/>
  <c r="X69" i="1"/>
  <c r="U69" i="1"/>
  <c r="O80" i="1"/>
  <c r="U80" i="1"/>
  <c r="V69" i="1"/>
  <c r="T69" i="1"/>
  <c r="P69" i="1"/>
  <c r="R69" i="1"/>
  <c r="W69" i="1"/>
  <c r="V80" i="1"/>
  <c r="O69" i="1"/>
  <c r="Q69" i="1"/>
  <c r="Q80" i="1"/>
  <c r="W80" i="1"/>
  <c r="X80" i="1"/>
  <c r="O73" i="1"/>
  <c r="CU73" i="1"/>
  <c r="CU74" i="1" s="1"/>
  <c r="U71" i="1"/>
  <c r="EE73" i="1"/>
  <c r="EE74" i="1" s="1"/>
  <c r="X71" i="1"/>
  <c r="BK73" i="1"/>
  <c r="BK74" i="1" s="1"/>
  <c r="R71" i="1"/>
  <c r="AY73" i="1"/>
  <c r="Q71" i="1"/>
  <c r="BW73" i="1"/>
  <c r="BW74" i="1" s="1"/>
  <c r="S71" i="1"/>
  <c r="AM73" i="1"/>
  <c r="AM74" i="1" s="1"/>
  <c r="P71" i="1"/>
  <c r="CI73" i="1"/>
  <c r="CI74" i="1" s="1"/>
  <c r="T71" i="1"/>
  <c r="DG73" i="1"/>
  <c r="DG74" i="1" s="1"/>
  <c r="V71" i="1"/>
  <c r="DS73" i="1"/>
  <c r="DS74" i="1" s="1"/>
  <c r="W71" i="1"/>
  <c r="AH74" i="1"/>
  <c r="AH77" i="1"/>
  <c r="DB73" i="1"/>
  <c r="DN73" i="1"/>
  <c r="CP73" i="1"/>
  <c r="DZ73" i="1"/>
  <c r="EL73" i="1"/>
  <c r="G22" i="1"/>
  <c r="Z76" i="1"/>
  <c r="N76" i="1" s="1"/>
  <c r="Z74" i="1"/>
  <c r="L80" i="1"/>
  <c r="AT73" i="1"/>
  <c r="FB73" i="1"/>
  <c r="FB76" i="1" s="1"/>
  <c r="CD73" i="1"/>
  <c r="BF73" i="1"/>
  <c r="BR73" i="1"/>
  <c r="AK81" i="1"/>
  <c r="AE81" i="1"/>
  <c r="AJ81" i="1"/>
  <c r="AL81" i="1"/>
  <c r="AI81" i="1"/>
  <c r="AG81" i="1"/>
  <c r="AB81" i="1"/>
  <c r="AC81" i="1"/>
  <c r="AD81" i="1"/>
  <c r="AF81" i="1"/>
  <c r="BV73" i="1"/>
  <c r="BV76" i="1" s="1"/>
  <c r="F22" i="1"/>
  <c r="L69" i="1"/>
  <c r="DR73" i="1"/>
  <c r="L71" i="1"/>
  <c r="CC74" i="1"/>
  <c r="CC77" i="1"/>
  <c r="EZ74" i="1"/>
  <c r="EZ77" i="1"/>
  <c r="DK74" i="1"/>
  <c r="DK77" i="1"/>
  <c r="AS74" i="1"/>
  <c r="AS77" i="1"/>
  <c r="DM74" i="1"/>
  <c r="DM77" i="1"/>
  <c r="BN74" i="1"/>
  <c r="BN77" i="1"/>
  <c r="DL74" i="1"/>
  <c r="DL77" i="1"/>
  <c r="Z99" i="1"/>
  <c r="N99" i="1" s="1"/>
  <c r="Z158" i="1"/>
  <c r="BL77" i="1"/>
  <c r="BL74" i="1"/>
  <c r="DY77" i="1"/>
  <c r="DY74" i="1"/>
  <c r="AU77" i="1"/>
  <c r="AU74" i="1"/>
  <c r="AR74" i="1"/>
  <c r="AR77" i="1"/>
  <c r="DO77" i="1"/>
  <c r="DO74" i="1"/>
  <c r="DF74" i="1"/>
  <c r="DF77" i="1"/>
  <c r="EQ74" i="1"/>
  <c r="EQ77" i="1"/>
  <c r="BD77" i="1"/>
  <c r="BD74" i="1"/>
  <c r="CE77" i="1"/>
  <c r="CE74" i="1"/>
  <c r="DX77" i="1"/>
  <c r="DX74" i="1"/>
  <c r="DV77" i="1"/>
  <c r="DV74" i="1"/>
  <c r="BM74" i="1"/>
  <c r="BM77" i="1"/>
  <c r="AP77" i="1"/>
  <c r="AP74" i="1"/>
  <c r="BS77" i="1"/>
  <c r="BS74" i="1"/>
  <c r="DH74" i="1"/>
  <c r="DH77" i="1"/>
  <c r="ES74" i="1"/>
  <c r="ES77" i="1"/>
  <c r="AO77" i="1"/>
  <c r="AO74" i="1"/>
  <c r="DJ77" i="1"/>
  <c r="DJ74" i="1"/>
  <c r="AQ74" i="1"/>
  <c r="AQ77" i="1"/>
  <c r="CT77" i="1"/>
  <c r="CT74" i="1"/>
  <c r="CM77" i="1"/>
  <c r="CM74" i="1"/>
  <c r="EK74" i="1"/>
  <c r="EK77" i="1"/>
  <c r="CG74" i="1"/>
  <c r="CG77" i="1"/>
  <c r="CL77" i="1"/>
  <c r="CL74" i="1"/>
  <c r="DT74" i="1"/>
  <c r="DT77" i="1"/>
  <c r="EF74" i="1"/>
  <c r="EF77" i="1"/>
  <c r="EX74" i="1"/>
  <c r="EX77" i="1"/>
  <c r="CX77" i="1"/>
  <c r="CX74" i="1"/>
  <c r="DP74" i="1"/>
  <c r="DP77" i="1"/>
  <c r="CH77" i="1"/>
  <c r="CH74" i="1"/>
  <c r="CY77" i="1"/>
  <c r="CY74" i="1"/>
  <c r="CK77" i="1"/>
  <c r="CK74" i="1"/>
  <c r="BY74" i="1"/>
  <c r="BY77" i="1"/>
  <c r="BA74" i="1"/>
  <c r="BA77" i="1"/>
  <c r="EG77" i="1"/>
  <c r="EG74" i="1"/>
  <c r="BX74" i="1"/>
  <c r="BX77" i="1"/>
  <c r="EH74" i="1"/>
  <c r="EH77" i="1"/>
  <c r="BU77" i="1"/>
  <c r="BU74" i="1"/>
  <c r="Z147" i="1"/>
  <c r="N147" i="1" s="1"/>
  <c r="BP77" i="1"/>
  <c r="BP74" i="1"/>
  <c r="CV77" i="1"/>
  <c r="CV74" i="1"/>
  <c r="EN77" i="1"/>
  <c r="EN74" i="1"/>
  <c r="BC77" i="1"/>
  <c r="BC74" i="1"/>
  <c r="DC77" i="1"/>
  <c r="DC74" i="1"/>
  <c r="CN74" i="1"/>
  <c r="CN77" i="1"/>
  <c r="ET77" i="1"/>
  <c r="ET74" i="1"/>
  <c r="CO74" i="1"/>
  <c r="CO77" i="1"/>
  <c r="EB77" i="1"/>
  <c r="EB74" i="1"/>
  <c r="AW74" i="1"/>
  <c r="AW77" i="1"/>
  <c r="CS74" i="1"/>
  <c r="CS77" i="1"/>
  <c r="EC74" i="1"/>
  <c r="EC77" i="1"/>
  <c r="BH74" i="1"/>
  <c r="BH77" i="1"/>
  <c r="AN74" i="1"/>
  <c r="AN77" i="1"/>
  <c r="CF74" i="1"/>
  <c r="CF77" i="1"/>
  <c r="EV77" i="1"/>
  <c r="EV74" i="1"/>
  <c r="CZ74" i="1"/>
  <c r="CZ77" i="1"/>
  <c r="BQ74" i="1"/>
  <c r="BQ77" i="1"/>
  <c r="EA74" i="1"/>
  <c r="EA77" i="1"/>
  <c r="BT74" i="1"/>
  <c r="BT77" i="1"/>
  <c r="CR77" i="1"/>
  <c r="CR74" i="1"/>
  <c r="EY77" i="1"/>
  <c r="EY74" i="1"/>
  <c r="DQ74" i="1"/>
  <c r="DQ77" i="1"/>
  <c r="DU74" i="1"/>
  <c r="DU77" i="1"/>
  <c r="BB74" i="1"/>
  <c r="BB77" i="1"/>
  <c r="CQ77" i="1"/>
  <c r="CQ74" i="1"/>
  <c r="EP77" i="1"/>
  <c r="EP74" i="1"/>
  <c r="ER74" i="1"/>
  <c r="ER77" i="1"/>
  <c r="CA77" i="1"/>
  <c r="CA74" i="1"/>
  <c r="EM77" i="1"/>
  <c r="EM74" i="1"/>
  <c r="CB74" i="1"/>
  <c r="CB77" i="1"/>
  <c r="DE74" i="1"/>
  <c r="DE77" i="1"/>
  <c r="BZ74" i="1"/>
  <c r="BZ77" i="1"/>
  <c r="BJ77" i="1"/>
  <c r="BJ74" i="1"/>
  <c r="DI74" i="1"/>
  <c r="DI77" i="1"/>
  <c r="DD74" i="1"/>
  <c r="DD77" i="1"/>
  <c r="EO74" i="1"/>
  <c r="EO77" i="1"/>
  <c r="BI74" i="1"/>
  <c r="BI77" i="1"/>
  <c r="EI74" i="1"/>
  <c r="EI77" i="1"/>
  <c r="BG77" i="1"/>
  <c r="BG74" i="1"/>
  <c r="BO74" i="1"/>
  <c r="BO77" i="1"/>
  <c r="FA74" i="1"/>
  <c r="FA77" i="1"/>
  <c r="AX77" i="1"/>
  <c r="AX74" i="1"/>
  <c r="ED74" i="1"/>
  <c r="ED77" i="1"/>
  <c r="CW74" i="1"/>
  <c r="CW77" i="1"/>
  <c r="AZ77" i="1"/>
  <c r="AZ74" i="1"/>
  <c r="EJ74" i="1"/>
  <c r="EJ77" i="1"/>
  <c r="AV74" i="1"/>
  <c r="AV77" i="1"/>
  <c r="DW77" i="1"/>
  <c r="DW74" i="1"/>
  <c r="BE74" i="1"/>
  <c r="BE77" i="1"/>
  <c r="EW74" i="1"/>
  <c r="EW77" i="1"/>
  <c r="EU77" i="1"/>
  <c r="EU74" i="1"/>
  <c r="DA77" i="1"/>
  <c r="DA74" i="1"/>
  <c r="CJ74" i="1"/>
  <c r="CJ77" i="1"/>
  <c r="O77" i="1" l="1"/>
  <c r="O76" i="1"/>
  <c r="G24" i="1"/>
  <c r="G25" i="1" s="1"/>
  <c r="AC85" i="1"/>
  <c r="AC92" i="1" s="1"/>
  <c r="AK85" i="1"/>
  <c r="AK92" i="1" s="1"/>
  <c r="AG85" i="1"/>
  <c r="AG92" i="1" s="1"/>
  <c r="AI85" i="1"/>
  <c r="AI92" i="1" s="1"/>
  <c r="AL85" i="1"/>
  <c r="AL92" i="1" s="1"/>
  <c r="AB85" i="1"/>
  <c r="AB92" i="1" s="1"/>
  <c r="AF85" i="1"/>
  <c r="AF92" i="1" s="1"/>
  <c r="AJ85" i="1"/>
  <c r="AJ92" i="1" s="1"/>
  <c r="AD85" i="1"/>
  <c r="AD92" i="1" s="1"/>
  <c r="AE85" i="1"/>
  <c r="AE92" i="1" s="1"/>
  <c r="DG76" i="1"/>
  <c r="DG77" i="1" s="1"/>
  <c r="V73" i="1"/>
  <c r="BK76" i="1"/>
  <c r="R73" i="1"/>
  <c r="EE76" i="1"/>
  <c r="X73" i="1"/>
  <c r="DS76" i="1"/>
  <c r="W73" i="1"/>
  <c r="BW76" i="1"/>
  <c r="S73" i="1"/>
  <c r="CU76" i="1"/>
  <c r="U73" i="1"/>
  <c r="AY76" i="1"/>
  <c r="Q73" i="1"/>
  <c r="CI76" i="1"/>
  <c r="T73" i="1"/>
  <c r="AM76" i="1"/>
  <c r="P73" i="1"/>
  <c r="AY74" i="1"/>
  <c r="AH81" i="1"/>
  <c r="AH85" i="1" s="1"/>
  <c r="EL74" i="1"/>
  <c r="BR74" i="1"/>
  <c r="DN74" i="1"/>
  <c r="DB74" i="1"/>
  <c r="AT74" i="1"/>
  <c r="DZ76" i="1"/>
  <c r="DZ74" i="1"/>
  <c r="CP76" i="1"/>
  <c r="CP74" i="1"/>
  <c r="DN76" i="1"/>
  <c r="EL76" i="1"/>
  <c r="DB76" i="1"/>
  <c r="Z77" i="1"/>
  <c r="N77" i="1" s="1"/>
  <c r="Z95" i="1"/>
  <c r="N95" i="1" s="1"/>
  <c r="CD76" i="1"/>
  <c r="BR76" i="1"/>
  <c r="AT76" i="1"/>
  <c r="BF76" i="1"/>
  <c r="BF74" i="1"/>
  <c r="FB74" i="1"/>
  <c r="CD74" i="1"/>
  <c r="FB77" i="1"/>
  <c r="FB81" i="1" s="1"/>
  <c r="BV77" i="1"/>
  <c r="BV81" i="1" s="1"/>
  <c r="EJ81" i="1"/>
  <c r="BB81" i="1"/>
  <c r="CS81" i="1"/>
  <c r="CV81" i="1"/>
  <c r="CH81" i="1"/>
  <c r="CE81" i="1"/>
  <c r="DO81" i="1"/>
  <c r="DA81" i="1"/>
  <c r="ED81" i="1"/>
  <c r="EY81" i="1"/>
  <c r="AN81" i="1"/>
  <c r="DV81" i="1"/>
  <c r="AR81" i="1"/>
  <c r="FA81" i="1"/>
  <c r="DU81" i="1"/>
  <c r="CM81" i="1"/>
  <c r="BD81" i="1"/>
  <c r="CL81" i="1"/>
  <c r="DY81" i="1"/>
  <c r="DM81" i="1"/>
  <c r="AS81" i="1"/>
  <c r="BI81" i="1"/>
  <c r="DP81" i="1"/>
  <c r="DW81" i="1"/>
  <c r="AZ81" i="1"/>
  <c r="ER81" i="1"/>
  <c r="EP81" i="1"/>
  <c r="BT81" i="1"/>
  <c r="CZ81" i="1"/>
  <c r="CO81" i="1"/>
  <c r="DC81" i="1"/>
  <c r="BC81" i="1"/>
  <c r="EG81" i="1"/>
  <c r="AO81" i="1"/>
  <c r="DX81" i="1"/>
  <c r="DK81" i="1"/>
  <c r="DD81" i="1"/>
  <c r="EM81" i="1"/>
  <c r="ET81" i="1"/>
  <c r="EH81" i="1"/>
  <c r="DT81" i="1"/>
  <c r="BQ81" i="1"/>
  <c r="BY81" i="1"/>
  <c r="BN81" i="1"/>
  <c r="CC81" i="1"/>
  <c r="EI81" i="1"/>
  <c r="CA81" i="1"/>
  <c r="BX81" i="1"/>
  <c r="DJ81" i="1"/>
  <c r="DF81" i="1"/>
  <c r="CJ81" i="1"/>
  <c r="DE81" i="1"/>
  <c r="CR81" i="1"/>
  <c r="BH81" i="1"/>
  <c r="CK81" i="1"/>
  <c r="ES81" i="1"/>
  <c r="AV81" i="1"/>
  <c r="CW81" i="1"/>
  <c r="AX81" i="1"/>
  <c r="EO81" i="1"/>
  <c r="DQ81" i="1"/>
  <c r="EV81" i="1"/>
  <c r="EC81" i="1"/>
  <c r="EN81" i="1"/>
  <c r="CY81" i="1"/>
  <c r="EF81" i="1"/>
  <c r="CT81" i="1"/>
  <c r="DH81" i="1"/>
  <c r="BZ81" i="1"/>
  <c r="BL81" i="1"/>
  <c r="BE81" i="1"/>
  <c r="BS81" i="1"/>
  <c r="DI81" i="1"/>
  <c r="CN81" i="1"/>
  <c r="BP81" i="1"/>
  <c r="CG81" i="1"/>
  <c r="EU81" i="1"/>
  <c r="AP81" i="1"/>
  <c r="BO81" i="1"/>
  <c r="EB81" i="1"/>
  <c r="EX81" i="1"/>
  <c r="BM81" i="1"/>
  <c r="EW81" i="1"/>
  <c r="BG81" i="1"/>
  <c r="BJ81" i="1"/>
  <c r="CB81" i="1"/>
  <c r="CQ81" i="1"/>
  <c r="EA81" i="1"/>
  <c r="CF81" i="1"/>
  <c r="AW81" i="1"/>
  <c r="BU81" i="1"/>
  <c r="BA81" i="1"/>
  <c r="CX81" i="1"/>
  <c r="EK81" i="1"/>
  <c r="AQ81" i="1"/>
  <c r="EQ81" i="1"/>
  <c r="AU81" i="1"/>
  <c r="DL81" i="1"/>
  <c r="EZ81" i="1"/>
  <c r="BV74" i="1"/>
  <c r="G52" i="1"/>
  <c r="G46" i="1" s="1"/>
  <c r="G53" i="1"/>
  <c r="F24" i="1"/>
  <c r="DR74" i="1"/>
  <c r="DR76" i="1"/>
  <c r="L73" i="1"/>
  <c r="AA152" i="1"/>
  <c r="G55" i="1" l="1"/>
  <c r="G26" i="1"/>
  <c r="F26" i="1"/>
  <c r="G34" i="1"/>
  <c r="BY85" i="1"/>
  <c r="BY92" i="1" s="1"/>
  <c r="EX85" i="1"/>
  <c r="EX92" i="1" s="1"/>
  <c r="CY85" i="1"/>
  <c r="CY92" i="1" s="1"/>
  <c r="DT85" i="1"/>
  <c r="DT92" i="1" s="1"/>
  <c r="AZ85" i="1"/>
  <c r="AZ92" i="1" s="1"/>
  <c r="ED85" i="1"/>
  <c r="ED92" i="1" s="1"/>
  <c r="EN85" i="1"/>
  <c r="EN92" i="1" s="1"/>
  <c r="DA85" i="1"/>
  <c r="DA92" i="1" s="1"/>
  <c r="BG85" i="1"/>
  <c r="BG92" i="1" s="1"/>
  <c r="DE85" i="1"/>
  <c r="DE92" i="1" s="1"/>
  <c r="BT85" i="1"/>
  <c r="BT92" i="1" s="1"/>
  <c r="EZ85" i="1"/>
  <c r="EZ92" i="1" s="1"/>
  <c r="EW85" i="1"/>
  <c r="EW92" i="1" s="1"/>
  <c r="CT85" i="1"/>
  <c r="CT92" i="1" s="1"/>
  <c r="CJ85" i="1"/>
  <c r="CJ92" i="1" s="1"/>
  <c r="DY85" i="1"/>
  <c r="DY92" i="1" s="1"/>
  <c r="CF85" i="1"/>
  <c r="CF92" i="1" s="1"/>
  <c r="DJ85" i="1"/>
  <c r="DJ92" i="1" s="1"/>
  <c r="EG85" i="1"/>
  <c r="EG92" i="1" s="1"/>
  <c r="EJ85" i="1"/>
  <c r="EJ92" i="1" s="1"/>
  <c r="EQ85" i="1"/>
  <c r="EQ92" i="1" s="1"/>
  <c r="BS85" i="1"/>
  <c r="BS92" i="1" s="1"/>
  <c r="ES85" i="1"/>
  <c r="ES92" i="1" s="1"/>
  <c r="BX85" i="1"/>
  <c r="BX92" i="1" s="1"/>
  <c r="EH85" i="1"/>
  <c r="EH92" i="1" s="1"/>
  <c r="BC85" i="1"/>
  <c r="BC92" i="1" s="1"/>
  <c r="DW85" i="1"/>
  <c r="DW92" i="1" s="1"/>
  <c r="CM85" i="1"/>
  <c r="CM92" i="1" s="1"/>
  <c r="BV85" i="1"/>
  <c r="BV92" i="1" s="1"/>
  <c r="AQ85" i="1"/>
  <c r="AQ92" i="1" s="1"/>
  <c r="CQ85" i="1"/>
  <c r="CQ92" i="1" s="1"/>
  <c r="BO85" i="1"/>
  <c r="BO92" i="1" s="1"/>
  <c r="BE85" i="1"/>
  <c r="BE92" i="1" s="1"/>
  <c r="EC85" i="1"/>
  <c r="EC92" i="1" s="1"/>
  <c r="CK85" i="1"/>
  <c r="CK92" i="1" s="1"/>
  <c r="CA85" i="1"/>
  <c r="CA92" i="1" s="1"/>
  <c r="ET85" i="1"/>
  <c r="ET92" i="1" s="1"/>
  <c r="DC85" i="1"/>
  <c r="DC92" i="1" s="1"/>
  <c r="DP85" i="1"/>
  <c r="DP92" i="1" s="1"/>
  <c r="DU85" i="1"/>
  <c r="DU92" i="1" s="1"/>
  <c r="DO85" i="1"/>
  <c r="DO92" i="1" s="1"/>
  <c r="BA85" i="1"/>
  <c r="BA92" i="1" s="1"/>
  <c r="CG85" i="1"/>
  <c r="CG92" i="1" s="1"/>
  <c r="DH85" i="1"/>
  <c r="DH92" i="1" s="1"/>
  <c r="EO85" i="1"/>
  <c r="EO92" i="1" s="1"/>
  <c r="BN85" i="1"/>
  <c r="BN92" i="1" s="1"/>
  <c r="DK85" i="1"/>
  <c r="DK92" i="1" s="1"/>
  <c r="DM85" i="1"/>
  <c r="DM92" i="1" s="1"/>
  <c r="DV85" i="1"/>
  <c r="DV92" i="1" s="1"/>
  <c r="CV85" i="1"/>
  <c r="CV92" i="1" s="1"/>
  <c r="BU85" i="1"/>
  <c r="BU92" i="1" s="1"/>
  <c r="BP85" i="1"/>
  <c r="BP92" i="1" s="1"/>
  <c r="AX85" i="1"/>
  <c r="AX92" i="1" s="1"/>
  <c r="DX85" i="1"/>
  <c r="DX92" i="1" s="1"/>
  <c r="EP85" i="1"/>
  <c r="EP92" i="1" s="1"/>
  <c r="AN85" i="1"/>
  <c r="AN92" i="1" s="1"/>
  <c r="CS85" i="1"/>
  <c r="CS92" i="1" s="1"/>
  <c r="AU85" i="1"/>
  <c r="AU92" i="1" s="1"/>
  <c r="EA85" i="1"/>
  <c r="EA92" i="1" s="1"/>
  <c r="EK85" i="1"/>
  <c r="EK92" i="1" s="1"/>
  <c r="CB85" i="1"/>
  <c r="CB92" i="1" s="1"/>
  <c r="AP85" i="1"/>
  <c r="AP92" i="1" s="1"/>
  <c r="BL85" i="1"/>
  <c r="BL92" i="1" s="1"/>
  <c r="EV85" i="1"/>
  <c r="EV92" i="1" s="1"/>
  <c r="BH85" i="1"/>
  <c r="BH92" i="1" s="1"/>
  <c r="EI85" i="1"/>
  <c r="EI92" i="1" s="1"/>
  <c r="EM85" i="1"/>
  <c r="EM92" i="1" s="1"/>
  <c r="CO85" i="1"/>
  <c r="CO92" i="1" s="1"/>
  <c r="BI85" i="1"/>
  <c r="BI92" i="1" s="1"/>
  <c r="FA85" i="1"/>
  <c r="FA92" i="1" s="1"/>
  <c r="CE85" i="1"/>
  <c r="CE92" i="1" s="1"/>
  <c r="FB85" i="1"/>
  <c r="FB92" i="1" s="1"/>
  <c r="DL85" i="1"/>
  <c r="DL92" i="1" s="1"/>
  <c r="AW85" i="1"/>
  <c r="AW92" i="1" s="1"/>
  <c r="BM85" i="1"/>
  <c r="BM92" i="1" s="1"/>
  <c r="CN85" i="1"/>
  <c r="CN92" i="1" s="1"/>
  <c r="EF85" i="1"/>
  <c r="EF92" i="1" s="1"/>
  <c r="CW85" i="1"/>
  <c r="CW92" i="1" s="1"/>
  <c r="DF85" i="1"/>
  <c r="DF92" i="1" s="1"/>
  <c r="BQ85" i="1"/>
  <c r="BQ92" i="1" s="1"/>
  <c r="AO85" i="1"/>
  <c r="AO92" i="1" s="1"/>
  <c r="ER85" i="1"/>
  <c r="ER92" i="1" s="1"/>
  <c r="CL85" i="1"/>
  <c r="CL92" i="1" s="1"/>
  <c r="EY85" i="1"/>
  <c r="EY92" i="1" s="1"/>
  <c r="BB85" i="1"/>
  <c r="BB92" i="1" s="1"/>
  <c r="DI85" i="1"/>
  <c r="DI92" i="1" s="1"/>
  <c r="AV85" i="1"/>
  <c r="AV92" i="1" s="1"/>
  <c r="BD85" i="1"/>
  <c r="BD92" i="1" s="1"/>
  <c r="EB85" i="1"/>
  <c r="EB92" i="1" s="1"/>
  <c r="CX85" i="1"/>
  <c r="CX92" i="1" s="1"/>
  <c r="BJ85" i="1"/>
  <c r="BJ92" i="1" s="1"/>
  <c r="EU85" i="1"/>
  <c r="EU92" i="1" s="1"/>
  <c r="BZ85" i="1"/>
  <c r="BZ92" i="1" s="1"/>
  <c r="DQ85" i="1"/>
  <c r="DQ92" i="1" s="1"/>
  <c r="CR85" i="1"/>
  <c r="CR92" i="1" s="1"/>
  <c r="CC85" i="1"/>
  <c r="CC92" i="1" s="1"/>
  <c r="DD85" i="1"/>
  <c r="DD92" i="1" s="1"/>
  <c r="CZ85" i="1"/>
  <c r="CZ92" i="1" s="1"/>
  <c r="AS85" i="1"/>
  <c r="AS92" i="1" s="1"/>
  <c r="AR85" i="1"/>
  <c r="AR92" i="1" s="1"/>
  <c r="CH85" i="1"/>
  <c r="CH92" i="1" s="1"/>
  <c r="AA92" i="1"/>
  <c r="O85" i="1"/>
  <c r="O81" i="1"/>
  <c r="DG81" i="1"/>
  <c r="DG85" i="1" s="1"/>
  <c r="CI77" i="1"/>
  <c r="T76" i="1"/>
  <c r="DS77" i="1"/>
  <c r="W76" i="1"/>
  <c r="CU77" i="1"/>
  <c r="U76" i="1"/>
  <c r="BK77" i="1"/>
  <c r="R76" i="1"/>
  <c r="AY77" i="1"/>
  <c r="Q76" i="1"/>
  <c r="AM77" i="1"/>
  <c r="P76" i="1"/>
  <c r="EE77" i="1"/>
  <c r="X76" i="1"/>
  <c r="BW77" i="1"/>
  <c r="S76" i="1"/>
  <c r="V76" i="1"/>
  <c r="Z81" i="1"/>
  <c r="CP77" i="1"/>
  <c r="DZ77" i="1"/>
  <c r="DB77" i="1"/>
  <c r="EL77" i="1"/>
  <c r="DN77" i="1"/>
  <c r="CH153" i="1"/>
  <c r="S153" i="1" s="1"/>
  <c r="G54" i="1"/>
  <c r="F34" i="1"/>
  <c r="E34" i="1" s="1"/>
  <c r="AH92" i="1"/>
  <c r="CD77" i="1"/>
  <c r="AT77" i="1"/>
  <c r="BR77" i="1"/>
  <c r="BF77" i="1"/>
  <c r="L76" i="1"/>
  <c r="L74" i="1"/>
  <c r="BV153" i="1"/>
  <c r="R153" i="1" s="1"/>
  <c r="F25" i="1"/>
  <c r="DR77" i="1"/>
  <c r="AA154" i="1"/>
  <c r="F33" i="1" l="1"/>
  <c r="E33" i="1" s="1"/>
  <c r="G49" i="1"/>
  <c r="G50" i="1"/>
  <c r="F27" i="1"/>
  <c r="AX153" i="1"/>
  <c r="G27" i="1"/>
  <c r="N81" i="1"/>
  <c r="Z85" i="1"/>
  <c r="N85" i="1" s="1"/>
  <c r="O92" i="1"/>
  <c r="V77" i="1"/>
  <c r="DS81" i="1"/>
  <c r="DS85" i="1" s="1"/>
  <c r="W77" i="1"/>
  <c r="AY81" i="1"/>
  <c r="AY85" i="1" s="1"/>
  <c r="Q77" i="1"/>
  <c r="CI81" i="1"/>
  <c r="CI85" i="1" s="1"/>
  <c r="T77" i="1"/>
  <c r="EE81" i="1"/>
  <c r="EE85" i="1" s="1"/>
  <c r="X77" i="1"/>
  <c r="CU81" i="1"/>
  <c r="CU85" i="1" s="1"/>
  <c r="U77" i="1"/>
  <c r="AM81" i="1"/>
  <c r="AM85" i="1" s="1"/>
  <c r="P77" i="1"/>
  <c r="BW81" i="1"/>
  <c r="BW85" i="1" s="1"/>
  <c r="S77" i="1"/>
  <c r="BK81" i="1"/>
  <c r="BK85" i="1" s="1"/>
  <c r="R77" i="1"/>
  <c r="CP81" i="1"/>
  <c r="CP85" i="1" s="1"/>
  <c r="DZ81" i="1"/>
  <c r="DZ85" i="1" s="1"/>
  <c r="EL81" i="1"/>
  <c r="EL85" i="1" s="1"/>
  <c r="DB81" i="1"/>
  <c r="DB85" i="1" s="1"/>
  <c r="DN81" i="1"/>
  <c r="DN85" i="1" s="1"/>
  <c r="CH98" i="1"/>
  <c r="S98" i="1" s="1"/>
  <c r="BV97" i="1"/>
  <c r="R97" i="1" s="1"/>
  <c r="CH97" i="1"/>
  <c r="BR81" i="1"/>
  <c r="BR85" i="1" s="1"/>
  <c r="AT81" i="1"/>
  <c r="AT85" i="1" s="1"/>
  <c r="CD81" i="1"/>
  <c r="CD85" i="1" s="1"/>
  <c r="BF81" i="1"/>
  <c r="BF85" i="1" s="1"/>
  <c r="BV98" i="1"/>
  <c r="R98" i="1" s="1"/>
  <c r="AO97" i="1"/>
  <c r="BW97" i="1"/>
  <c r="DR81" i="1"/>
  <c r="DR85" i="1" s="1"/>
  <c r="L77" i="1"/>
  <c r="AA155" i="1"/>
  <c r="S97" i="1" l="1"/>
  <c r="F32" i="1"/>
  <c r="E32" i="1" s="1"/>
  <c r="F31" i="1"/>
  <c r="E31" i="1" s="1"/>
  <c r="AX97" i="1"/>
  <c r="P97" i="1" s="1"/>
  <c r="AX98" i="1"/>
  <c r="P98" i="1" s="1"/>
  <c r="P153" i="1"/>
  <c r="P158" i="1" s="1"/>
  <c r="L153" i="1"/>
  <c r="V81" i="1"/>
  <c r="DG92" i="1"/>
  <c r="S81" i="1"/>
  <c r="T81" i="1"/>
  <c r="R81" i="1"/>
  <c r="X81" i="1"/>
  <c r="P81" i="1"/>
  <c r="Q81" i="1"/>
  <c r="U81" i="1"/>
  <c r="W81" i="1"/>
  <c r="Z92" i="1"/>
  <c r="N92" i="1" s="1"/>
  <c r="L81" i="1"/>
  <c r="AA99" i="1"/>
  <c r="AA158" i="1"/>
  <c r="L97" i="1" l="1"/>
  <c r="L98" i="1"/>
  <c r="V85" i="1"/>
  <c r="AM92" i="1"/>
  <c r="P85" i="1"/>
  <c r="BW92" i="1"/>
  <c r="S85" i="1"/>
  <c r="CU92" i="1"/>
  <c r="U85" i="1"/>
  <c r="BK92" i="1"/>
  <c r="R85" i="1"/>
  <c r="AY92" i="1"/>
  <c r="Q85" i="1"/>
  <c r="CI92" i="1"/>
  <c r="T85" i="1"/>
  <c r="DS92" i="1"/>
  <c r="W85" i="1"/>
  <c r="EE92" i="1"/>
  <c r="X85" i="1"/>
  <c r="CP92" i="1"/>
  <c r="DZ92" i="1"/>
  <c r="DB92" i="1"/>
  <c r="DN92" i="1"/>
  <c r="EL92" i="1"/>
  <c r="L88" i="1"/>
  <c r="C10" i="1" s="1"/>
  <c r="BF92" i="1"/>
  <c r="AT92" i="1"/>
  <c r="CD92" i="1"/>
  <c r="BR92" i="1"/>
  <c r="L87" i="1"/>
  <c r="C9" i="1" s="1"/>
  <c r="L85" i="1"/>
  <c r="L86" i="1" s="1"/>
  <c r="DR92" i="1"/>
  <c r="AB152" i="1"/>
  <c r="W92" i="1" l="1"/>
  <c r="U92" i="1"/>
  <c r="X92" i="1"/>
  <c r="R92" i="1"/>
  <c r="T92" i="1"/>
  <c r="V92" i="1"/>
  <c r="S92" i="1"/>
  <c r="Q92" i="1"/>
  <c r="P92" i="1"/>
  <c r="L92" i="1"/>
  <c r="L89" i="1"/>
  <c r="C11" i="1" s="1"/>
  <c r="C8" i="1"/>
  <c r="AB154" i="1"/>
  <c r="AB155" i="1" l="1"/>
  <c r="AB99" i="1" l="1"/>
  <c r="AB158" i="1"/>
  <c r="AC152" i="1" l="1"/>
  <c r="AC154" i="1" l="1"/>
  <c r="AC155" i="1" l="1"/>
  <c r="AC158" i="1" l="1"/>
  <c r="AD152" i="1" s="1"/>
  <c r="AC99" i="1"/>
  <c r="AD154" i="1" l="1"/>
  <c r="AD155" i="1" l="1"/>
  <c r="AD99" i="1" l="1"/>
  <c r="AD158" i="1"/>
  <c r="AE152" i="1" s="1"/>
  <c r="AE154" i="1" l="1"/>
  <c r="AE155" i="1" s="1"/>
  <c r="AE99" i="1" l="1"/>
  <c r="AE158" i="1"/>
  <c r="AF152" i="1" s="1"/>
  <c r="AF154" i="1" l="1"/>
  <c r="AF155" i="1" s="1"/>
  <c r="AF158" i="1" l="1"/>
  <c r="AG152" i="1" s="1"/>
  <c r="AF99" i="1"/>
  <c r="AG154" i="1" l="1"/>
  <c r="AG155" i="1" s="1"/>
  <c r="AG99" i="1" l="1"/>
  <c r="AG158" i="1"/>
  <c r="AH152" i="1" s="1"/>
  <c r="AH154" i="1" l="1"/>
  <c r="AH155" i="1" s="1"/>
  <c r="AH99" i="1" s="1"/>
  <c r="AH158" i="1" l="1"/>
  <c r="AI152" i="1" s="1"/>
  <c r="AI154" i="1" s="1"/>
  <c r="AI155" i="1" s="1"/>
  <c r="AI99" i="1" s="1"/>
  <c r="AI158" i="1" l="1"/>
  <c r="AJ152" i="1" s="1"/>
  <c r="AJ154" i="1" s="1"/>
  <c r="AJ155" i="1" s="1"/>
  <c r="AJ99" i="1" s="1"/>
  <c r="AJ158" i="1" l="1"/>
  <c r="AK152" i="1" s="1"/>
  <c r="AK154" i="1" l="1"/>
  <c r="AK155" i="1" s="1"/>
  <c r="AK99" i="1" s="1"/>
  <c r="AK158" i="1" l="1"/>
  <c r="AL152" i="1" s="1"/>
  <c r="AL154" i="1" s="1"/>
  <c r="AL155" i="1" s="1"/>
  <c r="AL99" i="1" s="1"/>
  <c r="AL158" i="1" l="1"/>
  <c r="AM152" i="1" s="1"/>
  <c r="AM154" i="1" l="1"/>
  <c r="AM155" i="1" l="1"/>
  <c r="AM158" i="1" s="1"/>
  <c r="AN152" i="1" s="1"/>
  <c r="AM99" i="1" l="1"/>
  <c r="AN154" i="1"/>
  <c r="AN155" i="1" l="1"/>
  <c r="AN158" i="1" s="1"/>
  <c r="AO152" i="1" s="1"/>
  <c r="AN99" i="1" l="1"/>
  <c r="AO154" i="1"/>
  <c r="AO155" i="1" l="1"/>
  <c r="AO158" i="1" s="1"/>
  <c r="AP152" i="1" s="1"/>
  <c r="AO99" i="1" l="1"/>
  <c r="AP154" i="1"/>
  <c r="AP155" i="1" l="1"/>
  <c r="AP158" i="1" s="1"/>
  <c r="AQ152" i="1" s="1"/>
  <c r="AQ154" i="1" s="1"/>
  <c r="AQ155" i="1" s="1"/>
  <c r="AQ99" i="1" s="1"/>
  <c r="AP99" i="1" l="1"/>
  <c r="AQ158" i="1"/>
  <c r="AR152" i="1" s="1"/>
  <c r="AR154" i="1" l="1"/>
  <c r="AR155" i="1" s="1"/>
  <c r="AR99" i="1" l="1"/>
  <c r="AO148" i="1"/>
  <c r="AR158" i="1"/>
  <c r="AS152" i="1" s="1"/>
  <c r="AS154" i="1" s="1"/>
  <c r="AS155" i="1" s="1"/>
  <c r="AS99" i="1" s="1"/>
  <c r="AO96" i="1" l="1"/>
  <c r="AS158" i="1"/>
  <c r="AT152" i="1" s="1"/>
  <c r="AT154" i="1" s="1"/>
  <c r="AN148" i="1" l="1"/>
  <c r="AT155" i="1"/>
  <c r="AT158" i="1" s="1"/>
  <c r="AN96" i="1" l="1"/>
  <c r="AU152" i="1"/>
  <c r="AU154" i="1" s="1"/>
  <c r="AT99" i="1"/>
  <c r="AU155" i="1" l="1"/>
  <c r="AU99" i="1" l="1"/>
  <c r="AU158" i="1"/>
  <c r="AV152" i="1" l="1"/>
  <c r="AV154" i="1" l="1"/>
  <c r="AV155" i="1" l="1"/>
  <c r="AV99" i="1" l="1"/>
  <c r="AV158" i="1"/>
  <c r="AW152" i="1" l="1"/>
  <c r="AW154" i="1" l="1"/>
  <c r="AW155" i="1" l="1"/>
  <c r="AW99" i="1" l="1"/>
  <c r="AW158" i="1"/>
  <c r="AX152" i="1" l="1"/>
  <c r="AX154" i="1" l="1"/>
  <c r="AX155" i="1" s="1"/>
  <c r="AX99" i="1" s="1"/>
  <c r="AX158" i="1" l="1"/>
  <c r="AY152" i="1" l="1"/>
  <c r="AY154" i="1" s="1"/>
  <c r="Q152" i="1"/>
  <c r="AY155" i="1" l="1"/>
  <c r="AY158" i="1" l="1"/>
  <c r="AZ152" i="1" s="1"/>
  <c r="AZ154" i="1" s="1"/>
  <c r="AY99" i="1"/>
  <c r="AZ155" i="1" l="1"/>
  <c r="AZ99" i="1" l="1"/>
  <c r="AZ158" i="1"/>
  <c r="BA152" i="1" l="1"/>
  <c r="BA154" i="1" l="1"/>
  <c r="BA155" i="1" l="1"/>
  <c r="BA99" i="1" l="1"/>
  <c r="BA158" i="1"/>
  <c r="BB152" i="1" l="1"/>
  <c r="BB154" i="1" l="1"/>
  <c r="BB155" i="1" l="1"/>
  <c r="BB99" i="1" l="1"/>
  <c r="BB158" i="1"/>
  <c r="BC152" i="1" l="1"/>
  <c r="BC154" i="1" l="1"/>
  <c r="BC155" i="1" l="1"/>
  <c r="BC99" i="1" l="1"/>
  <c r="BC158" i="1"/>
  <c r="BD152" i="1" l="1"/>
  <c r="BD154" i="1" l="1"/>
  <c r="BD155" i="1" s="1"/>
  <c r="BD99" i="1" s="1"/>
  <c r="BD158" i="1" l="1"/>
  <c r="BE152" i="1" s="1"/>
  <c r="BE154" i="1" l="1"/>
  <c r="BE155" i="1" s="1"/>
  <c r="BE99" i="1" s="1"/>
  <c r="BE158" i="1" l="1"/>
  <c r="BF152" i="1" s="1"/>
  <c r="BF154" i="1" l="1"/>
  <c r="BF155" i="1" s="1"/>
  <c r="BF99" i="1" s="1"/>
  <c r="BF158" i="1" l="1"/>
  <c r="BG152" i="1" s="1"/>
  <c r="BG154" i="1" l="1"/>
  <c r="BG155" i="1" s="1"/>
  <c r="BG99" i="1" s="1"/>
  <c r="BG158" i="1" l="1"/>
  <c r="BH152" i="1" s="1"/>
  <c r="BH154" i="1" l="1"/>
  <c r="BH155" i="1" s="1"/>
  <c r="BH99" i="1" s="1"/>
  <c r="BH158" i="1" l="1"/>
  <c r="BI152" i="1" s="1"/>
  <c r="BI154" i="1" l="1"/>
  <c r="BI155" i="1" s="1"/>
  <c r="BI99" i="1" s="1"/>
  <c r="BI158" i="1" l="1"/>
  <c r="BJ152" i="1" s="1"/>
  <c r="BJ154" i="1" l="1"/>
  <c r="BJ155" i="1" s="1"/>
  <c r="BJ99" i="1" s="1"/>
  <c r="BJ158" i="1" l="1"/>
  <c r="BK152" i="1" s="1"/>
  <c r="BK154" i="1" l="1"/>
  <c r="BK155" i="1" l="1"/>
  <c r="BK99" i="1" l="1"/>
  <c r="BK158" i="1"/>
  <c r="BL152" i="1" l="1"/>
  <c r="BL154" i="1" l="1"/>
  <c r="BL155" i="1" l="1"/>
  <c r="BL99" i="1" l="1"/>
  <c r="BL158" i="1"/>
  <c r="BM152" i="1" l="1"/>
  <c r="BM154" i="1" l="1"/>
  <c r="BM155" i="1" l="1"/>
  <c r="BM99" i="1" l="1"/>
  <c r="BM158" i="1"/>
  <c r="BN152" i="1" l="1"/>
  <c r="BN154" i="1" l="1"/>
  <c r="BN155" i="1" l="1"/>
  <c r="BN158" i="1" s="1"/>
  <c r="BN99" i="1" l="1"/>
  <c r="BO152" i="1"/>
  <c r="BO154" i="1" l="1"/>
  <c r="BO155" i="1" l="1"/>
  <c r="BO99" i="1" l="1"/>
  <c r="BO158" i="1"/>
  <c r="BP152" i="1" l="1"/>
  <c r="BP154" i="1" l="1"/>
  <c r="BP155" i="1" s="1"/>
  <c r="BP99" i="1" s="1"/>
  <c r="BP158" i="1" l="1"/>
  <c r="BQ152" i="1" s="1"/>
  <c r="BQ154" i="1" s="1"/>
  <c r="BQ155" i="1" s="1"/>
  <c r="BQ99" i="1" s="1"/>
  <c r="BQ158" i="1" l="1"/>
  <c r="BR152" i="1" s="1"/>
  <c r="BR154" i="1" s="1"/>
  <c r="BR155" i="1" s="1"/>
  <c r="BR158" i="1" l="1"/>
  <c r="BS152" i="1" s="1"/>
  <c r="BR99" i="1"/>
  <c r="BS154" i="1" l="1"/>
  <c r="BS155" i="1" s="1"/>
  <c r="BS99" i="1" s="1"/>
  <c r="BS158" i="1" l="1"/>
  <c r="BT152" i="1" s="1"/>
  <c r="BT154" i="1" s="1"/>
  <c r="BT155" i="1" s="1"/>
  <c r="BW148" i="1"/>
  <c r="BT158" i="1" l="1"/>
  <c r="BU152" i="1" s="1"/>
  <c r="BT99" i="1"/>
  <c r="BW96" i="1"/>
  <c r="BU154" i="1" l="1"/>
  <c r="BU155" i="1" s="1"/>
  <c r="BU99" i="1" s="1"/>
  <c r="BU158" i="1" l="1"/>
  <c r="BV152" i="1" s="1"/>
  <c r="BV154" i="1" l="1"/>
  <c r="BV155" i="1" s="1"/>
  <c r="BV99" i="1" s="1"/>
  <c r="BV158" i="1" l="1"/>
  <c r="BW152" i="1" s="1"/>
  <c r="BW154" i="1" l="1"/>
  <c r="BW155" i="1" l="1"/>
  <c r="BW156" i="1" l="1"/>
  <c r="BW158" i="1" l="1"/>
  <c r="BX152" i="1" s="1"/>
  <c r="BW99" i="1"/>
  <c r="BX154" i="1" l="1"/>
  <c r="BX155" i="1" l="1"/>
  <c r="DS157" i="1"/>
  <c r="DS100" i="1" l="1"/>
  <c r="W100" i="1" s="1"/>
  <c r="W157" i="1"/>
  <c r="BX156" i="1"/>
  <c r="BX99" i="1" l="1"/>
  <c r="BX158" i="1"/>
  <c r="BY152" i="1" s="1"/>
  <c r="BY154" i="1" l="1"/>
  <c r="BY155" i="1" l="1"/>
  <c r="BY156" i="1" l="1"/>
  <c r="BY158" i="1" l="1"/>
  <c r="BZ152" i="1" s="1"/>
  <c r="BZ154" i="1" s="1"/>
  <c r="BY99" i="1"/>
  <c r="BZ155" i="1" l="1"/>
  <c r="BZ156" i="1" l="1"/>
  <c r="BZ158" i="1" l="1"/>
  <c r="CA152" i="1" s="1"/>
  <c r="CA154" i="1" s="1"/>
  <c r="BZ99" i="1"/>
  <c r="CA155" i="1" l="1"/>
  <c r="CA156" i="1" l="1"/>
  <c r="CA158" i="1" l="1"/>
  <c r="CB152" i="1" s="1"/>
  <c r="CB154" i="1" s="1"/>
  <c r="CB155" i="1" s="1"/>
  <c r="CA99" i="1"/>
  <c r="CB156" i="1" l="1"/>
  <c r="CB158" i="1" s="1"/>
  <c r="CC152" i="1" s="1"/>
  <c r="CC154" i="1" s="1"/>
  <c r="CC155" i="1" s="1"/>
  <c r="CB99" i="1" l="1"/>
  <c r="CC156" i="1"/>
  <c r="CC158" i="1" s="1"/>
  <c r="CD152" i="1" s="1"/>
  <c r="CD154" i="1" s="1"/>
  <c r="CD155" i="1" s="1"/>
  <c r="CC99" i="1" l="1"/>
  <c r="CD156" i="1"/>
  <c r="CD158" i="1" s="1"/>
  <c r="CE152" i="1" s="1"/>
  <c r="CE154" i="1" s="1"/>
  <c r="CE155" i="1" s="1"/>
  <c r="CD99" i="1" l="1"/>
  <c r="CE156" i="1"/>
  <c r="CE158" i="1" s="1"/>
  <c r="CF152" i="1" s="1"/>
  <c r="CF154" i="1" s="1"/>
  <c r="CF155" i="1" s="1"/>
  <c r="CF156" i="1" l="1"/>
  <c r="CF158" i="1" s="1"/>
  <c r="CG152" i="1" s="1"/>
  <c r="CG154" i="1" s="1"/>
  <c r="CG155" i="1" s="1"/>
  <c r="CE99" i="1"/>
  <c r="CF99" i="1" l="1"/>
  <c r="CG156" i="1"/>
  <c r="CG158" i="1" s="1"/>
  <c r="CH152" i="1" s="1"/>
  <c r="CH154" i="1" s="1"/>
  <c r="CH155" i="1" s="1"/>
  <c r="CG99" i="1" l="1"/>
  <c r="CH156" i="1"/>
  <c r="CH158" i="1" s="1"/>
  <c r="CI152" i="1" s="1"/>
  <c r="CI154" i="1" s="1"/>
  <c r="CH99" i="1" l="1"/>
  <c r="CI155" i="1"/>
  <c r="CI156" i="1" l="1"/>
  <c r="CI99" i="1" s="1"/>
  <c r="CI158" i="1" l="1"/>
  <c r="CJ152" i="1" l="1"/>
  <c r="CJ154" i="1" l="1"/>
  <c r="CJ155" i="1" l="1"/>
  <c r="CJ156" i="1" l="1"/>
  <c r="CJ158" i="1" s="1"/>
  <c r="CK152" i="1" l="1"/>
  <c r="CK154" i="1" s="1"/>
  <c r="CJ99" i="1"/>
  <c r="CK155" i="1" l="1"/>
  <c r="CK156" i="1" l="1"/>
  <c r="CK99" i="1" s="1"/>
  <c r="CK158" i="1" l="1"/>
  <c r="CL152" i="1" l="1"/>
  <c r="CL154" i="1" s="1"/>
  <c r="CL155" i="1" l="1"/>
  <c r="CL156" i="1" l="1"/>
  <c r="CL99" i="1" s="1"/>
  <c r="CL158" i="1" l="1"/>
  <c r="CM152" i="1" l="1"/>
  <c r="CM154" i="1" s="1"/>
  <c r="CM155" i="1" l="1"/>
  <c r="CM156" i="1" l="1"/>
  <c r="CM99" i="1" s="1"/>
  <c r="CM158" i="1" l="1"/>
  <c r="CN152" i="1" l="1"/>
  <c r="CN154" i="1" s="1"/>
  <c r="CN155" i="1" s="1"/>
  <c r="CN156" i="1" l="1"/>
  <c r="CN158" i="1" s="1"/>
  <c r="CO152" i="1" s="1"/>
  <c r="CO154" i="1" s="1"/>
  <c r="CO155" i="1" s="1"/>
  <c r="CN99" i="1" l="1"/>
  <c r="CO156" i="1"/>
  <c r="CO158" i="1" s="1"/>
  <c r="CP152" i="1" s="1"/>
  <c r="CO99" i="1" l="1"/>
  <c r="CP154" i="1"/>
  <c r="CP155" i="1" s="1"/>
  <c r="CP156" i="1" s="1"/>
  <c r="CP99" i="1" s="1"/>
  <c r="CP158" i="1" l="1"/>
  <c r="CQ152" i="1" s="1"/>
  <c r="CQ154" i="1" l="1"/>
  <c r="CQ155" i="1" s="1"/>
  <c r="CQ156" i="1" l="1"/>
  <c r="CQ158" i="1" s="1"/>
  <c r="CR152" i="1" s="1"/>
  <c r="CQ99" i="1" l="1"/>
  <c r="CR154" i="1"/>
  <c r="CR155" i="1" s="1"/>
  <c r="CR156" i="1" l="1"/>
  <c r="CR158" i="1" s="1"/>
  <c r="CS152" i="1" s="1"/>
  <c r="CR99" i="1" l="1"/>
  <c r="CS154" i="1"/>
  <c r="CS155" i="1" s="1"/>
  <c r="CS156" i="1" s="1"/>
  <c r="CS99" i="1" s="1"/>
  <c r="CS158" i="1" l="1"/>
  <c r="CT152" i="1" s="1"/>
  <c r="CT154" i="1" s="1"/>
  <c r="CT155" i="1" s="1"/>
  <c r="CT156" i="1" s="1"/>
  <c r="CT158" i="1" s="1"/>
  <c r="CU152" i="1" s="1"/>
  <c r="CU154" i="1" s="1"/>
  <c r="CT99" i="1" l="1"/>
  <c r="CU155" i="1"/>
  <c r="CU156" i="1" l="1"/>
  <c r="CU99" i="1" s="1"/>
  <c r="CU158" i="1" l="1"/>
  <c r="CV152" i="1" l="1"/>
  <c r="CV154" i="1" s="1"/>
  <c r="CV155" i="1" l="1"/>
  <c r="CV156" i="1" l="1"/>
  <c r="CV99" i="1" s="1"/>
  <c r="CV158" i="1" l="1"/>
  <c r="CW152" i="1" l="1"/>
  <c r="CW154" i="1" s="1"/>
  <c r="CW155" i="1" l="1"/>
  <c r="DR157" i="1"/>
  <c r="V157" i="1" s="1"/>
  <c r="CW156" i="1" l="1"/>
  <c r="CW99" i="1" s="1"/>
  <c r="DR100" i="1"/>
  <c r="V100" i="1" s="1"/>
  <c r="CW158" i="1" l="1"/>
  <c r="CX152" i="1" l="1"/>
  <c r="CX154" i="1" l="1"/>
  <c r="CX155" i="1" l="1"/>
  <c r="CX156" i="1" l="1"/>
  <c r="CX158" i="1" s="1"/>
  <c r="CY152" i="1" l="1"/>
  <c r="CY154" i="1" s="1"/>
  <c r="CX99" i="1"/>
  <c r="CY155" i="1" l="1"/>
  <c r="CY156" i="1" l="1"/>
  <c r="CY99" i="1" s="1"/>
  <c r="CY158" i="1" l="1"/>
  <c r="CZ152" i="1" l="1"/>
  <c r="CZ154" i="1" l="1"/>
  <c r="CZ155" i="1" s="1"/>
  <c r="CZ156" i="1" s="1"/>
  <c r="CZ99" i="1" s="1"/>
  <c r="CZ158" i="1" l="1"/>
  <c r="DA152" i="1" s="1"/>
  <c r="DA154" i="1" s="1"/>
  <c r="DA155" i="1" s="1"/>
  <c r="DA156" i="1" l="1"/>
  <c r="DA158" i="1" s="1"/>
  <c r="DB152" i="1" s="1"/>
  <c r="DA99" i="1" l="1"/>
  <c r="DB154" i="1"/>
  <c r="DB155" i="1" s="1"/>
  <c r="DB156" i="1" s="1"/>
  <c r="DB99" i="1" s="1"/>
  <c r="DB158" i="1" l="1"/>
  <c r="DC152" i="1" s="1"/>
  <c r="DC154" i="1" s="1"/>
  <c r="DC155" i="1" s="1"/>
  <c r="DC156" i="1" s="1"/>
  <c r="DC158" i="1" s="1"/>
  <c r="DD152" i="1" s="1"/>
  <c r="DD154" i="1" s="1"/>
  <c r="DD155" i="1" s="1"/>
  <c r="DC99" i="1" l="1"/>
  <c r="DD156" i="1"/>
  <c r="DD158" i="1" s="1"/>
  <c r="DE152" i="1" s="1"/>
  <c r="DD99" i="1" l="1"/>
  <c r="DE154" i="1"/>
  <c r="DE155" i="1" s="1"/>
  <c r="DE156" i="1" s="1"/>
  <c r="DE99" i="1" s="1"/>
  <c r="DE158" i="1" l="1"/>
  <c r="DF152" i="1" s="1"/>
  <c r="DF154" i="1" s="1"/>
  <c r="DF155" i="1" s="1"/>
  <c r="DF156" i="1" l="1"/>
  <c r="DF158" i="1" s="1"/>
  <c r="DG152" i="1" s="1"/>
  <c r="DG154" i="1" s="1"/>
  <c r="DG155" i="1" s="1"/>
  <c r="DF99" i="1" l="1"/>
  <c r="DG156" i="1"/>
  <c r="DG99" i="1" s="1"/>
  <c r="DG158" i="1" l="1"/>
  <c r="DH152" i="1" l="1"/>
  <c r="DH154" i="1" s="1"/>
  <c r="DH155" i="1" l="1"/>
  <c r="DH156" i="1" l="1"/>
  <c r="DH99" i="1" s="1"/>
  <c r="DH158" i="1" l="1"/>
  <c r="DI152" i="1" l="1"/>
  <c r="DI154" i="1" s="1"/>
  <c r="DI155" i="1" l="1"/>
  <c r="DI156" i="1" l="1"/>
  <c r="DI99" i="1" s="1"/>
  <c r="DI158" i="1" l="1"/>
  <c r="DJ152" i="1" l="1"/>
  <c r="DJ154" i="1" l="1"/>
  <c r="DJ155" i="1" l="1"/>
  <c r="DJ156" i="1" l="1"/>
  <c r="DJ158" i="1" s="1"/>
  <c r="DK152" i="1" l="1"/>
  <c r="DK154" i="1" s="1"/>
  <c r="DJ99" i="1"/>
  <c r="DK155" i="1" l="1"/>
  <c r="DK156" i="1" l="1"/>
  <c r="DK99" i="1" s="1"/>
  <c r="DK158" i="1" l="1"/>
  <c r="DL152" i="1" l="1"/>
  <c r="DL154" i="1" l="1"/>
  <c r="DL155" i="1" s="1"/>
  <c r="DL156" i="1" s="1"/>
  <c r="DL99" i="1" s="1"/>
  <c r="DL158" i="1" l="1"/>
  <c r="DM152" i="1" s="1"/>
  <c r="DM154" i="1" s="1"/>
  <c r="DM155" i="1" s="1"/>
  <c r="DM156" i="1" l="1"/>
  <c r="DM158" i="1" s="1"/>
  <c r="DN152" i="1" s="1"/>
  <c r="DM99" i="1" l="1"/>
  <c r="DN154" i="1"/>
  <c r="DN155" i="1" s="1"/>
  <c r="DN156" i="1" s="1"/>
  <c r="DN99" i="1" s="1"/>
  <c r="DN158" i="1" l="1"/>
  <c r="DO152" i="1" s="1"/>
  <c r="DO154" i="1" s="1"/>
  <c r="DO155" i="1" s="1"/>
  <c r="DO156" i="1" l="1"/>
  <c r="DO158" i="1" s="1"/>
  <c r="DP152" i="1" s="1"/>
  <c r="DO99" i="1" l="1"/>
  <c r="DP154" i="1"/>
  <c r="DP155" i="1" s="1"/>
  <c r="DP156" i="1" s="1"/>
  <c r="DP99" i="1" s="1"/>
  <c r="DP158" i="1" l="1"/>
  <c r="DQ152" i="1" s="1"/>
  <c r="DQ154" i="1" l="1"/>
  <c r="DQ155" i="1" s="1"/>
  <c r="DQ156" i="1" s="1"/>
  <c r="DQ99" i="1" s="1"/>
  <c r="DQ158" i="1" l="1"/>
  <c r="DR152" i="1" s="1"/>
  <c r="DR154" i="1" l="1"/>
  <c r="DR155" i="1" l="1"/>
  <c r="DR156" i="1" l="1"/>
  <c r="DR99" i="1" s="1"/>
  <c r="DR158" i="1" l="1"/>
  <c r="DS152" i="1" s="1"/>
  <c r="DS154" i="1" s="1"/>
  <c r="DS155" i="1" l="1"/>
  <c r="DS156" i="1" l="1"/>
  <c r="DS99" i="1" s="1"/>
  <c r="DS158" i="1" l="1"/>
  <c r="BV148" i="1"/>
  <c r="R148" i="1" s="1"/>
  <c r="DT152" i="1" l="1"/>
  <c r="DT154" i="1" s="1"/>
  <c r="BV96" i="1"/>
  <c r="R96" i="1" s="1"/>
  <c r="DT155" i="1" l="1"/>
  <c r="DT156" i="1" l="1"/>
  <c r="DT99" i="1" s="1"/>
  <c r="DT158" i="1" l="1"/>
  <c r="DU152" i="1" l="1"/>
  <c r="DU154" i="1" s="1"/>
  <c r="DU155" i="1" l="1"/>
  <c r="DU156" i="1" l="1"/>
  <c r="DU99" i="1" s="1"/>
  <c r="DU158" i="1" l="1"/>
  <c r="DV152" i="1" l="1"/>
  <c r="DV154" i="1" l="1"/>
  <c r="DV155" i="1" l="1"/>
  <c r="DV156" i="1" l="1"/>
  <c r="DV158" i="1" s="1"/>
  <c r="DW152" i="1" l="1"/>
  <c r="DW154" i="1" s="1"/>
  <c r="DV99" i="1"/>
  <c r="DW155" i="1" l="1"/>
  <c r="DW156" i="1" l="1"/>
  <c r="DW99" i="1" s="1"/>
  <c r="DW158" i="1" l="1"/>
  <c r="DX152" i="1" l="1"/>
  <c r="DX154" i="1" s="1"/>
  <c r="DX155" i="1" s="1"/>
  <c r="Q99" i="1"/>
  <c r="R99" i="1"/>
  <c r="S99" i="1"/>
  <c r="T99" i="1"/>
  <c r="U99" i="1"/>
  <c r="V99" i="1"/>
  <c r="DX156" i="1" l="1"/>
  <c r="DX158" i="1" s="1"/>
  <c r="DX99" i="1" l="1"/>
  <c r="DY152" i="1"/>
  <c r="DY154" i="1" s="1"/>
  <c r="DY155" i="1" s="1"/>
  <c r="DY156" i="1" l="1"/>
  <c r="DY158" i="1" s="1"/>
  <c r="DY99" i="1" l="1"/>
  <c r="DZ152" i="1"/>
  <c r="DZ154" i="1" l="1"/>
  <c r="DZ155" i="1" s="1"/>
  <c r="DZ156" i="1" s="1"/>
  <c r="DZ99" i="1" s="1"/>
  <c r="DZ158" i="1" l="1"/>
  <c r="EA152" i="1" l="1"/>
  <c r="EA154" i="1" l="1"/>
  <c r="EA155" i="1" s="1"/>
  <c r="EA156" i="1" s="1"/>
  <c r="EA99" i="1" s="1"/>
  <c r="EA158" i="1" l="1"/>
  <c r="EB152" i="1" l="1"/>
  <c r="EB154" i="1" l="1"/>
  <c r="EB155" i="1" s="1"/>
  <c r="EB156" i="1" s="1"/>
  <c r="EB99" i="1" s="1"/>
  <c r="EB158" i="1" l="1"/>
  <c r="EC152" i="1" l="1"/>
  <c r="EC154" i="1" l="1"/>
  <c r="EC155" i="1" s="1"/>
  <c r="EC156" i="1" s="1"/>
  <c r="EC99" i="1" s="1"/>
  <c r="EC158" i="1" l="1"/>
  <c r="ED152" i="1" s="1"/>
  <c r="ED154" i="1" s="1"/>
  <c r="ED155" i="1" s="1"/>
  <c r="ED156" i="1" l="1"/>
  <c r="ED158" i="1" s="1"/>
  <c r="EE152" i="1" s="1"/>
  <c r="EE154" i="1" s="1"/>
  <c r="ED99" i="1" l="1"/>
  <c r="EE155" i="1"/>
  <c r="EE156" i="1" l="1"/>
  <c r="EE99" i="1" s="1"/>
  <c r="EE158" i="1" l="1"/>
  <c r="EF152" i="1" l="1"/>
  <c r="EF154" i="1" s="1"/>
  <c r="EF155" i="1" l="1"/>
  <c r="EF156" i="1" l="1"/>
  <c r="EF99" i="1" s="1"/>
  <c r="EF158" i="1" l="1"/>
  <c r="EG152" i="1" l="1"/>
  <c r="EG154" i="1" s="1"/>
  <c r="EG155" i="1" l="1"/>
  <c r="EG156" i="1" l="1"/>
  <c r="EG99" i="1" s="1"/>
  <c r="EG158" i="1" l="1"/>
  <c r="EH152" i="1" l="1"/>
  <c r="EH154" i="1" s="1"/>
  <c r="EH155" i="1" l="1"/>
  <c r="EH156" i="1" l="1"/>
  <c r="EH99" i="1" s="1"/>
  <c r="EH158" i="1" l="1"/>
  <c r="EI152" i="1" l="1"/>
  <c r="EI154" i="1" s="1"/>
  <c r="EI155" i="1" l="1"/>
  <c r="EI156" i="1" l="1"/>
  <c r="EI99" i="1" s="1"/>
  <c r="EI158" i="1" l="1"/>
  <c r="EJ152" i="1" l="1"/>
  <c r="EJ154" i="1" s="1"/>
  <c r="EJ155" i="1" s="1"/>
  <c r="EJ156" i="1" l="1"/>
  <c r="EJ158" i="1" s="1"/>
  <c r="EK152" i="1" s="1"/>
  <c r="EK154" i="1" s="1"/>
  <c r="EK155" i="1" s="1"/>
  <c r="EJ99" i="1" l="1"/>
  <c r="EK156" i="1"/>
  <c r="EK158" i="1" s="1"/>
  <c r="EL152" i="1" s="1"/>
  <c r="EK99" i="1" l="1"/>
  <c r="EL154" i="1"/>
  <c r="EL155" i="1" s="1"/>
  <c r="EL156" i="1" s="1"/>
  <c r="EL99" i="1" s="1"/>
  <c r="EL158" i="1" l="1"/>
  <c r="EM152" i="1" s="1"/>
  <c r="EM154" i="1" l="1"/>
  <c r="EM155" i="1" s="1"/>
  <c r="EM156" i="1" s="1"/>
  <c r="EM99" i="1" s="1"/>
  <c r="EM158" i="1" l="1"/>
  <c r="EN152" i="1" s="1"/>
  <c r="EN154" i="1" l="1"/>
  <c r="EN155" i="1" s="1"/>
  <c r="EN156" i="1" s="1"/>
  <c r="EN99" i="1" s="1"/>
  <c r="EN158" i="1" l="1"/>
  <c r="EO152" i="1" s="1"/>
  <c r="EO154" i="1" l="1"/>
  <c r="EO155" i="1" s="1"/>
  <c r="EO156" i="1" s="1"/>
  <c r="EO99" i="1" s="1"/>
  <c r="EO158" i="1" l="1"/>
  <c r="EP152" i="1" s="1"/>
  <c r="EP154" i="1" l="1"/>
  <c r="EP155" i="1" s="1"/>
  <c r="G33" i="1"/>
  <c r="AY147" i="1"/>
  <c r="AZ147" i="1"/>
  <c r="BA147" i="1"/>
  <c r="BB147" i="1"/>
  <c r="BC147" i="1"/>
  <c r="BD147" i="1"/>
  <c r="BE147" i="1"/>
  <c r="BF147" i="1"/>
  <c r="BG147" i="1"/>
  <c r="BH147" i="1"/>
  <c r="BI147" i="1"/>
  <c r="BJ147" i="1"/>
  <c r="BK147" i="1"/>
  <c r="BL147" i="1"/>
  <c r="BM147" i="1"/>
  <c r="BN147" i="1"/>
  <c r="BO147" i="1"/>
  <c r="BP147" i="1"/>
  <c r="BQ147" i="1"/>
  <c r="BR147" i="1"/>
  <c r="BS147" i="1"/>
  <c r="BT147" i="1"/>
  <c r="BU147" i="1"/>
  <c r="BV147" i="1"/>
  <c r="BW147" i="1"/>
  <c r="BX147" i="1"/>
  <c r="BY147" i="1"/>
  <c r="BZ147" i="1"/>
  <c r="CA147" i="1"/>
  <c r="CB147" i="1"/>
  <c r="CC147" i="1"/>
  <c r="CD147" i="1"/>
  <c r="CE147" i="1"/>
  <c r="CF147" i="1"/>
  <c r="CG147" i="1"/>
  <c r="CH147" i="1"/>
  <c r="R147" i="1" l="1"/>
  <c r="S147" i="1"/>
  <c r="Q147" i="1"/>
  <c r="G31" i="1"/>
  <c r="G32" i="1"/>
  <c r="EP156" i="1"/>
  <c r="CH148" i="1"/>
  <c r="S148" i="1" s="1"/>
  <c r="O156" i="1" l="1"/>
  <c r="P156" i="1"/>
  <c r="EP99" i="1"/>
  <c r="L99" i="1" s="1"/>
  <c r="L156" i="1"/>
  <c r="S156" i="1"/>
  <c r="T156" i="1"/>
  <c r="U156" i="1"/>
  <c r="V156" i="1"/>
  <c r="W156" i="1"/>
  <c r="X156" i="1"/>
  <c r="EP157" i="1"/>
  <c r="CH96" i="1"/>
  <c r="S96" i="1" s="1"/>
  <c r="L157" i="1" l="1"/>
  <c r="O157" i="1"/>
  <c r="P157" i="1"/>
  <c r="EP158" i="1"/>
  <c r="EQ152" i="1" s="1"/>
  <c r="X157" i="1"/>
  <c r="EP100" i="1"/>
  <c r="O100" i="1" l="1"/>
  <c r="P100" i="1"/>
  <c r="X100" i="1"/>
  <c r="L100" i="1"/>
  <c r="EQ154" i="1"/>
  <c r="EQ155" i="1" s="1"/>
  <c r="EQ99" i="1" s="1"/>
  <c r="EQ158" i="1" l="1"/>
  <c r="ER152" i="1" s="1"/>
  <c r="ER154" i="1" l="1"/>
  <c r="ER155" i="1" s="1"/>
  <c r="ER99" i="1" s="1"/>
  <c r="ER158" i="1" l="1"/>
  <c r="ES152" i="1" s="1"/>
  <c r="ES154" i="1" s="1"/>
  <c r="ES155" i="1" s="1"/>
  <c r="ES99" i="1" s="1"/>
  <c r="ES158" i="1" l="1"/>
  <c r="ET152" i="1" s="1"/>
  <c r="ET154" i="1" s="1"/>
  <c r="ET155" i="1" s="1"/>
  <c r="ET99" i="1" s="1"/>
  <c r="ET158" i="1" l="1"/>
  <c r="EU152" i="1" s="1"/>
  <c r="EU154" i="1" l="1"/>
  <c r="EU155" i="1" s="1"/>
  <c r="EU99" i="1" s="1"/>
  <c r="EU158" i="1" l="1"/>
  <c r="EV152" i="1" s="1"/>
  <c r="EV154" i="1" l="1"/>
  <c r="EV155" i="1" s="1"/>
  <c r="EV99" i="1" s="1"/>
  <c r="EV158" i="1" l="1"/>
  <c r="EW152" i="1" s="1"/>
  <c r="EW154" i="1" l="1"/>
  <c r="EW155" i="1" s="1"/>
  <c r="EW99" i="1" s="1"/>
  <c r="EW158" i="1" l="1"/>
  <c r="EX152" i="1" s="1"/>
  <c r="EX154" i="1" l="1"/>
  <c r="EX155" i="1" s="1"/>
  <c r="EX99" i="1" s="1"/>
  <c r="EX158" i="1" l="1"/>
  <c r="EY152" i="1" s="1"/>
  <c r="EY154" i="1" s="1"/>
  <c r="EY155" i="1" s="1"/>
  <c r="EY99" i="1" s="1"/>
  <c r="EY158" i="1" l="1"/>
  <c r="EZ152" i="1" s="1"/>
  <c r="EZ154" i="1" l="1"/>
  <c r="EZ155" i="1" s="1"/>
  <c r="EZ99" i="1" s="1"/>
  <c r="EZ158" i="1" l="1"/>
  <c r="FA152" i="1" s="1"/>
  <c r="FA154" i="1" l="1"/>
  <c r="FA155" i="1" s="1"/>
  <c r="FA99" i="1" s="1"/>
  <c r="FA158" i="1" l="1"/>
  <c r="FB152" i="1" s="1"/>
  <c r="FB154" i="1" s="1"/>
  <c r="L154" i="1" l="1"/>
  <c r="O154" i="1"/>
  <c r="P154" i="1"/>
  <c r="Q154" i="1"/>
  <c r="R154" i="1"/>
  <c r="S154" i="1"/>
  <c r="T154" i="1"/>
  <c r="U154" i="1"/>
  <c r="V154" i="1"/>
  <c r="W154" i="1"/>
  <c r="FB155" i="1"/>
  <c r="X154" i="1"/>
  <c r="L155" i="1" l="1"/>
  <c r="L158" i="1" s="1"/>
  <c r="O155" i="1"/>
  <c r="P155" i="1"/>
  <c r="Q155" i="1"/>
  <c r="Q158" i="1" s="1"/>
  <c r="R155" i="1"/>
  <c r="S155" i="1"/>
  <c r="T155" i="1"/>
  <c r="U155" i="1"/>
  <c r="V155" i="1"/>
  <c r="W155" i="1"/>
  <c r="FB99" i="1"/>
  <c r="X155" i="1"/>
  <c r="FB158" i="1"/>
  <c r="O99" i="1" l="1"/>
  <c r="P99" i="1"/>
  <c r="R152" i="1"/>
  <c r="R158" i="1" s="1"/>
  <c r="S152" i="1" s="1"/>
  <c r="S158" i="1" s="1"/>
  <c r="T152" i="1" s="1"/>
  <c r="T158" i="1" s="1"/>
  <c r="U152" i="1" s="1"/>
  <c r="U158" i="1" s="1"/>
  <c r="V152" i="1" s="1"/>
  <c r="V158" i="1" s="1"/>
  <c r="W152" i="1" s="1"/>
  <c r="W158" i="1" s="1"/>
  <c r="X152" i="1" s="1"/>
  <c r="X158" i="1" s="1"/>
  <c r="W99" i="1"/>
  <c r="X99" i="1"/>
  <c r="D33" i="1" l="1"/>
  <c r="D49" i="1"/>
  <c r="AC93" i="1" s="1"/>
  <c r="D50" i="1"/>
  <c r="D52" i="1"/>
  <c r="D53" i="1"/>
  <c r="AB93" i="1"/>
  <c r="AJ93" i="1"/>
  <c r="DD93" i="1"/>
  <c r="Z144" i="1"/>
  <c r="ER93" i="1" l="1"/>
  <c r="EJ93" i="1"/>
  <c r="EB93" i="1"/>
  <c r="DT93" i="1"/>
  <c r="DL93" i="1"/>
  <c r="CV93" i="1"/>
  <c r="EZ93" i="1"/>
  <c r="CN93" i="1"/>
  <c r="CF93" i="1"/>
  <c r="BX93" i="1"/>
  <c r="BP93" i="1"/>
  <c r="BH93" i="1"/>
  <c r="AZ93" i="1"/>
  <c r="AR93" i="1"/>
  <c r="EY93" i="1"/>
  <c r="DS93" i="1"/>
  <c r="BO93" i="1"/>
  <c r="EX93" i="1"/>
  <c r="EH93" i="1"/>
  <c r="DJ93" i="1"/>
  <c r="CL93" i="1"/>
  <c r="BN93" i="1"/>
  <c r="BF93" i="1"/>
  <c r="AX93" i="1"/>
  <c r="Z93" i="1"/>
  <c r="N93" i="1" s="1"/>
  <c r="D40" i="1"/>
  <c r="C40" i="1" s="1"/>
  <c r="EO93" i="1"/>
  <c r="DY93" i="1"/>
  <c r="DA93" i="1"/>
  <c r="BU93" i="1"/>
  <c r="AO93" i="1"/>
  <c r="EV93" i="1"/>
  <c r="EN93" i="1"/>
  <c r="EF93" i="1"/>
  <c r="DX93" i="1"/>
  <c r="DP93" i="1"/>
  <c r="DH93" i="1"/>
  <c r="CZ93" i="1"/>
  <c r="CR93" i="1"/>
  <c r="CJ93" i="1"/>
  <c r="CB93" i="1"/>
  <c r="BT93" i="1"/>
  <c r="BL93" i="1"/>
  <c r="BD93" i="1"/>
  <c r="AV93" i="1"/>
  <c r="AN93" i="1"/>
  <c r="AF93" i="1"/>
  <c r="EI93" i="1"/>
  <c r="DK93" i="1"/>
  <c r="CU93" i="1"/>
  <c r="CM93" i="1"/>
  <c r="BW93" i="1"/>
  <c r="BG93" i="1"/>
  <c r="AQ93" i="1"/>
  <c r="AI93" i="1"/>
  <c r="AA93" i="1"/>
  <c r="DR93" i="1"/>
  <c r="CT93" i="1"/>
  <c r="BV93" i="1"/>
  <c r="AP93" i="1"/>
  <c r="EG93" i="1"/>
  <c r="DI93" i="1"/>
  <c r="CS93" i="1"/>
  <c r="CC93" i="1"/>
  <c r="BM93" i="1"/>
  <c r="BE93" i="1"/>
  <c r="AW93" i="1"/>
  <c r="AG93" i="1"/>
  <c r="EU93" i="1"/>
  <c r="EM93" i="1"/>
  <c r="EE93" i="1"/>
  <c r="DW93" i="1"/>
  <c r="DO93" i="1"/>
  <c r="DG93" i="1"/>
  <c r="CY93" i="1"/>
  <c r="CQ93" i="1"/>
  <c r="CI93" i="1"/>
  <c r="CA93" i="1"/>
  <c r="BS93" i="1"/>
  <c r="BK93" i="1"/>
  <c r="BC93" i="1"/>
  <c r="AU93" i="1"/>
  <c r="AM93" i="1"/>
  <c r="AE93" i="1"/>
  <c r="FB93" i="1"/>
  <c r="ET93" i="1"/>
  <c r="EL93" i="1"/>
  <c r="ED93" i="1"/>
  <c r="DV93" i="1"/>
  <c r="DN93" i="1"/>
  <c r="DF93" i="1"/>
  <c r="CX93" i="1"/>
  <c r="CP93" i="1"/>
  <c r="CH93" i="1"/>
  <c r="BZ93" i="1"/>
  <c r="BR93" i="1"/>
  <c r="BJ93" i="1"/>
  <c r="BB93" i="1"/>
  <c r="AT93" i="1"/>
  <c r="AL93" i="1"/>
  <c r="AD93" i="1"/>
  <c r="EQ93" i="1"/>
  <c r="EA93" i="1"/>
  <c r="DC93" i="1"/>
  <c r="CE93" i="1"/>
  <c r="AY93" i="1"/>
  <c r="EP93" i="1"/>
  <c r="DZ93" i="1"/>
  <c r="DB93" i="1"/>
  <c r="CD93" i="1"/>
  <c r="AH93" i="1"/>
  <c r="EW93" i="1"/>
  <c r="DQ93" i="1"/>
  <c r="CK93" i="1"/>
  <c r="FA93" i="1"/>
  <c r="ES93" i="1"/>
  <c r="EK93" i="1"/>
  <c r="EC93" i="1"/>
  <c r="DU93" i="1"/>
  <c r="DM93" i="1"/>
  <c r="DE93" i="1"/>
  <c r="CW93" i="1"/>
  <c r="CO93" i="1"/>
  <c r="CG93" i="1"/>
  <c r="BY93" i="1"/>
  <c r="BQ93" i="1"/>
  <c r="BI93" i="1"/>
  <c r="BA93" i="1"/>
  <c r="AS93" i="1"/>
  <c r="AK93" i="1"/>
  <c r="Z94" i="1"/>
  <c r="N144" i="1"/>
  <c r="L144" i="1"/>
  <c r="Z149" i="1"/>
  <c r="U93" i="1" l="1"/>
  <c r="Q93" i="1"/>
  <c r="L93" i="1"/>
  <c r="V93" i="1"/>
  <c r="T93" i="1"/>
  <c r="S93" i="1"/>
  <c r="R93" i="1"/>
  <c r="X93" i="1"/>
  <c r="P93" i="1"/>
  <c r="D41" i="1"/>
  <c r="O93" i="1"/>
  <c r="W93" i="1"/>
  <c r="AA143" i="1"/>
  <c r="N149" i="1"/>
  <c r="L94" i="1"/>
  <c r="N94" i="1"/>
  <c r="Z101" i="1"/>
  <c r="Z111" i="1" s="1"/>
  <c r="Z118" i="1" s="1"/>
  <c r="N118" i="1" s="1"/>
  <c r="N111" i="1" l="1"/>
  <c r="D32" i="1"/>
  <c r="C46" i="1"/>
  <c r="C41" i="1"/>
  <c r="D31" i="1"/>
  <c r="N101" i="1"/>
  <c r="AA145" i="1"/>
  <c r="EU110" i="1" l="1"/>
  <c r="EM110" i="1"/>
  <c r="EE110" i="1"/>
  <c r="DW110" i="1"/>
  <c r="DO110" i="1"/>
  <c r="DG110" i="1"/>
  <c r="CY110" i="1"/>
  <c r="CQ110" i="1"/>
  <c r="CI110" i="1"/>
  <c r="CA110" i="1"/>
  <c r="BS110" i="1"/>
  <c r="BK110" i="1"/>
  <c r="BC110" i="1"/>
  <c r="AU110" i="1"/>
  <c r="AM110" i="1"/>
  <c r="AE110" i="1"/>
  <c r="FB110" i="1"/>
  <c r="ET110" i="1"/>
  <c r="EL110" i="1"/>
  <c r="ED110" i="1"/>
  <c r="DV110" i="1"/>
  <c r="DN110" i="1"/>
  <c r="DF110" i="1"/>
  <c r="CX110" i="1"/>
  <c r="CP110" i="1"/>
  <c r="CH110" i="1"/>
  <c r="BZ110" i="1"/>
  <c r="BR110" i="1"/>
  <c r="BJ110" i="1"/>
  <c r="BB110" i="1"/>
  <c r="AT110" i="1"/>
  <c r="AL110" i="1"/>
  <c r="AD110" i="1"/>
  <c r="FA110" i="1"/>
  <c r="ES110" i="1"/>
  <c r="EK110" i="1"/>
  <c r="EC110" i="1"/>
  <c r="DU110" i="1"/>
  <c r="DM110" i="1"/>
  <c r="DE110" i="1"/>
  <c r="CW110" i="1"/>
  <c r="CO110" i="1"/>
  <c r="CG110" i="1"/>
  <c r="BY110" i="1"/>
  <c r="BQ110" i="1"/>
  <c r="BI110" i="1"/>
  <c r="BA110" i="1"/>
  <c r="AS110" i="1"/>
  <c r="AK110" i="1"/>
  <c r="AC110" i="1"/>
  <c r="EZ110" i="1"/>
  <c r="ER110" i="1"/>
  <c r="EJ110" i="1"/>
  <c r="EB110" i="1"/>
  <c r="DT110" i="1"/>
  <c r="DL110" i="1"/>
  <c r="DD110" i="1"/>
  <c r="CV110" i="1"/>
  <c r="CN110" i="1"/>
  <c r="CF110" i="1"/>
  <c r="BX110" i="1"/>
  <c r="BP110" i="1"/>
  <c r="BH110" i="1"/>
  <c r="AZ110" i="1"/>
  <c r="AR110" i="1"/>
  <c r="AJ110" i="1"/>
  <c r="AB110" i="1"/>
  <c r="EY110" i="1"/>
  <c r="EQ110" i="1"/>
  <c r="EI110" i="1"/>
  <c r="EA110" i="1"/>
  <c r="DS110" i="1"/>
  <c r="DK110" i="1"/>
  <c r="DC110" i="1"/>
  <c r="CU110" i="1"/>
  <c r="CM110" i="1"/>
  <c r="EX110" i="1"/>
  <c r="EF110" i="1"/>
  <c r="DI110" i="1"/>
  <c r="CL110" i="1"/>
  <c r="BV110" i="1"/>
  <c r="BF110" i="1"/>
  <c r="AP110" i="1"/>
  <c r="EW110" i="1"/>
  <c r="DZ110" i="1"/>
  <c r="DH110" i="1"/>
  <c r="CK110" i="1"/>
  <c r="BU110" i="1"/>
  <c r="BE110" i="1"/>
  <c r="AO110" i="1"/>
  <c r="EO110" i="1"/>
  <c r="CZ110" i="1"/>
  <c r="BN110" i="1"/>
  <c r="AH110" i="1"/>
  <c r="CC110" i="1"/>
  <c r="AW110" i="1"/>
  <c r="EV110" i="1"/>
  <c r="DY110" i="1"/>
  <c r="DB110" i="1"/>
  <c r="CJ110" i="1"/>
  <c r="BT110" i="1"/>
  <c r="BD110" i="1"/>
  <c r="AN110" i="1"/>
  <c r="EP110" i="1"/>
  <c r="DX110" i="1"/>
  <c r="DA110" i="1"/>
  <c r="CE110" i="1"/>
  <c r="BO110" i="1"/>
  <c r="AY110" i="1"/>
  <c r="AI110" i="1"/>
  <c r="DR110" i="1"/>
  <c r="CD110" i="1"/>
  <c r="AX110" i="1"/>
  <c r="EN110" i="1"/>
  <c r="DQ110" i="1"/>
  <c r="CT110" i="1"/>
  <c r="BM110" i="1"/>
  <c r="AG110" i="1"/>
  <c r="EH110" i="1"/>
  <c r="DP110" i="1"/>
  <c r="CS110" i="1"/>
  <c r="CB110" i="1"/>
  <c r="BL110" i="1"/>
  <c r="AV110" i="1"/>
  <c r="AF110" i="1"/>
  <c r="EG110" i="1"/>
  <c r="DJ110" i="1"/>
  <c r="CR110" i="1"/>
  <c r="BW110" i="1"/>
  <c r="BG110" i="1"/>
  <c r="AQ110" i="1"/>
  <c r="AA110" i="1"/>
  <c r="D34" i="1"/>
  <c r="C32" i="1" s="1"/>
  <c r="Z132" i="1"/>
  <c r="Z116" i="1"/>
  <c r="Z121" i="1" s="1"/>
  <c r="AA116" i="1" s="1"/>
  <c r="AA117" i="1" s="1"/>
  <c r="Z129" i="1"/>
  <c r="AA146" i="1"/>
  <c r="C31" i="1" l="1"/>
  <c r="W110" i="1"/>
  <c r="P110" i="1"/>
  <c r="V110" i="1"/>
  <c r="U110" i="1"/>
  <c r="X110" i="1"/>
  <c r="Q110" i="1"/>
  <c r="O110" i="1"/>
  <c r="L110" i="1"/>
  <c r="R110" i="1"/>
  <c r="S110" i="1"/>
  <c r="T110" i="1"/>
  <c r="C33" i="1"/>
  <c r="C34" i="1"/>
  <c r="AA147" i="1"/>
  <c r="AA149" i="1" l="1"/>
  <c r="AA95" i="1"/>
  <c r="AB143" i="1" l="1"/>
  <c r="AA101" i="1"/>
  <c r="AA111" i="1" s="1"/>
  <c r="AA118" i="1" s="1"/>
  <c r="AB145" i="1" l="1"/>
  <c r="AB146" i="1" l="1"/>
  <c r="AA119" i="1"/>
  <c r="AA120" i="1" l="1"/>
  <c r="AB147" i="1"/>
  <c r="AA121" i="1" l="1"/>
  <c r="AA122" i="1"/>
  <c r="AB149" i="1"/>
  <c r="AB95" i="1"/>
  <c r="AA125" i="1" l="1"/>
  <c r="AB116" i="1"/>
  <c r="AB117" i="1" s="1"/>
  <c r="AA126" i="1"/>
  <c r="AB101" i="1"/>
  <c r="AB111" i="1" s="1"/>
  <c r="AB118" i="1" s="1"/>
  <c r="AC143" i="1"/>
  <c r="AA129" i="1" l="1"/>
  <c r="AA132" i="1"/>
  <c r="AC145" i="1"/>
  <c r="AB119" i="1" l="1"/>
  <c r="AC146" i="1"/>
  <c r="AB120" i="1" l="1"/>
  <c r="AC147" i="1"/>
  <c r="AB122" i="1" l="1"/>
  <c r="AB121" i="1"/>
  <c r="AC149" i="1"/>
  <c r="AC95" i="1"/>
  <c r="AB125" i="1" l="1"/>
  <c r="AB126" i="1"/>
  <c r="AC116" i="1"/>
  <c r="AC117" i="1" s="1"/>
  <c r="AC101" i="1"/>
  <c r="AC111" i="1" s="1"/>
  <c r="AC118" i="1" s="1"/>
  <c r="AD143" i="1"/>
  <c r="AB129" i="1" l="1"/>
  <c r="AB132" i="1"/>
  <c r="AD145" i="1"/>
  <c r="AD146" i="1" l="1"/>
  <c r="AC119" i="1"/>
  <c r="AC120" i="1" l="1"/>
  <c r="AD147" i="1"/>
  <c r="AC121" i="1" l="1"/>
  <c r="AC122" i="1"/>
  <c r="AD95" i="1"/>
  <c r="AD149" i="1"/>
  <c r="AC126" i="1" l="1"/>
  <c r="AD116" i="1"/>
  <c r="AD117" i="1" s="1"/>
  <c r="AC125" i="1"/>
  <c r="AD101" i="1"/>
  <c r="AD111" i="1" s="1"/>
  <c r="AD118" i="1" s="1"/>
  <c r="AE143" i="1"/>
  <c r="AC132" i="1" l="1"/>
  <c r="AC129" i="1"/>
  <c r="AE145" i="1"/>
  <c r="AE146" i="1" l="1"/>
  <c r="AD119" i="1"/>
  <c r="AD120" i="1" l="1"/>
  <c r="AE147" i="1"/>
  <c r="AD121" i="1" l="1"/>
  <c r="AE95" i="1"/>
  <c r="AD122" i="1"/>
  <c r="AE149" i="1"/>
  <c r="AE116" i="1" l="1"/>
  <c r="AE117" i="1" s="1"/>
  <c r="AF143" i="1"/>
  <c r="AE101" i="1"/>
  <c r="AE111" i="1" s="1"/>
  <c r="AE118" i="1" s="1"/>
  <c r="AD126" i="1"/>
  <c r="AD125" i="1"/>
  <c r="AD129" i="1" l="1"/>
  <c r="AD132" i="1"/>
  <c r="AF145" i="1"/>
  <c r="AF146" i="1" s="1"/>
  <c r="AE119" i="1" l="1"/>
  <c r="AF147" i="1"/>
  <c r="AF149" i="1" s="1"/>
  <c r="AG143" i="1" s="1"/>
  <c r="AG145" i="1" l="1"/>
  <c r="AG146" i="1" s="1"/>
  <c r="AF95" i="1"/>
  <c r="AE120" i="1"/>
  <c r="AE121" i="1" l="1"/>
  <c r="AE122" i="1"/>
  <c r="AF101" i="1"/>
  <c r="AG147" i="1"/>
  <c r="AG95" i="1" s="1"/>
  <c r="AF116" i="1" l="1"/>
  <c r="AF117" i="1" s="1"/>
  <c r="AF111" i="1"/>
  <c r="AF118" i="1" s="1"/>
  <c r="AG101" i="1"/>
  <c r="AG149" i="1"/>
  <c r="AH143" i="1" s="1"/>
  <c r="AE126" i="1"/>
  <c r="AE125" i="1"/>
  <c r="AE129" i="1" l="1"/>
  <c r="AE132" i="1"/>
  <c r="AF119" i="1"/>
  <c r="AF120" i="1" s="1"/>
  <c r="AF121" i="1" s="1"/>
  <c r="AG116" i="1" s="1"/>
  <c r="AG111" i="1"/>
  <c r="AG118" i="1" s="1"/>
  <c r="AH145" i="1"/>
  <c r="AH146" i="1" s="1"/>
  <c r="AG117" i="1" l="1"/>
  <c r="AG119" i="1" s="1"/>
  <c r="AH147" i="1"/>
  <c r="AH149" i="1" s="1"/>
  <c r="AI143" i="1" s="1"/>
  <c r="AF122" i="1"/>
  <c r="AI145" i="1" l="1"/>
  <c r="AI146" i="1" s="1"/>
  <c r="AG120" i="1"/>
  <c r="AG121" i="1" s="1"/>
  <c r="AH116" i="1" s="1"/>
  <c r="AF125" i="1"/>
  <c r="AF129" i="1" s="1"/>
  <c r="AF126" i="1"/>
  <c r="AF132" i="1" s="1"/>
  <c r="AH95" i="1"/>
  <c r="AG122" i="1" l="1"/>
  <c r="AG125" i="1" s="1"/>
  <c r="AG129" i="1" s="1"/>
  <c r="AH101" i="1"/>
  <c r="AH117" i="1"/>
  <c r="AI147" i="1"/>
  <c r="AI95" i="1" s="1"/>
  <c r="AH111" i="1" l="1"/>
  <c r="AH118" i="1" s="1"/>
  <c r="AH119" i="1" s="1"/>
  <c r="AG126" i="1"/>
  <c r="AG132" i="1" s="1"/>
  <c r="AI101" i="1"/>
  <c r="AI149" i="1"/>
  <c r="AJ143" i="1" s="1"/>
  <c r="AI111" i="1" l="1"/>
  <c r="AI118" i="1" s="1"/>
  <c r="AH120" i="1"/>
  <c r="AH121" i="1" s="1"/>
  <c r="AI116" i="1" s="1"/>
  <c r="AI117" i="1" s="1"/>
  <c r="AJ145" i="1"/>
  <c r="AJ146" i="1" s="1"/>
  <c r="AI119" i="1" l="1"/>
  <c r="AI120" i="1" s="1"/>
  <c r="AI121" i="1" s="1"/>
  <c r="AJ116" i="1" s="1"/>
  <c r="AH122" i="1"/>
  <c r="AJ147" i="1"/>
  <c r="AJ95" i="1" s="1"/>
  <c r="AH125" i="1" l="1"/>
  <c r="AH129" i="1" s="1"/>
  <c r="AH126" i="1"/>
  <c r="AH132" i="1" s="1"/>
  <c r="AJ101" i="1"/>
  <c r="AJ149" i="1"/>
  <c r="AK143" i="1" s="1"/>
  <c r="AJ117" i="1"/>
  <c r="AI122" i="1"/>
  <c r="AJ111" i="1" l="1"/>
  <c r="AJ118" i="1" s="1"/>
  <c r="AJ119" i="1" s="1"/>
  <c r="AI126" i="1"/>
  <c r="AI132" i="1" s="1"/>
  <c r="AI125" i="1"/>
  <c r="AI129" i="1" s="1"/>
  <c r="AK145" i="1"/>
  <c r="AK146" i="1" s="1"/>
  <c r="AK147" i="1" l="1"/>
  <c r="AK95" i="1" s="1"/>
  <c r="AJ120" i="1"/>
  <c r="AJ121" i="1" s="1"/>
  <c r="AK116" i="1" s="1"/>
  <c r="AK149" i="1" l="1"/>
  <c r="AL143" i="1" s="1"/>
  <c r="AL145" i="1" s="1"/>
  <c r="AL146" i="1" s="1"/>
  <c r="AK101" i="1"/>
  <c r="AK117" i="1"/>
  <c r="AJ122" i="1"/>
  <c r="AK111" i="1" l="1"/>
  <c r="AK118" i="1" s="1"/>
  <c r="AK119" i="1" s="1"/>
  <c r="AK120" i="1" s="1"/>
  <c r="AK121" i="1" s="1"/>
  <c r="AL116" i="1" s="1"/>
  <c r="AJ126" i="1"/>
  <c r="AJ132" i="1" s="1"/>
  <c r="AJ125" i="1"/>
  <c r="AJ129" i="1" s="1"/>
  <c r="AL147" i="1"/>
  <c r="AL149" i="1" s="1"/>
  <c r="AM143" i="1" s="1"/>
  <c r="AL95" i="1" l="1"/>
  <c r="AL101" i="1" s="1"/>
  <c r="AM145" i="1"/>
  <c r="AL117" i="1"/>
  <c r="AK122" i="1"/>
  <c r="AL111" i="1" l="1"/>
  <c r="AL118" i="1" s="1"/>
  <c r="AL119" i="1" s="1"/>
  <c r="AM146" i="1"/>
  <c r="AK126" i="1"/>
  <c r="AK132" i="1" s="1"/>
  <c r="AK125" i="1"/>
  <c r="AK129" i="1" s="1"/>
  <c r="AL120" i="1" l="1"/>
  <c r="AL121" i="1" s="1"/>
  <c r="AM116" i="1" s="1"/>
  <c r="P116" i="1" s="1"/>
  <c r="AM147" i="1"/>
  <c r="AM95" i="1" s="1"/>
  <c r="AM101" i="1" l="1"/>
  <c r="AM111" i="1" s="1"/>
  <c r="AM118" i="1" s="1"/>
  <c r="AM149" i="1"/>
  <c r="AM117" i="1"/>
  <c r="AL122" i="1"/>
  <c r="AN143" i="1" l="1"/>
  <c r="AL125" i="1"/>
  <c r="AL129" i="1" s="1"/>
  <c r="AL126" i="1"/>
  <c r="AL132" i="1" s="1"/>
  <c r="AN145" i="1" l="1"/>
  <c r="AM119" i="1"/>
  <c r="AM120" i="1" l="1"/>
  <c r="AN146" i="1"/>
  <c r="AM121" i="1" l="1"/>
  <c r="AN116" i="1" s="1"/>
  <c r="AN117" i="1" s="1"/>
  <c r="AN147" i="1"/>
  <c r="AN95" i="1" s="1"/>
  <c r="AM122" i="1"/>
  <c r="AN149" i="1" l="1"/>
  <c r="AO143" i="1" s="1"/>
  <c r="AN101" i="1"/>
  <c r="AN111" i="1" s="1"/>
  <c r="AN118" i="1" s="1"/>
  <c r="AM126" i="1"/>
  <c r="AM125" i="1"/>
  <c r="AM132" i="1" l="1"/>
  <c r="AM129" i="1"/>
  <c r="AO145" i="1"/>
  <c r="AN119" i="1" l="1"/>
  <c r="AO146" i="1"/>
  <c r="AN120" i="1" l="1"/>
  <c r="AO147" i="1"/>
  <c r="AO149" i="1" s="1"/>
  <c r="AN122" i="1" l="1"/>
  <c r="AN121" i="1"/>
  <c r="AO116" i="1" s="1"/>
  <c r="AO117" i="1" s="1"/>
  <c r="AP143" i="1"/>
  <c r="AO95" i="1"/>
  <c r="AN126" i="1" l="1"/>
  <c r="AN125" i="1"/>
  <c r="AO101" i="1"/>
  <c r="AO111" i="1" s="1"/>
  <c r="AO118" i="1" s="1"/>
  <c r="AP145" i="1"/>
  <c r="AN132" i="1" l="1"/>
  <c r="AN129" i="1"/>
  <c r="AP146" i="1"/>
  <c r="AO119" i="1" l="1"/>
  <c r="AP147" i="1"/>
  <c r="AP95" i="1" s="1"/>
  <c r="AP101" i="1" l="1"/>
  <c r="AP111" i="1" s="1"/>
  <c r="AP118" i="1" s="1"/>
  <c r="AP149" i="1"/>
  <c r="AO120" i="1"/>
  <c r="AO121" i="1" l="1"/>
  <c r="AP116" i="1" s="1"/>
  <c r="AO122" i="1"/>
  <c r="AQ143" i="1"/>
  <c r="AQ145" i="1" l="1"/>
  <c r="AO125" i="1"/>
  <c r="AO126" i="1"/>
  <c r="AP117" i="1"/>
  <c r="AP119" i="1" s="1"/>
  <c r="AO132" i="1" l="1"/>
  <c r="AO129" i="1"/>
  <c r="AP120" i="1"/>
  <c r="AQ146" i="1"/>
  <c r="AP121" i="1" l="1"/>
  <c r="AQ116" i="1" s="1"/>
  <c r="AQ117" i="1" s="1"/>
  <c r="AQ147" i="1"/>
  <c r="AQ149" i="1" s="1"/>
  <c r="AP122" i="1"/>
  <c r="AR143" i="1" l="1"/>
  <c r="AP125" i="1"/>
  <c r="AP126" i="1"/>
  <c r="AQ95" i="1"/>
  <c r="AP132" i="1" l="1"/>
  <c r="AP129" i="1"/>
  <c r="AQ101" i="1"/>
  <c r="AQ111" i="1" s="1"/>
  <c r="AQ118" i="1" s="1"/>
  <c r="AR145" i="1"/>
  <c r="AR146" i="1" s="1"/>
  <c r="AR147" i="1" l="1"/>
  <c r="AR149" i="1" s="1"/>
  <c r="AS143" i="1" s="1"/>
  <c r="AS145" i="1" l="1"/>
  <c r="AS146" i="1" s="1"/>
  <c r="AR95" i="1"/>
  <c r="AQ119" i="1"/>
  <c r="AQ120" i="1" s="1"/>
  <c r="AQ121" i="1" l="1"/>
  <c r="AR116" i="1" s="1"/>
  <c r="AQ122" i="1"/>
  <c r="AR101" i="1"/>
  <c r="AS147" i="1"/>
  <c r="AS149" i="1" s="1"/>
  <c r="AT143" i="1" s="1"/>
  <c r="AR111" i="1" l="1"/>
  <c r="AR118" i="1" s="1"/>
  <c r="AS95" i="1"/>
  <c r="AS101" i="1" s="1"/>
  <c r="AT145" i="1"/>
  <c r="AT146" i="1" s="1"/>
  <c r="AQ125" i="1"/>
  <c r="AQ126" i="1"/>
  <c r="AR117" i="1"/>
  <c r="AQ132" i="1" l="1"/>
  <c r="AQ129" i="1"/>
  <c r="AR119" i="1"/>
  <c r="AR120" i="1" s="1"/>
  <c r="AR121" i="1" s="1"/>
  <c r="AS116" i="1" s="1"/>
  <c r="AS111" i="1"/>
  <c r="AS118" i="1" s="1"/>
  <c r="AT147" i="1"/>
  <c r="AT149" i="1" s="1"/>
  <c r="AU143" i="1" s="1"/>
  <c r="AU145" i="1" l="1"/>
  <c r="AU146" i="1" s="1"/>
  <c r="AT95" i="1"/>
  <c r="AR122" i="1"/>
  <c r="AS117" i="1"/>
  <c r="AS119" i="1" s="1"/>
  <c r="AS120" i="1" l="1"/>
  <c r="AS121" i="1" s="1"/>
  <c r="AT116" i="1" s="1"/>
  <c r="AR125" i="1"/>
  <c r="AR129" i="1" s="1"/>
  <c r="AR126" i="1"/>
  <c r="AR132" i="1" s="1"/>
  <c r="AT101" i="1"/>
  <c r="AU147" i="1"/>
  <c r="AU95" i="1" s="1"/>
  <c r="AT111" i="1" l="1"/>
  <c r="AT118" i="1" s="1"/>
  <c r="AU149" i="1"/>
  <c r="AV143" i="1" s="1"/>
  <c r="AV145" i="1" s="1"/>
  <c r="AV146" i="1" s="1"/>
  <c r="AU101" i="1"/>
  <c r="AT117" i="1"/>
  <c r="AS122" i="1"/>
  <c r="AT119" i="1" l="1"/>
  <c r="AT120" i="1" s="1"/>
  <c r="AT121" i="1" s="1"/>
  <c r="AU116" i="1" s="1"/>
  <c r="AU111" i="1"/>
  <c r="AU118" i="1" s="1"/>
  <c r="AS126" i="1"/>
  <c r="AS132" i="1" s="1"/>
  <c r="AS125" i="1"/>
  <c r="AS129" i="1" s="1"/>
  <c r="AV147" i="1"/>
  <c r="AV149" i="1" s="1"/>
  <c r="AW143" i="1" s="1"/>
  <c r="AT122" i="1" l="1"/>
  <c r="AT126" i="1" s="1"/>
  <c r="AT132" i="1" s="1"/>
  <c r="AW145" i="1"/>
  <c r="AW146" i="1" s="1"/>
  <c r="AU117" i="1"/>
  <c r="AU119" i="1" s="1"/>
  <c r="AV95" i="1"/>
  <c r="AT125" i="1" l="1"/>
  <c r="AT129" i="1" s="1"/>
  <c r="AV101" i="1"/>
  <c r="AU120" i="1"/>
  <c r="AU121" i="1" s="1"/>
  <c r="AV116" i="1" s="1"/>
  <c r="AW147" i="1"/>
  <c r="AW149" i="1" s="1"/>
  <c r="AX143" i="1" s="1"/>
  <c r="AV111" i="1" l="1"/>
  <c r="AV118" i="1" s="1"/>
  <c r="AW95" i="1"/>
  <c r="AU122" i="1"/>
  <c r="AX145" i="1"/>
  <c r="AX146" i="1" s="1"/>
  <c r="AV117" i="1"/>
  <c r="AV119" i="1" l="1"/>
  <c r="AV120" i="1" s="1"/>
  <c r="AV121" i="1" s="1"/>
  <c r="AW116" i="1" s="1"/>
  <c r="AX147" i="1"/>
  <c r="AX95" i="1" s="1"/>
  <c r="AU126" i="1"/>
  <c r="AU132" i="1" s="1"/>
  <c r="AU125" i="1"/>
  <c r="AU129" i="1" s="1"/>
  <c r="AW101" i="1"/>
  <c r="AW111" i="1" l="1"/>
  <c r="AW118" i="1" s="1"/>
  <c r="L147" i="1"/>
  <c r="O147" i="1"/>
  <c r="P147" i="1"/>
  <c r="AX148" i="1"/>
  <c r="AW117" i="1"/>
  <c r="AV122" i="1"/>
  <c r="AW119" i="1" l="1"/>
  <c r="AW120" i="1" s="1"/>
  <c r="AW121" i="1" s="1"/>
  <c r="AX116" i="1" s="1"/>
  <c r="AX117" i="1" s="1"/>
  <c r="AX96" i="1"/>
  <c r="L148" i="1"/>
  <c r="P148" i="1"/>
  <c r="AX149" i="1"/>
  <c r="AY143" i="1" s="1"/>
  <c r="AV125" i="1"/>
  <c r="AV129" i="1" s="1"/>
  <c r="AV126" i="1"/>
  <c r="AV132" i="1" s="1"/>
  <c r="AW122" i="1" l="1"/>
  <c r="AW125" i="1" s="1"/>
  <c r="AW129" i="1" s="1"/>
  <c r="AY145" i="1"/>
  <c r="L96" i="1"/>
  <c r="P96" i="1"/>
  <c r="AX101" i="1"/>
  <c r="AW126" i="1" l="1"/>
  <c r="AW132" i="1" s="1"/>
  <c r="AX111" i="1"/>
  <c r="AX118" i="1" s="1"/>
  <c r="AX119" i="1" s="1"/>
  <c r="AX120" i="1" s="1"/>
  <c r="AY146" i="1"/>
  <c r="AY149" i="1" s="1"/>
  <c r="AX121" i="1" l="1"/>
  <c r="AY116" i="1" s="1"/>
  <c r="AZ143" i="1"/>
  <c r="AY95" i="1"/>
  <c r="AX122" i="1"/>
  <c r="AY117" i="1" l="1"/>
  <c r="Q116" i="1"/>
  <c r="AX125" i="1"/>
  <c r="AX129" i="1" s="1"/>
  <c r="AX126" i="1"/>
  <c r="AX132" i="1" s="1"/>
  <c r="AY101" i="1"/>
  <c r="AY111" i="1" s="1"/>
  <c r="AY118" i="1" s="1"/>
  <c r="AZ145" i="1"/>
  <c r="AZ146" i="1" l="1"/>
  <c r="AY119" i="1" l="1"/>
  <c r="AZ95" i="1"/>
  <c r="AZ149" i="1"/>
  <c r="AY120" i="1" l="1"/>
  <c r="BA143" i="1"/>
  <c r="AZ101" i="1"/>
  <c r="AZ111" i="1" s="1"/>
  <c r="AZ118" i="1" s="1"/>
  <c r="AY122" i="1" l="1"/>
  <c r="AY121" i="1"/>
  <c r="AZ116" i="1" s="1"/>
  <c r="AZ117" i="1" s="1"/>
  <c r="BA145" i="1"/>
  <c r="AY125" i="1" l="1"/>
  <c r="AY126" i="1"/>
  <c r="AZ119" i="1"/>
  <c r="BA146" i="1"/>
  <c r="AY132" i="1" l="1"/>
  <c r="AY129" i="1"/>
  <c r="BA95" i="1"/>
  <c r="BA149" i="1"/>
  <c r="AZ120" i="1"/>
  <c r="AZ121" i="1" l="1"/>
  <c r="BA116" i="1" s="1"/>
  <c r="BA117" i="1" s="1"/>
  <c r="AZ122" i="1"/>
  <c r="BB143" i="1"/>
  <c r="BA101" i="1"/>
  <c r="BA111" i="1" s="1"/>
  <c r="BA118" i="1" s="1"/>
  <c r="BB145" i="1" l="1"/>
  <c r="AZ125" i="1"/>
  <c r="AZ126" i="1"/>
  <c r="AZ132" i="1" l="1"/>
  <c r="AZ129" i="1"/>
  <c r="BB146" i="1"/>
  <c r="BA119" i="1"/>
  <c r="BA120" i="1" l="1"/>
  <c r="BB95" i="1"/>
  <c r="BB149" i="1"/>
  <c r="BA121" i="1" l="1"/>
  <c r="BB116" i="1" s="1"/>
  <c r="BB117" i="1" s="1"/>
  <c r="BC143" i="1"/>
  <c r="BB101" i="1"/>
  <c r="BB111" i="1" s="1"/>
  <c r="BB118" i="1" s="1"/>
  <c r="BA122" i="1"/>
  <c r="BA126" i="1" l="1"/>
  <c r="BA125" i="1"/>
  <c r="BC145" i="1"/>
  <c r="BA132" i="1" l="1"/>
  <c r="BA129" i="1"/>
  <c r="BB119" i="1"/>
  <c r="BC146" i="1"/>
  <c r="BC95" i="1" l="1"/>
  <c r="BC149" i="1"/>
  <c r="BB120" i="1"/>
  <c r="BB121" i="1" l="1"/>
  <c r="BC116" i="1" s="1"/>
  <c r="BC117" i="1" s="1"/>
  <c r="BB122" i="1"/>
  <c r="BD143" i="1"/>
  <c r="BC101" i="1"/>
  <c r="BC111" i="1" s="1"/>
  <c r="BC118" i="1" s="1"/>
  <c r="BD145" i="1" l="1"/>
  <c r="BD146" i="1" s="1"/>
  <c r="BB125" i="1"/>
  <c r="BB126" i="1"/>
  <c r="BB132" i="1" l="1"/>
  <c r="BB129" i="1"/>
  <c r="BD149" i="1"/>
  <c r="BE143" i="1" s="1"/>
  <c r="BE145" i="1" s="1"/>
  <c r="BE146" i="1" s="1"/>
  <c r="BC119" i="1"/>
  <c r="BD95" i="1"/>
  <c r="BE149" i="1" l="1"/>
  <c r="BF143" i="1" s="1"/>
  <c r="BF145" i="1" s="1"/>
  <c r="BF146" i="1" s="1"/>
  <c r="BD101" i="1"/>
  <c r="BE95" i="1"/>
  <c r="BC120" i="1"/>
  <c r="BC121" i="1" l="1"/>
  <c r="BD116" i="1" s="1"/>
  <c r="BD117" i="1" s="1"/>
  <c r="BD111" i="1"/>
  <c r="BD118" i="1" s="1"/>
  <c r="BF149" i="1"/>
  <c r="BG143" i="1" s="1"/>
  <c r="BG145" i="1" s="1"/>
  <c r="BG146" i="1" s="1"/>
  <c r="BC122" i="1"/>
  <c r="BC125" i="1" s="1"/>
  <c r="BE101" i="1"/>
  <c r="BF95" i="1"/>
  <c r="BC129" i="1" l="1"/>
  <c r="BD119" i="1"/>
  <c r="BD120" i="1" s="1"/>
  <c r="BE111" i="1"/>
  <c r="BE118" i="1" s="1"/>
  <c r="BC126" i="1"/>
  <c r="BF101" i="1"/>
  <c r="BG95" i="1"/>
  <c r="BG149" i="1"/>
  <c r="BH143" i="1" s="1"/>
  <c r="BC132" i="1" l="1"/>
  <c r="BF111" i="1"/>
  <c r="BF118" i="1" s="1"/>
  <c r="BD121" i="1"/>
  <c r="BE116" i="1" s="1"/>
  <c r="BD122" i="1"/>
  <c r="BH145" i="1"/>
  <c r="BH146" i="1" s="1"/>
  <c r="BG101" i="1"/>
  <c r="BG111" i="1" l="1"/>
  <c r="BG118" i="1" s="1"/>
  <c r="BH95" i="1"/>
  <c r="BD125" i="1"/>
  <c r="BD129" i="1" s="1"/>
  <c r="BD126" i="1"/>
  <c r="BD132" i="1" s="1"/>
  <c r="BH149" i="1"/>
  <c r="BI143" i="1" s="1"/>
  <c r="BE117" i="1"/>
  <c r="BE119" i="1" s="1"/>
  <c r="BI145" i="1" l="1"/>
  <c r="BI146" i="1" s="1"/>
  <c r="BE120" i="1"/>
  <c r="BE121" i="1" s="1"/>
  <c r="BF116" i="1" s="1"/>
  <c r="BH101" i="1"/>
  <c r="BH111" i="1" l="1"/>
  <c r="BH118" i="1" s="1"/>
  <c r="BE122" i="1"/>
  <c r="BE126" i="1" s="1"/>
  <c r="BE132" i="1" s="1"/>
  <c r="BF117" i="1"/>
  <c r="BF119" i="1" s="1"/>
  <c r="BI95" i="1"/>
  <c r="BI149" i="1"/>
  <c r="BJ143" i="1" s="1"/>
  <c r="BE125" i="1" l="1"/>
  <c r="BE129" i="1" s="1"/>
  <c r="BF120" i="1"/>
  <c r="BF121" i="1" s="1"/>
  <c r="BG116" i="1" s="1"/>
  <c r="BJ145" i="1"/>
  <c r="BJ146" i="1" s="1"/>
  <c r="BI101" i="1"/>
  <c r="BI111" i="1" l="1"/>
  <c r="BI118" i="1" s="1"/>
  <c r="BJ149" i="1"/>
  <c r="BK143" i="1" s="1"/>
  <c r="BJ95" i="1"/>
  <c r="BG117" i="1"/>
  <c r="BG119" i="1" s="1"/>
  <c r="BF122" i="1"/>
  <c r="BG120" i="1" l="1"/>
  <c r="BG121" i="1" s="1"/>
  <c r="BH116" i="1" s="1"/>
  <c r="BJ101" i="1"/>
  <c r="BK145" i="1"/>
  <c r="BF125" i="1"/>
  <c r="BF129" i="1" s="1"/>
  <c r="BF126" i="1"/>
  <c r="BF132" i="1" s="1"/>
  <c r="BJ111" i="1" l="1"/>
  <c r="BJ118" i="1" s="1"/>
  <c r="BG122" i="1"/>
  <c r="BG126" i="1" s="1"/>
  <c r="BG132" i="1" s="1"/>
  <c r="BK146" i="1"/>
  <c r="BK149" i="1" s="1"/>
  <c r="BH117" i="1"/>
  <c r="BH119" i="1" s="1"/>
  <c r="BG125" i="1" l="1"/>
  <c r="BG129" i="1" s="1"/>
  <c r="BL143" i="1"/>
  <c r="BH120" i="1"/>
  <c r="BH121" i="1" s="1"/>
  <c r="BI116" i="1" s="1"/>
  <c r="BK95" i="1"/>
  <c r="BK101" i="1" l="1"/>
  <c r="BK111" i="1" s="1"/>
  <c r="BK118" i="1" s="1"/>
  <c r="BH122" i="1"/>
  <c r="BI117" i="1"/>
  <c r="BI119" i="1" s="1"/>
  <c r="BL145" i="1"/>
  <c r="BL146" i="1" l="1"/>
  <c r="BL149" i="1" s="1"/>
  <c r="BI120" i="1"/>
  <c r="BI121" i="1" s="1"/>
  <c r="BJ116" i="1" s="1"/>
  <c r="BH125" i="1"/>
  <c r="BH129" i="1" s="1"/>
  <c r="BH126" i="1"/>
  <c r="BH132" i="1" s="1"/>
  <c r="BI122" i="1" l="1"/>
  <c r="BI126" i="1" s="1"/>
  <c r="BI132" i="1" s="1"/>
  <c r="BJ117" i="1"/>
  <c r="BJ119" i="1" s="1"/>
  <c r="BM143" i="1"/>
  <c r="BL95" i="1"/>
  <c r="BI125" i="1" l="1"/>
  <c r="BI129" i="1" s="1"/>
  <c r="BJ120" i="1"/>
  <c r="BJ121" i="1" s="1"/>
  <c r="BK116" i="1" s="1"/>
  <c r="R116" i="1" s="1"/>
  <c r="BL101" i="1"/>
  <c r="BL111" i="1" s="1"/>
  <c r="BL118" i="1" s="1"/>
  <c r="BM145" i="1"/>
  <c r="BJ122" i="1" l="1"/>
  <c r="BJ126" i="1" s="1"/>
  <c r="BJ132" i="1" s="1"/>
  <c r="BK117" i="1"/>
  <c r="BM146" i="1"/>
  <c r="BK119" i="1" l="1"/>
  <c r="BJ125" i="1"/>
  <c r="BJ129" i="1" s="1"/>
  <c r="BM95" i="1"/>
  <c r="BM149" i="1"/>
  <c r="BK120" i="1" l="1"/>
  <c r="BK121" i="1" s="1"/>
  <c r="BL116" i="1" s="1"/>
  <c r="BL117" i="1" s="1"/>
  <c r="BM101" i="1"/>
  <c r="BM111" i="1" s="1"/>
  <c r="BM118" i="1" s="1"/>
  <c r="BN143" i="1"/>
  <c r="BK122" i="1" l="1"/>
  <c r="BK126" i="1" s="1"/>
  <c r="BL119" i="1"/>
  <c r="BN145" i="1"/>
  <c r="BK125" i="1" l="1"/>
  <c r="BK129" i="1" s="1"/>
  <c r="BK132" i="1"/>
  <c r="BL120" i="1"/>
  <c r="BL121" i="1" s="1"/>
  <c r="BM116" i="1" s="1"/>
  <c r="BM117" i="1" s="1"/>
  <c r="BN146" i="1"/>
  <c r="BL122" i="1" l="1"/>
  <c r="BL126" i="1" s="1"/>
  <c r="BM119" i="1"/>
  <c r="BN95" i="1"/>
  <c r="BN149" i="1"/>
  <c r="BL125" i="1" l="1"/>
  <c r="BL129" i="1" s="1"/>
  <c r="BL132" i="1"/>
  <c r="BM120" i="1"/>
  <c r="BM121" i="1" s="1"/>
  <c r="BN116" i="1" s="1"/>
  <c r="BN117" i="1" s="1"/>
  <c r="BN101" i="1"/>
  <c r="BN111" i="1" s="1"/>
  <c r="BN118" i="1" s="1"/>
  <c r="BO143" i="1"/>
  <c r="BM122" i="1" l="1"/>
  <c r="BM125" i="1" s="1"/>
  <c r="BO145" i="1"/>
  <c r="BM126" i="1" l="1"/>
  <c r="BM132" i="1" s="1"/>
  <c r="BM129" i="1"/>
  <c r="BN119" i="1"/>
  <c r="BO146" i="1"/>
  <c r="BN120" i="1" l="1"/>
  <c r="BO95" i="1"/>
  <c r="BO149" i="1"/>
  <c r="BN121" i="1" l="1"/>
  <c r="BO116" i="1" s="1"/>
  <c r="BO117" i="1" s="1"/>
  <c r="BN122" i="1"/>
  <c r="BP143" i="1"/>
  <c r="BO101" i="1"/>
  <c r="BO111" i="1" s="1"/>
  <c r="BO118" i="1" s="1"/>
  <c r="BN126" i="1" l="1"/>
  <c r="BN125" i="1"/>
  <c r="BP145" i="1"/>
  <c r="BP146" i="1" s="1"/>
  <c r="BN132" i="1" l="1"/>
  <c r="BN129" i="1"/>
  <c r="BP95" i="1"/>
  <c r="BP149" i="1"/>
  <c r="BQ143" i="1" s="1"/>
  <c r="BO119" i="1"/>
  <c r="BO120" i="1" s="1"/>
  <c r="BO121" i="1" l="1"/>
  <c r="BP116" i="1" s="1"/>
  <c r="BP117" i="1" s="1"/>
  <c r="BO122" i="1"/>
  <c r="BO126" i="1" s="1"/>
  <c r="BQ145" i="1"/>
  <c r="BQ146" i="1" s="1"/>
  <c r="BP101" i="1"/>
  <c r="BO132" i="1" l="1"/>
  <c r="BP111" i="1"/>
  <c r="BP118" i="1" s="1"/>
  <c r="BP119" i="1" s="1"/>
  <c r="BP120" i="1" s="1"/>
  <c r="BP121" i="1" s="1"/>
  <c r="BQ116" i="1" s="1"/>
  <c r="BO125" i="1"/>
  <c r="BQ95" i="1"/>
  <c r="BQ149" i="1"/>
  <c r="BR143" i="1" s="1"/>
  <c r="BO129" i="1" l="1"/>
  <c r="BP122" i="1"/>
  <c r="BP125" i="1" s="1"/>
  <c r="BP129" i="1" s="1"/>
  <c r="BQ117" i="1"/>
  <c r="BR145" i="1"/>
  <c r="BR146" i="1" s="1"/>
  <c r="BQ101" i="1"/>
  <c r="BQ111" i="1" l="1"/>
  <c r="BQ118" i="1" s="1"/>
  <c r="BQ119" i="1" s="1"/>
  <c r="BQ120" i="1" s="1"/>
  <c r="BQ121" i="1" s="1"/>
  <c r="BR116" i="1" s="1"/>
  <c r="BP126" i="1"/>
  <c r="BP132" i="1" s="1"/>
  <c r="BR95" i="1"/>
  <c r="BR149" i="1"/>
  <c r="BS143" i="1" s="1"/>
  <c r="BR117" i="1" l="1"/>
  <c r="BQ122" i="1"/>
  <c r="BS145" i="1"/>
  <c r="BS146" i="1" s="1"/>
  <c r="BR101" i="1"/>
  <c r="BR111" i="1" l="1"/>
  <c r="BR118" i="1" s="1"/>
  <c r="BR119" i="1" s="1"/>
  <c r="BS95" i="1"/>
  <c r="BS149" i="1"/>
  <c r="BT143" i="1" s="1"/>
  <c r="BQ126" i="1"/>
  <c r="BQ132" i="1" s="1"/>
  <c r="BQ125" i="1"/>
  <c r="BQ129" i="1" s="1"/>
  <c r="BT145" i="1" l="1"/>
  <c r="BT146" i="1" s="1"/>
  <c r="BT149" i="1" s="1"/>
  <c r="BU143" i="1" s="1"/>
  <c r="BS101" i="1"/>
  <c r="BR120" i="1"/>
  <c r="BR121" i="1" s="1"/>
  <c r="BS116" i="1" s="1"/>
  <c r="BS111" i="1" l="1"/>
  <c r="BS118" i="1" s="1"/>
  <c r="BS117" i="1"/>
  <c r="BR122" i="1"/>
  <c r="BU145" i="1"/>
  <c r="BU146" i="1" s="1"/>
  <c r="BT95" i="1"/>
  <c r="BS119" i="1" l="1"/>
  <c r="BS120" i="1" s="1"/>
  <c r="BS121" i="1" s="1"/>
  <c r="BT116" i="1" s="1"/>
  <c r="BR125" i="1"/>
  <c r="BR129" i="1" s="1"/>
  <c r="BR126" i="1"/>
  <c r="BR132" i="1" s="1"/>
  <c r="BT101" i="1"/>
  <c r="BU95" i="1"/>
  <c r="BU149" i="1"/>
  <c r="BV143" i="1" s="1"/>
  <c r="BT111" i="1" l="1"/>
  <c r="BT118" i="1" s="1"/>
  <c r="BS122" i="1"/>
  <c r="BS125" i="1" s="1"/>
  <c r="BS129" i="1" s="1"/>
  <c r="BU101" i="1"/>
  <c r="BV145" i="1"/>
  <c r="BV146" i="1" s="1"/>
  <c r="BT117" i="1"/>
  <c r="BT119" i="1" l="1"/>
  <c r="BT120" i="1" s="1"/>
  <c r="BT121" i="1" s="1"/>
  <c r="BU116" i="1" s="1"/>
  <c r="BV149" i="1"/>
  <c r="BW143" i="1" s="1"/>
  <c r="BW145" i="1" s="1"/>
  <c r="BU111" i="1"/>
  <c r="BU118" i="1" s="1"/>
  <c r="BS126" i="1"/>
  <c r="BS132" i="1" s="1"/>
  <c r="BV95" i="1"/>
  <c r="BT122" i="1" l="1"/>
  <c r="BT125" i="1" s="1"/>
  <c r="BT129" i="1" s="1"/>
  <c r="BU117" i="1"/>
  <c r="BU119" i="1" s="1"/>
  <c r="BV101" i="1"/>
  <c r="BW146" i="1"/>
  <c r="BW149" i="1" s="1"/>
  <c r="BV111" i="1" l="1"/>
  <c r="BV118" i="1" s="1"/>
  <c r="BT126" i="1"/>
  <c r="BT132" i="1" s="1"/>
  <c r="BX143" i="1"/>
  <c r="BU120" i="1"/>
  <c r="BU121" i="1" s="1"/>
  <c r="BV116" i="1" s="1"/>
  <c r="BW95" i="1"/>
  <c r="BU122" i="1" l="1"/>
  <c r="BU125" i="1" s="1"/>
  <c r="BU129" i="1" s="1"/>
  <c r="BW101" i="1"/>
  <c r="BW111" i="1" s="1"/>
  <c r="BW118" i="1" s="1"/>
  <c r="BV117" i="1"/>
  <c r="BV119" i="1" s="1"/>
  <c r="BX145" i="1"/>
  <c r="BU126" i="1" l="1"/>
  <c r="BU132" i="1" s="1"/>
  <c r="BV120" i="1"/>
  <c r="BV121" i="1" s="1"/>
  <c r="BW116" i="1" s="1"/>
  <c r="S116" i="1" s="1"/>
  <c r="BX146" i="1"/>
  <c r="BX149" i="1" s="1"/>
  <c r="BV122" i="1" l="1"/>
  <c r="BV125" i="1" s="1"/>
  <c r="BV129" i="1" s="1"/>
  <c r="BY143" i="1"/>
  <c r="BW117" i="1"/>
  <c r="BX95" i="1"/>
  <c r="BW119" i="1" l="1"/>
  <c r="BV126" i="1"/>
  <c r="BV132" i="1" s="1"/>
  <c r="BX101" i="1"/>
  <c r="BX111" i="1" s="1"/>
  <c r="BX118" i="1" s="1"/>
  <c r="BY145" i="1"/>
  <c r="BW120" i="1" l="1"/>
  <c r="BY146" i="1"/>
  <c r="BW122" i="1" l="1"/>
  <c r="BW121" i="1"/>
  <c r="BX116" i="1" s="1"/>
  <c r="BX117" i="1" s="1"/>
  <c r="BY95" i="1"/>
  <c r="BY149" i="1"/>
  <c r="BW125" i="1" l="1"/>
  <c r="BW126" i="1"/>
  <c r="BX119" i="1"/>
  <c r="BZ143" i="1"/>
  <c r="BY101" i="1"/>
  <c r="BY111" i="1" s="1"/>
  <c r="BY118" i="1" s="1"/>
  <c r="BW132" i="1" l="1"/>
  <c r="BX120" i="1"/>
  <c r="BX122" i="1" s="1"/>
  <c r="BW129" i="1"/>
  <c r="BZ145" i="1"/>
  <c r="BX121" i="1" l="1"/>
  <c r="BY116" i="1" s="1"/>
  <c r="BY117" i="1" s="1"/>
  <c r="BY119" i="1" s="1"/>
  <c r="BX126" i="1"/>
  <c r="BX125" i="1"/>
  <c r="BZ146" i="1"/>
  <c r="BX132" i="1" l="1"/>
  <c r="BX129" i="1"/>
  <c r="BY120" i="1"/>
  <c r="BZ95" i="1"/>
  <c r="BZ149" i="1"/>
  <c r="BY121" i="1" l="1"/>
  <c r="BZ116" i="1" s="1"/>
  <c r="BZ117" i="1" s="1"/>
  <c r="CA143" i="1"/>
  <c r="BZ101" i="1"/>
  <c r="BZ111" i="1" s="1"/>
  <c r="BZ118" i="1" s="1"/>
  <c r="BY122" i="1"/>
  <c r="BY126" i="1" l="1"/>
  <c r="BY125" i="1"/>
  <c r="CA145" i="1"/>
  <c r="BY132" i="1" l="1"/>
  <c r="BY129" i="1"/>
  <c r="CA146" i="1"/>
  <c r="CA149" i="1" s="1"/>
  <c r="BZ119" i="1"/>
  <c r="BZ120" i="1" l="1"/>
  <c r="CB143" i="1"/>
  <c r="CA95" i="1"/>
  <c r="BZ121" i="1" l="1"/>
  <c r="CA116" i="1" s="1"/>
  <c r="CA117" i="1" s="1"/>
  <c r="CA101" i="1"/>
  <c r="CA111" i="1" s="1"/>
  <c r="CA118" i="1" s="1"/>
  <c r="CB145" i="1"/>
  <c r="CB146" i="1" s="1"/>
  <c r="BZ122" i="1"/>
  <c r="CB95" i="1" l="1"/>
  <c r="BZ125" i="1"/>
  <c r="BZ126" i="1"/>
  <c r="CB149" i="1"/>
  <c r="CC143" i="1" s="1"/>
  <c r="BZ132" i="1" l="1"/>
  <c r="BZ129" i="1"/>
  <c r="CA119" i="1"/>
  <c r="CA120" i="1" s="1"/>
  <c r="CC145" i="1"/>
  <c r="CC146" i="1" s="1"/>
  <c r="CB101" i="1"/>
  <c r="CA121" i="1" l="1"/>
  <c r="CB116" i="1" s="1"/>
  <c r="CB117" i="1" s="1"/>
  <c r="CB111" i="1"/>
  <c r="CB118" i="1" s="1"/>
  <c r="CC149" i="1"/>
  <c r="CD143" i="1" s="1"/>
  <c r="CD145" i="1" s="1"/>
  <c r="CD146" i="1" s="1"/>
  <c r="CC95" i="1"/>
  <c r="CA122" i="1"/>
  <c r="CB119" i="1" l="1"/>
  <c r="CB120" i="1" s="1"/>
  <c r="CB121" i="1" s="1"/>
  <c r="CC116" i="1" s="1"/>
  <c r="CD149" i="1"/>
  <c r="CE143" i="1" s="1"/>
  <c r="CE145" i="1" s="1"/>
  <c r="CE146" i="1" s="1"/>
  <c r="CA125" i="1"/>
  <c r="CA126" i="1"/>
  <c r="CC101" i="1"/>
  <c r="CD95" i="1"/>
  <c r="CA132" i="1" l="1"/>
  <c r="CA129" i="1"/>
  <c r="CC111" i="1"/>
  <c r="CC118" i="1" s="1"/>
  <c r="CE95" i="1"/>
  <c r="CE149" i="1"/>
  <c r="CF143" i="1" s="1"/>
  <c r="CC117" i="1"/>
  <c r="CD101" i="1"/>
  <c r="CB122" i="1"/>
  <c r="CC119" i="1" l="1"/>
  <c r="CC120" i="1" s="1"/>
  <c r="CC121" i="1" s="1"/>
  <c r="CD116" i="1" s="1"/>
  <c r="CD111" i="1"/>
  <c r="CD118" i="1" s="1"/>
  <c r="CF145" i="1"/>
  <c r="CF146" i="1" s="1"/>
  <c r="CB125" i="1"/>
  <c r="CB129" i="1" s="1"/>
  <c r="CB126" i="1"/>
  <c r="CB132" i="1" s="1"/>
  <c r="CE101" i="1"/>
  <c r="CE111" i="1" l="1"/>
  <c r="CE118" i="1" s="1"/>
  <c r="CD117" i="1"/>
  <c r="CD119" i="1" s="1"/>
  <c r="CC122" i="1"/>
  <c r="CF95" i="1"/>
  <c r="CF149" i="1"/>
  <c r="CG143" i="1" s="1"/>
  <c r="CG145" i="1" l="1"/>
  <c r="CG146" i="1" s="1"/>
  <c r="CF101" i="1"/>
  <c r="CC125" i="1"/>
  <c r="CC129" i="1" s="1"/>
  <c r="CC126" i="1"/>
  <c r="CC132" i="1" s="1"/>
  <c r="CD120" i="1"/>
  <c r="CD121" i="1" s="1"/>
  <c r="CE116" i="1" s="1"/>
  <c r="CF111" i="1" l="1"/>
  <c r="CF118" i="1" s="1"/>
  <c r="CD122" i="1"/>
  <c r="CD125" i="1" s="1"/>
  <c r="CD129" i="1" s="1"/>
  <c r="CG95" i="1"/>
  <c r="CE117" i="1"/>
  <c r="CE119" i="1" s="1"/>
  <c r="CG149" i="1"/>
  <c r="CH143" i="1" s="1"/>
  <c r="CD126" i="1" l="1"/>
  <c r="CD132" i="1" s="1"/>
  <c r="CG101" i="1"/>
  <c r="CE120" i="1"/>
  <c r="CE121" i="1" s="1"/>
  <c r="CF116" i="1" s="1"/>
  <c r="CH145" i="1"/>
  <c r="CH146" i="1" s="1"/>
  <c r="CG111" i="1" l="1"/>
  <c r="CG118" i="1" s="1"/>
  <c r="CH95" i="1"/>
  <c r="CH149" i="1"/>
  <c r="CI143" i="1" s="1"/>
  <c r="CF117" i="1"/>
  <c r="CF119" i="1" s="1"/>
  <c r="CE122" i="1"/>
  <c r="CI145" i="1" l="1"/>
  <c r="CF120" i="1"/>
  <c r="CF121" i="1" s="1"/>
  <c r="CG116" i="1" s="1"/>
  <c r="CE125" i="1"/>
  <c r="CE129" i="1" s="1"/>
  <c r="CE126" i="1"/>
  <c r="CE132" i="1" s="1"/>
  <c r="CH101" i="1"/>
  <c r="CH111" i="1" l="1"/>
  <c r="CH118" i="1" s="1"/>
  <c r="CF122" i="1"/>
  <c r="CF126" i="1" s="1"/>
  <c r="CF132" i="1" s="1"/>
  <c r="CG117" i="1"/>
  <c r="CG119" i="1" s="1"/>
  <c r="CI146" i="1"/>
  <c r="CF125" i="1" l="1"/>
  <c r="CF129" i="1" s="1"/>
  <c r="CG120" i="1"/>
  <c r="CG121" i="1" s="1"/>
  <c r="CH116" i="1" s="1"/>
  <c r="CI95" i="1"/>
  <c r="CI149" i="1"/>
  <c r="CI101" i="1" l="1"/>
  <c r="CI111" i="1" s="1"/>
  <c r="CI118" i="1" s="1"/>
  <c r="CG122" i="1"/>
  <c r="CJ143" i="1"/>
  <c r="CH117" i="1"/>
  <c r="CH119" i="1" s="1"/>
  <c r="CJ145" i="1" l="1"/>
  <c r="CG126" i="1"/>
  <c r="CG132" i="1" s="1"/>
  <c r="CG125" i="1"/>
  <c r="CG129" i="1" s="1"/>
  <c r="CH120" i="1"/>
  <c r="CH121" i="1" s="1"/>
  <c r="CI116" i="1" s="1"/>
  <c r="T116" i="1" s="1"/>
  <c r="CH122" i="1" l="1"/>
  <c r="CH125" i="1" s="1"/>
  <c r="CH129" i="1" s="1"/>
  <c r="CJ146" i="1"/>
  <c r="CI117" i="1"/>
  <c r="CI119" i="1" l="1"/>
  <c r="CH126" i="1"/>
  <c r="CH132" i="1" s="1"/>
  <c r="CJ95" i="1"/>
  <c r="CJ149" i="1"/>
  <c r="CI120" i="1" l="1"/>
  <c r="CI121" i="1" s="1"/>
  <c r="CJ116" i="1" s="1"/>
  <c r="CJ117" i="1" s="1"/>
  <c r="CK143" i="1"/>
  <c r="CJ101" i="1"/>
  <c r="CJ111" i="1" s="1"/>
  <c r="CJ118" i="1" s="1"/>
  <c r="CI122" i="1" l="1"/>
  <c r="CI126" i="1" s="1"/>
  <c r="CK145" i="1"/>
  <c r="CI132" i="1" l="1"/>
  <c r="CI125" i="1"/>
  <c r="CK146" i="1"/>
  <c r="CJ119" i="1"/>
  <c r="CI129" i="1" l="1"/>
  <c r="CJ120" i="1"/>
  <c r="CK95" i="1"/>
  <c r="CK149" i="1"/>
  <c r="CJ122" i="1" l="1"/>
  <c r="CJ125" i="1" s="1"/>
  <c r="CJ121" i="1"/>
  <c r="CK116" i="1" s="1"/>
  <c r="CK117" i="1" s="1"/>
  <c r="CL143" i="1"/>
  <c r="CK101" i="1"/>
  <c r="CK111" i="1" s="1"/>
  <c r="CK118" i="1" s="1"/>
  <c r="CJ126" i="1" l="1"/>
  <c r="CJ129" i="1"/>
  <c r="CL145" i="1"/>
  <c r="CJ132" i="1" l="1"/>
  <c r="CL146" i="1"/>
  <c r="CK119" i="1"/>
  <c r="CK120" i="1" l="1"/>
  <c r="CL95" i="1"/>
  <c r="CL149" i="1"/>
  <c r="CK122" i="1" l="1"/>
  <c r="CK126" i="1" s="1"/>
  <c r="CK121" i="1"/>
  <c r="CL116" i="1" s="1"/>
  <c r="CL117" i="1" s="1"/>
  <c r="CM143" i="1"/>
  <c r="CL101" i="1"/>
  <c r="CL111" i="1" s="1"/>
  <c r="CL118" i="1" s="1"/>
  <c r="CK132" i="1" l="1"/>
  <c r="CK125" i="1"/>
  <c r="CM145" i="1"/>
  <c r="CK129" i="1" l="1"/>
  <c r="CM146" i="1"/>
  <c r="CM149" i="1" s="1"/>
  <c r="CL119" i="1"/>
  <c r="CL120" i="1" l="1"/>
  <c r="CN143" i="1"/>
  <c r="CM95" i="1"/>
  <c r="CL121" i="1" l="1"/>
  <c r="CM116" i="1" s="1"/>
  <c r="CM117" i="1" s="1"/>
  <c r="CL122" i="1"/>
  <c r="CL125" i="1" s="1"/>
  <c r="CM101" i="1"/>
  <c r="CM111" i="1" s="1"/>
  <c r="CM118" i="1" s="1"/>
  <c r="CN145" i="1"/>
  <c r="CN146" i="1" s="1"/>
  <c r="CL129" i="1" l="1"/>
  <c r="CL126" i="1"/>
  <c r="CN95" i="1"/>
  <c r="CN149" i="1"/>
  <c r="CO143" i="1" s="1"/>
  <c r="CL132" i="1" l="1"/>
  <c r="CM119" i="1"/>
  <c r="CO145" i="1"/>
  <c r="CO146" i="1" s="1"/>
  <c r="CN101" i="1"/>
  <c r="CN111" i="1" l="1"/>
  <c r="CN118" i="1" s="1"/>
  <c r="CO95" i="1"/>
  <c r="CO149" i="1"/>
  <c r="CP143" i="1" s="1"/>
  <c r="CM120" i="1"/>
  <c r="CM121" i="1" l="1"/>
  <c r="CN116" i="1" s="1"/>
  <c r="CN117" i="1" s="1"/>
  <c r="CN119" i="1" s="1"/>
  <c r="CM122" i="1"/>
  <c r="CM126" i="1" s="1"/>
  <c r="CP145" i="1"/>
  <c r="CP146" i="1" s="1"/>
  <c r="CP149" i="1" s="1"/>
  <c r="CQ143" i="1" s="1"/>
  <c r="CO101" i="1"/>
  <c r="CM132" i="1" l="1"/>
  <c r="CO111" i="1"/>
  <c r="CO118" i="1" s="1"/>
  <c r="CM125" i="1"/>
  <c r="CQ145" i="1"/>
  <c r="CQ146" i="1" s="1"/>
  <c r="CN120" i="1"/>
  <c r="CN121" i="1" s="1"/>
  <c r="CO116" i="1" s="1"/>
  <c r="CP95" i="1"/>
  <c r="CM129" i="1" l="1"/>
  <c r="CO117" i="1"/>
  <c r="CO119" i="1" s="1"/>
  <c r="CN122" i="1"/>
  <c r="CQ95" i="1"/>
  <c r="CP101" i="1"/>
  <c r="CQ149" i="1"/>
  <c r="CR143" i="1" s="1"/>
  <c r="CP111" i="1" l="1"/>
  <c r="CP118" i="1" s="1"/>
  <c r="CQ101" i="1"/>
  <c r="CN125" i="1"/>
  <c r="CN129" i="1" s="1"/>
  <c r="CN126" i="1"/>
  <c r="CN132" i="1" s="1"/>
  <c r="CR145" i="1"/>
  <c r="CR146" i="1" s="1"/>
  <c r="CO120" i="1"/>
  <c r="CO121" i="1" s="1"/>
  <c r="CP116" i="1" s="1"/>
  <c r="CQ111" i="1" l="1"/>
  <c r="CQ118" i="1" s="1"/>
  <c r="CR149" i="1"/>
  <c r="CS143" i="1" s="1"/>
  <c r="CS145" i="1" s="1"/>
  <c r="CS146" i="1" s="1"/>
  <c r="CO122" i="1"/>
  <c r="CP117" i="1"/>
  <c r="CP119" i="1" s="1"/>
  <c r="CR95" i="1"/>
  <c r="CS95" i="1" l="1"/>
  <c r="CP120" i="1"/>
  <c r="CP121" i="1" s="1"/>
  <c r="CQ116" i="1" s="1"/>
  <c r="CS149" i="1"/>
  <c r="CT143" i="1" s="1"/>
  <c r="CO126" i="1"/>
  <c r="CO132" i="1" s="1"/>
  <c r="CO125" i="1"/>
  <c r="CO129" i="1" s="1"/>
  <c r="CR101" i="1"/>
  <c r="CR111" i="1" l="1"/>
  <c r="CR118" i="1" s="1"/>
  <c r="CP122" i="1"/>
  <c r="CP126" i="1" s="1"/>
  <c r="CP132" i="1" s="1"/>
  <c r="CT145" i="1"/>
  <c r="CT146" i="1" s="1"/>
  <c r="CQ117" i="1"/>
  <c r="CQ119" i="1" s="1"/>
  <c r="CS101" i="1"/>
  <c r="CS111" i="1" l="1"/>
  <c r="CS118" i="1" s="1"/>
  <c r="CP125" i="1"/>
  <c r="CP129" i="1" s="1"/>
  <c r="CQ120" i="1"/>
  <c r="CQ121" i="1" s="1"/>
  <c r="CR116" i="1" s="1"/>
  <c r="CT95" i="1"/>
  <c r="CT149" i="1"/>
  <c r="CU143" i="1" s="1"/>
  <c r="CQ122" i="1" l="1"/>
  <c r="CQ126" i="1" s="1"/>
  <c r="CQ132" i="1" s="1"/>
  <c r="CU145" i="1"/>
  <c r="CT101" i="1"/>
  <c r="CR117" i="1"/>
  <c r="CR119" i="1" s="1"/>
  <c r="CT111" i="1" l="1"/>
  <c r="CT118" i="1" s="1"/>
  <c r="CQ125" i="1"/>
  <c r="CQ129" i="1" s="1"/>
  <c r="CR120" i="1"/>
  <c r="CR121" i="1" s="1"/>
  <c r="CS116" i="1" s="1"/>
  <c r="CU146" i="1"/>
  <c r="CR122" i="1" l="1"/>
  <c r="CR126" i="1" s="1"/>
  <c r="CR132" i="1" s="1"/>
  <c r="CU95" i="1"/>
  <c r="CS117" i="1"/>
  <c r="CS119" i="1" s="1"/>
  <c r="CU149" i="1"/>
  <c r="CR125" i="1" l="1"/>
  <c r="CR129" i="1" s="1"/>
  <c r="CV143" i="1"/>
  <c r="CS120" i="1"/>
  <c r="CS121" i="1" s="1"/>
  <c r="CT116" i="1" s="1"/>
  <c r="CU101" i="1"/>
  <c r="CU111" i="1" s="1"/>
  <c r="CU118" i="1" s="1"/>
  <c r="CS122" i="1" l="1"/>
  <c r="CS126" i="1" s="1"/>
  <c r="CS132" i="1" s="1"/>
  <c r="CT117" i="1"/>
  <c r="CT119" i="1" s="1"/>
  <c r="CV145" i="1"/>
  <c r="CS125" i="1" l="1"/>
  <c r="CS129" i="1" s="1"/>
  <c r="CT120" i="1"/>
  <c r="CT121" i="1" s="1"/>
  <c r="CU116" i="1" s="1"/>
  <c r="U116" i="1" s="1"/>
  <c r="CV146" i="1"/>
  <c r="CT122" i="1" l="1"/>
  <c r="CT125" i="1" s="1"/>
  <c r="CT129" i="1" s="1"/>
  <c r="CV95" i="1"/>
  <c r="CU117" i="1"/>
  <c r="CV149" i="1"/>
  <c r="CU119" i="1" l="1"/>
  <c r="CT126" i="1"/>
  <c r="CT132" i="1" s="1"/>
  <c r="CW143" i="1"/>
  <c r="CV101" i="1"/>
  <c r="CV111" i="1" s="1"/>
  <c r="CV118" i="1" s="1"/>
  <c r="CU120" i="1" l="1"/>
  <c r="CU122" i="1" s="1"/>
  <c r="CW145" i="1"/>
  <c r="CU121" i="1" l="1"/>
  <c r="CV116" i="1" s="1"/>
  <c r="CV117" i="1" s="1"/>
  <c r="CV119" i="1" s="1"/>
  <c r="CU125" i="1"/>
  <c r="CU126" i="1"/>
  <c r="CW146" i="1"/>
  <c r="CW149" i="1" s="1"/>
  <c r="CU132" i="1" l="1"/>
  <c r="CU129" i="1"/>
  <c r="CX143" i="1"/>
  <c r="CW95" i="1"/>
  <c r="CV120" i="1"/>
  <c r="CV121" i="1" l="1"/>
  <c r="CW116" i="1" s="1"/>
  <c r="CW117" i="1" s="1"/>
  <c r="CW101" i="1"/>
  <c r="CW111" i="1" s="1"/>
  <c r="CW118" i="1" s="1"/>
  <c r="CX145" i="1"/>
  <c r="CV122" i="1"/>
  <c r="CV126" i="1" l="1"/>
  <c r="CV125" i="1"/>
  <c r="CX146" i="1"/>
  <c r="CV132" i="1" l="1"/>
  <c r="CV129" i="1"/>
  <c r="CX95" i="1"/>
  <c r="CW119" i="1"/>
  <c r="CX149" i="1"/>
  <c r="CW120" i="1" l="1"/>
  <c r="CY143" i="1"/>
  <c r="CX101" i="1"/>
  <c r="CX111" i="1" s="1"/>
  <c r="CX118" i="1" s="1"/>
  <c r="CW122" i="1" l="1"/>
  <c r="CW121" i="1"/>
  <c r="CX116" i="1" s="1"/>
  <c r="CX117" i="1" s="1"/>
  <c r="CY145" i="1"/>
  <c r="CW126" i="1" l="1"/>
  <c r="CW125" i="1"/>
  <c r="CY146" i="1"/>
  <c r="CY149" i="1" s="1"/>
  <c r="CX119" i="1"/>
  <c r="CW132" i="1" l="1"/>
  <c r="CW129" i="1"/>
  <c r="CX120" i="1"/>
  <c r="CZ143" i="1"/>
  <c r="CY95" i="1"/>
  <c r="CX121" i="1" l="1"/>
  <c r="CY116" i="1" s="1"/>
  <c r="CY117" i="1" s="1"/>
  <c r="CY101" i="1"/>
  <c r="CY111" i="1" s="1"/>
  <c r="CY118" i="1" s="1"/>
  <c r="CZ145" i="1"/>
  <c r="CZ146" i="1" s="1"/>
  <c r="CX122" i="1"/>
  <c r="CZ149" i="1" l="1"/>
  <c r="DA143" i="1" s="1"/>
  <c r="DA145" i="1" s="1"/>
  <c r="DA146" i="1" s="1"/>
  <c r="CZ95" i="1"/>
  <c r="CX125" i="1"/>
  <c r="CX126" i="1"/>
  <c r="CX132" i="1" l="1"/>
  <c r="CX129" i="1"/>
  <c r="DA149" i="1"/>
  <c r="DB143" i="1" s="1"/>
  <c r="DB145" i="1" s="1"/>
  <c r="DB146" i="1" s="1"/>
  <c r="DB149" i="1" s="1"/>
  <c r="DC143" i="1" s="1"/>
  <c r="CY119" i="1"/>
  <c r="CZ101" i="1"/>
  <c r="DA95" i="1"/>
  <c r="CZ111" i="1" l="1"/>
  <c r="CZ118" i="1" s="1"/>
  <c r="DA101" i="1"/>
  <c r="DC145" i="1"/>
  <c r="DC146" i="1" s="1"/>
  <c r="DB95" i="1"/>
  <c r="CY120" i="1"/>
  <c r="DA111" i="1" l="1"/>
  <c r="DA118" i="1" s="1"/>
  <c r="DB101" i="1"/>
  <c r="DC95" i="1"/>
  <c r="CY121" i="1"/>
  <c r="CZ116" i="1" s="1"/>
  <c r="CY122" i="1"/>
  <c r="DC149" i="1"/>
  <c r="DD143" i="1" s="1"/>
  <c r="DB111" i="1" l="1"/>
  <c r="DB118" i="1" s="1"/>
  <c r="CY126" i="1"/>
  <c r="CY125" i="1"/>
  <c r="CZ117" i="1"/>
  <c r="CZ119" i="1" s="1"/>
  <c r="DC101" i="1"/>
  <c r="DD145" i="1"/>
  <c r="DD146" i="1" s="1"/>
  <c r="CY132" i="1" l="1"/>
  <c r="CY129" i="1"/>
  <c r="DC111" i="1"/>
  <c r="DC118" i="1" s="1"/>
  <c r="CZ120" i="1"/>
  <c r="CZ121" i="1" s="1"/>
  <c r="DA116" i="1" s="1"/>
  <c r="DD95" i="1"/>
  <c r="DD149" i="1"/>
  <c r="DE143" i="1" s="1"/>
  <c r="CZ122" i="1" l="1"/>
  <c r="CZ126" i="1" s="1"/>
  <c r="CZ132" i="1" s="1"/>
  <c r="DD101" i="1"/>
  <c r="DA117" i="1"/>
  <c r="DA119" i="1" s="1"/>
  <c r="DE145" i="1"/>
  <c r="DE146" i="1" s="1"/>
  <c r="DD111" i="1" l="1"/>
  <c r="DD118" i="1" s="1"/>
  <c r="CZ125" i="1"/>
  <c r="CZ129" i="1" s="1"/>
  <c r="DE95" i="1"/>
  <c r="DE149" i="1"/>
  <c r="DF143" i="1" s="1"/>
  <c r="DA120" i="1"/>
  <c r="DA121" i="1" s="1"/>
  <c r="DB116" i="1" s="1"/>
  <c r="DA122" i="1" l="1"/>
  <c r="DA126" i="1" s="1"/>
  <c r="DA132" i="1" s="1"/>
  <c r="DE101" i="1"/>
  <c r="DF145" i="1"/>
  <c r="DF146" i="1" s="1"/>
  <c r="DB117" i="1"/>
  <c r="DB119" i="1" s="1"/>
  <c r="DE111" i="1" l="1"/>
  <c r="DE118" i="1" s="1"/>
  <c r="DA125" i="1"/>
  <c r="DA129" i="1" s="1"/>
  <c r="DF95" i="1"/>
  <c r="DB120" i="1"/>
  <c r="DB121" i="1" s="1"/>
  <c r="DC116" i="1" s="1"/>
  <c r="DF149" i="1"/>
  <c r="DG143" i="1" s="1"/>
  <c r="DC117" i="1" l="1"/>
  <c r="DC119" i="1" s="1"/>
  <c r="DB122" i="1"/>
  <c r="DG145" i="1"/>
  <c r="DF101" i="1"/>
  <c r="DF111" i="1" l="1"/>
  <c r="DF118" i="1" s="1"/>
  <c r="DG146" i="1"/>
  <c r="DG149" i="1" s="1"/>
  <c r="DB125" i="1"/>
  <c r="DB129" i="1" s="1"/>
  <c r="DB126" i="1"/>
  <c r="DB132" i="1" s="1"/>
  <c r="DC120" i="1"/>
  <c r="DC121" i="1" s="1"/>
  <c r="DD116" i="1" s="1"/>
  <c r="DC122" i="1" l="1"/>
  <c r="DC125" i="1" s="1"/>
  <c r="DC129" i="1" s="1"/>
  <c r="DH143" i="1"/>
  <c r="DG95" i="1"/>
  <c r="DD117" i="1"/>
  <c r="DD119" i="1" s="1"/>
  <c r="DC126" i="1" l="1"/>
  <c r="DC132" i="1" s="1"/>
  <c r="DD120" i="1"/>
  <c r="DD121" i="1" s="1"/>
  <c r="DE116" i="1" s="1"/>
  <c r="DG101" i="1"/>
  <c r="DG111" i="1" s="1"/>
  <c r="DG118" i="1" s="1"/>
  <c r="DH145" i="1"/>
  <c r="DD122" i="1" l="1"/>
  <c r="DD125" i="1" s="1"/>
  <c r="DD129" i="1" s="1"/>
  <c r="DH146" i="1"/>
  <c r="DE117" i="1"/>
  <c r="DE119" i="1" s="1"/>
  <c r="DD126" i="1" l="1"/>
  <c r="DD132" i="1" s="1"/>
  <c r="DH95" i="1"/>
  <c r="DH149" i="1"/>
  <c r="DE120" i="1"/>
  <c r="DE121" i="1" s="1"/>
  <c r="DF116" i="1" s="1"/>
  <c r="DF117" i="1" l="1"/>
  <c r="DF119" i="1" s="1"/>
  <c r="DE122" i="1"/>
  <c r="DI143" i="1"/>
  <c r="DH101" i="1"/>
  <c r="DH111" i="1" s="1"/>
  <c r="DH118" i="1" s="1"/>
  <c r="DI145" i="1" l="1"/>
  <c r="DE126" i="1"/>
  <c r="DE132" i="1" s="1"/>
  <c r="DE125" i="1"/>
  <c r="DE129" i="1" s="1"/>
  <c r="DF120" i="1"/>
  <c r="DF121" i="1" s="1"/>
  <c r="DG116" i="1" s="1"/>
  <c r="V116" i="1" s="1"/>
  <c r="DF122" i="1" l="1"/>
  <c r="DF126" i="1" s="1"/>
  <c r="DF132" i="1" s="1"/>
  <c r="DG117" i="1"/>
  <c r="DI146" i="1"/>
  <c r="DG119" i="1" l="1"/>
  <c r="DF125" i="1"/>
  <c r="DF129" i="1" s="1"/>
  <c r="DI95" i="1"/>
  <c r="DI149" i="1"/>
  <c r="DG120" i="1" l="1"/>
  <c r="DG121" i="1" s="1"/>
  <c r="DH116" i="1" s="1"/>
  <c r="DH117" i="1" s="1"/>
  <c r="DJ143" i="1"/>
  <c r="DI101" i="1"/>
  <c r="DI111" i="1" s="1"/>
  <c r="DI118" i="1" s="1"/>
  <c r="DG122" i="1" l="1"/>
  <c r="DG126" i="1" s="1"/>
  <c r="DH119" i="1"/>
  <c r="DJ145" i="1"/>
  <c r="DG132" i="1" l="1"/>
  <c r="DG125" i="1"/>
  <c r="DH120" i="1"/>
  <c r="DH121" i="1" s="1"/>
  <c r="DI116" i="1" s="1"/>
  <c r="DI117" i="1" s="1"/>
  <c r="DJ146" i="1"/>
  <c r="DH122" i="1" l="1"/>
  <c r="DH126" i="1" s="1"/>
  <c r="DG129" i="1"/>
  <c r="DI119" i="1"/>
  <c r="DJ95" i="1"/>
  <c r="DJ149" i="1"/>
  <c r="DH125" i="1" l="1"/>
  <c r="DH129" i="1" s="1"/>
  <c r="DH132" i="1"/>
  <c r="DI120" i="1"/>
  <c r="DI122" i="1" s="1"/>
  <c r="DK143" i="1"/>
  <c r="DJ101" i="1"/>
  <c r="DJ111" i="1" s="1"/>
  <c r="DJ118" i="1" s="1"/>
  <c r="DI121" i="1" l="1"/>
  <c r="DJ116" i="1" s="1"/>
  <c r="DJ117" i="1" s="1"/>
  <c r="DK145" i="1"/>
  <c r="DI125" i="1"/>
  <c r="DI126" i="1"/>
  <c r="DI132" i="1" l="1"/>
  <c r="DI129" i="1"/>
  <c r="DK146" i="1"/>
  <c r="DK149" i="1" s="1"/>
  <c r="DJ119" i="1"/>
  <c r="DJ120" i="1" l="1"/>
  <c r="DJ121" i="1" s="1"/>
  <c r="DK116" i="1" s="1"/>
  <c r="DK117" i="1" s="1"/>
  <c r="DL143" i="1"/>
  <c r="DK95" i="1"/>
  <c r="DJ122" i="1" l="1"/>
  <c r="DJ125" i="1" s="1"/>
  <c r="DK101" i="1"/>
  <c r="DK111" i="1" s="1"/>
  <c r="DK118" i="1" s="1"/>
  <c r="DL145" i="1"/>
  <c r="DL146" i="1" s="1"/>
  <c r="DJ126" i="1" l="1"/>
  <c r="DJ129" i="1"/>
  <c r="DL149" i="1"/>
  <c r="DM143" i="1" s="1"/>
  <c r="DM145" i="1" s="1"/>
  <c r="DM146" i="1" s="1"/>
  <c r="DL95" i="1"/>
  <c r="DJ132" i="1" l="1"/>
  <c r="DM95" i="1"/>
  <c r="DL101" i="1"/>
  <c r="DM149" i="1"/>
  <c r="DN143" i="1" s="1"/>
  <c r="DK119" i="1"/>
  <c r="DK120" i="1" l="1"/>
  <c r="DK121" i="1" s="1"/>
  <c r="DL116" i="1" s="1"/>
  <c r="DL117" i="1" s="1"/>
  <c r="DL111" i="1"/>
  <c r="DL118" i="1" s="1"/>
  <c r="DN145" i="1"/>
  <c r="DN146" i="1" s="1"/>
  <c r="DN149" i="1" s="1"/>
  <c r="DO143" i="1" s="1"/>
  <c r="DM101" i="1"/>
  <c r="DK122" i="1" l="1"/>
  <c r="DK125" i="1" s="1"/>
  <c r="DM111" i="1"/>
  <c r="DM118" i="1" s="1"/>
  <c r="DL119" i="1"/>
  <c r="DL120" i="1" s="1"/>
  <c r="DL121" i="1" s="1"/>
  <c r="DM116" i="1" s="1"/>
  <c r="DM117" i="1" s="1"/>
  <c r="DO145" i="1"/>
  <c r="DO146" i="1" s="1"/>
  <c r="DN95" i="1"/>
  <c r="DK126" i="1" l="1"/>
  <c r="DK129" i="1"/>
  <c r="DM119" i="1"/>
  <c r="DM120" i="1" s="1"/>
  <c r="DM121" i="1" s="1"/>
  <c r="DN116" i="1" s="1"/>
  <c r="DO149" i="1"/>
  <c r="DP143" i="1" s="1"/>
  <c r="DP145" i="1" s="1"/>
  <c r="DP146" i="1" s="1"/>
  <c r="DL122" i="1"/>
  <c r="DN101" i="1"/>
  <c r="DO95" i="1"/>
  <c r="DK132" i="1" l="1"/>
  <c r="DN111" i="1"/>
  <c r="DN118" i="1" s="1"/>
  <c r="DP149" i="1"/>
  <c r="DQ143" i="1" s="1"/>
  <c r="DQ145" i="1" s="1"/>
  <c r="DQ146" i="1" s="1"/>
  <c r="DL126" i="1"/>
  <c r="DL132" i="1" s="1"/>
  <c r="DL125" i="1"/>
  <c r="DL129" i="1" s="1"/>
  <c r="DN117" i="1"/>
  <c r="DO101" i="1"/>
  <c r="DP95" i="1"/>
  <c r="DM122" i="1"/>
  <c r="DO111" i="1" l="1"/>
  <c r="DO118" i="1" s="1"/>
  <c r="DN119" i="1"/>
  <c r="DN120" i="1" s="1"/>
  <c r="DN121" i="1" s="1"/>
  <c r="DO116" i="1" s="1"/>
  <c r="DQ149" i="1"/>
  <c r="DR143" i="1" s="1"/>
  <c r="DR145" i="1" s="1"/>
  <c r="DR146" i="1" s="1"/>
  <c r="DP101" i="1"/>
  <c r="DQ95" i="1"/>
  <c r="DM126" i="1"/>
  <c r="DM132" i="1" s="1"/>
  <c r="DM125" i="1"/>
  <c r="DM129" i="1" s="1"/>
  <c r="DP111" i="1" l="1"/>
  <c r="DP118" i="1" s="1"/>
  <c r="DR149" i="1"/>
  <c r="DS143" i="1" s="1"/>
  <c r="DS145" i="1" s="1"/>
  <c r="DO117" i="1"/>
  <c r="DO119" i="1" s="1"/>
  <c r="DN122" i="1"/>
  <c r="DQ101" i="1"/>
  <c r="DR95" i="1"/>
  <c r="DQ111" i="1" l="1"/>
  <c r="DQ118" i="1" s="1"/>
  <c r="DR101" i="1"/>
  <c r="DS146" i="1"/>
  <c r="DS149" i="1" s="1"/>
  <c r="DN125" i="1"/>
  <c r="DN129" i="1" s="1"/>
  <c r="DN126" i="1"/>
  <c r="DN132" i="1" s="1"/>
  <c r="DO120" i="1"/>
  <c r="DO121" i="1" s="1"/>
  <c r="DP116" i="1" s="1"/>
  <c r="DR111" i="1" l="1"/>
  <c r="DR118" i="1" s="1"/>
  <c r="DO122" i="1"/>
  <c r="DO126" i="1" s="1"/>
  <c r="DO132" i="1" s="1"/>
  <c r="DT143" i="1"/>
  <c r="DP117" i="1"/>
  <c r="DP119" i="1" s="1"/>
  <c r="DS95" i="1"/>
  <c r="DO125" i="1" l="1"/>
  <c r="DO129" i="1" s="1"/>
  <c r="DP120" i="1"/>
  <c r="DP121" i="1" s="1"/>
  <c r="DQ116" i="1" s="1"/>
  <c r="DT145" i="1"/>
  <c r="DS101" i="1"/>
  <c r="DS111" i="1" s="1"/>
  <c r="DS118" i="1" s="1"/>
  <c r="DT146" i="1" l="1"/>
  <c r="DQ117" i="1"/>
  <c r="DQ119" i="1" s="1"/>
  <c r="DP122" i="1"/>
  <c r="DP125" i="1" l="1"/>
  <c r="DP129" i="1" s="1"/>
  <c r="DP126" i="1"/>
  <c r="DP132" i="1" s="1"/>
  <c r="DQ120" i="1"/>
  <c r="DQ121" i="1" s="1"/>
  <c r="DR116" i="1" s="1"/>
  <c r="DT95" i="1"/>
  <c r="DT149" i="1"/>
  <c r="DT101" i="1" l="1"/>
  <c r="DT111" i="1" s="1"/>
  <c r="DT118" i="1" s="1"/>
  <c r="DR117" i="1"/>
  <c r="DR119" i="1" s="1"/>
  <c r="DU143" i="1"/>
  <c r="DQ122" i="1"/>
  <c r="DU145" i="1" l="1"/>
  <c r="DR120" i="1"/>
  <c r="DR121" i="1" s="1"/>
  <c r="DS116" i="1" s="1"/>
  <c r="W116" i="1" s="1"/>
  <c r="DQ125" i="1"/>
  <c r="DQ129" i="1" s="1"/>
  <c r="DQ126" i="1"/>
  <c r="DQ132" i="1" s="1"/>
  <c r="DR122" i="1" l="1"/>
  <c r="DR126" i="1" s="1"/>
  <c r="DR132" i="1" s="1"/>
  <c r="DS117" i="1"/>
  <c r="DU146" i="1"/>
  <c r="DU149" i="1" s="1"/>
  <c r="DS119" i="1" l="1"/>
  <c r="DR125" i="1"/>
  <c r="DR129" i="1" s="1"/>
  <c r="DV143" i="1"/>
  <c r="DU95" i="1"/>
  <c r="DS120" i="1" l="1"/>
  <c r="DS121" i="1" s="1"/>
  <c r="DT116" i="1" s="1"/>
  <c r="DT117" i="1" s="1"/>
  <c r="DU101" i="1"/>
  <c r="DU111" i="1" s="1"/>
  <c r="DU118" i="1" s="1"/>
  <c r="DV145" i="1"/>
  <c r="DS122" i="1" l="1"/>
  <c r="DS126" i="1" s="1"/>
  <c r="DT119" i="1"/>
  <c r="DV146" i="1"/>
  <c r="DS132" i="1" l="1"/>
  <c r="DS125" i="1"/>
  <c r="DT120" i="1"/>
  <c r="DV95" i="1"/>
  <c r="DV149" i="1"/>
  <c r="DS129" i="1" l="1"/>
  <c r="DT122" i="1"/>
  <c r="DT121" i="1"/>
  <c r="DU116" i="1" s="1"/>
  <c r="DU117" i="1" s="1"/>
  <c r="DW143" i="1"/>
  <c r="DV101" i="1"/>
  <c r="DV111" i="1" s="1"/>
  <c r="DV118" i="1" s="1"/>
  <c r="DT126" i="1" l="1"/>
  <c r="DT125" i="1"/>
  <c r="DT132" i="1"/>
  <c r="DT129" i="1"/>
  <c r="DU119" i="1"/>
  <c r="DW145" i="1"/>
  <c r="DU120" i="1" l="1"/>
  <c r="DW146" i="1"/>
  <c r="DU121" i="1" l="1"/>
  <c r="DV116" i="1" s="1"/>
  <c r="DV117" i="1" s="1"/>
  <c r="DU122" i="1"/>
  <c r="DW95" i="1"/>
  <c r="DW149" i="1"/>
  <c r="DV119" i="1" l="1"/>
  <c r="DU126" i="1"/>
  <c r="DU125" i="1"/>
  <c r="DX143" i="1"/>
  <c r="DW101" i="1"/>
  <c r="DW111" i="1" s="1"/>
  <c r="DW118" i="1" s="1"/>
  <c r="DU132" i="1" l="1"/>
  <c r="DU129" i="1"/>
  <c r="DV120" i="1"/>
  <c r="DX145" i="1"/>
  <c r="DX146" i="1" s="1"/>
  <c r="DV121" i="1" l="1"/>
  <c r="DW116" i="1" s="1"/>
  <c r="DW117" i="1" s="1"/>
  <c r="DW119" i="1" s="1"/>
  <c r="DV122" i="1"/>
  <c r="DX95" i="1"/>
  <c r="DX149" i="1"/>
  <c r="DY143" i="1" s="1"/>
  <c r="DV125" i="1" l="1"/>
  <c r="DV126" i="1"/>
  <c r="DW120" i="1"/>
  <c r="DY145" i="1"/>
  <c r="DY146" i="1" s="1"/>
  <c r="DX101" i="1"/>
  <c r="DV132" i="1" l="1"/>
  <c r="DV129" i="1"/>
  <c r="DW121" i="1"/>
  <c r="DX116" i="1" s="1"/>
  <c r="DX117" i="1" s="1"/>
  <c r="DX111" i="1"/>
  <c r="DX118" i="1" s="1"/>
  <c r="DY95" i="1"/>
  <c r="DY149" i="1"/>
  <c r="DZ143" i="1" s="1"/>
  <c r="DW122" i="1"/>
  <c r="DX119" i="1" l="1"/>
  <c r="DX120" i="1" s="1"/>
  <c r="DX121" i="1" s="1"/>
  <c r="DY116" i="1" s="1"/>
  <c r="DZ145" i="1"/>
  <c r="DZ146" i="1" s="1"/>
  <c r="DZ149" i="1" s="1"/>
  <c r="EA143" i="1" s="1"/>
  <c r="DW126" i="1"/>
  <c r="DW125" i="1"/>
  <c r="DY101" i="1"/>
  <c r="DW132" i="1" l="1"/>
  <c r="DW129" i="1"/>
  <c r="DY111" i="1"/>
  <c r="DY118" i="1" s="1"/>
  <c r="EA145" i="1"/>
  <c r="EA146" i="1" s="1"/>
  <c r="DY117" i="1"/>
  <c r="DZ95" i="1"/>
  <c r="DX122" i="1"/>
  <c r="DY119" i="1" l="1"/>
  <c r="DY120" i="1" s="1"/>
  <c r="DY121" i="1" s="1"/>
  <c r="DZ116" i="1" s="1"/>
  <c r="DZ101" i="1"/>
  <c r="EA95" i="1"/>
  <c r="DX126" i="1"/>
  <c r="DX132" i="1" s="1"/>
  <c r="DX125" i="1"/>
  <c r="DX129" i="1" s="1"/>
  <c r="EA149" i="1"/>
  <c r="EB143" i="1" s="1"/>
  <c r="DZ111" i="1" l="1"/>
  <c r="DZ118" i="1" s="1"/>
  <c r="EB145" i="1"/>
  <c r="EB146" i="1" s="1"/>
  <c r="DZ117" i="1"/>
  <c r="DY122" i="1"/>
  <c r="EA101" i="1"/>
  <c r="DZ119" i="1" l="1"/>
  <c r="DZ120" i="1" s="1"/>
  <c r="DZ121" i="1" s="1"/>
  <c r="EA116" i="1" s="1"/>
  <c r="EA111" i="1"/>
  <c r="EA118" i="1" s="1"/>
  <c r="DY125" i="1"/>
  <c r="DY129" i="1" s="1"/>
  <c r="DY126" i="1"/>
  <c r="DY132" i="1" s="1"/>
  <c r="EB149" i="1"/>
  <c r="EC143" i="1" s="1"/>
  <c r="EB95" i="1"/>
  <c r="EC145" i="1" l="1"/>
  <c r="EC146" i="1" s="1"/>
  <c r="EB101" i="1"/>
  <c r="EA117" i="1"/>
  <c r="EA119" i="1" s="1"/>
  <c r="DZ122" i="1"/>
  <c r="EB111" i="1" l="1"/>
  <c r="EB118" i="1" s="1"/>
  <c r="DZ126" i="1"/>
  <c r="DZ132" i="1" s="1"/>
  <c r="DZ125" i="1"/>
  <c r="DZ129" i="1" s="1"/>
  <c r="EA120" i="1"/>
  <c r="EA121" i="1" s="1"/>
  <c r="EB116" i="1" s="1"/>
  <c r="EC95" i="1"/>
  <c r="EC149" i="1"/>
  <c r="ED143" i="1" s="1"/>
  <c r="EA122" i="1" l="1"/>
  <c r="EB117" i="1"/>
  <c r="EB119" i="1" s="1"/>
  <c r="ED145" i="1"/>
  <c r="ED146" i="1" s="1"/>
  <c r="EC101" i="1"/>
  <c r="EC111" i="1" l="1"/>
  <c r="EC118" i="1" s="1"/>
  <c r="ED95" i="1"/>
  <c r="ED149" i="1"/>
  <c r="EE143" i="1" s="1"/>
  <c r="EB120" i="1"/>
  <c r="EB121" i="1" s="1"/>
  <c r="EC116" i="1" s="1"/>
  <c r="EA126" i="1"/>
  <c r="EA132" i="1" s="1"/>
  <c r="EA125" i="1"/>
  <c r="EA129" i="1" s="1"/>
  <c r="EB122" i="1" l="1"/>
  <c r="EB126" i="1" s="1"/>
  <c r="EB132" i="1" s="1"/>
  <c r="ED101" i="1"/>
  <c r="EE145" i="1"/>
  <c r="EC117" i="1"/>
  <c r="EC119" i="1" s="1"/>
  <c r="ED111" i="1" l="1"/>
  <c r="ED118" i="1" s="1"/>
  <c r="EB125" i="1"/>
  <c r="EB129" i="1" s="1"/>
  <c r="EC120" i="1"/>
  <c r="EC121" i="1" s="1"/>
  <c r="ED116" i="1" s="1"/>
  <c r="EE146" i="1"/>
  <c r="EE95" i="1" l="1"/>
  <c r="ED117" i="1"/>
  <c r="ED119" i="1" s="1"/>
  <c r="EC122" i="1"/>
  <c r="EE149" i="1"/>
  <c r="EC126" i="1" l="1"/>
  <c r="EC132" i="1" s="1"/>
  <c r="EC125" i="1"/>
  <c r="EC129" i="1" s="1"/>
  <c r="EF143" i="1"/>
  <c r="ED120" i="1"/>
  <c r="ED121" i="1" s="1"/>
  <c r="EE116" i="1" s="1"/>
  <c r="X116" i="1" s="1"/>
  <c r="EE101" i="1"/>
  <c r="EE111" i="1" s="1"/>
  <c r="EE118" i="1" s="1"/>
  <c r="EE117" i="1" l="1"/>
  <c r="EF145" i="1"/>
  <c r="ED122" i="1"/>
  <c r="EF146" i="1" l="1"/>
  <c r="ED125" i="1"/>
  <c r="ED129" i="1" s="1"/>
  <c r="ED126" i="1"/>
  <c r="ED132" i="1" s="1"/>
  <c r="EE119" i="1"/>
  <c r="EE120" i="1" l="1"/>
  <c r="EF95" i="1"/>
  <c r="EF149" i="1"/>
  <c r="EG143" i="1" l="1"/>
  <c r="EF101" i="1"/>
  <c r="EF111" i="1" s="1"/>
  <c r="EF118" i="1" s="1"/>
  <c r="EE121" i="1"/>
  <c r="EF116" i="1" s="1"/>
  <c r="EE122" i="1"/>
  <c r="EF117" i="1" l="1"/>
  <c r="EE125" i="1"/>
  <c r="EE126" i="1"/>
  <c r="EG145" i="1"/>
  <c r="EE132" i="1" l="1"/>
  <c r="EE129" i="1"/>
  <c r="EF119" i="1"/>
  <c r="EG146" i="1"/>
  <c r="EG95" i="1" l="1"/>
  <c r="EG149" i="1"/>
  <c r="EF120" i="1"/>
  <c r="EF121" i="1" l="1"/>
  <c r="EG116" i="1" s="1"/>
  <c r="EG117" i="1" s="1"/>
  <c r="EF122" i="1"/>
  <c r="EH143" i="1"/>
  <c r="EG101" i="1"/>
  <c r="EG111" i="1" s="1"/>
  <c r="EG118" i="1" s="1"/>
  <c r="EH145" i="1" l="1"/>
  <c r="EF125" i="1"/>
  <c r="EF126" i="1"/>
  <c r="EF132" i="1" l="1"/>
  <c r="EF129" i="1"/>
  <c r="EG119" i="1"/>
  <c r="EH146" i="1"/>
  <c r="EH95" i="1" l="1"/>
  <c r="EH149" i="1"/>
  <c r="EG120" i="1"/>
  <c r="EG121" i="1" l="1"/>
  <c r="EH116" i="1" s="1"/>
  <c r="EG122" i="1"/>
  <c r="EI143" i="1"/>
  <c r="EH101" i="1"/>
  <c r="EH111" i="1" s="1"/>
  <c r="EH118" i="1" s="1"/>
  <c r="EI145" i="1" l="1"/>
  <c r="EG125" i="1"/>
  <c r="EG126" i="1"/>
  <c r="EH117" i="1"/>
  <c r="EG132" i="1" l="1"/>
  <c r="EG129" i="1"/>
  <c r="EH119" i="1"/>
  <c r="EH120" i="1" s="1"/>
  <c r="EH121" i="1" s="1"/>
  <c r="EI116" i="1" s="1"/>
  <c r="EI146" i="1"/>
  <c r="EH122" i="1" l="1"/>
  <c r="EH126" i="1" s="1"/>
  <c r="EI95" i="1"/>
  <c r="EI149" i="1"/>
  <c r="EI117" i="1"/>
  <c r="EH132" i="1" l="1"/>
  <c r="EH125" i="1"/>
  <c r="EJ143" i="1"/>
  <c r="EI101" i="1"/>
  <c r="EI111" i="1" s="1"/>
  <c r="EI118" i="1" s="1"/>
  <c r="EH129" i="1" l="1"/>
  <c r="EJ145" i="1"/>
  <c r="EJ146" i="1" s="1"/>
  <c r="EI119" i="1" l="1"/>
  <c r="EI120" i="1" s="1"/>
  <c r="EJ95" i="1"/>
  <c r="EJ149" i="1"/>
  <c r="EK143" i="1" s="1"/>
  <c r="EI121" i="1" l="1"/>
  <c r="EJ116" i="1" s="1"/>
  <c r="EJ117" i="1" s="1"/>
  <c r="EI122" i="1"/>
  <c r="EI126" i="1" s="1"/>
  <c r="EK145" i="1"/>
  <c r="EK146" i="1" s="1"/>
  <c r="EK149" i="1" s="1"/>
  <c r="EL143" i="1" s="1"/>
  <c r="EJ101" i="1"/>
  <c r="EI132" i="1" l="1"/>
  <c r="EJ111" i="1"/>
  <c r="EJ118" i="1" s="1"/>
  <c r="EJ119" i="1" s="1"/>
  <c r="EI125" i="1"/>
  <c r="EL145" i="1"/>
  <c r="EL146" i="1" s="1"/>
  <c r="EL149" i="1" s="1"/>
  <c r="EM143" i="1" s="1"/>
  <c r="EK95" i="1"/>
  <c r="EI129" i="1" l="1"/>
  <c r="EM145" i="1"/>
  <c r="EM146" i="1" s="1"/>
  <c r="EK101" i="1"/>
  <c r="EL95" i="1"/>
  <c r="EJ120" i="1"/>
  <c r="EJ121" i="1" s="1"/>
  <c r="EK116" i="1" s="1"/>
  <c r="EK111" i="1" l="1"/>
  <c r="EK118" i="1" s="1"/>
  <c r="EK117" i="1"/>
  <c r="EL101" i="1"/>
  <c r="EM95" i="1"/>
  <c r="EJ122" i="1"/>
  <c r="EM149" i="1"/>
  <c r="EN143" i="1" s="1"/>
  <c r="EL111" i="1" l="1"/>
  <c r="EL118" i="1" s="1"/>
  <c r="EK119" i="1"/>
  <c r="EK120" i="1" s="1"/>
  <c r="EK121" i="1" s="1"/>
  <c r="EL116" i="1" s="1"/>
  <c r="EN145" i="1"/>
  <c r="EN146" i="1" s="1"/>
  <c r="EJ126" i="1"/>
  <c r="EJ132" i="1" s="1"/>
  <c r="EJ125" i="1"/>
  <c r="EJ129" i="1" s="1"/>
  <c r="EM101" i="1"/>
  <c r="EM111" i="1" l="1"/>
  <c r="EM118" i="1" s="1"/>
  <c r="EK122" i="1"/>
  <c r="EK126" i="1" s="1"/>
  <c r="EK132" i="1" s="1"/>
  <c r="EN149" i="1"/>
  <c r="EO143" i="1" s="1"/>
  <c r="EL117" i="1"/>
  <c r="EL119" i="1" s="1"/>
  <c r="EN95" i="1"/>
  <c r="EK125" i="1" l="1"/>
  <c r="EK129" i="1" s="1"/>
  <c r="EN101" i="1"/>
  <c r="EL120" i="1"/>
  <c r="EL121" i="1" s="1"/>
  <c r="EM116" i="1" s="1"/>
  <c r="EO145" i="1"/>
  <c r="EO146" i="1" s="1"/>
  <c r="EO149" i="1" s="1"/>
  <c r="EP143" i="1" s="1"/>
  <c r="EN111" i="1" l="1"/>
  <c r="EN118" i="1" s="1"/>
  <c r="EL122" i="1"/>
  <c r="EL125" i="1" s="1"/>
  <c r="EL129" i="1" s="1"/>
  <c r="EP145" i="1"/>
  <c r="EP146" i="1" s="1"/>
  <c r="EP149" i="1" s="1"/>
  <c r="EQ143" i="1" s="1"/>
  <c r="EO95" i="1"/>
  <c r="EM117" i="1"/>
  <c r="EM119" i="1" s="1"/>
  <c r="EL126" i="1" l="1"/>
  <c r="EL132" i="1" s="1"/>
  <c r="EQ145" i="1"/>
  <c r="EQ146" i="1" s="1"/>
  <c r="EO101" i="1"/>
  <c r="EM120" i="1"/>
  <c r="EM121" i="1" s="1"/>
  <c r="EN116" i="1" s="1"/>
  <c r="EP95" i="1"/>
  <c r="EO111" i="1" l="1"/>
  <c r="EO118" i="1" s="1"/>
  <c r="EM122" i="1"/>
  <c r="EM126" i="1" s="1"/>
  <c r="EM132" i="1" s="1"/>
  <c r="EP101" i="1"/>
  <c r="EQ95" i="1"/>
  <c r="EN117" i="1"/>
  <c r="EN119" i="1" s="1"/>
  <c r="EQ149" i="1"/>
  <c r="ER143" i="1" s="1"/>
  <c r="EP111" i="1" l="1"/>
  <c r="EP118" i="1" s="1"/>
  <c r="EM125" i="1"/>
  <c r="EM129" i="1" s="1"/>
  <c r="EN120" i="1"/>
  <c r="EN121" i="1" s="1"/>
  <c r="EO116" i="1" s="1"/>
  <c r="ER145" i="1"/>
  <c r="ER146" i="1" s="1"/>
  <c r="EQ101" i="1"/>
  <c r="EQ111" i="1" l="1"/>
  <c r="EQ118" i="1" s="1"/>
  <c r="ER95" i="1"/>
  <c r="ER149" i="1"/>
  <c r="ES143" i="1" s="1"/>
  <c r="EO117" i="1"/>
  <c r="EO119" i="1" s="1"/>
  <c r="EN122" i="1"/>
  <c r="EO120" i="1" l="1"/>
  <c r="EO121" i="1" s="1"/>
  <c r="EP116" i="1" s="1"/>
  <c r="ES145" i="1"/>
  <c r="ES146" i="1" s="1"/>
  <c r="ER101" i="1"/>
  <c r="EN125" i="1"/>
  <c r="EN129" i="1" s="1"/>
  <c r="EN126" i="1"/>
  <c r="EN132" i="1" s="1"/>
  <c r="ER111" i="1" l="1"/>
  <c r="ER118" i="1" s="1"/>
  <c r="ES149" i="1"/>
  <c r="ET143" i="1" s="1"/>
  <c r="ES95" i="1"/>
  <c r="EP117" i="1"/>
  <c r="EP119" i="1" s="1"/>
  <c r="EO122" i="1"/>
  <c r="ES101" i="1" l="1"/>
  <c r="EP120" i="1"/>
  <c r="EP121" i="1" s="1"/>
  <c r="EQ116" i="1" s="1"/>
  <c r="ET145" i="1"/>
  <c r="ET146" i="1" s="1"/>
  <c r="EO125" i="1"/>
  <c r="EO129" i="1" s="1"/>
  <c r="EO126" i="1"/>
  <c r="EO132" i="1" s="1"/>
  <c r="ES111" i="1" l="1"/>
  <c r="ES118" i="1" s="1"/>
  <c r="ET95" i="1"/>
  <c r="ET149" i="1"/>
  <c r="EU143" i="1" s="1"/>
  <c r="EQ117" i="1"/>
  <c r="EQ119" i="1" s="1"/>
  <c r="EP122" i="1"/>
  <c r="EP125" i="1" l="1"/>
  <c r="EP129" i="1" s="1"/>
  <c r="EP126" i="1"/>
  <c r="EP132" i="1" s="1"/>
  <c r="EQ120" i="1"/>
  <c r="EQ121" i="1" s="1"/>
  <c r="ER116" i="1" s="1"/>
  <c r="EU145" i="1"/>
  <c r="EU146" i="1" s="1"/>
  <c r="ET101" i="1"/>
  <c r="ET111" i="1" l="1"/>
  <c r="ET118" i="1" s="1"/>
  <c r="EU95" i="1"/>
  <c r="EQ122" i="1"/>
  <c r="EU149" i="1"/>
  <c r="EV143" i="1" s="1"/>
  <c r="ER117" i="1"/>
  <c r="ER119" i="1" s="1"/>
  <c r="ER120" i="1" l="1"/>
  <c r="ER121" i="1" s="1"/>
  <c r="ES116" i="1" s="1"/>
  <c r="EV145" i="1"/>
  <c r="EV146" i="1" s="1"/>
  <c r="EV149" i="1" s="1"/>
  <c r="EW143" i="1" s="1"/>
  <c r="EQ126" i="1"/>
  <c r="EQ132" i="1" s="1"/>
  <c r="EQ125" i="1"/>
  <c r="EQ129" i="1" s="1"/>
  <c r="EU101" i="1"/>
  <c r="EU111" i="1" l="1"/>
  <c r="EU118" i="1" s="1"/>
  <c r="EW145" i="1"/>
  <c r="EW146" i="1" s="1"/>
  <c r="ES117" i="1"/>
  <c r="ES119" i="1" s="1"/>
  <c r="EV95" i="1"/>
  <c r="ER122" i="1"/>
  <c r="EW95" i="1" l="1"/>
  <c r="ER126" i="1"/>
  <c r="ER132" i="1" s="1"/>
  <c r="ER125" i="1"/>
  <c r="ER129" i="1" s="1"/>
  <c r="EV101" i="1"/>
  <c r="ES120" i="1"/>
  <c r="ES121" i="1" s="1"/>
  <c r="ET116" i="1" s="1"/>
  <c r="EW149" i="1"/>
  <c r="EX143" i="1" s="1"/>
  <c r="EV111" i="1" l="1"/>
  <c r="EV118" i="1" s="1"/>
  <c r="EX145" i="1"/>
  <c r="EX146" i="1" s="1"/>
  <c r="ET117" i="1"/>
  <c r="ET119" i="1" s="1"/>
  <c r="ES122" i="1"/>
  <c r="EW101" i="1"/>
  <c r="EW111" i="1" l="1"/>
  <c r="EW118" i="1" s="1"/>
  <c r="EX149" i="1"/>
  <c r="EY143" i="1" s="1"/>
  <c r="EY145" i="1" s="1"/>
  <c r="EY146" i="1" s="1"/>
  <c r="ET120" i="1"/>
  <c r="ET121" i="1" s="1"/>
  <c r="EU116" i="1" s="1"/>
  <c r="ES126" i="1"/>
  <c r="ES132" i="1" s="1"/>
  <c r="ES125" i="1"/>
  <c r="ES129" i="1" s="1"/>
  <c r="EX95" i="1"/>
  <c r="EU117" i="1" l="1"/>
  <c r="EU119" i="1" s="1"/>
  <c r="ET122" i="1"/>
  <c r="EX101" i="1"/>
  <c r="EY95" i="1"/>
  <c r="EY149" i="1"/>
  <c r="EZ143" i="1" s="1"/>
  <c r="EX111" i="1" l="1"/>
  <c r="EX118" i="1" s="1"/>
  <c r="EY101" i="1"/>
  <c r="ET126" i="1"/>
  <c r="ET132" i="1" s="1"/>
  <c r="ET125" i="1"/>
  <c r="ET129" i="1" s="1"/>
  <c r="EZ145" i="1"/>
  <c r="EZ146" i="1" s="1"/>
  <c r="EU120" i="1"/>
  <c r="EU121" i="1" s="1"/>
  <c r="EV116" i="1" s="1"/>
  <c r="EY111" i="1" l="1"/>
  <c r="EY118" i="1" s="1"/>
  <c r="EZ149" i="1"/>
  <c r="FA143" i="1" s="1"/>
  <c r="FA145" i="1" s="1"/>
  <c r="FA146" i="1" s="1"/>
  <c r="EU122" i="1"/>
  <c r="EU125" i="1" s="1"/>
  <c r="EU129" i="1" s="1"/>
  <c r="EV117" i="1"/>
  <c r="EV119" i="1" s="1"/>
  <c r="EZ95" i="1"/>
  <c r="EU126" i="1" l="1"/>
  <c r="EU132" i="1" s="1"/>
  <c r="EV120" i="1"/>
  <c r="EV121" i="1" s="1"/>
  <c r="EW116" i="1" s="1"/>
  <c r="EZ101" i="1"/>
  <c r="FA95" i="1"/>
  <c r="FA149" i="1"/>
  <c r="FB143" i="1" s="1"/>
  <c r="EZ111" i="1" l="1"/>
  <c r="EZ118" i="1" s="1"/>
  <c r="FB145" i="1"/>
  <c r="FA101" i="1"/>
  <c r="EW117" i="1"/>
  <c r="EW119" i="1" s="1"/>
  <c r="EV122" i="1"/>
  <c r="FA111" i="1" l="1"/>
  <c r="FA118" i="1" s="1"/>
  <c r="EV125" i="1"/>
  <c r="EV129" i="1" s="1"/>
  <c r="EV126" i="1"/>
  <c r="EV132" i="1" s="1"/>
  <c r="EW120" i="1"/>
  <c r="EW121" i="1" s="1"/>
  <c r="EX116" i="1" s="1"/>
  <c r="FB146" i="1"/>
  <c r="O145" i="1"/>
  <c r="L145" i="1"/>
  <c r="P145" i="1"/>
  <c r="Q145" i="1"/>
  <c r="R145" i="1"/>
  <c r="S145" i="1"/>
  <c r="T145" i="1"/>
  <c r="U145" i="1"/>
  <c r="V145" i="1"/>
  <c r="W145" i="1"/>
  <c r="X145" i="1"/>
  <c r="EX117" i="1" l="1"/>
  <c r="EX119" i="1" s="1"/>
  <c r="EW122" i="1"/>
  <c r="FB95" i="1"/>
  <c r="L146" i="1"/>
  <c r="L149" i="1" s="1"/>
  <c r="O146" i="1"/>
  <c r="P146" i="1"/>
  <c r="Q146" i="1"/>
  <c r="R146" i="1"/>
  <c r="S146" i="1"/>
  <c r="T146" i="1"/>
  <c r="U146" i="1"/>
  <c r="V146" i="1"/>
  <c r="W146" i="1"/>
  <c r="X146" i="1"/>
  <c r="FB149" i="1"/>
  <c r="FB101" i="1" l="1"/>
  <c r="FB111" i="1" s="1"/>
  <c r="FB118" i="1" s="1"/>
  <c r="O95" i="1"/>
  <c r="L95" i="1"/>
  <c r="P95" i="1"/>
  <c r="Q95" i="1"/>
  <c r="R95" i="1"/>
  <c r="S95" i="1"/>
  <c r="T95" i="1"/>
  <c r="U95" i="1"/>
  <c r="V95" i="1"/>
  <c r="W95" i="1"/>
  <c r="X95" i="1"/>
  <c r="O149" i="1"/>
  <c r="P149" i="1"/>
  <c r="Q149" i="1"/>
  <c r="R149" i="1"/>
  <c r="S149" i="1"/>
  <c r="T149" i="1"/>
  <c r="U149" i="1"/>
  <c r="V149" i="1"/>
  <c r="W149" i="1"/>
  <c r="X149" i="1"/>
  <c r="EW125" i="1"/>
  <c r="EW129" i="1" s="1"/>
  <c r="EW126" i="1"/>
  <c r="EW132" i="1" s="1"/>
  <c r="EX120" i="1"/>
  <c r="EX121" i="1" s="1"/>
  <c r="EY116" i="1" s="1"/>
  <c r="O118" i="1" l="1"/>
  <c r="P118" i="1"/>
  <c r="Q118" i="1"/>
  <c r="R118" i="1"/>
  <c r="S118" i="1"/>
  <c r="T118" i="1"/>
  <c r="U118" i="1"/>
  <c r="V118" i="1"/>
  <c r="W118" i="1"/>
  <c r="X118" i="1"/>
  <c r="L118" i="1"/>
  <c r="O111" i="1"/>
  <c r="P111" i="1"/>
  <c r="Q111" i="1"/>
  <c r="R111" i="1"/>
  <c r="S111" i="1"/>
  <c r="T111" i="1"/>
  <c r="U111" i="1"/>
  <c r="V111" i="1"/>
  <c r="W111" i="1"/>
  <c r="X111" i="1"/>
  <c r="L111" i="1"/>
  <c r="EY117" i="1"/>
  <c r="EY119" i="1" s="1"/>
  <c r="EX122" i="1"/>
  <c r="L104" i="1"/>
  <c r="L105" i="1"/>
  <c r="D10" i="1" s="1"/>
  <c r="L101" i="1"/>
  <c r="L103" i="1" s="1"/>
  <c r="O101" i="1"/>
  <c r="P101" i="1"/>
  <c r="Q101" i="1"/>
  <c r="R101" i="1"/>
  <c r="S101" i="1"/>
  <c r="T101" i="1"/>
  <c r="U101" i="1"/>
  <c r="V101" i="1"/>
  <c r="W101" i="1"/>
  <c r="X101" i="1"/>
  <c r="N102" i="1" l="1"/>
  <c r="X102" i="1"/>
  <c r="P102" i="1"/>
  <c r="W102" i="1"/>
  <c r="O102" i="1"/>
  <c r="V102" i="1"/>
  <c r="U102" i="1"/>
  <c r="T102" i="1"/>
  <c r="S102" i="1"/>
  <c r="R102" i="1"/>
  <c r="Q102" i="1"/>
  <c r="L106" i="1"/>
  <c r="D11" i="1" s="1"/>
  <c r="D8" i="1"/>
  <c r="D9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BI102" i="1"/>
  <c r="BJ102" i="1"/>
  <c r="BK102" i="1"/>
  <c r="BL102" i="1"/>
  <c r="BM102" i="1"/>
  <c r="BN102" i="1"/>
  <c r="BO102" i="1"/>
  <c r="BP102" i="1"/>
  <c r="BQ102" i="1"/>
  <c r="BR102" i="1"/>
  <c r="BS102" i="1"/>
  <c r="BT102" i="1"/>
  <c r="BU102" i="1"/>
  <c r="BV102" i="1"/>
  <c r="BW102" i="1"/>
  <c r="BX102" i="1"/>
  <c r="BY102" i="1"/>
  <c r="BZ102" i="1"/>
  <c r="CA102" i="1"/>
  <c r="CB102" i="1"/>
  <c r="CC102" i="1"/>
  <c r="CD102" i="1"/>
  <c r="CE102" i="1"/>
  <c r="CF102" i="1"/>
  <c r="CG102" i="1"/>
  <c r="CH102" i="1"/>
  <c r="CI102" i="1"/>
  <c r="CJ102" i="1"/>
  <c r="CK102" i="1"/>
  <c r="CL102" i="1"/>
  <c r="CM102" i="1"/>
  <c r="CN102" i="1"/>
  <c r="CO102" i="1"/>
  <c r="CP102" i="1"/>
  <c r="CQ102" i="1"/>
  <c r="CR102" i="1"/>
  <c r="CS102" i="1"/>
  <c r="CT102" i="1"/>
  <c r="CU102" i="1"/>
  <c r="CV102" i="1"/>
  <c r="CW102" i="1"/>
  <c r="CX102" i="1"/>
  <c r="CY102" i="1"/>
  <c r="CZ102" i="1"/>
  <c r="DA102" i="1"/>
  <c r="DB102" i="1"/>
  <c r="DC102" i="1"/>
  <c r="DD102" i="1"/>
  <c r="DE102" i="1"/>
  <c r="DF102" i="1"/>
  <c r="DG102" i="1"/>
  <c r="DH102" i="1"/>
  <c r="DI102" i="1"/>
  <c r="DJ102" i="1"/>
  <c r="DK102" i="1"/>
  <c r="DL102" i="1"/>
  <c r="DM102" i="1"/>
  <c r="DN102" i="1"/>
  <c r="DO102" i="1"/>
  <c r="DP102" i="1"/>
  <c r="DQ102" i="1"/>
  <c r="DR102" i="1"/>
  <c r="DS102" i="1"/>
  <c r="DT102" i="1"/>
  <c r="DU102" i="1"/>
  <c r="DV102" i="1"/>
  <c r="DW102" i="1"/>
  <c r="DX102" i="1"/>
  <c r="DY102" i="1"/>
  <c r="DZ102" i="1"/>
  <c r="EA102" i="1"/>
  <c r="EB102" i="1"/>
  <c r="EC102" i="1"/>
  <c r="ED102" i="1"/>
  <c r="EE102" i="1"/>
  <c r="EF102" i="1"/>
  <c r="EG102" i="1"/>
  <c r="EH102" i="1"/>
  <c r="EI102" i="1"/>
  <c r="EJ102" i="1"/>
  <c r="EK102" i="1"/>
  <c r="EL102" i="1"/>
  <c r="EM102" i="1"/>
  <c r="EN102" i="1"/>
  <c r="EO102" i="1"/>
  <c r="EP102" i="1"/>
  <c r="EQ102" i="1"/>
  <c r="ER102" i="1"/>
  <c r="ES102" i="1"/>
  <c r="ET102" i="1"/>
  <c r="EU102" i="1"/>
  <c r="EV102" i="1"/>
  <c r="EW102" i="1"/>
  <c r="EX102" i="1"/>
  <c r="EY102" i="1"/>
  <c r="EZ102" i="1"/>
  <c r="FA102" i="1"/>
  <c r="FB102" i="1"/>
  <c r="EX125" i="1"/>
  <c r="EX129" i="1" s="1"/>
  <c r="EX126" i="1"/>
  <c r="EX132" i="1" s="1"/>
  <c r="EY120" i="1"/>
  <c r="EY121" i="1" s="1"/>
  <c r="EZ116" i="1" s="1"/>
  <c r="L102" i="1" l="1"/>
  <c r="EY122" i="1"/>
  <c r="EY125" i="1" s="1"/>
  <c r="EY129" i="1" s="1"/>
  <c r="EZ117" i="1"/>
  <c r="EZ119" i="1" s="1"/>
  <c r="EY126" i="1" l="1"/>
  <c r="EY132" i="1" s="1"/>
  <c r="EZ120" i="1"/>
  <c r="EZ121" i="1" s="1"/>
  <c r="FA116" i="1" s="1"/>
  <c r="FA117" i="1" l="1"/>
  <c r="FA119" i="1" s="1"/>
  <c r="EZ122" i="1"/>
  <c r="EZ126" i="1" l="1"/>
  <c r="EZ132" i="1" s="1"/>
  <c r="EZ125" i="1"/>
  <c r="EZ129" i="1" s="1"/>
  <c r="FA120" i="1"/>
  <c r="FA121" i="1" s="1"/>
  <c r="FB116" i="1" s="1"/>
  <c r="FB117" i="1" l="1"/>
  <c r="FA122" i="1"/>
  <c r="O117" i="1" l="1"/>
  <c r="P117" i="1"/>
  <c r="Q117" i="1"/>
  <c r="R117" i="1"/>
  <c r="S117" i="1"/>
  <c r="T117" i="1"/>
  <c r="U117" i="1"/>
  <c r="V117" i="1"/>
  <c r="W117" i="1"/>
  <c r="X117" i="1"/>
  <c r="FB119" i="1"/>
  <c r="L117" i="1"/>
  <c r="FA126" i="1"/>
  <c r="FA132" i="1" s="1"/>
  <c r="FA125" i="1"/>
  <c r="FA129" i="1" s="1"/>
  <c r="O119" i="1" l="1"/>
  <c r="P119" i="1"/>
  <c r="Q119" i="1"/>
  <c r="R119" i="1"/>
  <c r="S119" i="1"/>
  <c r="T119" i="1"/>
  <c r="U119" i="1"/>
  <c r="V119" i="1"/>
  <c r="W119" i="1"/>
  <c r="X119" i="1"/>
  <c r="L119" i="1"/>
  <c r="FB120" i="1"/>
  <c r="O120" i="1" l="1"/>
  <c r="O121" i="1" s="1"/>
  <c r="P120" i="1"/>
  <c r="P121" i="1" s="1"/>
  <c r="Q120" i="1"/>
  <c r="Q121" i="1" s="1"/>
  <c r="R120" i="1"/>
  <c r="R121" i="1" s="1"/>
  <c r="S120" i="1"/>
  <c r="S121" i="1" s="1"/>
  <c r="T120" i="1"/>
  <c r="T121" i="1" s="1"/>
  <c r="U120" i="1"/>
  <c r="U121" i="1" s="1"/>
  <c r="V120" i="1"/>
  <c r="V121" i="1" s="1"/>
  <c r="W120" i="1"/>
  <c r="W121" i="1" s="1"/>
  <c r="X120" i="1"/>
  <c r="X121" i="1" s="1"/>
  <c r="FB121" i="1"/>
  <c r="FB122" i="1"/>
  <c r="L120" i="1"/>
  <c r="FB126" i="1" l="1"/>
  <c r="FB132" i="1" s="1"/>
  <c r="O122" i="1"/>
  <c r="P122" i="1"/>
  <c r="Q122" i="1"/>
  <c r="R122" i="1"/>
  <c r="S122" i="1"/>
  <c r="T122" i="1"/>
  <c r="U122" i="1"/>
  <c r="V122" i="1"/>
  <c r="W122" i="1"/>
  <c r="X122" i="1"/>
  <c r="FB125" i="1"/>
  <c r="O126" i="1" l="1"/>
  <c r="P126" i="1"/>
  <c r="Q126" i="1"/>
  <c r="R126" i="1"/>
  <c r="S126" i="1"/>
  <c r="T126" i="1"/>
  <c r="U126" i="1"/>
  <c r="V126" i="1"/>
  <c r="W126" i="1"/>
  <c r="X126" i="1"/>
  <c r="O125" i="1"/>
  <c r="P125" i="1"/>
  <c r="Q125" i="1"/>
  <c r="R125" i="1"/>
  <c r="S125" i="1"/>
  <c r="T125" i="1"/>
  <c r="U125" i="1"/>
  <c r="V125" i="1"/>
  <c r="W125" i="1"/>
  <c r="X125" i="1"/>
  <c r="L132" i="1"/>
  <c r="G8" i="1" s="1"/>
  <c r="O132" i="1"/>
  <c r="P132" i="1"/>
  <c r="Q132" i="1"/>
  <c r="R132" i="1"/>
  <c r="S132" i="1"/>
  <c r="T132" i="1"/>
  <c r="U132" i="1"/>
  <c r="V132" i="1"/>
  <c r="W132" i="1"/>
  <c r="X132" i="1"/>
  <c r="L126" i="1"/>
  <c r="L125" i="1"/>
  <c r="L133" i="1"/>
  <c r="G10" i="1" s="1"/>
  <c r="G9" i="1"/>
  <c r="FB129" i="1"/>
  <c r="O129" i="1" l="1"/>
  <c r="P129" i="1"/>
  <c r="Q129" i="1"/>
  <c r="R129" i="1"/>
  <c r="S129" i="1"/>
  <c r="T129" i="1"/>
  <c r="U129" i="1"/>
  <c r="V129" i="1"/>
  <c r="W129" i="1"/>
  <c r="X129" i="1"/>
  <c r="L129" i="1"/>
  <c r="F9" i="1"/>
  <c r="L130" i="1"/>
  <c r="F10" i="1" s="1"/>
  <c r="L134" i="1"/>
  <c r="G11" i="1" s="1"/>
  <c r="L131" i="1" l="1"/>
  <c r="F11" i="1" s="1"/>
  <c r="F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정동욱</author>
  </authors>
  <commentList>
    <comment ref="J113" authorId="0" shapeId="0" xr:uid="{3E222510-0FC4-4D14-9750-EC0D825A2C79}">
      <text>
        <r>
          <rPr>
            <b/>
            <sz val="9"/>
            <color indexed="81"/>
            <rFont val="Tahoma"/>
            <family val="2"/>
          </rPr>
          <t>Andrew Jeong:</t>
        </r>
        <r>
          <rPr>
            <sz val="9"/>
            <color indexed="81"/>
            <rFont val="Tahoma"/>
            <family val="2"/>
          </rPr>
          <t xml:space="preserve">
Toggle: 0 = LP gets 100% until 8% pref (current). 1 = Both LP &amp; GP earn 8% pref pari passu on their capital, then 30/70 split on excess.</t>
        </r>
      </text>
    </comment>
  </commentList>
</comments>
</file>

<file path=xl/sharedStrings.xml><?xml version="1.0" encoding="utf-8"?>
<sst xmlns="http://schemas.openxmlformats.org/spreadsheetml/2006/main" count="330" uniqueCount="232">
  <si>
    <t>Base Assumptions</t>
  </si>
  <si>
    <t>#</t>
  </si>
  <si>
    <t>Property Name:</t>
  </si>
  <si>
    <t>Address:</t>
  </si>
  <si>
    <t>Returns Metrics</t>
  </si>
  <si>
    <t>Yr</t>
  </si>
  <si>
    <t>Deal-Level Return</t>
  </si>
  <si>
    <t>Unlevered</t>
  </si>
  <si>
    <t>Levered</t>
  </si>
  <si>
    <t>Partnership-Level</t>
  </si>
  <si>
    <t>Mo</t>
  </si>
  <si>
    <t>Net Profit</t>
  </si>
  <si>
    <t>Calendar Year</t>
  </si>
  <si>
    <t>Peak Equity</t>
  </si>
  <si>
    <t>Property Cash Flows</t>
  </si>
  <si>
    <t>Total</t>
  </si>
  <si>
    <t>IRR</t>
  </si>
  <si>
    <t>Pro Forma</t>
  </si>
  <si>
    <t>$/Unit</t>
  </si>
  <si>
    <t>Equity Multiple</t>
  </si>
  <si>
    <t>Growth Assumptions</t>
  </si>
  <si>
    <t>Timeline</t>
  </si>
  <si>
    <t>Compounded Rate</t>
  </si>
  <si>
    <t>BOP Mo</t>
  </si>
  <si>
    <t>BOP Date</t>
  </si>
  <si>
    <t>Duration</t>
  </si>
  <si>
    <t>EOP Date</t>
  </si>
  <si>
    <t>EOP Mo</t>
  </si>
  <si>
    <t>Acquisition Date</t>
  </si>
  <si>
    <t>Hold Period</t>
  </si>
  <si>
    <t>Refinance</t>
  </si>
  <si>
    <t>Valuation Analysis</t>
  </si>
  <si>
    <t>Entry Valuation</t>
  </si>
  <si>
    <t>Asking/Listing Price</t>
  </si>
  <si>
    <t>Aequitas Valuation</t>
  </si>
  <si>
    <t>Residual Analysis</t>
  </si>
  <si>
    <t>Exit</t>
  </si>
  <si>
    <t>Rent Analysis</t>
  </si>
  <si>
    <t>Potential Gross MR Rent/Unit</t>
  </si>
  <si>
    <t>Cap Rate</t>
  </si>
  <si>
    <t>Gross Value</t>
  </si>
  <si>
    <t>Gross Potential Rent</t>
  </si>
  <si>
    <t>Gross Potential Revenue</t>
  </si>
  <si>
    <t>Delta</t>
  </si>
  <si>
    <t>Loss-to-Lease</t>
  </si>
  <si>
    <t>Net Sales Proceeds</t>
  </si>
  <si>
    <t>Sources &amp; Uses at Closing</t>
  </si>
  <si>
    <t>Other Income</t>
  </si>
  <si>
    <t>Sources</t>
  </si>
  <si>
    <t>% Total</t>
  </si>
  <si>
    <t>Uses</t>
  </si>
  <si>
    <t>RUBS</t>
  </si>
  <si>
    <t>GP Equity</t>
  </si>
  <si>
    <t>Acquisition Price</t>
  </si>
  <si>
    <t xml:space="preserve">Parking Income </t>
  </si>
  <si>
    <t>Aequitas Equity</t>
  </si>
  <si>
    <t>Debt</t>
  </si>
  <si>
    <t>Financing Costs</t>
  </si>
  <si>
    <t>Total Other Income</t>
  </si>
  <si>
    <t>Vacancy Loss</t>
  </si>
  <si>
    <t>Bad Debt</t>
  </si>
  <si>
    <t>At Exit</t>
  </si>
  <si>
    <t>Concessions</t>
  </si>
  <si>
    <t>Model Unit Loss</t>
  </si>
  <si>
    <t xml:space="preserve">Total Vacancy &amp; Collection </t>
  </si>
  <si>
    <t>Effective Gross Income</t>
  </si>
  <si>
    <t>Operating Expenses</t>
  </si>
  <si>
    <t>Controllable Expenses</t>
  </si>
  <si>
    <t>$/Unit/Yr</t>
  </si>
  <si>
    <t>Payroll</t>
  </si>
  <si>
    <t>Financing Assumptions</t>
  </si>
  <si>
    <t>Admin</t>
  </si>
  <si>
    <t>Senior Financing</t>
  </si>
  <si>
    <t>Marketing</t>
  </si>
  <si>
    <t>Lender</t>
  </si>
  <si>
    <t>TBD</t>
  </si>
  <si>
    <t>R&amp;M</t>
  </si>
  <si>
    <t>Loan Proceeds</t>
  </si>
  <si>
    <t>DSCR</t>
  </si>
  <si>
    <t>Contract Service</t>
  </si>
  <si>
    <t>Term</t>
  </si>
  <si>
    <t>Turnover</t>
  </si>
  <si>
    <t>Interest Rate</t>
  </si>
  <si>
    <t>Fixed</t>
  </si>
  <si>
    <t>Other</t>
  </si>
  <si>
    <t>Total Controllable Opex</t>
  </si>
  <si>
    <t>IO Periods/Amortization</t>
  </si>
  <si>
    <t>Debt Metrics</t>
  </si>
  <si>
    <t>Non-controllable Expenses</t>
  </si>
  <si>
    <t>Insurance</t>
  </si>
  <si>
    <t>DY</t>
  </si>
  <si>
    <t>Utilities</t>
  </si>
  <si>
    <t>LTV</t>
  </si>
  <si>
    <t>Property Tax</t>
  </si>
  <si>
    <t>Total Non-controllable Opex</t>
  </si>
  <si>
    <t>Unit Count</t>
  </si>
  <si>
    <t>Rent/Unit</t>
  </si>
  <si>
    <t>Average Size</t>
  </si>
  <si>
    <t>Rent PSF</t>
  </si>
  <si>
    <t>Total Opex</t>
  </si>
  <si>
    <t>Opex Margin</t>
  </si>
  <si>
    <t>Resi NOI</t>
  </si>
  <si>
    <t>Total/Avg</t>
  </si>
  <si>
    <t>Capital Expenditures</t>
  </si>
  <si>
    <t>%</t>
  </si>
  <si>
    <t>Count</t>
  </si>
  <si>
    <t>$ / Unit / Mo</t>
  </si>
  <si>
    <t>Annual Total</t>
  </si>
  <si>
    <t>Total Capex</t>
  </si>
  <si>
    <t>Parking</t>
  </si>
  <si>
    <t>NOI After Cap Reserve</t>
  </si>
  <si>
    <t>Operating Shortfall</t>
  </si>
  <si>
    <t>Income Adjustments</t>
  </si>
  <si>
    <t>TTM NOI</t>
  </si>
  <si>
    <t>Loss to Lease</t>
  </si>
  <si>
    <t>Gross Sales Proceeds</t>
  </si>
  <si>
    <t>Model Units</t>
  </si>
  <si>
    <t>Sales Costs</t>
  </si>
  <si>
    <t>Market Rent</t>
  </si>
  <si>
    <t>Property Taxes</t>
  </si>
  <si>
    <t>Senior Loan Financing Costs</t>
  </si>
  <si>
    <t>Senior Loan Debt Service</t>
  </si>
  <si>
    <t>Senior Loan Payoff</t>
  </si>
  <si>
    <t>Current</t>
  </si>
  <si>
    <t>Next Buyer</t>
  </si>
  <si>
    <t>Note</t>
  </si>
  <si>
    <t>Refi Proceeds</t>
  </si>
  <si>
    <t>Assessed Value</t>
  </si>
  <si>
    <t>Refi Financing Costs</t>
  </si>
  <si>
    <t>Assessed Value/Unit</t>
  </si>
  <si>
    <t>Refinance Debt Service</t>
  </si>
  <si>
    <t>Assessment %</t>
  </si>
  <si>
    <t>Refi Payoff</t>
  </si>
  <si>
    <t>Millage Rate</t>
  </si>
  <si>
    <t>Special Assessment</t>
  </si>
  <si>
    <t>Total Property Tax</t>
  </si>
  <si>
    <t>Total Property Tax/Unit</t>
  </si>
  <si>
    <t>Cap Reserve ($/Unit)</t>
  </si>
  <si>
    <t>Inputs</t>
  </si>
  <si>
    <t>Values</t>
  </si>
  <si>
    <t>Loan Schedule</t>
  </si>
  <si>
    <t>SOFR</t>
  </si>
  <si>
    <t>Spread</t>
  </si>
  <si>
    <t>Senior Loan</t>
  </si>
  <si>
    <t>Loan BOE</t>
  </si>
  <si>
    <t>Loan Draw</t>
  </si>
  <si>
    <t>Accrued Interest</t>
  </si>
  <si>
    <t>Interest Paydown</t>
  </si>
  <si>
    <t>Principal Payoff</t>
  </si>
  <si>
    <t>Loan Payoff</t>
  </si>
  <si>
    <t>EOD Balance</t>
  </si>
  <si>
    <t>NOI</t>
  </si>
  <si>
    <t>Closing Costs</t>
  </si>
  <si>
    <t>Unlevered Cash Flow</t>
  </si>
  <si>
    <t>Levered Cash Flow</t>
  </si>
  <si>
    <t>Senior Loan Proceeds</t>
  </si>
  <si>
    <t>Amortization</t>
  </si>
  <si>
    <t>Closing</t>
  </si>
  <si>
    <t>Other Cost</t>
  </si>
  <si>
    <t>Start Month</t>
  </si>
  <si>
    <t>At Closing</t>
  </si>
  <si>
    <t>Sale Price</t>
  </si>
  <si>
    <t>Pref Paid</t>
  </si>
  <si>
    <t>Columbus, GA</t>
  </si>
  <si>
    <t># of Units</t>
  </si>
  <si>
    <t>5070 Warm Springs Rd &amp; 4531 Milgen Rd, Columbus, GA</t>
  </si>
  <si>
    <t>2bd/2ba - 5070</t>
  </si>
  <si>
    <t>2bd/2ba - 4531</t>
  </si>
  <si>
    <t>NOI (T-12)</t>
  </si>
  <si>
    <t>Preferred Return</t>
  </si>
  <si>
    <t>GP Promote (above pref)</t>
  </si>
  <si>
    <t>LP Share (above pref)</t>
  </si>
  <si>
    <t>Tier 1: Return of Capital + 8% Pref (100% to LP)</t>
  </si>
  <si>
    <t>Cash Available for Distribution</t>
  </si>
  <si>
    <t>Principal Returned</t>
  </si>
  <si>
    <t>Ending Balance (LP Capital)</t>
  </si>
  <si>
    <t>CF Remaining after Tier 1</t>
  </si>
  <si>
    <t>Aequitas (LP)</t>
  </si>
  <si>
    <t>GP (Sponsor)</t>
  </si>
  <si>
    <t>Pari Passu (1=Yes, 0=No)</t>
  </si>
  <si>
    <t>Beginning Balance (Investor Capital)</t>
  </si>
  <si>
    <t>Annual Cash Flow (Operating Year)</t>
  </si>
  <si>
    <t>Refinance Interest Rate</t>
  </si>
  <si>
    <t>Exit Cap Rate</t>
  </si>
  <si>
    <t>Working Capital/Reserve</t>
  </si>
  <si>
    <t>AM Fee (1% on LP Equity)</t>
  </si>
  <si>
    <t>CF After AM Fee</t>
  </si>
  <si>
    <t>Sale Date</t>
  </si>
  <si>
    <t>Property Name</t>
  </si>
  <si>
    <t>1315 Marks Church Rd</t>
  </si>
  <si>
    <t>Augusta, GA</t>
  </si>
  <si>
    <t>Sage Creek Apartments</t>
  </si>
  <si>
    <t>450 3rd St</t>
  </si>
  <si>
    <t>Macon, GA</t>
  </si>
  <si>
    <t>Lofts at Silver</t>
  </si>
  <si>
    <t>100-202 Oak Bluff Dr</t>
  </si>
  <si>
    <t>Athens, GA</t>
  </si>
  <si>
    <t>Park Oaks</t>
  </si>
  <si>
    <t>S</t>
  </si>
  <si>
    <t>340 6th St</t>
  </si>
  <si>
    <t>The Lofts at Empire Yard</t>
  </si>
  <si>
    <t>7700 Veterans Pky</t>
  </si>
  <si>
    <t>Oak Ridge Apartments</t>
  </si>
  <si>
    <t>3625 Arkansas Dr</t>
  </si>
  <si>
    <t>Carolyne Ridge Apartments</t>
  </si>
  <si>
    <t>Sales Comps</t>
  </si>
  <si>
    <t>Address</t>
  </si>
  <si>
    <t>City, State</t>
  </si>
  <si>
    <t>Year Built/Reno</t>
  </si>
  <si>
    <t>Milestone &amp; Trails Multifamily Portfolio</t>
  </si>
  <si>
    <t>2010 &amp; 2013</t>
  </si>
  <si>
    <t>N/A</t>
  </si>
  <si>
    <t>5070 Warm Springs Rd/
4531 Milgen Rd</t>
  </si>
  <si>
    <t>Military-anchored seconday market (Ft. Eisenhower), similar workforce renter base</t>
  </si>
  <si>
    <t>Small-scale workforce housing, comparable affordability-driven demographic</t>
  </si>
  <si>
    <t>Older vintage, university-adjacent; anchores lower end of range</t>
  </si>
  <si>
    <t>Subject Property</t>
  </si>
  <si>
    <t>Value-add positioning establishes floor for well-located small-format workforce product</t>
  </si>
  <si>
    <t>Urban infill product; premium reflects 2020 construction in Robins AFB-anchored market</t>
  </si>
  <si>
    <t>Lower basis asset with less active management; rents running below market potential</t>
  </si>
  <si>
    <t>Post-2015 Built Avg</t>
  </si>
  <si>
    <t>Pre-2010 Built Avg</t>
  </si>
  <si>
    <t>Aequitas Net Profit</t>
  </si>
  <si>
    <t>GP Net Profit</t>
  </si>
  <si>
    <t>Opex Growth Rate</t>
  </si>
  <si>
    <t>Rent Growth Rate</t>
  </si>
  <si>
    <t>Cash-on-Cash (Operating)</t>
  </si>
  <si>
    <t>Avg CoC</t>
  </si>
  <si>
    <t>Waterfall</t>
  </si>
  <si>
    <t>Tier 2: Thereafter</t>
  </si>
  <si>
    <t>CF Summary</t>
  </si>
  <si>
    <t>Milestone and Trails 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</si>
</sst>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\-yy;@"/>
    <numFmt numFmtId="165" formatCode="&quot;Aequitas &quot;00%"/>
    <numFmt numFmtId="166" formatCode="&quot;GP &quot;00%"/>
    <numFmt numFmtId="167" formatCode="#,##0.00&quot;x&quot;"/>
    <numFmt numFmtId="168" formatCode="0\ &quot;Months&quot;"/>
    <numFmt numFmtId="169" formatCode="&quot;$&quot;#,##0"/>
    <numFmt numFmtId="170" formatCode="&quot;Total Sales Cost &quot;0.00%"/>
    <numFmt numFmtId="171" formatCode="_(* #,##0_);_(* \(#,##0\);_(* &quot;-&quot;_)"/>
    <numFmt numFmtId="172" formatCode="&quot;Closing Costs&quot;\ #%"/>
    <numFmt numFmtId="173" formatCode="_(* #,##0.00%_);_(* \(#,##0\);_(* &quot;-&quot;_);_(@_)"/>
    <numFmt numFmtId="174" formatCode="0.00%&quot; of EGI&quot;"/>
    <numFmt numFmtId="175" formatCode="0.00\x\ &quot;Min DSCR&quot;"/>
    <numFmt numFmtId="176" formatCode="0.0%"/>
    <numFmt numFmtId="177" formatCode="#,###\ &quot;Month Max&quot;"/>
    <numFmt numFmtId="178" formatCode="#,###\ &quot;Months&quot;"/>
    <numFmt numFmtId="179" formatCode="&quot;Floating&quot;;;&quot;Fixed&quot;"/>
    <numFmt numFmtId="180" formatCode="&quot;Mgmt Fee &quot;0%&quot; of EGI&quot;"/>
    <numFmt numFmtId="181" formatCode="&quot;$&quot;#,##0.00"/>
    <numFmt numFmtId="182" formatCode="_(* #,##0%_);_(* \(#,##0\);_(* &quot;-&quot;_);_(@_)"/>
    <numFmt numFmtId="183" formatCode="0.00%\ &quot;of GPR&quot;"/>
    <numFmt numFmtId="184" formatCode="General&quot;+&quot;"/>
    <numFmt numFmtId="185" formatCode="#&quot; Unit&quot;"/>
    <numFmt numFmtId="186" formatCode="&quot;$&quot;#,##0&quot;/Unit&quot;"/>
    <numFmt numFmtId="187" formatCode="0.00000"/>
    <numFmt numFmtId="188" formatCode="&quot;Hold Period: &quot;#&quot; Yrs&quot;"/>
    <numFmt numFmtId="189" formatCode="[$-409]d\-mmm\-yy;@"/>
    <numFmt numFmtId="190" formatCode="0.00&quot;x&quot;"/>
    <numFmt numFmtId="191" formatCode="&quot;Closing Costs&quot;\ 0.00%"/>
  </numFmts>
  <fonts count="31">
    <font>
      <sz val="11"/>
      <color theme="1"/>
      <name val="Euphemia"/>
      <family val="2"/>
      <scheme val="minor"/>
    </font>
    <font>
      <sz val="11"/>
      <color theme="1"/>
      <name val="Euphemia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FF"/>
      <name val="Calibri"/>
      <family val="2"/>
    </font>
    <font>
      <i/>
      <sz val="11"/>
      <color theme="1"/>
      <name val="Calibri"/>
      <family val="2"/>
    </font>
    <font>
      <sz val="11"/>
      <color rgb="FF0000FF"/>
      <name val="Calibri"/>
      <family val="2"/>
    </font>
    <font>
      <sz val="11"/>
      <name val="Calibri"/>
      <family val="2"/>
    </font>
    <font>
      <b/>
      <u/>
      <sz val="11"/>
      <color theme="1"/>
      <name val="Calibri"/>
      <family val="2"/>
    </font>
    <font>
      <sz val="10"/>
      <name val="Times New Roman"/>
      <family val="1"/>
    </font>
    <font>
      <sz val="11"/>
      <color rgb="FF0066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i/>
      <sz val="11"/>
      <color theme="1"/>
      <name val="Calibri"/>
      <family val="2"/>
    </font>
    <font>
      <sz val="10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  <font>
      <b/>
      <sz val="11"/>
      <color theme="1"/>
      <name val="Euphemia"/>
      <family val="2"/>
      <scheme val="minor"/>
    </font>
    <font>
      <sz val="10"/>
      <color rgb="FF000000"/>
      <name val="Times New Roman"/>
      <family val="1"/>
    </font>
    <font>
      <sz val="12"/>
      <name val="Times"/>
      <family val="1"/>
    </font>
    <font>
      <sz val="10"/>
      <color rgb="FF0000FF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0"/>
      <color rgb="FF333333"/>
      <name val="Calibri"/>
      <family val="2"/>
    </font>
    <font>
      <sz val="11"/>
      <color rgb="FF000000"/>
      <name val="Calibri"/>
      <family val="2"/>
    </font>
    <font>
      <b/>
      <i/>
      <sz val="11"/>
      <color rgb="FF666666"/>
      <name val="Calibri"/>
      <family val="2"/>
    </font>
    <font>
      <b/>
      <sz val="11"/>
      <color rgb="FF000000"/>
      <name val="Calibri"/>
      <family val="2"/>
    </font>
    <font>
      <b/>
      <sz val="12"/>
      <color theme="1"/>
      <name val="Calibri"/>
      <family val="2"/>
    </font>
    <font>
      <sz val="8"/>
      <color rgb="FF000000"/>
      <name val="Segoe UI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43" fontId="18" fillId="0" borderId="0" applyFont="0" applyFill="0" applyBorder="0" applyAlignment="0" applyProtection="0"/>
    <xf numFmtId="0" fontId="20" fillId="0" borderId="0"/>
    <xf numFmtId="44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189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9" fontId="1" fillId="0" borderId="0"/>
    <xf numFmtId="189" fontId="21" fillId="0" borderId="0"/>
    <xf numFmtId="9" fontId="1" fillId="0" borderId="0" applyFont="0" applyFill="0" applyBorder="0" applyAlignment="0" applyProtection="0"/>
  </cellStyleXfs>
  <cellXfs count="291">
    <xf numFmtId="0" fontId="0" fillId="0" borderId="0" xfId="0"/>
    <xf numFmtId="0" fontId="2" fillId="0" borderId="0" xfId="0" applyFont="1"/>
    <xf numFmtId="14" fontId="2" fillId="0" borderId="0" xfId="0" applyNumberFormat="1" applyFont="1" applyAlignment="1">
      <alignment horizontal="right"/>
    </xf>
    <xf numFmtId="3" fontId="2" fillId="0" borderId="0" xfId="0" applyNumberFormat="1" applyFont="1"/>
    <xf numFmtId="3" fontId="2" fillId="2" borderId="0" xfId="0" applyNumberFormat="1" applyFont="1" applyFill="1"/>
    <xf numFmtId="164" fontId="2" fillId="0" borderId="0" xfId="0" applyNumberFormat="1" applyFont="1"/>
    <xf numFmtId="164" fontId="2" fillId="2" borderId="0" xfId="0" applyNumberFormat="1" applyFont="1" applyFill="1"/>
    <xf numFmtId="0" fontId="3" fillId="3" borderId="0" xfId="0" applyFont="1" applyFill="1"/>
    <xf numFmtId="0" fontId="3" fillId="2" borderId="0" xfId="0" applyFont="1" applyFill="1"/>
    <xf numFmtId="0" fontId="4" fillId="0" borderId="0" xfId="0" applyFont="1"/>
    <xf numFmtId="0" fontId="5" fillId="0" borderId="0" xfId="0" applyFont="1" applyAlignment="1">
      <alignment horizontal="center"/>
    </xf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5" fillId="0" borderId="0" xfId="0" applyFont="1" applyAlignment="1">
      <alignment horizontal="right"/>
    </xf>
    <xf numFmtId="0" fontId="5" fillId="0" borderId="0" xfId="0" applyFont="1"/>
    <xf numFmtId="0" fontId="6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Continuous"/>
    </xf>
    <xf numFmtId="14" fontId="3" fillId="3" borderId="0" xfId="0" applyNumberFormat="1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3" fontId="3" fillId="3" borderId="0" xfId="0" applyNumberFormat="1" applyFont="1" applyFill="1"/>
    <xf numFmtId="0" fontId="5" fillId="4" borderId="0" xfId="0" applyFont="1" applyFill="1" applyAlignment="1">
      <alignment horizontal="left"/>
    </xf>
    <xf numFmtId="0" fontId="5" fillId="4" borderId="0" xfId="0" applyFont="1" applyFill="1" applyAlignment="1">
      <alignment horizontal="center"/>
    </xf>
    <xf numFmtId="0" fontId="5" fillId="4" borderId="2" xfId="0" applyFont="1" applyFill="1" applyBorder="1" applyAlignment="1">
      <alignment horizontal="left"/>
    </xf>
    <xf numFmtId="3" fontId="4" fillId="0" borderId="0" xfId="0" applyNumberFormat="1" applyFont="1"/>
    <xf numFmtId="0" fontId="5" fillId="0" borderId="2" xfId="0" applyFont="1" applyBorder="1"/>
    <xf numFmtId="14" fontId="3" fillId="3" borderId="0" xfId="0" applyNumberFormat="1" applyFont="1" applyFill="1"/>
    <xf numFmtId="10" fontId="5" fillId="0" borderId="0" xfId="2" applyNumberFormat="1" applyFont="1" applyFill="1" applyBorder="1"/>
    <xf numFmtId="0" fontId="5" fillId="4" borderId="3" xfId="0" applyFont="1" applyFill="1" applyBorder="1"/>
    <xf numFmtId="0" fontId="4" fillId="4" borderId="3" xfId="0" applyFont="1" applyFill="1" applyBorder="1"/>
    <xf numFmtId="167" fontId="5" fillId="0" borderId="0" xfId="0" applyNumberFormat="1" applyFont="1"/>
    <xf numFmtId="10" fontId="4" fillId="0" borderId="0" xfId="2" applyNumberFormat="1" applyFont="1"/>
    <xf numFmtId="0" fontId="7" fillId="0" borderId="0" xfId="0" applyFont="1"/>
    <xf numFmtId="0" fontId="7" fillId="2" borderId="0" xfId="0" applyFont="1" applyFill="1"/>
    <xf numFmtId="10" fontId="7" fillId="0" borderId="0" xfId="2" applyNumberFormat="1" applyFont="1"/>
    <xf numFmtId="0" fontId="5" fillId="4" borderId="0" xfId="0" applyFont="1" applyFill="1"/>
    <xf numFmtId="0" fontId="5" fillId="4" borderId="0" xfId="0" applyFont="1" applyFill="1" applyAlignment="1">
      <alignment horizontal="centerContinuous"/>
    </xf>
    <xf numFmtId="0" fontId="2" fillId="4" borderId="0" xfId="0" applyFont="1" applyFill="1" applyAlignment="1">
      <alignment horizontal="center"/>
    </xf>
    <xf numFmtId="14" fontId="8" fillId="2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14" fontId="4" fillId="2" borderId="0" xfId="0" applyNumberFormat="1" applyFont="1" applyFill="1" applyAlignment="1">
      <alignment horizontal="center"/>
    </xf>
    <xf numFmtId="14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169" fontId="5" fillId="0" borderId="0" xfId="0" applyNumberFormat="1" applyFont="1" applyAlignment="1">
      <alignment horizontal="right"/>
    </xf>
    <xf numFmtId="169" fontId="5" fillId="0" borderId="0" xfId="0" applyNumberFormat="1" applyFont="1"/>
    <xf numFmtId="0" fontId="5" fillId="4" borderId="0" xfId="0" applyFont="1" applyFill="1" applyAlignment="1">
      <alignment horizontal="right"/>
    </xf>
    <xf numFmtId="169" fontId="4" fillId="0" borderId="0" xfId="0" applyNumberFormat="1" applyFont="1"/>
    <xf numFmtId="0" fontId="4" fillId="2" borderId="2" xfId="0" applyFont="1" applyFill="1" applyBorder="1"/>
    <xf numFmtId="169" fontId="9" fillId="0" borderId="0" xfId="0" applyNumberFormat="1" applyFont="1" applyAlignment="1">
      <alignment horizontal="right"/>
    </xf>
    <xf numFmtId="10" fontId="9" fillId="0" borderId="0" xfId="2" applyNumberFormat="1" applyFont="1" applyBorder="1"/>
    <xf numFmtId="10" fontId="6" fillId="0" borderId="0" xfId="2" applyNumberFormat="1" applyFont="1" applyBorder="1"/>
    <xf numFmtId="169" fontId="2" fillId="2" borderId="0" xfId="0" applyNumberFormat="1" applyFont="1" applyFill="1"/>
    <xf numFmtId="169" fontId="2" fillId="0" borderId="0" xfId="0" applyNumberFormat="1" applyFont="1"/>
    <xf numFmtId="0" fontId="10" fillId="0" borderId="0" xfId="0" applyFont="1"/>
    <xf numFmtId="0" fontId="4" fillId="0" borderId="2" xfId="0" applyFont="1" applyBorder="1"/>
    <xf numFmtId="3" fontId="4" fillId="2" borderId="0" xfId="0" applyNumberFormat="1" applyFont="1" applyFill="1"/>
    <xf numFmtId="3" fontId="4" fillId="0" borderId="0" xfId="2" applyNumberFormat="1" applyFont="1"/>
    <xf numFmtId="169" fontId="5" fillId="0" borderId="1" xfId="0" applyNumberFormat="1" applyFont="1" applyBorder="1"/>
    <xf numFmtId="169" fontId="5" fillId="2" borderId="0" xfId="0" applyNumberFormat="1" applyFont="1" applyFill="1"/>
    <xf numFmtId="0" fontId="5" fillId="4" borderId="2" xfId="0" applyFont="1" applyFill="1" applyBorder="1" applyAlignment="1">
      <alignment horizontal="centerContinuous"/>
    </xf>
    <xf numFmtId="9" fontId="4" fillId="0" borderId="0" xfId="0" applyNumberFormat="1" applyFont="1"/>
    <xf numFmtId="171" fontId="4" fillId="0" borderId="0" xfId="0" applyNumberFormat="1" applyFont="1"/>
    <xf numFmtId="171" fontId="4" fillId="2" borderId="0" xfId="0" applyNumberFormat="1" applyFont="1" applyFill="1"/>
    <xf numFmtId="10" fontId="4" fillId="0" borderId="0" xfId="2" applyNumberFormat="1" applyFont="1" applyBorder="1"/>
    <xf numFmtId="169" fontId="4" fillId="2" borderId="0" xfId="0" applyNumberFormat="1" applyFont="1" applyFill="1"/>
    <xf numFmtId="171" fontId="4" fillId="0" borderId="4" xfId="0" applyNumberFormat="1" applyFont="1" applyBorder="1"/>
    <xf numFmtId="0" fontId="4" fillId="0" borderId="4" xfId="0" applyFont="1" applyBorder="1"/>
    <xf numFmtId="169" fontId="4" fillId="0" borderId="4" xfId="0" applyNumberFormat="1" applyFont="1" applyBorder="1"/>
    <xf numFmtId="173" fontId="4" fillId="0" borderId="0" xfId="0" applyNumberFormat="1" applyFont="1"/>
    <xf numFmtId="173" fontId="4" fillId="2" borderId="0" xfId="0" applyNumberFormat="1" applyFont="1" applyFill="1"/>
    <xf numFmtId="173" fontId="4" fillId="0" borderId="0" xfId="3" applyNumberFormat="1" applyFont="1"/>
    <xf numFmtId="174" fontId="4" fillId="0" borderId="0" xfId="0" applyNumberFormat="1" applyFont="1"/>
    <xf numFmtId="169" fontId="5" fillId="2" borderId="3" xfId="0" applyNumberFormat="1" applyFont="1" applyFill="1" applyBorder="1"/>
    <xf numFmtId="169" fontId="4" fillId="2" borderId="3" xfId="0" applyNumberFormat="1" applyFont="1" applyFill="1" applyBorder="1"/>
    <xf numFmtId="0" fontId="10" fillId="0" borderId="0" xfId="0" applyFont="1" applyAlignment="1">
      <alignment horizontal="right"/>
    </xf>
    <xf numFmtId="0" fontId="10" fillId="2" borderId="0" xfId="0" applyFont="1" applyFill="1" applyAlignment="1">
      <alignment horizontal="right"/>
    </xf>
    <xf numFmtId="0" fontId="5" fillId="4" borderId="2" xfId="0" applyFont="1" applyFill="1" applyBorder="1"/>
    <xf numFmtId="0" fontId="9" fillId="0" borderId="0" xfId="0" applyFont="1" applyAlignment="1">
      <alignment vertical="center"/>
    </xf>
    <xf numFmtId="0" fontId="9" fillId="2" borderId="0" xfId="0" applyFont="1" applyFill="1" applyAlignment="1">
      <alignment horizontal="right" vertical="center" indent="1"/>
    </xf>
    <xf numFmtId="0" fontId="9" fillId="0" borderId="2" xfId="0" applyFont="1" applyBorder="1" applyAlignment="1">
      <alignment vertical="center"/>
    </xf>
    <xf numFmtId="169" fontId="9" fillId="2" borderId="0" xfId="0" applyNumberFormat="1" applyFont="1" applyFill="1" applyAlignment="1">
      <alignment vertical="center"/>
    </xf>
    <xf numFmtId="14" fontId="9" fillId="2" borderId="0" xfId="0" applyNumberFormat="1" applyFont="1" applyFill="1" applyAlignment="1">
      <alignment vertical="center"/>
    </xf>
    <xf numFmtId="178" fontId="9" fillId="2" borderId="0" xfId="0" applyNumberFormat="1" applyFont="1" applyFill="1" applyAlignment="1">
      <alignment vertical="center"/>
    </xf>
    <xf numFmtId="169" fontId="10" fillId="0" borderId="1" xfId="0" applyNumberFormat="1" applyFont="1" applyBorder="1"/>
    <xf numFmtId="0" fontId="5" fillId="4" borderId="0" xfId="0" quotePrefix="1" applyFont="1" applyFill="1"/>
    <xf numFmtId="167" fontId="4" fillId="0" borderId="0" xfId="0" applyNumberFormat="1" applyFont="1"/>
    <xf numFmtId="10" fontId="12" fillId="2" borderId="0" xfId="0" applyNumberFormat="1" applyFont="1" applyFill="1" applyAlignment="1">
      <alignment vertical="center"/>
    </xf>
    <xf numFmtId="9" fontId="9" fillId="2" borderId="0" xfId="2" applyFont="1" applyFill="1" applyBorder="1" applyAlignment="1">
      <alignment vertical="center"/>
    </xf>
    <xf numFmtId="180" fontId="8" fillId="0" borderId="0" xfId="0" applyNumberFormat="1" applyFont="1" applyAlignment="1">
      <alignment horizontal="left"/>
    </xf>
    <xf numFmtId="169" fontId="8" fillId="0" borderId="4" xfId="0" applyNumberFormat="1" applyFont="1" applyBorder="1"/>
    <xf numFmtId="169" fontId="10" fillId="0" borderId="0" xfId="0" applyNumberFormat="1" applyFont="1"/>
    <xf numFmtId="181" fontId="9" fillId="2" borderId="0" xfId="0" applyNumberFormat="1" applyFont="1" applyFill="1" applyAlignment="1">
      <alignment horizontal="right"/>
    </xf>
    <xf numFmtId="182" fontId="7" fillId="0" borderId="0" xfId="3" applyNumberFormat="1" applyFont="1"/>
    <xf numFmtId="9" fontId="7" fillId="0" borderId="0" xfId="2" applyFont="1"/>
    <xf numFmtId="0" fontId="5" fillId="2" borderId="1" xfId="0" applyFont="1" applyFill="1" applyBorder="1"/>
    <xf numFmtId="3" fontId="2" fillId="2" borderId="1" xfId="0" applyNumberFormat="1" applyFont="1" applyFill="1" applyBorder="1" applyAlignment="1">
      <alignment horizontal="right"/>
    </xf>
    <xf numFmtId="169" fontId="2" fillId="2" borderId="1" xfId="0" applyNumberFormat="1" applyFont="1" applyFill="1" applyBorder="1" applyAlignment="1">
      <alignment horizontal="right"/>
    </xf>
    <xf numFmtId="181" fontId="2" fillId="2" borderId="1" xfId="0" applyNumberFormat="1" applyFont="1" applyFill="1" applyBorder="1" applyAlignment="1">
      <alignment horizontal="right"/>
    </xf>
    <xf numFmtId="3" fontId="5" fillId="2" borderId="0" xfId="0" applyNumberFormat="1" applyFont="1" applyFill="1" applyAlignment="1">
      <alignment horizontal="center"/>
    </xf>
    <xf numFmtId="181" fontId="5" fillId="2" borderId="0" xfId="0" applyNumberFormat="1" applyFont="1" applyFill="1" applyAlignment="1">
      <alignment horizontal="center"/>
    </xf>
    <xf numFmtId="169" fontId="5" fillId="2" borderId="0" xfId="0" applyNumberFormat="1" applyFont="1" applyFill="1" applyAlignment="1">
      <alignment horizontal="center"/>
    </xf>
    <xf numFmtId="169" fontId="8" fillId="0" borderId="0" xfId="0" applyNumberFormat="1" applyFont="1"/>
    <xf numFmtId="169" fontId="14" fillId="0" borderId="1" xfId="0" applyNumberFormat="1" applyFont="1" applyBorder="1"/>
    <xf numFmtId="169" fontId="14" fillId="2" borderId="0" xfId="0" applyNumberFormat="1" applyFont="1" applyFill="1"/>
    <xf numFmtId="169" fontId="4" fillId="0" borderId="0" xfId="0" applyNumberFormat="1" applyFont="1" applyAlignment="1">
      <alignment horizontal="right"/>
    </xf>
    <xf numFmtId="0" fontId="9" fillId="2" borderId="0" xfId="0" applyFont="1" applyFill="1"/>
    <xf numFmtId="169" fontId="4" fillId="2" borderId="0" xfId="0" applyNumberFormat="1" applyFont="1" applyFill="1" applyAlignment="1">
      <alignment horizontal="right"/>
    </xf>
    <xf numFmtId="184" fontId="5" fillId="4" borderId="0" xfId="0" applyNumberFormat="1" applyFont="1" applyFill="1" applyAlignment="1">
      <alignment horizontal="right"/>
    </xf>
    <xf numFmtId="171" fontId="5" fillId="0" borderId="0" xfId="0" applyNumberFormat="1" applyFont="1"/>
    <xf numFmtId="10" fontId="8" fillId="2" borderId="0" xfId="2" applyNumberFormat="1" applyFont="1" applyFill="1" applyBorder="1" applyAlignment="1">
      <alignment horizontal="right"/>
    </xf>
    <xf numFmtId="10" fontId="4" fillId="2" borderId="0" xfId="2" applyNumberFormat="1" applyFont="1" applyFill="1" applyBorder="1"/>
    <xf numFmtId="171" fontId="7" fillId="0" borderId="0" xfId="0" applyNumberFormat="1" applyFont="1"/>
    <xf numFmtId="171" fontId="7" fillId="2" borderId="0" xfId="0" applyNumberFormat="1" applyFont="1" applyFill="1"/>
    <xf numFmtId="171" fontId="5" fillId="2" borderId="0" xfId="0" applyNumberFormat="1" applyFont="1" applyFill="1"/>
    <xf numFmtId="185" fontId="8" fillId="2" borderId="0" xfId="0" applyNumberFormat="1" applyFont="1" applyFill="1" applyAlignment="1">
      <alignment horizontal="right"/>
    </xf>
    <xf numFmtId="171" fontId="5" fillId="0" borderId="4" xfId="0" applyNumberFormat="1" applyFont="1" applyBorder="1"/>
    <xf numFmtId="0" fontId="4" fillId="4" borderId="0" xfId="0" applyFont="1" applyFill="1"/>
    <xf numFmtId="169" fontId="8" fillId="2" borderId="0" xfId="0" applyNumberFormat="1" applyFont="1" applyFill="1" applyAlignment="1">
      <alignment horizontal="center"/>
    </xf>
    <xf numFmtId="186" fontId="8" fillId="2" borderId="0" xfId="0" applyNumberFormat="1" applyFont="1" applyFill="1" applyAlignment="1">
      <alignment horizontal="center"/>
    </xf>
    <xf numFmtId="9" fontId="8" fillId="2" borderId="0" xfId="2" applyFont="1" applyFill="1" applyBorder="1" applyAlignment="1">
      <alignment horizontal="center"/>
    </xf>
    <xf numFmtId="187" fontId="4" fillId="2" borderId="0" xfId="0" applyNumberFormat="1" applyFont="1" applyFill="1" applyAlignment="1">
      <alignment horizontal="center"/>
    </xf>
    <xf numFmtId="169" fontId="4" fillId="2" borderId="0" xfId="0" applyNumberFormat="1" applyFont="1" applyFill="1" applyAlignment="1">
      <alignment horizontal="center"/>
    </xf>
    <xf numFmtId="181" fontId="4" fillId="0" borderId="0" xfId="0" applyNumberFormat="1" applyFont="1"/>
    <xf numFmtId="9" fontId="8" fillId="0" borderId="0" xfId="0" applyNumberFormat="1" applyFont="1" applyAlignment="1">
      <alignment horizontal="center"/>
    </xf>
    <xf numFmtId="10" fontId="4" fillId="0" borderId="0" xfId="2" applyNumberFormat="1" applyFont="1" applyFill="1" applyBorder="1"/>
    <xf numFmtId="0" fontId="8" fillId="0" borderId="0" xfId="0" applyFont="1" applyAlignment="1">
      <alignment horizontal="center"/>
    </xf>
    <xf numFmtId="0" fontId="5" fillId="0" borderId="1" xfId="0" applyFont="1" applyBorder="1"/>
    <xf numFmtId="10" fontId="5" fillId="0" borderId="1" xfId="2" applyNumberFormat="1" applyFont="1" applyFill="1" applyBorder="1"/>
    <xf numFmtId="169" fontId="7" fillId="0" borderId="0" xfId="0" applyNumberFormat="1" applyFont="1"/>
    <xf numFmtId="0" fontId="8" fillId="0" borderId="0" xfId="0" applyFont="1" applyAlignment="1">
      <alignment horizontal="right"/>
    </xf>
    <xf numFmtId="169" fontId="2" fillId="0" borderId="1" xfId="0" applyNumberFormat="1" applyFont="1" applyBorder="1"/>
    <xf numFmtId="3" fontId="8" fillId="2" borderId="0" xfId="0" applyNumberFormat="1" applyFont="1" applyFill="1" applyAlignment="1">
      <alignment horizontal="centerContinuous"/>
    </xf>
    <xf numFmtId="3" fontId="9" fillId="2" borderId="0" xfId="0" applyNumberFormat="1" applyFont="1" applyFill="1" applyAlignment="1">
      <alignment horizontal="centerContinuous"/>
    </xf>
    <xf numFmtId="3" fontId="9" fillId="2" borderId="0" xfId="0" applyNumberFormat="1" applyFont="1" applyFill="1" applyAlignment="1">
      <alignment horizontal="center"/>
    </xf>
    <xf numFmtId="14" fontId="5" fillId="0" borderId="0" xfId="0" applyNumberFormat="1" applyFont="1"/>
    <xf numFmtId="188" fontId="8" fillId="2" borderId="0" xfId="0" applyNumberFormat="1" applyFont="1" applyFill="1" applyAlignment="1">
      <alignment horizontal="left"/>
    </xf>
    <xf numFmtId="0" fontId="7" fillId="0" borderId="2" xfId="0" applyFont="1" applyBorder="1"/>
    <xf numFmtId="169" fontId="4" fillId="0" borderId="0" xfId="2" applyNumberFormat="1" applyFont="1" applyBorder="1" applyAlignment="1">
      <alignment horizontal="right"/>
    </xf>
    <xf numFmtId="3" fontId="5" fillId="0" borderId="1" xfId="0" applyNumberFormat="1" applyFont="1" applyBorder="1"/>
    <xf numFmtId="3" fontId="3" fillId="3" borderId="0" xfId="0" applyNumberFormat="1" applyFont="1" applyFill="1" applyAlignment="1">
      <alignment horizontal="right"/>
    </xf>
    <xf numFmtId="3" fontId="4" fillId="4" borderId="3" xfId="0" applyNumberFormat="1" applyFont="1" applyFill="1" applyBorder="1"/>
    <xf numFmtId="3" fontId="7" fillId="0" borderId="0" xfId="0" applyNumberFormat="1" applyFont="1"/>
    <xf numFmtId="3" fontId="4" fillId="0" borderId="4" xfId="0" applyNumberFormat="1" applyFont="1" applyBorder="1"/>
    <xf numFmtId="3" fontId="5" fillId="0" borderId="0" xfId="0" applyNumberFormat="1" applyFont="1"/>
    <xf numFmtId="3" fontId="10" fillId="0" borderId="0" xfId="0" applyNumberFormat="1" applyFont="1" applyAlignment="1">
      <alignment horizontal="right"/>
    </xf>
    <xf numFmtId="3" fontId="4" fillId="0" borderId="1" xfId="0" applyNumberFormat="1" applyFont="1" applyBorder="1"/>
    <xf numFmtId="3" fontId="4" fillId="4" borderId="0" xfId="0" applyNumberFormat="1" applyFont="1" applyFill="1"/>
    <xf numFmtId="3" fontId="15" fillId="0" borderId="0" xfId="0" applyNumberFormat="1" applyFont="1"/>
    <xf numFmtId="0" fontId="4" fillId="0" borderId="5" xfId="0" applyFont="1" applyBorder="1"/>
    <xf numFmtId="3" fontId="4" fillId="0" borderId="5" xfId="0" applyNumberFormat="1" applyFont="1" applyBorder="1"/>
    <xf numFmtId="0" fontId="4" fillId="0" borderId="6" xfId="0" applyFont="1" applyBorder="1"/>
    <xf numFmtId="3" fontId="4" fillId="0" borderId="6" xfId="0" applyNumberFormat="1" applyFont="1" applyBorder="1"/>
    <xf numFmtId="176" fontId="4" fillId="0" borderId="0" xfId="2" applyNumberFormat="1" applyFont="1"/>
    <xf numFmtId="172" fontId="8" fillId="0" borderId="0" xfId="0" applyNumberFormat="1" applyFont="1" applyAlignment="1">
      <alignment horizontal="left"/>
    </xf>
    <xf numFmtId="9" fontId="4" fillId="0" borderId="0" xfId="2" applyFont="1" applyAlignment="1">
      <alignment horizontal="right"/>
    </xf>
    <xf numFmtId="9" fontId="4" fillId="2" borderId="0" xfId="2" applyFont="1" applyFill="1" applyAlignment="1">
      <alignment horizontal="right"/>
    </xf>
    <xf numFmtId="9" fontId="5" fillId="0" borderId="1" xfId="2" applyFont="1" applyBorder="1" applyAlignment="1">
      <alignment horizontal="right"/>
    </xf>
    <xf numFmtId="166" fontId="2" fillId="4" borderId="0" xfId="0" applyNumberFormat="1" applyFont="1" applyFill="1" applyAlignment="1">
      <alignment horizontal="right"/>
    </xf>
    <xf numFmtId="169" fontId="6" fillId="2" borderId="1" xfId="0" applyNumberFormat="1" applyFont="1" applyFill="1" applyBorder="1"/>
    <xf numFmtId="169" fontId="2" fillId="2" borderId="1" xfId="0" applyNumberFormat="1" applyFont="1" applyFill="1" applyBorder="1"/>
    <xf numFmtId="0" fontId="5" fillId="2" borderId="7" xfId="0" applyFont="1" applyFill="1" applyBorder="1"/>
    <xf numFmtId="169" fontId="5" fillId="0" borderId="7" xfId="0" applyNumberFormat="1" applyFont="1" applyBorder="1"/>
    <xf numFmtId="170" fontId="8" fillId="0" borderId="2" xfId="0" applyNumberFormat="1" applyFont="1" applyBorder="1" applyAlignment="1">
      <alignment horizontal="left"/>
    </xf>
    <xf numFmtId="0" fontId="5" fillId="0" borderId="1" xfId="0" applyFont="1" applyBorder="1" applyAlignment="1">
      <alignment horizontal="right"/>
    </xf>
    <xf numFmtId="169" fontId="5" fillId="0" borderId="8" xfId="0" applyNumberFormat="1" applyFont="1" applyBorder="1" applyAlignment="1">
      <alignment horizontal="right"/>
    </xf>
    <xf numFmtId="170" fontId="5" fillId="0" borderId="1" xfId="0" applyNumberFormat="1" applyFont="1" applyBorder="1" applyAlignment="1">
      <alignment horizontal="left"/>
    </xf>
    <xf numFmtId="0" fontId="9" fillId="0" borderId="5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169" fontId="9" fillId="2" borderId="5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horizontal="right"/>
    </xf>
    <xf numFmtId="169" fontId="5" fillId="2" borderId="1" xfId="0" applyNumberFormat="1" applyFont="1" applyFill="1" applyBorder="1" applyAlignment="1">
      <alignment horizontal="right"/>
    </xf>
    <xf numFmtId="10" fontId="8" fillId="2" borderId="0" xfId="0" applyNumberFormat="1" applyFont="1" applyFill="1" applyAlignment="1">
      <alignment horizontal="right"/>
    </xf>
    <xf numFmtId="0" fontId="5" fillId="4" borderId="9" xfId="0" applyFont="1" applyFill="1" applyBorder="1" applyAlignment="1">
      <alignment horizontal="right"/>
    </xf>
    <xf numFmtId="9" fontId="4" fillId="0" borderId="9" xfId="2" applyFont="1" applyBorder="1" applyAlignment="1">
      <alignment horizontal="right"/>
    </xf>
    <xf numFmtId="9" fontId="4" fillId="2" borderId="9" xfId="2" applyFont="1" applyFill="1" applyBorder="1" applyAlignment="1">
      <alignment horizontal="right"/>
    </xf>
    <xf numFmtId="9" fontId="5" fillId="0" borderId="11" xfId="2" applyFont="1" applyBorder="1" applyAlignment="1">
      <alignment horizontal="right"/>
    </xf>
    <xf numFmtId="169" fontId="4" fillId="0" borderId="9" xfId="0" applyNumberFormat="1" applyFont="1" applyBorder="1" applyAlignment="1">
      <alignment horizontal="right"/>
    </xf>
    <xf numFmtId="169" fontId="9" fillId="0" borderId="9" xfId="0" applyNumberFormat="1" applyFont="1" applyBorder="1" applyAlignment="1">
      <alignment horizontal="right"/>
    </xf>
    <xf numFmtId="169" fontId="4" fillId="0" borderId="9" xfId="0" applyNumberFormat="1" applyFont="1" applyBorder="1"/>
    <xf numFmtId="169" fontId="5" fillId="0" borderId="11" xfId="0" applyNumberFormat="1" applyFont="1" applyBorder="1"/>
    <xf numFmtId="9" fontId="8" fillId="0" borderId="9" xfId="0" applyNumberFormat="1" applyFont="1" applyBorder="1" applyAlignment="1">
      <alignment horizontal="right"/>
    </xf>
    <xf numFmtId="0" fontId="4" fillId="0" borderId="9" xfId="0" applyFont="1" applyBorder="1"/>
    <xf numFmtId="0" fontId="4" fillId="0" borderId="0" xfId="0" applyFont="1" applyAlignment="1">
      <alignment horizontal="left"/>
    </xf>
    <xf numFmtId="169" fontId="9" fillId="2" borderId="0" xfId="0" applyNumberFormat="1" applyFont="1" applyFill="1" applyAlignment="1">
      <alignment horizontal="right"/>
    </xf>
    <xf numFmtId="183" fontId="9" fillId="2" borderId="1" xfId="2" applyNumberFormat="1" applyFont="1" applyFill="1" applyBorder="1" applyAlignment="1">
      <alignment horizontal="right"/>
    </xf>
    <xf numFmtId="183" fontId="9" fillId="2" borderId="0" xfId="2" applyNumberFormat="1" applyFont="1" applyFill="1" applyBorder="1" applyAlignment="1">
      <alignment horizontal="right"/>
    </xf>
    <xf numFmtId="14" fontId="9" fillId="2" borderId="0" xfId="0" applyNumberFormat="1" applyFont="1" applyFill="1" applyAlignment="1">
      <alignment horizontal="center"/>
    </xf>
    <xf numFmtId="3" fontId="4" fillId="0" borderId="0" xfId="3" applyNumberFormat="1" applyFont="1"/>
    <xf numFmtId="3" fontId="13" fillId="0" borderId="0" xfId="0" applyNumberFormat="1" applyFont="1"/>
    <xf numFmtId="3" fontId="5" fillId="0" borderId="4" xfId="0" applyNumberFormat="1" applyFont="1" applyBorder="1"/>
    <xf numFmtId="181" fontId="5" fillId="0" borderId="0" xfId="0" applyNumberFormat="1" applyFont="1"/>
    <xf numFmtId="0" fontId="19" fillId="0" borderId="0" xfId="0" applyFont="1"/>
    <xf numFmtId="10" fontId="4" fillId="4" borderId="0" xfId="0" applyNumberFormat="1" applyFont="1" applyFill="1"/>
    <xf numFmtId="190" fontId="4" fillId="0" borderId="0" xfId="0" applyNumberFormat="1" applyFont="1"/>
    <xf numFmtId="190" fontId="5" fillId="0" borderId="0" xfId="0" applyNumberFormat="1" applyFont="1"/>
    <xf numFmtId="9" fontId="4" fillId="2" borderId="0" xfId="0" applyNumberFormat="1" applyFont="1" applyFill="1"/>
    <xf numFmtId="174" fontId="4" fillId="2" borderId="0" xfId="0" applyNumberFormat="1" applyFont="1" applyFill="1"/>
    <xf numFmtId="0" fontId="10" fillId="2" borderId="0" xfId="0" applyFont="1" applyFill="1"/>
    <xf numFmtId="169" fontId="10" fillId="2" borderId="0" xfId="0" applyNumberFormat="1" applyFont="1" applyFill="1"/>
    <xf numFmtId="0" fontId="0" fillId="0" borderId="0" xfId="0" applyAlignment="1">
      <alignment horizontal="right"/>
    </xf>
    <xf numFmtId="0" fontId="3" fillId="3" borderId="0" xfId="0" applyFont="1" applyFill="1" applyAlignment="1">
      <alignment horizontal="right"/>
    </xf>
    <xf numFmtId="165" fontId="2" fillId="4" borderId="0" xfId="0" applyNumberFormat="1" applyFont="1" applyFill="1" applyAlignment="1">
      <alignment horizontal="right"/>
    </xf>
    <xf numFmtId="0" fontId="9" fillId="2" borderId="0" xfId="0" applyFont="1" applyFill="1" applyAlignment="1">
      <alignment horizontal="right" vertical="center"/>
    </xf>
    <xf numFmtId="175" fontId="9" fillId="2" borderId="0" xfId="0" applyNumberFormat="1" applyFont="1" applyFill="1" applyAlignment="1">
      <alignment vertical="center"/>
    </xf>
    <xf numFmtId="176" fontId="2" fillId="2" borderId="0" xfId="0" applyNumberFormat="1" applyFont="1" applyFill="1" applyAlignment="1">
      <alignment vertical="center"/>
    </xf>
    <xf numFmtId="0" fontId="9" fillId="2" borderId="0" xfId="0" applyFont="1" applyFill="1" applyAlignment="1">
      <alignment horizontal="right"/>
    </xf>
    <xf numFmtId="169" fontId="2" fillId="2" borderId="0" xfId="0" applyNumberFormat="1" applyFont="1" applyFill="1" applyAlignment="1">
      <alignment horizontal="right"/>
    </xf>
    <xf numFmtId="177" fontId="9" fillId="2" borderId="0" xfId="0" applyNumberFormat="1" applyFont="1" applyFill="1" applyAlignment="1">
      <alignment vertical="center"/>
    </xf>
    <xf numFmtId="179" fontId="2" fillId="2" borderId="0" xfId="0" applyNumberFormat="1" applyFont="1" applyFill="1" applyAlignment="1">
      <alignment horizontal="right" vertical="center"/>
    </xf>
    <xf numFmtId="10" fontId="2" fillId="2" borderId="0" xfId="2" applyNumberFormat="1" applyFont="1" applyFill="1" applyBorder="1" applyAlignment="1">
      <alignment vertical="center"/>
    </xf>
    <xf numFmtId="10" fontId="2" fillId="2" borderId="0" xfId="0" applyNumberFormat="1" applyFont="1" applyFill="1" applyAlignment="1">
      <alignment vertical="center"/>
    </xf>
    <xf numFmtId="10" fontId="9" fillId="0" borderId="5" xfId="0" applyNumberFormat="1" applyFont="1" applyBorder="1"/>
    <xf numFmtId="169" fontId="9" fillId="0" borderId="5" xfId="0" applyNumberFormat="1" applyFont="1" applyBorder="1"/>
    <xf numFmtId="10" fontId="9" fillId="2" borderId="5" xfId="0" applyNumberFormat="1" applyFont="1" applyFill="1" applyBorder="1" applyAlignment="1">
      <alignment vertical="center"/>
    </xf>
    <xf numFmtId="167" fontId="9" fillId="0" borderId="0" xfId="0" applyNumberFormat="1" applyFont="1" applyAlignment="1">
      <alignment horizontal="right"/>
    </xf>
    <xf numFmtId="176" fontId="9" fillId="0" borderId="0" xfId="0" applyNumberFormat="1" applyFont="1" applyAlignment="1">
      <alignment horizontal="right"/>
    </xf>
    <xf numFmtId="9" fontId="9" fillId="0" borderId="0" xfId="0" applyNumberFormat="1" applyFont="1" applyAlignment="1">
      <alignment horizontal="right"/>
    </xf>
    <xf numFmtId="3" fontId="9" fillId="2" borderId="0" xfId="0" applyNumberFormat="1" applyFont="1" applyFill="1" applyAlignment="1">
      <alignment horizontal="right"/>
    </xf>
    <xf numFmtId="3" fontId="9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3" fontId="9" fillId="2" borderId="0" xfId="1" applyNumberFormat="1" applyFont="1" applyFill="1" applyBorder="1" applyAlignment="1">
      <alignment horizontal="right"/>
    </xf>
    <xf numFmtId="169" fontId="9" fillId="2" borderId="0" xfId="1" applyNumberFormat="1" applyFont="1" applyFill="1" applyBorder="1" applyAlignment="1">
      <alignment horizontal="right"/>
    </xf>
    <xf numFmtId="10" fontId="8" fillId="0" borderId="0" xfId="0" applyNumberFormat="1" applyFont="1" applyAlignment="1">
      <alignment horizontal="center"/>
    </xf>
    <xf numFmtId="0" fontId="3" fillId="3" borderId="7" xfId="0" applyFont="1" applyFill="1" applyBorder="1" applyAlignment="1">
      <alignment horizontal="centerContinuous"/>
    </xf>
    <xf numFmtId="0" fontId="3" fillId="3" borderId="1" xfId="0" applyFont="1" applyFill="1" applyBorder="1" applyAlignment="1">
      <alignment horizontal="centerContinuous"/>
    </xf>
    <xf numFmtId="0" fontId="5" fillId="0" borderId="14" xfId="0" applyFont="1" applyBorder="1"/>
    <xf numFmtId="0" fontId="3" fillId="3" borderId="8" xfId="0" applyFont="1" applyFill="1" applyBorder="1" applyAlignment="1">
      <alignment horizontal="centerContinuous"/>
    </xf>
    <xf numFmtId="0" fontId="5" fillId="0" borderId="7" xfId="0" applyFont="1" applyBorder="1"/>
    <xf numFmtId="169" fontId="5" fillId="0" borderId="4" xfId="0" applyNumberFormat="1" applyFont="1" applyBorder="1"/>
    <xf numFmtId="14" fontId="3" fillId="3" borderId="0" xfId="0" applyNumberFormat="1" applyFont="1" applyFill="1" applyAlignment="1">
      <alignment horizontal="left"/>
    </xf>
    <xf numFmtId="0" fontId="5" fillId="4" borderId="2" xfId="0" applyFont="1" applyFill="1" applyBorder="1" applyAlignment="1">
      <alignment horizontal="center"/>
    </xf>
    <xf numFmtId="0" fontId="4" fillId="0" borderId="3" xfId="0" applyFont="1" applyBorder="1"/>
    <xf numFmtId="0" fontId="25" fillId="0" borderId="0" xfId="0" applyFont="1" applyAlignment="1">
      <alignment horizontal="right"/>
    </xf>
    <xf numFmtId="164" fontId="5" fillId="0" borderId="1" xfId="0" applyNumberFormat="1" applyFont="1" applyBorder="1"/>
    <xf numFmtId="0" fontId="0" fillId="0" borderId="0" xfId="0" applyAlignment="1">
      <alignment vertical="center"/>
    </xf>
    <xf numFmtId="3" fontId="4" fillId="0" borderId="4" xfId="0" applyNumberFormat="1" applyFont="1" applyBorder="1" applyAlignment="1">
      <alignment vertical="center"/>
    </xf>
    <xf numFmtId="0" fontId="4" fillId="0" borderId="4" xfId="0" applyFont="1" applyBorder="1" applyAlignment="1">
      <alignment vertical="center"/>
    </xf>
    <xf numFmtId="164" fontId="4" fillId="0" borderId="4" xfId="0" applyNumberFormat="1" applyFont="1" applyBorder="1" applyAlignment="1">
      <alignment vertical="center"/>
    </xf>
    <xf numFmtId="169" fontId="4" fillId="0" borderId="4" xfId="0" applyNumberFormat="1" applyFont="1" applyBorder="1" applyAlignment="1">
      <alignment vertical="center"/>
    </xf>
    <xf numFmtId="0" fontId="0" fillId="0" borderId="0" xfId="0" applyAlignment="1">
      <alignment vertical="center" wrapText="1"/>
    </xf>
    <xf numFmtId="0" fontId="5" fillId="4" borderId="12" xfId="0" applyFont="1" applyFill="1" applyBorder="1" applyAlignment="1">
      <alignment horizontal="left"/>
    </xf>
    <xf numFmtId="0" fontId="4" fillId="0" borderId="2" xfId="0" applyFont="1" applyBorder="1" applyAlignment="1">
      <alignment horizontal="center" vertical="center" wrapText="1"/>
    </xf>
    <xf numFmtId="3" fontId="4" fillId="0" borderId="0" xfId="0" applyNumberFormat="1" applyFont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164" fontId="4" fillId="0" borderId="0" xfId="0" applyNumberFormat="1" applyFont="1" applyAlignment="1">
      <alignment horizontal="right" vertical="center" wrapText="1"/>
    </xf>
    <xf numFmtId="169" fontId="4" fillId="0" borderId="0" xfId="0" applyNumberFormat="1" applyFont="1" applyAlignment="1">
      <alignment vertical="center" wrapText="1"/>
    </xf>
    <xf numFmtId="10" fontId="4" fillId="0" borderId="12" xfId="2" applyNumberFormat="1" applyFont="1" applyBorder="1" applyAlignment="1">
      <alignment vertical="center" wrapText="1"/>
    </xf>
    <xf numFmtId="10" fontId="5" fillId="0" borderId="8" xfId="2" applyNumberFormat="1" applyFont="1" applyBorder="1"/>
    <xf numFmtId="0" fontId="4" fillId="0" borderId="2" xfId="0" applyFont="1" applyBorder="1" applyAlignment="1">
      <alignment horizontal="center" vertical="center"/>
    </xf>
    <xf numFmtId="3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169" fontId="4" fillId="0" borderId="0" xfId="0" applyNumberFormat="1" applyFont="1" applyAlignment="1">
      <alignment vertical="center"/>
    </xf>
    <xf numFmtId="0" fontId="4" fillId="0" borderId="14" xfId="0" applyFont="1" applyBorder="1" applyAlignment="1">
      <alignment horizontal="center" vertical="center"/>
    </xf>
    <xf numFmtId="10" fontId="4" fillId="0" borderId="13" xfId="2" applyNumberFormat="1" applyFont="1" applyBorder="1" applyAlignment="1">
      <alignment vertical="center" wrapText="1"/>
    </xf>
    <xf numFmtId="164" fontId="5" fillId="0" borderId="4" xfId="0" applyNumberFormat="1" applyFont="1" applyBorder="1"/>
    <xf numFmtId="10" fontId="5" fillId="0" borderId="13" xfId="2" applyNumberFormat="1" applyFont="1" applyBorder="1"/>
    <xf numFmtId="169" fontId="5" fillId="0" borderId="4" xfId="0" applyNumberFormat="1" applyFont="1" applyBorder="1" applyAlignment="1">
      <alignment horizontal="right"/>
    </xf>
    <xf numFmtId="169" fontId="4" fillId="0" borderId="0" xfId="0" applyNumberFormat="1" applyFont="1" applyAlignment="1">
      <alignment horizontal="right" vertical="center" wrapText="1"/>
    </xf>
    <xf numFmtId="169" fontId="5" fillId="0" borderId="1" xfId="0" applyNumberFormat="1" applyFont="1" applyBorder="1" applyAlignment="1">
      <alignment horizontal="right"/>
    </xf>
    <xf numFmtId="169" fontId="4" fillId="0" borderId="0" xfId="0" applyNumberFormat="1" applyFont="1" applyAlignment="1">
      <alignment horizontal="right" vertical="center"/>
    </xf>
    <xf numFmtId="169" fontId="4" fillId="0" borderId="4" xfId="0" applyNumberFormat="1" applyFont="1" applyBorder="1" applyAlignment="1">
      <alignment horizontal="right" vertical="center"/>
    </xf>
    <xf numFmtId="1" fontId="5" fillId="0" borderId="4" xfId="0" applyNumberFormat="1" applyFont="1" applyBorder="1"/>
    <xf numFmtId="181" fontId="0" fillId="0" borderId="0" xfId="0" applyNumberFormat="1"/>
    <xf numFmtId="10" fontId="0" fillId="0" borderId="0" xfId="2" applyNumberFormat="1" applyFont="1" applyAlignment="1">
      <alignment horizontal="right"/>
    </xf>
    <xf numFmtId="169" fontId="4" fillId="0" borderId="0" xfId="2" applyNumberFormat="1" applyFont="1"/>
    <xf numFmtId="169" fontId="6" fillId="2" borderId="0" xfId="0" applyNumberFormat="1" applyFont="1" applyFill="1" applyAlignment="1">
      <alignment horizontal="center"/>
    </xf>
    <xf numFmtId="191" fontId="8" fillId="0" borderId="0" xfId="0" applyNumberFormat="1" applyFont="1" applyAlignment="1">
      <alignment horizontal="left"/>
    </xf>
    <xf numFmtId="10" fontId="26" fillId="0" borderId="0" xfId="0" applyNumberFormat="1" applyFont="1"/>
    <xf numFmtId="0" fontId="27" fillId="0" borderId="0" xfId="0" applyFont="1" applyAlignment="1">
      <alignment horizontal="right"/>
    </xf>
    <xf numFmtId="10" fontId="5" fillId="2" borderId="0" xfId="2" applyNumberFormat="1" applyFont="1" applyFill="1"/>
    <xf numFmtId="168" fontId="22" fillId="2" borderId="0" xfId="0" applyNumberFormat="1" applyFont="1" applyFill="1" applyAlignment="1">
      <alignment horizontal="right"/>
    </xf>
    <xf numFmtId="0" fontId="26" fillId="0" borderId="15" xfId="0" applyFont="1" applyBorder="1"/>
    <xf numFmtId="176" fontId="8" fillId="0" borderId="0" xfId="0" applyNumberFormat="1" applyFont="1"/>
    <xf numFmtId="0" fontId="28" fillId="0" borderId="15" xfId="0" applyFont="1" applyBorder="1"/>
    <xf numFmtId="169" fontId="5" fillId="0" borderId="3" xfId="0" applyNumberFormat="1" applyFont="1" applyBorder="1"/>
    <xf numFmtId="10" fontId="4" fillId="0" borderId="0" xfId="0" applyNumberFormat="1" applyFont="1"/>
    <xf numFmtId="176" fontId="4" fillId="0" borderId="0" xfId="0" applyNumberFormat="1" applyFont="1"/>
    <xf numFmtId="0" fontId="6" fillId="0" borderId="0" xfId="0" applyFont="1"/>
    <xf numFmtId="0" fontId="4" fillId="0" borderId="0" xfId="0" applyFont="1" applyAlignment="1">
      <alignment horizontal="right"/>
    </xf>
    <xf numFmtId="10" fontId="5" fillId="0" borderId="0" xfId="2" applyNumberFormat="1" applyFont="1"/>
    <xf numFmtId="9" fontId="4" fillId="0" borderId="0" xfId="2" applyFont="1"/>
    <xf numFmtId="169" fontId="29" fillId="0" borderId="0" xfId="0" applyNumberFormat="1" applyFont="1"/>
    <xf numFmtId="0" fontId="4" fillId="0" borderId="1" xfId="0" applyFont="1" applyBorder="1"/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10" fontId="5" fillId="0" borderId="0" xfId="2" applyNumberFormat="1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3" fontId="5" fillId="0" borderId="0" xfId="2" applyNumberFormat="1" applyFont="1" applyFill="1" applyBorder="1" applyAlignment="1">
      <alignment horizontal="center"/>
    </xf>
    <xf numFmtId="0" fontId="4" fillId="0" borderId="0" xfId="0" applyFont="1" applyFill="1"/>
  </cellXfs>
  <cellStyles count="19">
    <cellStyle name="Comma" xfId="1" builtinId="3"/>
    <cellStyle name="Comma 4" xfId="9" xr:uid="{56F5DFB8-3491-4211-A015-80A6748EA7D3}"/>
    <cellStyle name="Comma 7" xfId="14" xr:uid="{D3E3A8FD-5C13-42FE-86E5-A84C3AF60E7D}"/>
    <cellStyle name="Currency 2" xfId="11" xr:uid="{7FF8ACA6-5C68-4610-ACF8-6ED6633B2895}"/>
    <cellStyle name="Normal" xfId="0" builtinId="0"/>
    <cellStyle name="Normal 11" xfId="17" xr:uid="{76BAA77E-0A07-49D6-96BA-6DE72A1F86E3}"/>
    <cellStyle name="Normal 18" xfId="13" xr:uid="{1D066512-7FC1-45B8-B470-0F29C8BE2B38}"/>
    <cellStyle name="Normal 2" xfId="6" xr:uid="{48126F1A-3213-4AC3-9117-B74683E970DF}"/>
    <cellStyle name="Normal 3" xfId="8" xr:uid="{22A743CE-C571-44B2-89EC-5819BD0E626C}"/>
    <cellStyle name="Normal 4" xfId="7" xr:uid="{14782099-71A6-4C97-B767-8539BE1D20D0}"/>
    <cellStyle name="Normal 4 3" xfId="16" xr:uid="{480A57B9-0436-4CC7-A337-69B1342A1FB6}"/>
    <cellStyle name="Normal 5" xfId="4" xr:uid="{56C22824-F203-4AFE-80D9-EF54E1D1A648}"/>
    <cellStyle name="Normal 6" xfId="10" xr:uid="{251C0666-CBCD-4B2E-B5F7-C99224049BEE}"/>
    <cellStyle name="Percent" xfId="2" builtinId="5"/>
    <cellStyle name="Percent 104" xfId="3" xr:uid="{3D3CD4C1-337F-4557-854E-BEBE68FA0BD1}"/>
    <cellStyle name="Percent 2" xfId="12" xr:uid="{1982D8C3-F173-41EF-9DAD-A1D472D2A77E}"/>
    <cellStyle name="Percent 3" xfId="18" xr:uid="{C3A34F56-B854-4103-8799-FA8DC82348C9}"/>
    <cellStyle name="Percent 3 2 2" xfId="5" xr:uid="{DEAE0B49-E6BC-41C5-ADA9-88E1A66AAF50}"/>
    <cellStyle name="Percent 7" xfId="15" xr:uid="{5DBC9CEE-1400-4F47-A36E-14B84F8196D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fmlaLink="$B$55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101600</xdr:colOff>
          <xdr:row>53</xdr:row>
          <xdr:rowOff>139700</xdr:rowOff>
        </xdr:from>
        <xdr:to>
          <xdr:col>3</xdr:col>
          <xdr:colOff>787400</xdr:colOff>
          <xdr:row>55</xdr:row>
          <xdr:rowOff>152400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Circuit Breaker</a:t>
              </a:r>
            </a:p>
          </xdr:txBody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jeong/Downloads/GA%20Portfolio%20Model%20(2.10.2026)%20-%20Class%20A%20Share.xlsx" TargetMode="External"/><Relationship Id="rId1" Type="http://schemas.openxmlformats.org/officeDocument/2006/relationships/externalLinkPath" Target="file:///C:/Users/jeong/Downloads/GA%20Portfolio%20Model%20(2.10.2026)%20-%20Class%20A%20Sha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RM Proforma Exhibit"/>
      <sheetName val="Inputs"/>
      <sheetName val="&lt;--Print"/>
      <sheetName val="Cash Flow Summary"/>
      <sheetName val="Quarterly CF"/>
      <sheetName val="Monthly CF"/>
      <sheetName val="Amortization Schedule"/>
      <sheetName val="Quarterly IRR Waterfall"/>
      <sheetName val="1 mos LIBOR"/>
      <sheetName val="XIRR WF"/>
      <sheetName val="T-12"/>
      <sheetName val="RR"/>
      <sheetName val="Compound - Promote off CF"/>
      <sheetName val="Pref Return Waterfall"/>
      <sheetName val="No Compound - Promote off CF"/>
      <sheetName val="Compound - ROC"/>
      <sheetName val="No Compound - ROC"/>
      <sheetName val="Servicing Sheet"/>
      <sheetName val="Rent roll"/>
      <sheetName val="Budget"/>
      <sheetName val="RM Financial Summary"/>
    </sheetNames>
    <sheetDataSet>
      <sheetData sheetId="0" refreshError="1"/>
      <sheetData sheetId="1"/>
      <sheetData sheetId="2">
        <row r="14">
          <cell r="X14">
            <v>46113</v>
          </cell>
        </row>
        <row r="40">
          <cell r="R40">
            <v>47938</v>
          </cell>
        </row>
        <row r="45">
          <cell r="AE45">
            <v>48304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Stockbridge">
  <a:themeElements>
    <a:clrScheme name="Excel - Stockbridge">
      <a:dk1>
        <a:srgbClr val="000000"/>
      </a:dk1>
      <a:lt1>
        <a:srgbClr val="FFFFFF"/>
      </a:lt1>
      <a:dk2>
        <a:srgbClr val="102640"/>
      </a:dk2>
      <a:lt2>
        <a:srgbClr val="204D84"/>
      </a:lt2>
      <a:accent1>
        <a:srgbClr val="102640"/>
      </a:accent1>
      <a:accent2>
        <a:srgbClr val="204D84"/>
      </a:accent2>
      <a:accent3>
        <a:srgbClr val="A0B6C8"/>
      </a:accent3>
      <a:accent4>
        <a:srgbClr val="414651"/>
      </a:accent4>
      <a:accent5>
        <a:srgbClr val="7D8597"/>
      </a:accent5>
      <a:accent6>
        <a:srgbClr val="CDCCCE"/>
      </a:accent6>
      <a:hlink>
        <a:srgbClr val="464646"/>
      </a:hlink>
      <a:folHlink>
        <a:srgbClr val="464646"/>
      </a:folHlink>
    </a:clrScheme>
    <a:fontScheme name="Stockbridge">
      <a:majorFont>
        <a:latin typeface="Century Gothic"/>
        <a:ea typeface=""/>
        <a:cs typeface=""/>
      </a:majorFont>
      <a:minorFont>
        <a:latin typeface="Euphemi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179E2D4-2F7D-454A-8BF1-700A18E95FE4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cb76957-bb84-42f5-981b-eb4b545936f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69D60-0075-43E3-A736-E5E2E623563C}">
  <sheetPr>
    <pageSetUpPr autoPageBreaks="0"/>
  </sheetPr>
  <dimension ref="A1:FB203"/>
  <sheetViews>
    <sheetView showGridLines="0" tabSelected="1" zoomScale="77" zoomScaleNormal="70" workbookViewId="0">
      <selection activeCell="D115" sqref="D115"/>
    </sheetView>
  </sheetViews>
  <sheetFormatPr baseColWidth="10" defaultColWidth="9" defaultRowHeight="15" outlineLevelCol="1"/>
  <cols>
    <col min="1" max="1" width="3.6640625" style="9" customWidth="1"/>
    <col min="2" max="2" width="23.6640625" style="9" bestFit="1" customWidth="1"/>
    <col min="3" max="3" width="15.1640625" style="9" bestFit="1" customWidth="1"/>
    <col min="4" max="4" width="14.6640625" style="9" bestFit="1" customWidth="1"/>
    <col min="5" max="5" width="18.1640625" style="9" bestFit="1" customWidth="1"/>
    <col min="6" max="7" width="11.6640625" style="9" bestFit="1" customWidth="1"/>
    <col min="8" max="8" width="3.6640625" style="11" customWidth="1"/>
    <col min="9" max="9" width="23" style="9" bestFit="1" customWidth="1"/>
    <col min="10" max="10" width="15.6640625" style="9" customWidth="1"/>
    <col min="11" max="11" width="1.6640625" style="11" customWidth="1"/>
    <col min="12" max="12" width="15.6640625" style="24" customWidth="1"/>
    <col min="13" max="13" width="1.6640625" style="11" customWidth="1"/>
    <col min="14" max="24" width="15.6640625" style="9" hidden="1" customWidth="1" outlineLevel="1"/>
    <col min="25" max="25" width="1.6640625" style="11" hidden="1" customWidth="1" outlineLevel="1" collapsed="1"/>
    <col min="26" max="26" width="15.6640625" style="9" customWidth="1" collapsed="1"/>
    <col min="27" max="158" width="15.6640625" style="9" customWidth="1"/>
    <col min="159" max="174" width="9" style="9" customWidth="1"/>
    <col min="175" max="16363" width="9" style="9"/>
    <col min="16364" max="16384" width="4.83203125" style="9" customWidth="1"/>
  </cols>
  <sheetData>
    <row r="1" spans="2:158" s="1" customFormat="1">
      <c r="C1" s="2"/>
      <c r="D1" s="2"/>
      <c r="E1" s="3"/>
      <c r="F1" s="3"/>
      <c r="G1" s="3"/>
      <c r="H1" s="4"/>
      <c r="I1" s="3"/>
      <c r="J1" s="3"/>
      <c r="K1" s="4"/>
      <c r="L1" s="3"/>
      <c r="M1" s="4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</row>
    <row r="2" spans="2:158" s="1" customFormat="1">
      <c r="C2" s="2"/>
      <c r="D2" s="2"/>
      <c r="E2" s="5"/>
      <c r="F2" s="5"/>
      <c r="G2" s="5"/>
      <c r="H2" s="6"/>
      <c r="I2" s="5"/>
      <c r="J2" s="5"/>
      <c r="K2" s="6"/>
      <c r="L2" s="3"/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6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</row>
    <row r="3" spans="2:158">
      <c r="B3" s="7" t="s">
        <v>0</v>
      </c>
      <c r="C3" s="7"/>
      <c r="D3" s="7"/>
      <c r="E3" s="7"/>
      <c r="F3" s="7"/>
      <c r="G3" s="7"/>
      <c r="H3" s="8"/>
      <c r="I3" s="7" t="s">
        <v>5</v>
      </c>
      <c r="J3" s="7"/>
      <c r="K3" s="8"/>
      <c r="L3" s="139"/>
      <c r="M3" s="19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9"/>
      <c r="Z3" s="20">
        <v>0</v>
      </c>
      <c r="AA3" s="20">
        <v>1</v>
      </c>
      <c r="AB3" s="20">
        <v>1</v>
      </c>
      <c r="AC3" s="20">
        <v>1</v>
      </c>
      <c r="AD3" s="20">
        <v>1</v>
      </c>
      <c r="AE3" s="20">
        <v>1</v>
      </c>
      <c r="AF3" s="20">
        <v>1</v>
      </c>
      <c r="AG3" s="20">
        <v>1</v>
      </c>
      <c r="AH3" s="20">
        <v>1</v>
      </c>
      <c r="AI3" s="20">
        <v>1</v>
      </c>
      <c r="AJ3" s="20">
        <v>1</v>
      </c>
      <c r="AK3" s="20">
        <v>1</v>
      </c>
      <c r="AL3" s="20">
        <v>1</v>
      </c>
      <c r="AM3" s="20">
        <f>AA3+1</f>
        <v>2</v>
      </c>
      <c r="AN3" s="20">
        <f>AB3+1</f>
        <v>2</v>
      </c>
      <c r="AO3" s="20">
        <f>AC3+1</f>
        <v>2</v>
      </c>
      <c r="AP3" s="20">
        <f t="shared" ref="AP3:DA3" si="0">AD3+1</f>
        <v>2</v>
      </c>
      <c r="AQ3" s="20">
        <f t="shared" si="0"/>
        <v>2</v>
      </c>
      <c r="AR3" s="20">
        <f t="shared" si="0"/>
        <v>2</v>
      </c>
      <c r="AS3" s="20">
        <f t="shared" si="0"/>
        <v>2</v>
      </c>
      <c r="AT3" s="20">
        <f t="shared" si="0"/>
        <v>2</v>
      </c>
      <c r="AU3" s="20">
        <f t="shared" si="0"/>
        <v>2</v>
      </c>
      <c r="AV3" s="20">
        <f t="shared" si="0"/>
        <v>2</v>
      </c>
      <c r="AW3" s="20">
        <f t="shared" si="0"/>
        <v>2</v>
      </c>
      <c r="AX3" s="20">
        <f t="shared" si="0"/>
        <v>2</v>
      </c>
      <c r="AY3" s="20">
        <f t="shared" si="0"/>
        <v>3</v>
      </c>
      <c r="AZ3" s="20">
        <f t="shared" si="0"/>
        <v>3</v>
      </c>
      <c r="BA3" s="20">
        <f t="shared" si="0"/>
        <v>3</v>
      </c>
      <c r="BB3" s="20">
        <f t="shared" si="0"/>
        <v>3</v>
      </c>
      <c r="BC3" s="20">
        <f t="shared" si="0"/>
        <v>3</v>
      </c>
      <c r="BD3" s="20">
        <f t="shared" si="0"/>
        <v>3</v>
      </c>
      <c r="BE3" s="20">
        <f t="shared" si="0"/>
        <v>3</v>
      </c>
      <c r="BF3" s="20">
        <f t="shared" si="0"/>
        <v>3</v>
      </c>
      <c r="BG3" s="20">
        <f t="shared" si="0"/>
        <v>3</v>
      </c>
      <c r="BH3" s="20">
        <f t="shared" si="0"/>
        <v>3</v>
      </c>
      <c r="BI3" s="20">
        <f t="shared" si="0"/>
        <v>3</v>
      </c>
      <c r="BJ3" s="20">
        <f t="shared" si="0"/>
        <v>3</v>
      </c>
      <c r="BK3" s="20">
        <f t="shared" si="0"/>
        <v>4</v>
      </c>
      <c r="BL3" s="20">
        <f t="shared" si="0"/>
        <v>4</v>
      </c>
      <c r="BM3" s="20">
        <f t="shared" si="0"/>
        <v>4</v>
      </c>
      <c r="BN3" s="20">
        <f t="shared" si="0"/>
        <v>4</v>
      </c>
      <c r="BO3" s="20">
        <f t="shared" si="0"/>
        <v>4</v>
      </c>
      <c r="BP3" s="20">
        <f t="shared" si="0"/>
        <v>4</v>
      </c>
      <c r="BQ3" s="20">
        <f t="shared" si="0"/>
        <v>4</v>
      </c>
      <c r="BR3" s="20">
        <f t="shared" si="0"/>
        <v>4</v>
      </c>
      <c r="BS3" s="20">
        <f t="shared" si="0"/>
        <v>4</v>
      </c>
      <c r="BT3" s="20">
        <f t="shared" si="0"/>
        <v>4</v>
      </c>
      <c r="BU3" s="20">
        <f t="shared" si="0"/>
        <v>4</v>
      </c>
      <c r="BV3" s="20">
        <f t="shared" si="0"/>
        <v>4</v>
      </c>
      <c r="BW3" s="20">
        <f t="shared" si="0"/>
        <v>5</v>
      </c>
      <c r="BX3" s="20">
        <f t="shared" si="0"/>
        <v>5</v>
      </c>
      <c r="BY3" s="20">
        <f t="shared" si="0"/>
        <v>5</v>
      </c>
      <c r="BZ3" s="20">
        <f t="shared" si="0"/>
        <v>5</v>
      </c>
      <c r="CA3" s="20">
        <f t="shared" si="0"/>
        <v>5</v>
      </c>
      <c r="CB3" s="20">
        <f t="shared" si="0"/>
        <v>5</v>
      </c>
      <c r="CC3" s="20">
        <f t="shared" si="0"/>
        <v>5</v>
      </c>
      <c r="CD3" s="20">
        <f t="shared" si="0"/>
        <v>5</v>
      </c>
      <c r="CE3" s="20">
        <f t="shared" si="0"/>
        <v>5</v>
      </c>
      <c r="CF3" s="20">
        <f t="shared" si="0"/>
        <v>5</v>
      </c>
      <c r="CG3" s="20">
        <f t="shared" si="0"/>
        <v>5</v>
      </c>
      <c r="CH3" s="20">
        <f t="shared" si="0"/>
        <v>5</v>
      </c>
      <c r="CI3" s="20">
        <f t="shared" si="0"/>
        <v>6</v>
      </c>
      <c r="CJ3" s="20">
        <f t="shared" si="0"/>
        <v>6</v>
      </c>
      <c r="CK3" s="20">
        <f t="shared" si="0"/>
        <v>6</v>
      </c>
      <c r="CL3" s="20">
        <f t="shared" si="0"/>
        <v>6</v>
      </c>
      <c r="CM3" s="20">
        <f t="shared" si="0"/>
        <v>6</v>
      </c>
      <c r="CN3" s="20">
        <f t="shared" si="0"/>
        <v>6</v>
      </c>
      <c r="CO3" s="20">
        <f t="shared" si="0"/>
        <v>6</v>
      </c>
      <c r="CP3" s="20">
        <f t="shared" si="0"/>
        <v>6</v>
      </c>
      <c r="CQ3" s="20">
        <f t="shared" si="0"/>
        <v>6</v>
      </c>
      <c r="CR3" s="20">
        <f t="shared" si="0"/>
        <v>6</v>
      </c>
      <c r="CS3" s="20">
        <f t="shared" si="0"/>
        <v>6</v>
      </c>
      <c r="CT3" s="20">
        <f t="shared" si="0"/>
        <v>6</v>
      </c>
      <c r="CU3" s="20">
        <f t="shared" si="0"/>
        <v>7</v>
      </c>
      <c r="CV3" s="20">
        <f t="shared" si="0"/>
        <v>7</v>
      </c>
      <c r="CW3" s="20">
        <f t="shared" si="0"/>
        <v>7</v>
      </c>
      <c r="CX3" s="20">
        <f t="shared" si="0"/>
        <v>7</v>
      </c>
      <c r="CY3" s="20">
        <f t="shared" si="0"/>
        <v>7</v>
      </c>
      <c r="CZ3" s="20">
        <f t="shared" si="0"/>
        <v>7</v>
      </c>
      <c r="DA3" s="20">
        <f t="shared" si="0"/>
        <v>7</v>
      </c>
      <c r="DB3" s="20">
        <f t="shared" ref="DB3:FB3" si="1">CP3+1</f>
        <v>7</v>
      </c>
      <c r="DC3" s="20">
        <f t="shared" si="1"/>
        <v>7</v>
      </c>
      <c r="DD3" s="20">
        <f t="shared" si="1"/>
        <v>7</v>
      </c>
      <c r="DE3" s="20">
        <f t="shared" si="1"/>
        <v>7</v>
      </c>
      <c r="DF3" s="20">
        <f t="shared" si="1"/>
        <v>7</v>
      </c>
      <c r="DG3" s="20">
        <f t="shared" si="1"/>
        <v>8</v>
      </c>
      <c r="DH3" s="20">
        <f t="shared" si="1"/>
        <v>8</v>
      </c>
      <c r="DI3" s="20">
        <f t="shared" si="1"/>
        <v>8</v>
      </c>
      <c r="DJ3" s="20">
        <f t="shared" si="1"/>
        <v>8</v>
      </c>
      <c r="DK3" s="20">
        <f t="shared" si="1"/>
        <v>8</v>
      </c>
      <c r="DL3" s="20">
        <f t="shared" si="1"/>
        <v>8</v>
      </c>
      <c r="DM3" s="20">
        <f t="shared" si="1"/>
        <v>8</v>
      </c>
      <c r="DN3" s="20">
        <f t="shared" si="1"/>
        <v>8</v>
      </c>
      <c r="DO3" s="20">
        <f t="shared" si="1"/>
        <v>8</v>
      </c>
      <c r="DP3" s="20">
        <f t="shared" si="1"/>
        <v>8</v>
      </c>
      <c r="DQ3" s="20">
        <f t="shared" si="1"/>
        <v>8</v>
      </c>
      <c r="DR3" s="20">
        <f t="shared" si="1"/>
        <v>8</v>
      </c>
      <c r="DS3" s="20">
        <f t="shared" si="1"/>
        <v>9</v>
      </c>
      <c r="DT3" s="20">
        <f t="shared" si="1"/>
        <v>9</v>
      </c>
      <c r="DU3" s="20">
        <f t="shared" si="1"/>
        <v>9</v>
      </c>
      <c r="DV3" s="20">
        <f t="shared" si="1"/>
        <v>9</v>
      </c>
      <c r="DW3" s="20">
        <f t="shared" si="1"/>
        <v>9</v>
      </c>
      <c r="DX3" s="20">
        <f t="shared" si="1"/>
        <v>9</v>
      </c>
      <c r="DY3" s="20">
        <f t="shared" si="1"/>
        <v>9</v>
      </c>
      <c r="DZ3" s="20">
        <f t="shared" si="1"/>
        <v>9</v>
      </c>
      <c r="EA3" s="20">
        <f t="shared" si="1"/>
        <v>9</v>
      </c>
      <c r="EB3" s="20">
        <f t="shared" si="1"/>
        <v>9</v>
      </c>
      <c r="EC3" s="20">
        <f t="shared" si="1"/>
        <v>9</v>
      </c>
      <c r="ED3" s="20">
        <f t="shared" si="1"/>
        <v>9</v>
      </c>
      <c r="EE3" s="20">
        <f t="shared" si="1"/>
        <v>10</v>
      </c>
      <c r="EF3" s="20">
        <f t="shared" si="1"/>
        <v>10</v>
      </c>
      <c r="EG3" s="20">
        <f t="shared" si="1"/>
        <v>10</v>
      </c>
      <c r="EH3" s="20">
        <f t="shared" si="1"/>
        <v>10</v>
      </c>
      <c r="EI3" s="20">
        <f t="shared" si="1"/>
        <v>10</v>
      </c>
      <c r="EJ3" s="20">
        <f t="shared" si="1"/>
        <v>10</v>
      </c>
      <c r="EK3" s="20">
        <f t="shared" si="1"/>
        <v>10</v>
      </c>
      <c r="EL3" s="20">
        <f t="shared" si="1"/>
        <v>10</v>
      </c>
      <c r="EM3" s="20">
        <f t="shared" si="1"/>
        <v>10</v>
      </c>
      <c r="EN3" s="20">
        <f t="shared" si="1"/>
        <v>10</v>
      </c>
      <c r="EO3" s="20">
        <f t="shared" si="1"/>
        <v>10</v>
      </c>
      <c r="EP3" s="20">
        <f t="shared" si="1"/>
        <v>10</v>
      </c>
      <c r="EQ3" s="20">
        <f t="shared" si="1"/>
        <v>11</v>
      </c>
      <c r="ER3" s="20">
        <f t="shared" si="1"/>
        <v>11</v>
      </c>
      <c r="ES3" s="20">
        <f t="shared" si="1"/>
        <v>11</v>
      </c>
      <c r="ET3" s="20">
        <f t="shared" si="1"/>
        <v>11</v>
      </c>
      <c r="EU3" s="20">
        <f t="shared" si="1"/>
        <v>11</v>
      </c>
      <c r="EV3" s="20">
        <f t="shared" si="1"/>
        <v>11</v>
      </c>
      <c r="EW3" s="20">
        <f t="shared" si="1"/>
        <v>11</v>
      </c>
      <c r="EX3" s="20">
        <f t="shared" si="1"/>
        <v>11</v>
      </c>
      <c r="EY3" s="20">
        <f t="shared" si="1"/>
        <v>11</v>
      </c>
      <c r="EZ3" s="20">
        <f t="shared" si="1"/>
        <v>11</v>
      </c>
      <c r="FA3" s="20">
        <f t="shared" si="1"/>
        <v>11</v>
      </c>
      <c r="FB3" s="20">
        <f t="shared" si="1"/>
        <v>11</v>
      </c>
    </row>
    <row r="4" spans="2:158">
      <c r="B4" s="12" t="s">
        <v>2</v>
      </c>
      <c r="C4" s="13" t="s">
        <v>231</v>
      </c>
      <c r="D4" s="14"/>
      <c r="E4" s="13"/>
      <c r="I4" s="7" t="s">
        <v>10</v>
      </c>
      <c r="J4" s="7"/>
      <c r="K4" s="8"/>
      <c r="L4" s="139"/>
      <c r="M4" s="19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9"/>
      <c r="Z4" s="20">
        <v>0</v>
      </c>
      <c r="AA4" s="20">
        <f t="shared" ref="AA4:AK4" si="2">Z4+1</f>
        <v>1</v>
      </c>
      <c r="AB4" s="20">
        <f t="shared" si="2"/>
        <v>2</v>
      </c>
      <c r="AC4" s="20">
        <f t="shared" si="2"/>
        <v>3</v>
      </c>
      <c r="AD4" s="20">
        <f>AC4+1</f>
        <v>4</v>
      </c>
      <c r="AE4" s="20">
        <f t="shared" si="2"/>
        <v>5</v>
      </c>
      <c r="AF4" s="20">
        <f t="shared" si="2"/>
        <v>6</v>
      </c>
      <c r="AG4" s="20">
        <f t="shared" si="2"/>
        <v>7</v>
      </c>
      <c r="AH4" s="20">
        <f t="shared" si="2"/>
        <v>8</v>
      </c>
      <c r="AI4" s="20">
        <f t="shared" si="2"/>
        <v>9</v>
      </c>
      <c r="AJ4" s="20">
        <f t="shared" si="2"/>
        <v>10</v>
      </c>
      <c r="AK4" s="20">
        <f t="shared" si="2"/>
        <v>11</v>
      </c>
      <c r="AL4" s="20">
        <f>AK4+1</f>
        <v>12</v>
      </c>
      <c r="AM4" s="20">
        <f t="shared" ref="AM4:CX4" si="3">AL4+1</f>
        <v>13</v>
      </c>
      <c r="AN4" s="20">
        <f t="shared" si="3"/>
        <v>14</v>
      </c>
      <c r="AO4" s="20">
        <f t="shared" si="3"/>
        <v>15</v>
      </c>
      <c r="AP4" s="20">
        <f t="shared" si="3"/>
        <v>16</v>
      </c>
      <c r="AQ4" s="20">
        <f t="shared" si="3"/>
        <v>17</v>
      </c>
      <c r="AR4" s="20">
        <f t="shared" si="3"/>
        <v>18</v>
      </c>
      <c r="AS4" s="20">
        <f t="shared" si="3"/>
        <v>19</v>
      </c>
      <c r="AT4" s="20">
        <f t="shared" si="3"/>
        <v>20</v>
      </c>
      <c r="AU4" s="20">
        <f t="shared" si="3"/>
        <v>21</v>
      </c>
      <c r="AV4" s="20">
        <f t="shared" si="3"/>
        <v>22</v>
      </c>
      <c r="AW4" s="20">
        <f t="shared" si="3"/>
        <v>23</v>
      </c>
      <c r="AX4" s="20">
        <f t="shared" si="3"/>
        <v>24</v>
      </c>
      <c r="AY4" s="20">
        <f t="shared" si="3"/>
        <v>25</v>
      </c>
      <c r="AZ4" s="20">
        <f t="shared" si="3"/>
        <v>26</v>
      </c>
      <c r="BA4" s="20">
        <f t="shared" si="3"/>
        <v>27</v>
      </c>
      <c r="BB4" s="20">
        <f t="shared" si="3"/>
        <v>28</v>
      </c>
      <c r="BC4" s="20">
        <f t="shared" si="3"/>
        <v>29</v>
      </c>
      <c r="BD4" s="20">
        <f t="shared" si="3"/>
        <v>30</v>
      </c>
      <c r="BE4" s="20">
        <f t="shared" si="3"/>
        <v>31</v>
      </c>
      <c r="BF4" s="20">
        <f t="shared" si="3"/>
        <v>32</v>
      </c>
      <c r="BG4" s="20">
        <f t="shared" si="3"/>
        <v>33</v>
      </c>
      <c r="BH4" s="20">
        <f t="shared" si="3"/>
        <v>34</v>
      </c>
      <c r="BI4" s="20">
        <f t="shared" si="3"/>
        <v>35</v>
      </c>
      <c r="BJ4" s="20">
        <f t="shared" si="3"/>
        <v>36</v>
      </c>
      <c r="BK4" s="20">
        <f t="shared" si="3"/>
        <v>37</v>
      </c>
      <c r="BL4" s="20">
        <f t="shared" si="3"/>
        <v>38</v>
      </c>
      <c r="BM4" s="20">
        <f t="shared" si="3"/>
        <v>39</v>
      </c>
      <c r="BN4" s="20">
        <f t="shared" si="3"/>
        <v>40</v>
      </c>
      <c r="BO4" s="20">
        <f t="shared" si="3"/>
        <v>41</v>
      </c>
      <c r="BP4" s="20">
        <f t="shared" si="3"/>
        <v>42</v>
      </c>
      <c r="BQ4" s="20">
        <f t="shared" si="3"/>
        <v>43</v>
      </c>
      <c r="BR4" s="20">
        <f t="shared" si="3"/>
        <v>44</v>
      </c>
      <c r="BS4" s="20">
        <f t="shared" si="3"/>
        <v>45</v>
      </c>
      <c r="BT4" s="20">
        <f t="shared" si="3"/>
        <v>46</v>
      </c>
      <c r="BU4" s="20">
        <f t="shared" si="3"/>
        <v>47</v>
      </c>
      <c r="BV4" s="20">
        <f t="shared" si="3"/>
        <v>48</v>
      </c>
      <c r="BW4" s="20">
        <f t="shared" si="3"/>
        <v>49</v>
      </c>
      <c r="BX4" s="20">
        <f t="shared" si="3"/>
        <v>50</v>
      </c>
      <c r="BY4" s="20">
        <f t="shared" si="3"/>
        <v>51</v>
      </c>
      <c r="BZ4" s="20">
        <f t="shared" si="3"/>
        <v>52</v>
      </c>
      <c r="CA4" s="20">
        <f t="shared" si="3"/>
        <v>53</v>
      </c>
      <c r="CB4" s="20">
        <f t="shared" si="3"/>
        <v>54</v>
      </c>
      <c r="CC4" s="20">
        <f t="shared" si="3"/>
        <v>55</v>
      </c>
      <c r="CD4" s="20">
        <f t="shared" si="3"/>
        <v>56</v>
      </c>
      <c r="CE4" s="20">
        <f t="shared" si="3"/>
        <v>57</v>
      </c>
      <c r="CF4" s="20">
        <f t="shared" si="3"/>
        <v>58</v>
      </c>
      <c r="CG4" s="20">
        <f t="shared" si="3"/>
        <v>59</v>
      </c>
      <c r="CH4" s="20">
        <f t="shared" si="3"/>
        <v>60</v>
      </c>
      <c r="CI4" s="20">
        <f t="shared" si="3"/>
        <v>61</v>
      </c>
      <c r="CJ4" s="20">
        <f t="shared" si="3"/>
        <v>62</v>
      </c>
      <c r="CK4" s="20">
        <f t="shared" si="3"/>
        <v>63</v>
      </c>
      <c r="CL4" s="20">
        <f t="shared" si="3"/>
        <v>64</v>
      </c>
      <c r="CM4" s="20">
        <f t="shared" si="3"/>
        <v>65</v>
      </c>
      <c r="CN4" s="20">
        <f t="shared" si="3"/>
        <v>66</v>
      </c>
      <c r="CO4" s="20">
        <f t="shared" si="3"/>
        <v>67</v>
      </c>
      <c r="CP4" s="20">
        <f t="shared" si="3"/>
        <v>68</v>
      </c>
      <c r="CQ4" s="20">
        <f t="shared" si="3"/>
        <v>69</v>
      </c>
      <c r="CR4" s="20">
        <f t="shared" si="3"/>
        <v>70</v>
      </c>
      <c r="CS4" s="20">
        <f t="shared" si="3"/>
        <v>71</v>
      </c>
      <c r="CT4" s="20">
        <f t="shared" si="3"/>
        <v>72</v>
      </c>
      <c r="CU4" s="20">
        <f t="shared" si="3"/>
        <v>73</v>
      </c>
      <c r="CV4" s="20">
        <f t="shared" si="3"/>
        <v>74</v>
      </c>
      <c r="CW4" s="20">
        <f t="shared" si="3"/>
        <v>75</v>
      </c>
      <c r="CX4" s="20">
        <f t="shared" si="3"/>
        <v>76</v>
      </c>
      <c r="CY4" s="20">
        <f t="shared" ref="CY4:FB4" si="4">CX4+1</f>
        <v>77</v>
      </c>
      <c r="CZ4" s="20">
        <f t="shared" si="4"/>
        <v>78</v>
      </c>
      <c r="DA4" s="20">
        <f t="shared" si="4"/>
        <v>79</v>
      </c>
      <c r="DB4" s="20">
        <f t="shared" si="4"/>
        <v>80</v>
      </c>
      <c r="DC4" s="20">
        <f t="shared" si="4"/>
        <v>81</v>
      </c>
      <c r="DD4" s="20">
        <f t="shared" si="4"/>
        <v>82</v>
      </c>
      <c r="DE4" s="20">
        <f t="shared" si="4"/>
        <v>83</v>
      </c>
      <c r="DF4" s="20">
        <f t="shared" si="4"/>
        <v>84</v>
      </c>
      <c r="DG4" s="20">
        <f t="shared" si="4"/>
        <v>85</v>
      </c>
      <c r="DH4" s="20">
        <f t="shared" si="4"/>
        <v>86</v>
      </c>
      <c r="DI4" s="20">
        <f t="shared" si="4"/>
        <v>87</v>
      </c>
      <c r="DJ4" s="20">
        <f t="shared" si="4"/>
        <v>88</v>
      </c>
      <c r="DK4" s="20">
        <f t="shared" si="4"/>
        <v>89</v>
      </c>
      <c r="DL4" s="20">
        <f t="shared" si="4"/>
        <v>90</v>
      </c>
      <c r="DM4" s="20">
        <f t="shared" si="4"/>
        <v>91</v>
      </c>
      <c r="DN4" s="20">
        <f t="shared" si="4"/>
        <v>92</v>
      </c>
      <c r="DO4" s="20">
        <f t="shared" si="4"/>
        <v>93</v>
      </c>
      <c r="DP4" s="20">
        <f t="shared" si="4"/>
        <v>94</v>
      </c>
      <c r="DQ4" s="20">
        <f t="shared" si="4"/>
        <v>95</v>
      </c>
      <c r="DR4" s="20">
        <f t="shared" si="4"/>
        <v>96</v>
      </c>
      <c r="DS4" s="20">
        <f t="shared" si="4"/>
        <v>97</v>
      </c>
      <c r="DT4" s="20">
        <f t="shared" si="4"/>
        <v>98</v>
      </c>
      <c r="DU4" s="20">
        <f t="shared" si="4"/>
        <v>99</v>
      </c>
      <c r="DV4" s="20">
        <f t="shared" si="4"/>
        <v>100</v>
      </c>
      <c r="DW4" s="20">
        <f t="shared" si="4"/>
        <v>101</v>
      </c>
      <c r="DX4" s="20">
        <f t="shared" si="4"/>
        <v>102</v>
      </c>
      <c r="DY4" s="20">
        <f t="shared" si="4"/>
        <v>103</v>
      </c>
      <c r="DZ4" s="20">
        <f t="shared" si="4"/>
        <v>104</v>
      </c>
      <c r="EA4" s="20">
        <f t="shared" si="4"/>
        <v>105</v>
      </c>
      <c r="EB4" s="20">
        <f t="shared" si="4"/>
        <v>106</v>
      </c>
      <c r="EC4" s="20">
        <f t="shared" si="4"/>
        <v>107</v>
      </c>
      <c r="ED4" s="20">
        <f t="shared" si="4"/>
        <v>108</v>
      </c>
      <c r="EE4" s="20">
        <f t="shared" si="4"/>
        <v>109</v>
      </c>
      <c r="EF4" s="20">
        <f t="shared" si="4"/>
        <v>110</v>
      </c>
      <c r="EG4" s="20">
        <f t="shared" si="4"/>
        <v>111</v>
      </c>
      <c r="EH4" s="20">
        <f t="shared" si="4"/>
        <v>112</v>
      </c>
      <c r="EI4" s="20">
        <f t="shared" si="4"/>
        <v>113</v>
      </c>
      <c r="EJ4" s="20">
        <f t="shared" si="4"/>
        <v>114</v>
      </c>
      <c r="EK4" s="20">
        <f t="shared" si="4"/>
        <v>115</v>
      </c>
      <c r="EL4" s="20">
        <f t="shared" si="4"/>
        <v>116</v>
      </c>
      <c r="EM4" s="20">
        <f t="shared" si="4"/>
        <v>117</v>
      </c>
      <c r="EN4" s="20">
        <f t="shared" si="4"/>
        <v>118</v>
      </c>
      <c r="EO4" s="20">
        <f t="shared" si="4"/>
        <v>119</v>
      </c>
      <c r="EP4" s="20">
        <f t="shared" si="4"/>
        <v>120</v>
      </c>
      <c r="EQ4" s="20">
        <f t="shared" si="4"/>
        <v>121</v>
      </c>
      <c r="ER4" s="20">
        <f t="shared" si="4"/>
        <v>122</v>
      </c>
      <c r="ES4" s="20">
        <f t="shared" si="4"/>
        <v>123</v>
      </c>
      <c r="ET4" s="20">
        <f t="shared" si="4"/>
        <v>124</v>
      </c>
      <c r="EU4" s="20">
        <f t="shared" si="4"/>
        <v>125</v>
      </c>
      <c r="EV4" s="20">
        <f t="shared" si="4"/>
        <v>126</v>
      </c>
      <c r="EW4" s="20">
        <f t="shared" si="4"/>
        <v>127</v>
      </c>
      <c r="EX4" s="20">
        <f t="shared" si="4"/>
        <v>128</v>
      </c>
      <c r="EY4" s="20">
        <f t="shared" si="4"/>
        <v>129</v>
      </c>
      <c r="EZ4" s="20">
        <f t="shared" si="4"/>
        <v>130</v>
      </c>
      <c r="FA4" s="20">
        <f t="shared" si="4"/>
        <v>131</v>
      </c>
      <c r="FB4" s="20">
        <f t="shared" si="4"/>
        <v>132</v>
      </c>
    </row>
    <row r="5" spans="2:158">
      <c r="B5" s="10" t="s">
        <v>3</v>
      </c>
      <c r="C5" s="13" t="s">
        <v>165</v>
      </c>
      <c r="D5" s="11"/>
      <c r="E5" s="15"/>
      <c r="F5" s="266"/>
      <c r="I5" s="7" t="s">
        <v>12</v>
      </c>
      <c r="J5" s="7"/>
      <c r="K5" s="8"/>
      <c r="L5" s="139"/>
      <c r="M5" s="19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9"/>
      <c r="Z5" s="7">
        <f>YEAR(Z6)</f>
        <v>2026</v>
      </c>
      <c r="AA5" s="7">
        <f t="shared" ref="AA5:CL5" si="5">YEAR(AA6)</f>
        <v>2026</v>
      </c>
      <c r="AB5" s="7">
        <f t="shared" si="5"/>
        <v>2026</v>
      </c>
      <c r="AC5" s="7">
        <f t="shared" si="5"/>
        <v>2026</v>
      </c>
      <c r="AD5" s="7">
        <f t="shared" si="5"/>
        <v>2026</v>
      </c>
      <c r="AE5" s="7">
        <f t="shared" si="5"/>
        <v>2026</v>
      </c>
      <c r="AF5" s="7">
        <f t="shared" si="5"/>
        <v>2026</v>
      </c>
      <c r="AG5" s="7">
        <f t="shared" si="5"/>
        <v>2026</v>
      </c>
      <c r="AH5" s="7">
        <f t="shared" si="5"/>
        <v>2027</v>
      </c>
      <c r="AI5" s="7">
        <f t="shared" si="5"/>
        <v>2027</v>
      </c>
      <c r="AJ5" s="7">
        <f t="shared" si="5"/>
        <v>2027</v>
      </c>
      <c r="AK5" s="7">
        <f t="shared" si="5"/>
        <v>2027</v>
      </c>
      <c r="AL5" s="7">
        <f t="shared" si="5"/>
        <v>2027</v>
      </c>
      <c r="AM5" s="7">
        <f t="shared" si="5"/>
        <v>2027</v>
      </c>
      <c r="AN5" s="7">
        <f t="shared" si="5"/>
        <v>2027</v>
      </c>
      <c r="AO5" s="7">
        <f t="shared" si="5"/>
        <v>2027</v>
      </c>
      <c r="AP5" s="7">
        <f t="shared" si="5"/>
        <v>2027</v>
      </c>
      <c r="AQ5" s="7">
        <f t="shared" si="5"/>
        <v>2027</v>
      </c>
      <c r="AR5" s="7">
        <f t="shared" si="5"/>
        <v>2027</v>
      </c>
      <c r="AS5" s="7">
        <f t="shared" si="5"/>
        <v>2027</v>
      </c>
      <c r="AT5" s="7">
        <f t="shared" si="5"/>
        <v>2028</v>
      </c>
      <c r="AU5" s="7">
        <f t="shared" si="5"/>
        <v>2028</v>
      </c>
      <c r="AV5" s="7">
        <f t="shared" si="5"/>
        <v>2028</v>
      </c>
      <c r="AW5" s="7">
        <f t="shared" si="5"/>
        <v>2028</v>
      </c>
      <c r="AX5" s="7">
        <f t="shared" si="5"/>
        <v>2028</v>
      </c>
      <c r="AY5" s="7">
        <f t="shared" si="5"/>
        <v>2028</v>
      </c>
      <c r="AZ5" s="7">
        <f t="shared" si="5"/>
        <v>2028</v>
      </c>
      <c r="BA5" s="7">
        <f t="shared" si="5"/>
        <v>2028</v>
      </c>
      <c r="BB5" s="7">
        <f t="shared" si="5"/>
        <v>2028</v>
      </c>
      <c r="BC5" s="7">
        <f t="shared" si="5"/>
        <v>2028</v>
      </c>
      <c r="BD5" s="7">
        <f t="shared" si="5"/>
        <v>2028</v>
      </c>
      <c r="BE5" s="7">
        <f t="shared" si="5"/>
        <v>2028</v>
      </c>
      <c r="BF5" s="7">
        <f t="shared" si="5"/>
        <v>2029</v>
      </c>
      <c r="BG5" s="7">
        <f t="shared" si="5"/>
        <v>2029</v>
      </c>
      <c r="BH5" s="7">
        <f t="shared" si="5"/>
        <v>2029</v>
      </c>
      <c r="BI5" s="7">
        <f t="shared" si="5"/>
        <v>2029</v>
      </c>
      <c r="BJ5" s="7">
        <f t="shared" si="5"/>
        <v>2029</v>
      </c>
      <c r="BK5" s="7">
        <f t="shared" si="5"/>
        <v>2029</v>
      </c>
      <c r="BL5" s="7">
        <f t="shared" si="5"/>
        <v>2029</v>
      </c>
      <c r="BM5" s="7">
        <f t="shared" si="5"/>
        <v>2029</v>
      </c>
      <c r="BN5" s="7">
        <f t="shared" si="5"/>
        <v>2029</v>
      </c>
      <c r="BO5" s="7">
        <f t="shared" si="5"/>
        <v>2029</v>
      </c>
      <c r="BP5" s="7">
        <f t="shared" si="5"/>
        <v>2029</v>
      </c>
      <c r="BQ5" s="7">
        <f t="shared" si="5"/>
        <v>2029</v>
      </c>
      <c r="BR5" s="7">
        <f t="shared" si="5"/>
        <v>2030</v>
      </c>
      <c r="BS5" s="7">
        <f t="shared" si="5"/>
        <v>2030</v>
      </c>
      <c r="BT5" s="7">
        <f t="shared" si="5"/>
        <v>2030</v>
      </c>
      <c r="BU5" s="7">
        <f t="shared" si="5"/>
        <v>2030</v>
      </c>
      <c r="BV5" s="7">
        <f t="shared" si="5"/>
        <v>2030</v>
      </c>
      <c r="BW5" s="7">
        <f t="shared" si="5"/>
        <v>2030</v>
      </c>
      <c r="BX5" s="7">
        <f t="shared" si="5"/>
        <v>2030</v>
      </c>
      <c r="BY5" s="7">
        <f t="shared" si="5"/>
        <v>2030</v>
      </c>
      <c r="BZ5" s="7">
        <f t="shared" si="5"/>
        <v>2030</v>
      </c>
      <c r="CA5" s="7">
        <f t="shared" si="5"/>
        <v>2030</v>
      </c>
      <c r="CB5" s="7">
        <f t="shared" si="5"/>
        <v>2030</v>
      </c>
      <c r="CC5" s="7">
        <f t="shared" si="5"/>
        <v>2030</v>
      </c>
      <c r="CD5" s="7">
        <f t="shared" si="5"/>
        <v>2031</v>
      </c>
      <c r="CE5" s="7">
        <f t="shared" si="5"/>
        <v>2031</v>
      </c>
      <c r="CF5" s="7">
        <f t="shared" si="5"/>
        <v>2031</v>
      </c>
      <c r="CG5" s="7">
        <f t="shared" si="5"/>
        <v>2031</v>
      </c>
      <c r="CH5" s="7">
        <f t="shared" si="5"/>
        <v>2031</v>
      </c>
      <c r="CI5" s="7">
        <f t="shared" si="5"/>
        <v>2031</v>
      </c>
      <c r="CJ5" s="7">
        <f t="shared" si="5"/>
        <v>2031</v>
      </c>
      <c r="CK5" s="7">
        <f t="shared" si="5"/>
        <v>2031</v>
      </c>
      <c r="CL5" s="7">
        <f t="shared" si="5"/>
        <v>2031</v>
      </c>
      <c r="CM5" s="7">
        <f t="shared" ref="CM5:EX5" si="6">YEAR(CM6)</f>
        <v>2031</v>
      </c>
      <c r="CN5" s="7">
        <f t="shared" si="6"/>
        <v>2031</v>
      </c>
      <c r="CO5" s="7">
        <f t="shared" si="6"/>
        <v>2031</v>
      </c>
      <c r="CP5" s="7">
        <f t="shared" si="6"/>
        <v>2032</v>
      </c>
      <c r="CQ5" s="7">
        <f t="shared" si="6"/>
        <v>2032</v>
      </c>
      <c r="CR5" s="7">
        <f t="shared" si="6"/>
        <v>2032</v>
      </c>
      <c r="CS5" s="7">
        <f t="shared" si="6"/>
        <v>2032</v>
      </c>
      <c r="CT5" s="7">
        <f t="shared" si="6"/>
        <v>2032</v>
      </c>
      <c r="CU5" s="7">
        <f t="shared" si="6"/>
        <v>2032</v>
      </c>
      <c r="CV5" s="7">
        <f t="shared" si="6"/>
        <v>2032</v>
      </c>
      <c r="CW5" s="7">
        <f t="shared" si="6"/>
        <v>2032</v>
      </c>
      <c r="CX5" s="7">
        <f t="shared" si="6"/>
        <v>2032</v>
      </c>
      <c r="CY5" s="7">
        <f t="shared" si="6"/>
        <v>2032</v>
      </c>
      <c r="CZ5" s="7">
        <f t="shared" si="6"/>
        <v>2032</v>
      </c>
      <c r="DA5" s="7">
        <f t="shared" si="6"/>
        <v>2032</v>
      </c>
      <c r="DB5" s="7">
        <f t="shared" si="6"/>
        <v>2033</v>
      </c>
      <c r="DC5" s="7">
        <f t="shared" si="6"/>
        <v>2033</v>
      </c>
      <c r="DD5" s="7">
        <f t="shared" si="6"/>
        <v>2033</v>
      </c>
      <c r="DE5" s="7">
        <f t="shared" si="6"/>
        <v>2033</v>
      </c>
      <c r="DF5" s="7">
        <f t="shared" si="6"/>
        <v>2033</v>
      </c>
      <c r="DG5" s="7">
        <f t="shared" si="6"/>
        <v>2033</v>
      </c>
      <c r="DH5" s="7">
        <f t="shared" si="6"/>
        <v>2033</v>
      </c>
      <c r="DI5" s="7">
        <f t="shared" si="6"/>
        <v>2033</v>
      </c>
      <c r="DJ5" s="7">
        <f t="shared" si="6"/>
        <v>2033</v>
      </c>
      <c r="DK5" s="7">
        <f t="shared" si="6"/>
        <v>2033</v>
      </c>
      <c r="DL5" s="7">
        <f t="shared" si="6"/>
        <v>2033</v>
      </c>
      <c r="DM5" s="7">
        <f t="shared" si="6"/>
        <v>2033</v>
      </c>
      <c r="DN5" s="7">
        <f t="shared" si="6"/>
        <v>2034</v>
      </c>
      <c r="DO5" s="7">
        <f t="shared" si="6"/>
        <v>2034</v>
      </c>
      <c r="DP5" s="7">
        <f t="shared" si="6"/>
        <v>2034</v>
      </c>
      <c r="DQ5" s="7">
        <f t="shared" si="6"/>
        <v>2034</v>
      </c>
      <c r="DR5" s="7">
        <f t="shared" si="6"/>
        <v>2034</v>
      </c>
      <c r="DS5" s="7">
        <f t="shared" si="6"/>
        <v>2034</v>
      </c>
      <c r="DT5" s="7">
        <f t="shared" si="6"/>
        <v>2034</v>
      </c>
      <c r="DU5" s="7">
        <f t="shared" si="6"/>
        <v>2034</v>
      </c>
      <c r="DV5" s="7">
        <f t="shared" si="6"/>
        <v>2034</v>
      </c>
      <c r="DW5" s="7">
        <f t="shared" si="6"/>
        <v>2034</v>
      </c>
      <c r="DX5" s="7">
        <f t="shared" si="6"/>
        <v>2034</v>
      </c>
      <c r="DY5" s="7">
        <f t="shared" si="6"/>
        <v>2034</v>
      </c>
      <c r="DZ5" s="7">
        <f t="shared" si="6"/>
        <v>2035</v>
      </c>
      <c r="EA5" s="7">
        <f t="shared" si="6"/>
        <v>2035</v>
      </c>
      <c r="EB5" s="7">
        <f t="shared" si="6"/>
        <v>2035</v>
      </c>
      <c r="EC5" s="7">
        <f t="shared" si="6"/>
        <v>2035</v>
      </c>
      <c r="ED5" s="7">
        <f t="shared" si="6"/>
        <v>2035</v>
      </c>
      <c r="EE5" s="7">
        <f t="shared" si="6"/>
        <v>2035</v>
      </c>
      <c r="EF5" s="7">
        <f t="shared" si="6"/>
        <v>2035</v>
      </c>
      <c r="EG5" s="7">
        <f t="shared" si="6"/>
        <v>2035</v>
      </c>
      <c r="EH5" s="7">
        <f t="shared" si="6"/>
        <v>2035</v>
      </c>
      <c r="EI5" s="7">
        <f t="shared" si="6"/>
        <v>2035</v>
      </c>
      <c r="EJ5" s="7">
        <f t="shared" si="6"/>
        <v>2035</v>
      </c>
      <c r="EK5" s="7">
        <f t="shared" si="6"/>
        <v>2035</v>
      </c>
      <c r="EL5" s="7">
        <f t="shared" si="6"/>
        <v>2036</v>
      </c>
      <c r="EM5" s="7">
        <f t="shared" si="6"/>
        <v>2036</v>
      </c>
      <c r="EN5" s="7">
        <f t="shared" si="6"/>
        <v>2036</v>
      </c>
      <c r="EO5" s="7">
        <f t="shared" si="6"/>
        <v>2036</v>
      </c>
      <c r="EP5" s="7">
        <f t="shared" si="6"/>
        <v>2036</v>
      </c>
      <c r="EQ5" s="7">
        <f t="shared" si="6"/>
        <v>2036</v>
      </c>
      <c r="ER5" s="7">
        <f t="shared" si="6"/>
        <v>2036</v>
      </c>
      <c r="ES5" s="7">
        <f t="shared" si="6"/>
        <v>2036</v>
      </c>
      <c r="ET5" s="7">
        <f t="shared" si="6"/>
        <v>2036</v>
      </c>
      <c r="EU5" s="7">
        <f t="shared" si="6"/>
        <v>2036</v>
      </c>
      <c r="EV5" s="7">
        <f t="shared" si="6"/>
        <v>2036</v>
      </c>
      <c r="EW5" s="7">
        <f t="shared" si="6"/>
        <v>2036</v>
      </c>
      <c r="EX5" s="7">
        <f t="shared" si="6"/>
        <v>2037</v>
      </c>
      <c r="EY5" s="7">
        <f t="shared" ref="EY5:FB5" si="7">YEAR(EY6)</f>
        <v>2037</v>
      </c>
      <c r="EZ5" s="7">
        <f t="shared" si="7"/>
        <v>2037</v>
      </c>
      <c r="FA5" s="7">
        <f t="shared" si="7"/>
        <v>2037</v>
      </c>
      <c r="FB5" s="7">
        <f t="shared" si="7"/>
        <v>2037</v>
      </c>
    </row>
    <row r="6" spans="2:158">
      <c r="B6" s="17" t="s">
        <v>4</v>
      </c>
      <c r="C6" s="17"/>
      <c r="D6" s="17"/>
      <c r="E6" s="17"/>
      <c r="F6" s="200" t="s">
        <v>177</v>
      </c>
      <c r="G6" s="200" t="s">
        <v>178</v>
      </c>
      <c r="I6" s="7" t="s">
        <v>14</v>
      </c>
      <c r="J6" s="7"/>
      <c r="K6" s="8"/>
      <c r="L6" s="139" t="s">
        <v>15</v>
      </c>
      <c r="M6" s="19"/>
      <c r="N6" s="229" t="s">
        <v>181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9"/>
      <c r="Z6" s="26">
        <f>D15</f>
        <v>46174</v>
      </c>
      <c r="AA6" s="26">
        <f>EOMONTH(Z6,0)</f>
        <v>46203</v>
      </c>
      <c r="AB6" s="26">
        <f t="shared" ref="AB6:CL6" si="8">EOMONTH(AA6,1)</f>
        <v>46234</v>
      </c>
      <c r="AC6" s="26">
        <f t="shared" si="8"/>
        <v>46265</v>
      </c>
      <c r="AD6" s="26">
        <f>EOMONTH(AC6,1)</f>
        <v>46295</v>
      </c>
      <c r="AE6" s="26">
        <f t="shared" si="8"/>
        <v>46326</v>
      </c>
      <c r="AF6" s="26">
        <f t="shared" si="8"/>
        <v>46356</v>
      </c>
      <c r="AG6" s="26">
        <f t="shared" si="8"/>
        <v>46387</v>
      </c>
      <c r="AH6" s="26">
        <f t="shared" si="8"/>
        <v>46418</v>
      </c>
      <c r="AI6" s="26">
        <f t="shared" si="8"/>
        <v>46446</v>
      </c>
      <c r="AJ6" s="26">
        <f t="shared" si="8"/>
        <v>46477</v>
      </c>
      <c r="AK6" s="26">
        <f t="shared" si="8"/>
        <v>46507</v>
      </c>
      <c r="AL6" s="26">
        <f>EOMONTH(AK6,1)</f>
        <v>46538</v>
      </c>
      <c r="AM6" s="26">
        <f t="shared" ref="AM6:BA6" si="9">EOMONTH(AL6,1)</f>
        <v>46568</v>
      </c>
      <c r="AN6" s="26">
        <f t="shared" si="9"/>
        <v>46599</v>
      </c>
      <c r="AO6" s="26">
        <f t="shared" si="9"/>
        <v>46630</v>
      </c>
      <c r="AP6" s="26">
        <f>EOMONTH(AO6,1)</f>
        <v>46660</v>
      </c>
      <c r="AQ6" s="26">
        <f t="shared" si="9"/>
        <v>46691</v>
      </c>
      <c r="AR6" s="26">
        <f t="shared" si="9"/>
        <v>46721</v>
      </c>
      <c r="AS6" s="26">
        <f t="shared" si="9"/>
        <v>46752</v>
      </c>
      <c r="AT6" s="26">
        <f t="shared" si="9"/>
        <v>46783</v>
      </c>
      <c r="AU6" s="26">
        <f t="shared" si="9"/>
        <v>46812</v>
      </c>
      <c r="AV6" s="26">
        <f t="shared" si="9"/>
        <v>46843</v>
      </c>
      <c r="AW6" s="26">
        <f t="shared" si="9"/>
        <v>46873</v>
      </c>
      <c r="AX6" s="26">
        <f t="shared" si="9"/>
        <v>46904</v>
      </c>
      <c r="AY6" s="26">
        <f t="shared" si="9"/>
        <v>46934</v>
      </c>
      <c r="AZ6" s="26">
        <f t="shared" si="9"/>
        <v>46965</v>
      </c>
      <c r="BA6" s="26">
        <f t="shared" si="9"/>
        <v>46996</v>
      </c>
      <c r="BB6" s="26">
        <f t="shared" si="8"/>
        <v>47026</v>
      </c>
      <c r="BC6" s="26">
        <f t="shared" si="8"/>
        <v>47057</v>
      </c>
      <c r="BD6" s="26">
        <f t="shared" si="8"/>
        <v>47087</v>
      </c>
      <c r="BE6" s="26">
        <f t="shared" si="8"/>
        <v>47118</v>
      </c>
      <c r="BF6" s="26">
        <f t="shared" si="8"/>
        <v>47149</v>
      </c>
      <c r="BG6" s="26">
        <f t="shared" si="8"/>
        <v>47177</v>
      </c>
      <c r="BH6" s="26">
        <f t="shared" si="8"/>
        <v>47208</v>
      </c>
      <c r="BI6" s="26">
        <f t="shared" si="8"/>
        <v>47238</v>
      </c>
      <c r="BJ6" s="26">
        <f t="shared" si="8"/>
        <v>47269</v>
      </c>
      <c r="BK6" s="26">
        <f t="shared" si="8"/>
        <v>47299</v>
      </c>
      <c r="BL6" s="26">
        <f t="shared" si="8"/>
        <v>47330</v>
      </c>
      <c r="BM6" s="26">
        <f t="shared" si="8"/>
        <v>47361</v>
      </c>
      <c r="BN6" s="26">
        <f t="shared" si="8"/>
        <v>47391</v>
      </c>
      <c r="BO6" s="26">
        <f t="shared" si="8"/>
        <v>47422</v>
      </c>
      <c r="BP6" s="26">
        <f t="shared" si="8"/>
        <v>47452</v>
      </c>
      <c r="BQ6" s="26">
        <f t="shared" si="8"/>
        <v>47483</v>
      </c>
      <c r="BR6" s="26">
        <f t="shared" si="8"/>
        <v>47514</v>
      </c>
      <c r="BS6" s="26">
        <f t="shared" si="8"/>
        <v>47542</v>
      </c>
      <c r="BT6" s="26">
        <f t="shared" si="8"/>
        <v>47573</v>
      </c>
      <c r="BU6" s="26">
        <f t="shared" si="8"/>
        <v>47603</v>
      </c>
      <c r="BV6" s="26">
        <f t="shared" si="8"/>
        <v>47634</v>
      </c>
      <c r="BW6" s="26">
        <f t="shared" si="8"/>
        <v>47664</v>
      </c>
      <c r="BX6" s="26">
        <f t="shared" si="8"/>
        <v>47695</v>
      </c>
      <c r="BY6" s="26">
        <f t="shared" si="8"/>
        <v>47726</v>
      </c>
      <c r="BZ6" s="26">
        <f t="shared" si="8"/>
        <v>47756</v>
      </c>
      <c r="CA6" s="26">
        <f t="shared" si="8"/>
        <v>47787</v>
      </c>
      <c r="CB6" s="26">
        <f t="shared" si="8"/>
        <v>47817</v>
      </c>
      <c r="CC6" s="26">
        <f t="shared" si="8"/>
        <v>47848</v>
      </c>
      <c r="CD6" s="26">
        <f t="shared" si="8"/>
        <v>47879</v>
      </c>
      <c r="CE6" s="26">
        <f t="shared" si="8"/>
        <v>47907</v>
      </c>
      <c r="CF6" s="26">
        <f t="shared" si="8"/>
        <v>47938</v>
      </c>
      <c r="CG6" s="26">
        <f t="shared" si="8"/>
        <v>47968</v>
      </c>
      <c r="CH6" s="26">
        <f t="shared" si="8"/>
        <v>47999</v>
      </c>
      <c r="CI6" s="26">
        <f t="shared" si="8"/>
        <v>48029</v>
      </c>
      <c r="CJ6" s="26">
        <f t="shared" si="8"/>
        <v>48060</v>
      </c>
      <c r="CK6" s="26">
        <f t="shared" si="8"/>
        <v>48091</v>
      </c>
      <c r="CL6" s="26">
        <f t="shared" si="8"/>
        <v>48121</v>
      </c>
      <c r="CM6" s="26">
        <f t="shared" ref="CM6:EX6" si="10">EOMONTH(CL6,1)</f>
        <v>48152</v>
      </c>
      <c r="CN6" s="26">
        <f t="shared" si="10"/>
        <v>48182</v>
      </c>
      <c r="CO6" s="26">
        <f t="shared" si="10"/>
        <v>48213</v>
      </c>
      <c r="CP6" s="26">
        <f t="shared" si="10"/>
        <v>48244</v>
      </c>
      <c r="CQ6" s="26">
        <f t="shared" si="10"/>
        <v>48273</v>
      </c>
      <c r="CR6" s="26">
        <f t="shared" si="10"/>
        <v>48304</v>
      </c>
      <c r="CS6" s="26">
        <f t="shared" si="10"/>
        <v>48334</v>
      </c>
      <c r="CT6" s="26">
        <f t="shared" si="10"/>
        <v>48365</v>
      </c>
      <c r="CU6" s="26">
        <f t="shared" si="10"/>
        <v>48395</v>
      </c>
      <c r="CV6" s="26">
        <f t="shared" si="10"/>
        <v>48426</v>
      </c>
      <c r="CW6" s="26">
        <f t="shared" si="10"/>
        <v>48457</v>
      </c>
      <c r="CX6" s="26">
        <f t="shared" si="10"/>
        <v>48487</v>
      </c>
      <c r="CY6" s="26">
        <f t="shared" si="10"/>
        <v>48518</v>
      </c>
      <c r="CZ6" s="26">
        <f t="shared" si="10"/>
        <v>48548</v>
      </c>
      <c r="DA6" s="26">
        <f t="shared" si="10"/>
        <v>48579</v>
      </c>
      <c r="DB6" s="26">
        <f t="shared" si="10"/>
        <v>48610</v>
      </c>
      <c r="DC6" s="26">
        <f t="shared" si="10"/>
        <v>48638</v>
      </c>
      <c r="DD6" s="26">
        <f t="shared" si="10"/>
        <v>48669</v>
      </c>
      <c r="DE6" s="26">
        <f t="shared" si="10"/>
        <v>48699</v>
      </c>
      <c r="DF6" s="26">
        <f t="shared" si="10"/>
        <v>48730</v>
      </c>
      <c r="DG6" s="26">
        <f t="shared" si="10"/>
        <v>48760</v>
      </c>
      <c r="DH6" s="26">
        <f t="shared" si="10"/>
        <v>48791</v>
      </c>
      <c r="DI6" s="26">
        <f t="shared" si="10"/>
        <v>48822</v>
      </c>
      <c r="DJ6" s="26">
        <f t="shared" si="10"/>
        <v>48852</v>
      </c>
      <c r="DK6" s="26">
        <f t="shared" si="10"/>
        <v>48883</v>
      </c>
      <c r="DL6" s="26">
        <f t="shared" si="10"/>
        <v>48913</v>
      </c>
      <c r="DM6" s="26">
        <f t="shared" si="10"/>
        <v>48944</v>
      </c>
      <c r="DN6" s="26">
        <f t="shared" si="10"/>
        <v>48975</v>
      </c>
      <c r="DO6" s="26">
        <f t="shared" si="10"/>
        <v>49003</v>
      </c>
      <c r="DP6" s="26">
        <f t="shared" si="10"/>
        <v>49034</v>
      </c>
      <c r="DQ6" s="26">
        <f t="shared" si="10"/>
        <v>49064</v>
      </c>
      <c r="DR6" s="26">
        <f t="shared" si="10"/>
        <v>49095</v>
      </c>
      <c r="DS6" s="26">
        <f t="shared" si="10"/>
        <v>49125</v>
      </c>
      <c r="DT6" s="26">
        <f t="shared" si="10"/>
        <v>49156</v>
      </c>
      <c r="DU6" s="26">
        <f t="shared" si="10"/>
        <v>49187</v>
      </c>
      <c r="DV6" s="26">
        <f t="shared" si="10"/>
        <v>49217</v>
      </c>
      <c r="DW6" s="26">
        <f t="shared" si="10"/>
        <v>49248</v>
      </c>
      <c r="DX6" s="26">
        <f t="shared" si="10"/>
        <v>49278</v>
      </c>
      <c r="DY6" s="26">
        <f t="shared" si="10"/>
        <v>49309</v>
      </c>
      <c r="DZ6" s="26">
        <f t="shared" si="10"/>
        <v>49340</v>
      </c>
      <c r="EA6" s="26">
        <f t="shared" si="10"/>
        <v>49368</v>
      </c>
      <c r="EB6" s="26">
        <f t="shared" si="10"/>
        <v>49399</v>
      </c>
      <c r="EC6" s="26">
        <f t="shared" si="10"/>
        <v>49429</v>
      </c>
      <c r="ED6" s="26">
        <f t="shared" si="10"/>
        <v>49460</v>
      </c>
      <c r="EE6" s="26">
        <f t="shared" si="10"/>
        <v>49490</v>
      </c>
      <c r="EF6" s="26">
        <f t="shared" si="10"/>
        <v>49521</v>
      </c>
      <c r="EG6" s="26">
        <f t="shared" si="10"/>
        <v>49552</v>
      </c>
      <c r="EH6" s="26">
        <f t="shared" si="10"/>
        <v>49582</v>
      </c>
      <c r="EI6" s="26">
        <f t="shared" si="10"/>
        <v>49613</v>
      </c>
      <c r="EJ6" s="26">
        <f t="shared" si="10"/>
        <v>49643</v>
      </c>
      <c r="EK6" s="26">
        <f t="shared" si="10"/>
        <v>49674</v>
      </c>
      <c r="EL6" s="26">
        <f t="shared" si="10"/>
        <v>49705</v>
      </c>
      <c r="EM6" s="26">
        <f t="shared" si="10"/>
        <v>49734</v>
      </c>
      <c r="EN6" s="26">
        <f t="shared" si="10"/>
        <v>49765</v>
      </c>
      <c r="EO6" s="26">
        <f t="shared" si="10"/>
        <v>49795</v>
      </c>
      <c r="EP6" s="26">
        <f t="shared" si="10"/>
        <v>49826</v>
      </c>
      <c r="EQ6" s="26">
        <f t="shared" si="10"/>
        <v>49856</v>
      </c>
      <c r="ER6" s="26">
        <f t="shared" si="10"/>
        <v>49887</v>
      </c>
      <c r="ES6" s="26">
        <f t="shared" si="10"/>
        <v>49918</v>
      </c>
      <c r="ET6" s="26">
        <f t="shared" si="10"/>
        <v>49948</v>
      </c>
      <c r="EU6" s="26">
        <f t="shared" si="10"/>
        <v>49979</v>
      </c>
      <c r="EV6" s="26">
        <f t="shared" si="10"/>
        <v>50009</v>
      </c>
      <c r="EW6" s="26">
        <f t="shared" si="10"/>
        <v>50040</v>
      </c>
      <c r="EX6" s="26">
        <f t="shared" si="10"/>
        <v>50071</v>
      </c>
      <c r="EY6" s="26">
        <f t="shared" ref="EY6:FB6" si="11">EOMONTH(EX6,1)</f>
        <v>50099</v>
      </c>
      <c r="EZ6" s="26">
        <f t="shared" si="11"/>
        <v>50130</v>
      </c>
      <c r="FA6" s="26">
        <f t="shared" si="11"/>
        <v>50160</v>
      </c>
      <c r="FB6" s="26">
        <f t="shared" si="11"/>
        <v>50191</v>
      </c>
    </row>
    <row r="7" spans="2:158">
      <c r="B7" s="21" t="s">
        <v>6</v>
      </c>
      <c r="C7" s="45" t="s">
        <v>7</v>
      </c>
      <c r="D7" s="45" t="s">
        <v>8</v>
      </c>
      <c r="E7" s="23" t="s">
        <v>9</v>
      </c>
      <c r="F7" s="201">
        <v>0.85</v>
      </c>
      <c r="G7" s="157">
        <f>1-F7</f>
        <v>0.15000000000000002</v>
      </c>
      <c r="I7" s="28" t="s">
        <v>17</v>
      </c>
      <c r="J7" s="29"/>
      <c r="L7" s="140"/>
      <c r="N7" s="28">
        <v>0</v>
      </c>
      <c r="O7" s="28">
        <f>N7+1</f>
        <v>1</v>
      </c>
      <c r="P7" s="28">
        <f t="shared" ref="P7:S7" si="12">O7+1</f>
        <v>2</v>
      </c>
      <c r="Q7" s="28">
        <f t="shared" si="12"/>
        <v>3</v>
      </c>
      <c r="R7" s="28">
        <f t="shared" si="12"/>
        <v>4</v>
      </c>
      <c r="S7" s="28">
        <f t="shared" si="12"/>
        <v>5</v>
      </c>
      <c r="T7" s="28">
        <f t="shared" ref="T7" si="13">S7+1</f>
        <v>6</v>
      </c>
      <c r="U7" s="28">
        <f t="shared" ref="U7" si="14">T7+1</f>
        <v>7</v>
      </c>
      <c r="V7" s="28">
        <f t="shared" ref="V7" si="15">U7+1</f>
        <v>8</v>
      </c>
      <c r="W7" s="28">
        <f t="shared" ref="W7" si="16">V7+1</f>
        <v>9</v>
      </c>
      <c r="X7" s="28">
        <f t="shared" ref="X7" si="17">W7+1</f>
        <v>10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</row>
    <row r="8" spans="2:158">
      <c r="B8" s="15" t="s">
        <v>11</v>
      </c>
      <c r="C8" s="24">
        <f ca="1">L86</f>
        <v>7957892.286515479</v>
      </c>
      <c r="D8" s="24">
        <f ca="1">L103</f>
        <v>4456051.7216412583</v>
      </c>
      <c r="E8" s="25" t="s">
        <v>11</v>
      </c>
      <c r="F8" s="46">
        <f ca="1">L129</f>
        <v>3469147.1535920426</v>
      </c>
      <c r="G8" s="46">
        <f ca="1">L132</f>
        <v>986904.56804921513</v>
      </c>
      <c r="I8" s="15" t="s">
        <v>20</v>
      </c>
    </row>
    <row r="9" spans="2:158">
      <c r="B9" s="15" t="s">
        <v>13</v>
      </c>
      <c r="C9" s="24">
        <f ca="1">L87</f>
        <v>-7245682.5900000026</v>
      </c>
      <c r="D9" s="24">
        <f ca="1">L104</f>
        <v>-2592682.5900000026</v>
      </c>
      <c r="E9" s="25" t="s">
        <v>13</v>
      </c>
      <c r="F9" s="46">
        <f ca="1">-SUMIF(Z129:FB129,"&lt;0",Z129:FB129)</f>
        <v>2203780.2015000023</v>
      </c>
      <c r="G9" s="46">
        <f ca="1">-SUMIF(Z132:FB132,"&lt;0",Z132:FB132)</f>
        <v>388902.38850000047</v>
      </c>
      <c r="I9" s="9" t="str">
        <f>B78</f>
        <v>Market Rent</v>
      </c>
      <c r="N9" s="31">
        <f>SUMIF($Z$3:$FB$3,N$7,$Z9:$FB9)</f>
        <v>0</v>
      </c>
      <c r="O9" s="31">
        <f t="shared" ref="O9:X15" si="18">SUMIF($Z$3:$FB$3,O$7,$Z9:$FB9)</f>
        <v>0.02</v>
      </c>
      <c r="P9" s="31">
        <f t="shared" si="18"/>
        <v>0.02</v>
      </c>
      <c r="Q9" s="31">
        <f t="shared" si="18"/>
        <v>0.02</v>
      </c>
      <c r="R9" s="31">
        <f t="shared" si="18"/>
        <v>0.02</v>
      </c>
      <c r="S9" s="31">
        <f t="shared" si="18"/>
        <v>0.02</v>
      </c>
      <c r="T9" s="31">
        <f t="shared" si="18"/>
        <v>0.02</v>
      </c>
      <c r="U9" s="31">
        <f t="shared" si="18"/>
        <v>0.02</v>
      </c>
      <c r="V9" s="31">
        <f t="shared" si="18"/>
        <v>0.02</v>
      </c>
      <c r="W9" s="31">
        <f t="shared" si="18"/>
        <v>0.02</v>
      </c>
      <c r="X9" s="31">
        <f t="shared" si="18"/>
        <v>0.02</v>
      </c>
      <c r="Z9" s="31">
        <v>0</v>
      </c>
      <c r="AA9" s="31">
        <f t="shared" ref="AA9:BF9" si="19">IFERROR(INDEX($C78:$G78,MATCH(YEAR(AA$6),$C$77:$G$77,0))/12,Z9)</f>
        <v>1.6666666666666668E-3</v>
      </c>
      <c r="AB9" s="31">
        <f t="shared" si="19"/>
        <v>1.6666666666666668E-3</v>
      </c>
      <c r="AC9" s="31">
        <f t="shared" si="19"/>
        <v>1.6666666666666668E-3</v>
      </c>
      <c r="AD9" s="31">
        <f t="shared" si="19"/>
        <v>1.6666666666666668E-3</v>
      </c>
      <c r="AE9" s="31">
        <f t="shared" si="19"/>
        <v>1.6666666666666668E-3</v>
      </c>
      <c r="AF9" s="31">
        <f t="shared" si="19"/>
        <v>1.6666666666666668E-3</v>
      </c>
      <c r="AG9" s="31">
        <f t="shared" si="19"/>
        <v>1.6666666666666668E-3</v>
      </c>
      <c r="AH9" s="31">
        <f t="shared" si="19"/>
        <v>1.6666666666666668E-3</v>
      </c>
      <c r="AI9" s="31">
        <f t="shared" si="19"/>
        <v>1.6666666666666668E-3</v>
      </c>
      <c r="AJ9" s="31">
        <f t="shared" si="19"/>
        <v>1.6666666666666668E-3</v>
      </c>
      <c r="AK9" s="31">
        <f t="shared" si="19"/>
        <v>1.6666666666666668E-3</v>
      </c>
      <c r="AL9" s="31">
        <f t="shared" si="19"/>
        <v>1.6666666666666668E-3</v>
      </c>
      <c r="AM9" s="31">
        <f t="shared" si="19"/>
        <v>1.6666666666666668E-3</v>
      </c>
      <c r="AN9" s="31">
        <f t="shared" si="19"/>
        <v>1.6666666666666668E-3</v>
      </c>
      <c r="AO9" s="31">
        <f t="shared" si="19"/>
        <v>1.6666666666666668E-3</v>
      </c>
      <c r="AP9" s="31">
        <f t="shared" si="19"/>
        <v>1.6666666666666668E-3</v>
      </c>
      <c r="AQ9" s="31">
        <f t="shared" si="19"/>
        <v>1.6666666666666668E-3</v>
      </c>
      <c r="AR9" s="31">
        <f t="shared" si="19"/>
        <v>1.6666666666666668E-3</v>
      </c>
      <c r="AS9" s="31">
        <f t="shared" si="19"/>
        <v>1.6666666666666668E-3</v>
      </c>
      <c r="AT9" s="31">
        <f t="shared" si="19"/>
        <v>1.6666666666666668E-3</v>
      </c>
      <c r="AU9" s="31">
        <f t="shared" si="19"/>
        <v>1.6666666666666668E-3</v>
      </c>
      <c r="AV9" s="31">
        <f t="shared" si="19"/>
        <v>1.6666666666666668E-3</v>
      </c>
      <c r="AW9" s="31">
        <f t="shared" si="19"/>
        <v>1.6666666666666668E-3</v>
      </c>
      <c r="AX9" s="31">
        <f t="shared" si="19"/>
        <v>1.6666666666666668E-3</v>
      </c>
      <c r="AY9" s="31">
        <f t="shared" si="19"/>
        <v>1.6666666666666668E-3</v>
      </c>
      <c r="AZ9" s="31">
        <f t="shared" si="19"/>
        <v>1.6666666666666668E-3</v>
      </c>
      <c r="BA9" s="31">
        <f t="shared" si="19"/>
        <v>1.6666666666666668E-3</v>
      </c>
      <c r="BB9" s="31">
        <f t="shared" si="19"/>
        <v>1.6666666666666668E-3</v>
      </c>
      <c r="BC9" s="31">
        <f t="shared" si="19"/>
        <v>1.6666666666666668E-3</v>
      </c>
      <c r="BD9" s="31">
        <f t="shared" si="19"/>
        <v>1.6666666666666668E-3</v>
      </c>
      <c r="BE9" s="31">
        <f t="shared" si="19"/>
        <v>1.6666666666666668E-3</v>
      </c>
      <c r="BF9" s="31">
        <f t="shared" si="19"/>
        <v>1.6666666666666668E-3</v>
      </c>
      <c r="BG9" s="31">
        <f t="shared" ref="BG9:CL9" si="20">IFERROR(INDEX($C78:$G78,MATCH(YEAR(BG$6),$C$77:$G$77,0))/12,BF9)</f>
        <v>1.6666666666666668E-3</v>
      </c>
      <c r="BH9" s="31">
        <f t="shared" si="20"/>
        <v>1.6666666666666668E-3</v>
      </c>
      <c r="BI9" s="31">
        <f t="shared" si="20"/>
        <v>1.6666666666666668E-3</v>
      </c>
      <c r="BJ9" s="31">
        <f t="shared" si="20"/>
        <v>1.6666666666666668E-3</v>
      </c>
      <c r="BK9" s="31">
        <f t="shared" si="20"/>
        <v>1.6666666666666668E-3</v>
      </c>
      <c r="BL9" s="31">
        <f t="shared" si="20"/>
        <v>1.6666666666666668E-3</v>
      </c>
      <c r="BM9" s="31">
        <f t="shared" si="20"/>
        <v>1.6666666666666668E-3</v>
      </c>
      <c r="BN9" s="31">
        <f t="shared" si="20"/>
        <v>1.6666666666666668E-3</v>
      </c>
      <c r="BO9" s="31">
        <f t="shared" si="20"/>
        <v>1.6666666666666668E-3</v>
      </c>
      <c r="BP9" s="31">
        <f t="shared" si="20"/>
        <v>1.6666666666666668E-3</v>
      </c>
      <c r="BQ9" s="31">
        <f t="shared" si="20"/>
        <v>1.6666666666666668E-3</v>
      </c>
      <c r="BR9" s="31">
        <f t="shared" si="20"/>
        <v>1.6666666666666668E-3</v>
      </c>
      <c r="BS9" s="31">
        <f t="shared" si="20"/>
        <v>1.6666666666666668E-3</v>
      </c>
      <c r="BT9" s="31">
        <f t="shared" si="20"/>
        <v>1.6666666666666668E-3</v>
      </c>
      <c r="BU9" s="31">
        <f t="shared" si="20"/>
        <v>1.6666666666666668E-3</v>
      </c>
      <c r="BV9" s="31">
        <f t="shared" si="20"/>
        <v>1.6666666666666668E-3</v>
      </c>
      <c r="BW9" s="31">
        <f t="shared" si="20"/>
        <v>1.6666666666666668E-3</v>
      </c>
      <c r="BX9" s="31">
        <f t="shared" si="20"/>
        <v>1.6666666666666668E-3</v>
      </c>
      <c r="BY9" s="31">
        <f t="shared" si="20"/>
        <v>1.6666666666666668E-3</v>
      </c>
      <c r="BZ9" s="31">
        <f t="shared" si="20"/>
        <v>1.6666666666666668E-3</v>
      </c>
      <c r="CA9" s="31">
        <f t="shared" si="20"/>
        <v>1.6666666666666668E-3</v>
      </c>
      <c r="CB9" s="31">
        <f t="shared" si="20"/>
        <v>1.6666666666666668E-3</v>
      </c>
      <c r="CC9" s="31">
        <f t="shared" si="20"/>
        <v>1.6666666666666668E-3</v>
      </c>
      <c r="CD9" s="31">
        <f t="shared" si="20"/>
        <v>1.6666666666666668E-3</v>
      </c>
      <c r="CE9" s="31">
        <f t="shared" si="20"/>
        <v>1.6666666666666668E-3</v>
      </c>
      <c r="CF9" s="31">
        <f t="shared" si="20"/>
        <v>1.6666666666666668E-3</v>
      </c>
      <c r="CG9" s="31">
        <f t="shared" si="20"/>
        <v>1.6666666666666668E-3</v>
      </c>
      <c r="CH9" s="31">
        <f t="shared" si="20"/>
        <v>1.6666666666666668E-3</v>
      </c>
      <c r="CI9" s="31">
        <f t="shared" si="20"/>
        <v>1.6666666666666668E-3</v>
      </c>
      <c r="CJ9" s="31">
        <f t="shared" si="20"/>
        <v>1.6666666666666668E-3</v>
      </c>
      <c r="CK9" s="31">
        <f t="shared" si="20"/>
        <v>1.6666666666666668E-3</v>
      </c>
      <c r="CL9" s="31">
        <f t="shared" si="20"/>
        <v>1.6666666666666668E-3</v>
      </c>
      <c r="CM9" s="31">
        <f t="shared" ref="CM9:DR9" si="21">IFERROR(INDEX($C78:$G78,MATCH(YEAR(CM$6),$C$77:$G$77,0))/12,CL9)</f>
        <v>1.6666666666666668E-3</v>
      </c>
      <c r="CN9" s="31">
        <f t="shared" si="21"/>
        <v>1.6666666666666668E-3</v>
      </c>
      <c r="CO9" s="31">
        <f t="shared" si="21"/>
        <v>1.6666666666666668E-3</v>
      </c>
      <c r="CP9" s="31">
        <f t="shared" si="21"/>
        <v>1.6666666666666668E-3</v>
      </c>
      <c r="CQ9" s="31">
        <f t="shared" si="21"/>
        <v>1.6666666666666668E-3</v>
      </c>
      <c r="CR9" s="31">
        <f t="shared" si="21"/>
        <v>1.6666666666666668E-3</v>
      </c>
      <c r="CS9" s="31">
        <f t="shared" si="21"/>
        <v>1.6666666666666668E-3</v>
      </c>
      <c r="CT9" s="31">
        <f t="shared" si="21"/>
        <v>1.6666666666666668E-3</v>
      </c>
      <c r="CU9" s="31">
        <f t="shared" si="21"/>
        <v>1.6666666666666668E-3</v>
      </c>
      <c r="CV9" s="31">
        <f t="shared" si="21"/>
        <v>1.6666666666666668E-3</v>
      </c>
      <c r="CW9" s="31">
        <f t="shared" si="21"/>
        <v>1.6666666666666668E-3</v>
      </c>
      <c r="CX9" s="31">
        <f t="shared" si="21"/>
        <v>1.6666666666666668E-3</v>
      </c>
      <c r="CY9" s="31">
        <f t="shared" si="21"/>
        <v>1.6666666666666668E-3</v>
      </c>
      <c r="CZ9" s="31">
        <f t="shared" si="21"/>
        <v>1.6666666666666668E-3</v>
      </c>
      <c r="DA9" s="31">
        <f t="shared" si="21"/>
        <v>1.6666666666666668E-3</v>
      </c>
      <c r="DB9" s="31">
        <f t="shared" si="21"/>
        <v>1.6666666666666668E-3</v>
      </c>
      <c r="DC9" s="31">
        <f t="shared" si="21"/>
        <v>1.6666666666666668E-3</v>
      </c>
      <c r="DD9" s="31">
        <f t="shared" si="21"/>
        <v>1.6666666666666668E-3</v>
      </c>
      <c r="DE9" s="31">
        <f t="shared" si="21"/>
        <v>1.6666666666666668E-3</v>
      </c>
      <c r="DF9" s="31">
        <f t="shared" si="21"/>
        <v>1.6666666666666668E-3</v>
      </c>
      <c r="DG9" s="31">
        <f t="shared" si="21"/>
        <v>1.6666666666666668E-3</v>
      </c>
      <c r="DH9" s="31">
        <f t="shared" si="21"/>
        <v>1.6666666666666668E-3</v>
      </c>
      <c r="DI9" s="31">
        <f t="shared" si="21"/>
        <v>1.6666666666666668E-3</v>
      </c>
      <c r="DJ9" s="31">
        <f t="shared" si="21"/>
        <v>1.6666666666666668E-3</v>
      </c>
      <c r="DK9" s="31">
        <f t="shared" si="21"/>
        <v>1.6666666666666668E-3</v>
      </c>
      <c r="DL9" s="31">
        <f t="shared" si="21"/>
        <v>1.6666666666666668E-3</v>
      </c>
      <c r="DM9" s="31">
        <f t="shared" si="21"/>
        <v>1.6666666666666668E-3</v>
      </c>
      <c r="DN9" s="31">
        <f t="shared" si="21"/>
        <v>1.6666666666666668E-3</v>
      </c>
      <c r="DO9" s="31">
        <f t="shared" si="21"/>
        <v>1.6666666666666668E-3</v>
      </c>
      <c r="DP9" s="31">
        <f t="shared" si="21"/>
        <v>1.6666666666666668E-3</v>
      </c>
      <c r="DQ9" s="31">
        <f t="shared" si="21"/>
        <v>1.6666666666666668E-3</v>
      </c>
      <c r="DR9" s="31">
        <f t="shared" si="21"/>
        <v>1.6666666666666668E-3</v>
      </c>
      <c r="DS9" s="31">
        <f t="shared" ref="DS9:FB9" si="22">IFERROR(INDEX($C78:$G78,MATCH(YEAR(DS$6),$C$77:$G$77,0))/12,DR9)</f>
        <v>1.6666666666666668E-3</v>
      </c>
      <c r="DT9" s="31">
        <f t="shared" si="22"/>
        <v>1.6666666666666668E-3</v>
      </c>
      <c r="DU9" s="31">
        <f t="shared" si="22"/>
        <v>1.6666666666666668E-3</v>
      </c>
      <c r="DV9" s="31">
        <f t="shared" si="22"/>
        <v>1.6666666666666668E-3</v>
      </c>
      <c r="DW9" s="31">
        <f t="shared" si="22"/>
        <v>1.6666666666666668E-3</v>
      </c>
      <c r="DX9" s="31">
        <f t="shared" si="22"/>
        <v>1.6666666666666668E-3</v>
      </c>
      <c r="DY9" s="31">
        <f t="shared" si="22"/>
        <v>1.6666666666666668E-3</v>
      </c>
      <c r="DZ9" s="31">
        <f t="shared" si="22"/>
        <v>1.6666666666666668E-3</v>
      </c>
      <c r="EA9" s="31">
        <f t="shared" si="22"/>
        <v>1.6666666666666668E-3</v>
      </c>
      <c r="EB9" s="31">
        <f t="shared" si="22"/>
        <v>1.6666666666666668E-3</v>
      </c>
      <c r="EC9" s="31">
        <f t="shared" si="22"/>
        <v>1.6666666666666668E-3</v>
      </c>
      <c r="ED9" s="31">
        <f t="shared" si="22"/>
        <v>1.6666666666666668E-3</v>
      </c>
      <c r="EE9" s="31">
        <f t="shared" si="22"/>
        <v>1.6666666666666668E-3</v>
      </c>
      <c r="EF9" s="31">
        <f t="shared" si="22"/>
        <v>1.6666666666666668E-3</v>
      </c>
      <c r="EG9" s="31">
        <f t="shared" si="22"/>
        <v>1.6666666666666668E-3</v>
      </c>
      <c r="EH9" s="31">
        <f t="shared" si="22"/>
        <v>1.6666666666666668E-3</v>
      </c>
      <c r="EI9" s="31">
        <f t="shared" si="22"/>
        <v>1.6666666666666668E-3</v>
      </c>
      <c r="EJ9" s="31">
        <f t="shared" si="22"/>
        <v>1.6666666666666668E-3</v>
      </c>
      <c r="EK9" s="31">
        <f t="shared" si="22"/>
        <v>1.6666666666666668E-3</v>
      </c>
      <c r="EL9" s="31">
        <f t="shared" si="22"/>
        <v>1.6666666666666668E-3</v>
      </c>
      <c r="EM9" s="31">
        <f t="shared" si="22"/>
        <v>1.6666666666666668E-3</v>
      </c>
      <c r="EN9" s="31">
        <f t="shared" si="22"/>
        <v>1.6666666666666668E-3</v>
      </c>
      <c r="EO9" s="31">
        <f t="shared" si="22"/>
        <v>1.6666666666666668E-3</v>
      </c>
      <c r="EP9" s="31">
        <f t="shared" si="22"/>
        <v>1.6666666666666668E-3</v>
      </c>
      <c r="EQ9" s="31">
        <f t="shared" si="22"/>
        <v>1.6666666666666668E-3</v>
      </c>
      <c r="ER9" s="31">
        <f t="shared" si="22"/>
        <v>1.6666666666666668E-3</v>
      </c>
      <c r="ES9" s="31">
        <f t="shared" si="22"/>
        <v>1.6666666666666668E-3</v>
      </c>
      <c r="ET9" s="31">
        <f t="shared" si="22"/>
        <v>1.6666666666666668E-3</v>
      </c>
      <c r="EU9" s="31">
        <f t="shared" si="22"/>
        <v>1.6666666666666668E-3</v>
      </c>
      <c r="EV9" s="31">
        <f t="shared" si="22"/>
        <v>1.6666666666666668E-3</v>
      </c>
      <c r="EW9" s="31">
        <f t="shared" si="22"/>
        <v>1.6666666666666668E-3</v>
      </c>
      <c r="EX9" s="31">
        <f t="shared" si="22"/>
        <v>1.6666666666666668E-3</v>
      </c>
      <c r="EY9" s="31">
        <f t="shared" si="22"/>
        <v>1.6666666666666668E-3</v>
      </c>
      <c r="EZ9" s="31">
        <f t="shared" si="22"/>
        <v>1.6666666666666668E-3</v>
      </c>
      <c r="FA9" s="31">
        <f t="shared" si="22"/>
        <v>1.6666666666666668E-3</v>
      </c>
      <c r="FB9" s="31">
        <f t="shared" si="22"/>
        <v>1.6666666666666668E-3</v>
      </c>
    </row>
    <row r="10" spans="2:158">
      <c r="B10" s="15" t="s">
        <v>16</v>
      </c>
      <c r="C10" s="27">
        <f ca="1">L88</f>
        <v>0.10095623213126181</v>
      </c>
      <c r="D10" s="27">
        <f ca="1">L105</f>
        <v>0.17086737258453377</v>
      </c>
      <c r="E10" s="25" t="s">
        <v>16</v>
      </c>
      <c r="F10" s="27">
        <f ca="1">L130</f>
        <v>0.17533123444698462</v>
      </c>
      <c r="G10" s="27">
        <f ca="1">L133</f>
        <v>0.15522235560537045</v>
      </c>
      <c r="I10" s="32" t="s">
        <v>22</v>
      </c>
      <c r="J10" s="32"/>
      <c r="K10" s="33"/>
      <c r="L10" s="141"/>
      <c r="M10" s="33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3"/>
      <c r="Z10" s="34">
        <v>1</v>
      </c>
      <c r="AA10" s="34">
        <f>Z10*(1+AA9)</f>
        <v>1.0016666666666667</v>
      </c>
      <c r="AB10" s="34">
        <f t="shared" ref="AB10:CM10" si="23">AA10*(1+AB9)</f>
        <v>1.0033361111111112</v>
      </c>
      <c r="AC10" s="34">
        <f t="shared" si="23"/>
        <v>1.0050083379629631</v>
      </c>
      <c r="AD10" s="34">
        <f t="shared" si="23"/>
        <v>1.0066833518595681</v>
      </c>
      <c r="AE10" s="34">
        <f t="shared" si="23"/>
        <v>1.0083611574460007</v>
      </c>
      <c r="AF10" s="34">
        <f t="shared" si="23"/>
        <v>1.0100417593750775</v>
      </c>
      <c r="AG10" s="34">
        <f t="shared" si="23"/>
        <v>1.0117251623073693</v>
      </c>
      <c r="AH10" s="34">
        <f t="shared" si="23"/>
        <v>1.0134113709112149</v>
      </c>
      <c r="AI10" s="34">
        <f t="shared" si="23"/>
        <v>1.0151003898627335</v>
      </c>
      <c r="AJ10" s="34">
        <f t="shared" si="23"/>
        <v>1.0167922238458382</v>
      </c>
      <c r="AK10" s="34">
        <f t="shared" si="23"/>
        <v>1.018486877552248</v>
      </c>
      <c r="AL10" s="34">
        <f t="shared" si="23"/>
        <v>1.0201843556815018</v>
      </c>
      <c r="AM10" s="34">
        <f t="shared" si="23"/>
        <v>1.021884662940971</v>
      </c>
      <c r="AN10" s="34">
        <f t="shared" si="23"/>
        <v>1.0235878040458726</v>
      </c>
      <c r="AO10" s="34">
        <f t="shared" si="23"/>
        <v>1.0252937837192824</v>
      </c>
      <c r="AP10" s="34">
        <f t="shared" si="23"/>
        <v>1.0270026066921478</v>
      </c>
      <c r="AQ10" s="34">
        <f t="shared" si="23"/>
        <v>1.0287142777033014</v>
      </c>
      <c r="AR10" s="34">
        <f t="shared" si="23"/>
        <v>1.0304288014994736</v>
      </c>
      <c r="AS10" s="34">
        <f t="shared" si="23"/>
        <v>1.032146182835306</v>
      </c>
      <c r="AT10" s="34">
        <f t="shared" si="23"/>
        <v>1.0338664264733648</v>
      </c>
      <c r="AU10" s="34">
        <f t="shared" si="23"/>
        <v>1.0355895371841537</v>
      </c>
      <c r="AV10" s="34">
        <f t="shared" si="23"/>
        <v>1.0373155197461272</v>
      </c>
      <c r="AW10" s="34">
        <f t="shared" si="23"/>
        <v>1.0390443789457042</v>
      </c>
      <c r="AX10" s="34">
        <f t="shared" si="23"/>
        <v>1.0407761195772804</v>
      </c>
      <c r="AY10" s="34">
        <f t="shared" si="23"/>
        <v>1.0425107464432426</v>
      </c>
      <c r="AZ10" s="34">
        <f t="shared" si="23"/>
        <v>1.0442482643539814</v>
      </c>
      <c r="BA10" s="34">
        <f t="shared" si="23"/>
        <v>1.0459886781279049</v>
      </c>
      <c r="BB10" s="34">
        <f t="shared" si="23"/>
        <v>1.0477319925914514</v>
      </c>
      <c r="BC10" s="34">
        <f t="shared" si="23"/>
        <v>1.049478212579104</v>
      </c>
      <c r="BD10" s="34">
        <f t="shared" si="23"/>
        <v>1.0512273429334025</v>
      </c>
      <c r="BE10" s="34">
        <f t="shared" si="23"/>
        <v>1.0529793885049581</v>
      </c>
      <c r="BF10" s="34">
        <f t="shared" si="23"/>
        <v>1.0547343541524663</v>
      </c>
      <c r="BG10" s="34">
        <f t="shared" si="23"/>
        <v>1.0564922447427205</v>
      </c>
      <c r="BH10" s="34">
        <f t="shared" si="23"/>
        <v>1.058253065150625</v>
      </c>
      <c r="BI10" s="34">
        <f t="shared" si="23"/>
        <v>1.0600168202592095</v>
      </c>
      <c r="BJ10" s="34">
        <f t="shared" si="23"/>
        <v>1.0617835149596415</v>
      </c>
      <c r="BK10" s="34">
        <f t="shared" si="23"/>
        <v>1.0635531541512409</v>
      </c>
      <c r="BL10" s="34">
        <f t="shared" si="23"/>
        <v>1.0653257427414931</v>
      </c>
      <c r="BM10" s="34">
        <f t="shared" si="23"/>
        <v>1.0671012856460622</v>
      </c>
      <c r="BN10" s="34">
        <f t="shared" si="23"/>
        <v>1.0688797877888057</v>
      </c>
      <c r="BO10" s="34">
        <f t="shared" si="23"/>
        <v>1.070661254101787</v>
      </c>
      <c r="BP10" s="34">
        <f t="shared" si="23"/>
        <v>1.0724456895252901</v>
      </c>
      <c r="BQ10" s="34">
        <f t="shared" si="23"/>
        <v>1.0742330990078324</v>
      </c>
      <c r="BR10" s="34">
        <f t="shared" si="23"/>
        <v>1.0760234875061787</v>
      </c>
      <c r="BS10" s="34">
        <f t="shared" si="23"/>
        <v>1.0778168599853557</v>
      </c>
      <c r="BT10" s="34">
        <f t="shared" si="23"/>
        <v>1.0796132214186647</v>
      </c>
      <c r="BU10" s="34">
        <f t="shared" si="23"/>
        <v>1.0814125767876959</v>
      </c>
      <c r="BV10" s="34">
        <f t="shared" si="23"/>
        <v>1.083214931082342</v>
      </c>
      <c r="BW10" s="34">
        <f t="shared" si="23"/>
        <v>1.0850202893008127</v>
      </c>
      <c r="BX10" s="34">
        <f t="shared" si="23"/>
        <v>1.0868286564496474</v>
      </c>
      <c r="BY10" s="34">
        <f t="shared" si="23"/>
        <v>1.0886400375437302</v>
      </c>
      <c r="BZ10" s="34">
        <f t="shared" si="23"/>
        <v>1.090454437606303</v>
      </c>
      <c r="CA10" s="34">
        <f t="shared" si="23"/>
        <v>1.0922718616689802</v>
      </c>
      <c r="CB10" s="34">
        <f t="shared" si="23"/>
        <v>1.0940923147717618</v>
      </c>
      <c r="CC10" s="34">
        <f t="shared" si="23"/>
        <v>1.0959158019630482</v>
      </c>
      <c r="CD10" s="34">
        <f t="shared" si="23"/>
        <v>1.0977423282996532</v>
      </c>
      <c r="CE10" s="34">
        <f t="shared" si="23"/>
        <v>1.0995718988468193</v>
      </c>
      <c r="CF10" s="34">
        <f t="shared" si="23"/>
        <v>1.1014045186782306</v>
      </c>
      <c r="CG10" s="34">
        <f t="shared" si="23"/>
        <v>1.1032401928760278</v>
      </c>
      <c r="CH10" s="34">
        <f t="shared" si="23"/>
        <v>1.1050789265308212</v>
      </c>
      <c r="CI10" s="34">
        <f t="shared" si="23"/>
        <v>1.1069207247417059</v>
      </c>
      <c r="CJ10" s="34">
        <f t="shared" si="23"/>
        <v>1.1087655926162754</v>
      </c>
      <c r="CK10" s="34">
        <f t="shared" si="23"/>
        <v>1.1106135352706359</v>
      </c>
      <c r="CL10" s="34">
        <f t="shared" si="23"/>
        <v>1.1124645578294203</v>
      </c>
      <c r="CM10" s="34">
        <f t="shared" si="23"/>
        <v>1.1143186654258028</v>
      </c>
      <c r="CN10" s="34">
        <f t="shared" ref="CN10:EY10" si="24">CM10*(1+CN9)</f>
        <v>1.1161758632015126</v>
      </c>
      <c r="CO10" s="34">
        <f t="shared" si="24"/>
        <v>1.1180361563068486</v>
      </c>
      <c r="CP10" s="34">
        <f t="shared" si="24"/>
        <v>1.1198995499006934</v>
      </c>
      <c r="CQ10" s="34">
        <f t="shared" si="24"/>
        <v>1.1217660491505279</v>
      </c>
      <c r="CR10" s="34">
        <f t="shared" si="24"/>
        <v>1.1236356592324455</v>
      </c>
      <c r="CS10" s="34">
        <f t="shared" si="24"/>
        <v>1.1255083853311663</v>
      </c>
      <c r="CT10" s="34">
        <f t="shared" si="24"/>
        <v>1.1273842326400516</v>
      </c>
      <c r="CU10" s="34">
        <f t="shared" si="24"/>
        <v>1.1292632063611183</v>
      </c>
      <c r="CV10" s="34">
        <f t="shared" si="24"/>
        <v>1.1311453117050536</v>
      </c>
      <c r="CW10" s="34">
        <f t="shared" si="24"/>
        <v>1.1330305538912286</v>
      </c>
      <c r="CX10" s="34">
        <f t="shared" si="24"/>
        <v>1.1349189381477141</v>
      </c>
      <c r="CY10" s="34">
        <f t="shared" si="24"/>
        <v>1.1368104697112935</v>
      </c>
      <c r="CZ10" s="34">
        <f t="shared" si="24"/>
        <v>1.1387051538274791</v>
      </c>
      <c r="DA10" s="34">
        <f t="shared" si="24"/>
        <v>1.1406029957505248</v>
      </c>
      <c r="DB10" s="34">
        <f t="shared" si="24"/>
        <v>1.1425040007434424</v>
      </c>
      <c r="DC10" s="34">
        <f t="shared" si="24"/>
        <v>1.1444081740780148</v>
      </c>
      <c r="DD10" s="34">
        <f t="shared" si="24"/>
        <v>1.1463155210348115</v>
      </c>
      <c r="DE10" s="34">
        <f t="shared" si="24"/>
        <v>1.1482260469032028</v>
      </c>
      <c r="DF10" s="34">
        <f t="shared" si="24"/>
        <v>1.1501397569813749</v>
      </c>
      <c r="DG10" s="34">
        <f t="shared" si="24"/>
        <v>1.1520566565763439</v>
      </c>
      <c r="DH10" s="34">
        <f t="shared" si="24"/>
        <v>1.1539767510039711</v>
      </c>
      <c r="DI10" s="34">
        <f t="shared" si="24"/>
        <v>1.1559000455889779</v>
      </c>
      <c r="DJ10" s="34">
        <f t="shared" si="24"/>
        <v>1.1578265456649595</v>
      </c>
      <c r="DK10" s="34">
        <f t="shared" si="24"/>
        <v>1.1597562565744011</v>
      </c>
      <c r="DL10" s="34">
        <f t="shared" si="24"/>
        <v>1.1616891836686918</v>
      </c>
      <c r="DM10" s="34">
        <f t="shared" si="24"/>
        <v>1.1636253323081396</v>
      </c>
      <c r="DN10" s="34">
        <f t="shared" si="24"/>
        <v>1.1655647078619866</v>
      </c>
      <c r="DO10" s="34">
        <f t="shared" si="24"/>
        <v>1.1675073157084233</v>
      </c>
      <c r="DP10" s="34">
        <f t="shared" si="24"/>
        <v>1.169453161234604</v>
      </c>
      <c r="DQ10" s="34">
        <f t="shared" si="24"/>
        <v>1.1714022498366616</v>
      </c>
      <c r="DR10" s="34">
        <f t="shared" si="24"/>
        <v>1.1733545869197228</v>
      </c>
      <c r="DS10" s="34">
        <f t="shared" si="24"/>
        <v>1.1753101778979225</v>
      </c>
      <c r="DT10" s="34">
        <f t="shared" si="24"/>
        <v>1.1772690281944191</v>
      </c>
      <c r="DU10" s="34">
        <f t="shared" si="24"/>
        <v>1.17923114324141</v>
      </c>
      <c r="DV10" s="34">
        <f t="shared" si="24"/>
        <v>1.1811965284801458</v>
      </c>
      <c r="DW10" s="34">
        <f t="shared" si="24"/>
        <v>1.1831651893609461</v>
      </c>
      <c r="DX10" s="34">
        <f t="shared" si="24"/>
        <v>1.1851371313432144</v>
      </c>
      <c r="DY10" s="34">
        <f t="shared" si="24"/>
        <v>1.1871123598954532</v>
      </c>
      <c r="DZ10" s="34">
        <f t="shared" si="24"/>
        <v>1.1890908804952789</v>
      </c>
      <c r="EA10" s="34">
        <f t="shared" si="24"/>
        <v>1.1910726986294378</v>
      </c>
      <c r="EB10" s="34">
        <f t="shared" si="24"/>
        <v>1.1930578197938202</v>
      </c>
      <c r="EC10" s="34">
        <f t="shared" si="24"/>
        <v>1.1950462494934766</v>
      </c>
      <c r="ED10" s="34">
        <f t="shared" si="24"/>
        <v>1.1970379932426325</v>
      </c>
      <c r="EE10" s="34">
        <f t="shared" si="24"/>
        <v>1.1990330565647036</v>
      </c>
      <c r="EF10" s="34">
        <f t="shared" si="24"/>
        <v>1.2010314449923114</v>
      </c>
      <c r="EG10" s="34">
        <f t="shared" si="24"/>
        <v>1.2030331640672987</v>
      </c>
      <c r="EH10" s="34">
        <f t="shared" si="24"/>
        <v>1.2050382193407443</v>
      </c>
      <c r="EI10" s="34">
        <f t="shared" si="24"/>
        <v>1.2070466163729789</v>
      </c>
      <c r="EJ10" s="34">
        <f t="shared" si="24"/>
        <v>1.2090583607336005</v>
      </c>
      <c r="EK10" s="34">
        <f t="shared" si="24"/>
        <v>1.2110734580014899</v>
      </c>
      <c r="EL10" s="34">
        <f t="shared" si="24"/>
        <v>1.2130919137648257</v>
      </c>
      <c r="EM10" s="34">
        <f t="shared" si="24"/>
        <v>1.2151137336211004</v>
      </c>
      <c r="EN10" s="34">
        <f t="shared" si="24"/>
        <v>1.2171389231771357</v>
      </c>
      <c r="EO10" s="34">
        <f t="shared" si="24"/>
        <v>1.2191674880490977</v>
      </c>
      <c r="EP10" s="34">
        <f t="shared" si="24"/>
        <v>1.221199433862513</v>
      </c>
      <c r="EQ10" s="34">
        <f t="shared" si="24"/>
        <v>1.2232347662522838</v>
      </c>
      <c r="ER10" s="34">
        <f t="shared" si="24"/>
        <v>1.2252734908627043</v>
      </c>
      <c r="ES10" s="34">
        <f t="shared" si="24"/>
        <v>1.2273156133474756</v>
      </c>
      <c r="ET10" s="34">
        <f t="shared" si="24"/>
        <v>1.2293611393697215</v>
      </c>
      <c r="EU10" s="34">
        <f t="shared" si="24"/>
        <v>1.2314100746020045</v>
      </c>
      <c r="EV10" s="34">
        <f t="shared" si="24"/>
        <v>1.2334624247263413</v>
      </c>
      <c r="EW10" s="34">
        <f t="shared" si="24"/>
        <v>1.2355181954342185</v>
      </c>
      <c r="EX10" s="34">
        <f t="shared" si="24"/>
        <v>1.2375773924266089</v>
      </c>
      <c r="EY10" s="34">
        <f t="shared" si="24"/>
        <v>1.2396400214139867</v>
      </c>
      <c r="EZ10" s="34">
        <f t="shared" ref="EZ10:FB10" si="25">EY10*(1+EZ9)</f>
        <v>1.2417060881163433</v>
      </c>
      <c r="FA10" s="34">
        <f t="shared" si="25"/>
        <v>1.2437755982632039</v>
      </c>
      <c r="FB10" s="34">
        <f t="shared" si="25"/>
        <v>1.2458485575936427</v>
      </c>
    </row>
    <row r="11" spans="2:158">
      <c r="B11" s="15" t="s">
        <v>19</v>
      </c>
      <c r="C11" s="30">
        <f ca="1">L89</f>
        <v>2.0982943549719413</v>
      </c>
      <c r="D11" s="30">
        <f ca="1">L106</f>
        <v>2.7187031450854358</v>
      </c>
      <c r="E11" s="25" t="s">
        <v>19</v>
      </c>
      <c r="F11" s="194">
        <f ca="1">L131</f>
        <v>2.5741801978394983</v>
      </c>
      <c r="G11" s="194">
        <f ca="1">L134</f>
        <v>3.537666512812415</v>
      </c>
      <c r="I11" s="9" t="str">
        <f>B79</f>
        <v>Other Income</v>
      </c>
      <c r="N11" s="31">
        <f>SUMIF($Z$3:$FB$3,N$7,$Z11:$FB11)</f>
        <v>0</v>
      </c>
      <c r="O11" s="31">
        <f t="shared" si="18"/>
        <v>0.02</v>
      </c>
      <c r="P11" s="31">
        <f t="shared" si="18"/>
        <v>0.02</v>
      </c>
      <c r="Q11" s="31">
        <f t="shared" si="18"/>
        <v>0.02</v>
      </c>
      <c r="R11" s="31">
        <f t="shared" si="18"/>
        <v>0.02</v>
      </c>
      <c r="S11" s="31">
        <f t="shared" si="18"/>
        <v>0.02</v>
      </c>
      <c r="T11" s="31">
        <f t="shared" si="18"/>
        <v>0.02</v>
      </c>
      <c r="U11" s="31">
        <f t="shared" si="18"/>
        <v>0.02</v>
      </c>
      <c r="V11" s="31">
        <f t="shared" si="18"/>
        <v>0.02</v>
      </c>
      <c r="W11" s="31">
        <f t="shared" si="18"/>
        <v>0.02</v>
      </c>
      <c r="X11" s="31">
        <f t="shared" si="18"/>
        <v>0.02</v>
      </c>
      <c r="Z11" s="31">
        <v>0</v>
      </c>
      <c r="AA11" s="31">
        <f t="shared" ref="AA11:BF11" si="26">IFERROR(INDEX($C79:$G79,MATCH(YEAR(AA$6),$C$77:$G$77,0))/12,Z11)</f>
        <v>1.6666666666666668E-3</v>
      </c>
      <c r="AB11" s="31">
        <f t="shared" si="26"/>
        <v>1.6666666666666668E-3</v>
      </c>
      <c r="AC11" s="31">
        <f t="shared" si="26"/>
        <v>1.6666666666666668E-3</v>
      </c>
      <c r="AD11" s="31">
        <f t="shared" si="26"/>
        <v>1.6666666666666668E-3</v>
      </c>
      <c r="AE11" s="31">
        <f t="shared" si="26"/>
        <v>1.6666666666666668E-3</v>
      </c>
      <c r="AF11" s="31">
        <f t="shared" si="26"/>
        <v>1.6666666666666668E-3</v>
      </c>
      <c r="AG11" s="31">
        <f t="shared" si="26"/>
        <v>1.6666666666666668E-3</v>
      </c>
      <c r="AH11" s="31">
        <f t="shared" si="26"/>
        <v>1.6666666666666668E-3</v>
      </c>
      <c r="AI11" s="31">
        <f t="shared" si="26"/>
        <v>1.6666666666666668E-3</v>
      </c>
      <c r="AJ11" s="31">
        <f t="shared" si="26"/>
        <v>1.6666666666666668E-3</v>
      </c>
      <c r="AK11" s="31">
        <f t="shared" si="26"/>
        <v>1.6666666666666668E-3</v>
      </c>
      <c r="AL11" s="31">
        <f t="shared" si="26"/>
        <v>1.6666666666666668E-3</v>
      </c>
      <c r="AM11" s="31">
        <f t="shared" si="26"/>
        <v>1.6666666666666668E-3</v>
      </c>
      <c r="AN11" s="31">
        <f t="shared" si="26"/>
        <v>1.6666666666666668E-3</v>
      </c>
      <c r="AO11" s="31">
        <f t="shared" si="26"/>
        <v>1.6666666666666668E-3</v>
      </c>
      <c r="AP11" s="31">
        <f t="shared" si="26"/>
        <v>1.6666666666666668E-3</v>
      </c>
      <c r="AQ11" s="31">
        <f t="shared" si="26"/>
        <v>1.6666666666666668E-3</v>
      </c>
      <c r="AR11" s="31">
        <f t="shared" si="26"/>
        <v>1.6666666666666668E-3</v>
      </c>
      <c r="AS11" s="31">
        <f t="shared" si="26"/>
        <v>1.6666666666666668E-3</v>
      </c>
      <c r="AT11" s="31">
        <f t="shared" si="26"/>
        <v>1.6666666666666668E-3</v>
      </c>
      <c r="AU11" s="31">
        <f t="shared" si="26"/>
        <v>1.6666666666666668E-3</v>
      </c>
      <c r="AV11" s="31">
        <f t="shared" si="26"/>
        <v>1.6666666666666668E-3</v>
      </c>
      <c r="AW11" s="31">
        <f t="shared" si="26"/>
        <v>1.6666666666666668E-3</v>
      </c>
      <c r="AX11" s="31">
        <f t="shared" si="26"/>
        <v>1.6666666666666668E-3</v>
      </c>
      <c r="AY11" s="31">
        <f t="shared" si="26"/>
        <v>1.6666666666666668E-3</v>
      </c>
      <c r="AZ11" s="31">
        <f t="shared" si="26"/>
        <v>1.6666666666666668E-3</v>
      </c>
      <c r="BA11" s="31">
        <f t="shared" si="26"/>
        <v>1.6666666666666668E-3</v>
      </c>
      <c r="BB11" s="31">
        <f t="shared" si="26"/>
        <v>1.6666666666666668E-3</v>
      </c>
      <c r="BC11" s="31">
        <f t="shared" si="26"/>
        <v>1.6666666666666668E-3</v>
      </c>
      <c r="BD11" s="31">
        <f t="shared" si="26"/>
        <v>1.6666666666666668E-3</v>
      </c>
      <c r="BE11" s="31">
        <f t="shared" si="26"/>
        <v>1.6666666666666668E-3</v>
      </c>
      <c r="BF11" s="31">
        <f t="shared" si="26"/>
        <v>1.6666666666666668E-3</v>
      </c>
      <c r="BG11" s="31">
        <f t="shared" ref="BG11:CL11" si="27">IFERROR(INDEX($C79:$G79,MATCH(YEAR(BG$6),$C$77:$G$77,0))/12,BF11)</f>
        <v>1.6666666666666668E-3</v>
      </c>
      <c r="BH11" s="31">
        <f t="shared" si="27"/>
        <v>1.6666666666666668E-3</v>
      </c>
      <c r="BI11" s="31">
        <f t="shared" si="27"/>
        <v>1.6666666666666668E-3</v>
      </c>
      <c r="BJ11" s="31">
        <f t="shared" si="27"/>
        <v>1.6666666666666668E-3</v>
      </c>
      <c r="BK11" s="31">
        <f t="shared" si="27"/>
        <v>1.6666666666666668E-3</v>
      </c>
      <c r="BL11" s="31">
        <f t="shared" si="27"/>
        <v>1.6666666666666668E-3</v>
      </c>
      <c r="BM11" s="31">
        <f t="shared" si="27"/>
        <v>1.6666666666666668E-3</v>
      </c>
      <c r="BN11" s="31">
        <f t="shared" si="27"/>
        <v>1.6666666666666668E-3</v>
      </c>
      <c r="BO11" s="31">
        <f t="shared" si="27"/>
        <v>1.6666666666666668E-3</v>
      </c>
      <c r="BP11" s="31">
        <f t="shared" si="27"/>
        <v>1.6666666666666668E-3</v>
      </c>
      <c r="BQ11" s="31">
        <f t="shared" si="27"/>
        <v>1.6666666666666668E-3</v>
      </c>
      <c r="BR11" s="31">
        <f t="shared" si="27"/>
        <v>1.6666666666666668E-3</v>
      </c>
      <c r="BS11" s="31">
        <f t="shared" si="27"/>
        <v>1.6666666666666668E-3</v>
      </c>
      <c r="BT11" s="31">
        <f t="shared" si="27"/>
        <v>1.6666666666666668E-3</v>
      </c>
      <c r="BU11" s="31">
        <f t="shared" si="27"/>
        <v>1.6666666666666668E-3</v>
      </c>
      <c r="BV11" s="31">
        <f t="shared" si="27"/>
        <v>1.6666666666666668E-3</v>
      </c>
      <c r="BW11" s="31">
        <f t="shared" si="27"/>
        <v>1.6666666666666668E-3</v>
      </c>
      <c r="BX11" s="31">
        <f t="shared" si="27"/>
        <v>1.6666666666666668E-3</v>
      </c>
      <c r="BY11" s="31">
        <f t="shared" si="27"/>
        <v>1.6666666666666668E-3</v>
      </c>
      <c r="BZ11" s="31">
        <f t="shared" si="27"/>
        <v>1.6666666666666668E-3</v>
      </c>
      <c r="CA11" s="31">
        <f t="shared" si="27"/>
        <v>1.6666666666666668E-3</v>
      </c>
      <c r="CB11" s="31">
        <f t="shared" si="27"/>
        <v>1.6666666666666668E-3</v>
      </c>
      <c r="CC11" s="31">
        <f t="shared" si="27"/>
        <v>1.6666666666666668E-3</v>
      </c>
      <c r="CD11" s="31">
        <f t="shared" si="27"/>
        <v>1.6666666666666668E-3</v>
      </c>
      <c r="CE11" s="31">
        <f t="shared" si="27"/>
        <v>1.6666666666666668E-3</v>
      </c>
      <c r="CF11" s="31">
        <f t="shared" si="27"/>
        <v>1.6666666666666668E-3</v>
      </c>
      <c r="CG11" s="31">
        <f t="shared" si="27"/>
        <v>1.6666666666666668E-3</v>
      </c>
      <c r="CH11" s="31">
        <f t="shared" si="27"/>
        <v>1.6666666666666668E-3</v>
      </c>
      <c r="CI11" s="31">
        <f t="shared" si="27"/>
        <v>1.6666666666666668E-3</v>
      </c>
      <c r="CJ11" s="31">
        <f t="shared" si="27"/>
        <v>1.6666666666666668E-3</v>
      </c>
      <c r="CK11" s="31">
        <f t="shared" si="27"/>
        <v>1.6666666666666668E-3</v>
      </c>
      <c r="CL11" s="31">
        <f t="shared" si="27"/>
        <v>1.6666666666666668E-3</v>
      </c>
      <c r="CM11" s="31">
        <f t="shared" ref="CM11:DR11" si="28">IFERROR(INDEX($C79:$G79,MATCH(YEAR(CM$6),$C$77:$G$77,0))/12,CL11)</f>
        <v>1.6666666666666668E-3</v>
      </c>
      <c r="CN11" s="31">
        <f t="shared" si="28"/>
        <v>1.6666666666666668E-3</v>
      </c>
      <c r="CO11" s="31">
        <f t="shared" si="28"/>
        <v>1.6666666666666668E-3</v>
      </c>
      <c r="CP11" s="31">
        <f t="shared" si="28"/>
        <v>1.6666666666666668E-3</v>
      </c>
      <c r="CQ11" s="31">
        <f t="shared" si="28"/>
        <v>1.6666666666666668E-3</v>
      </c>
      <c r="CR11" s="31">
        <f t="shared" si="28"/>
        <v>1.6666666666666668E-3</v>
      </c>
      <c r="CS11" s="31">
        <f t="shared" si="28"/>
        <v>1.6666666666666668E-3</v>
      </c>
      <c r="CT11" s="31">
        <f t="shared" si="28"/>
        <v>1.6666666666666668E-3</v>
      </c>
      <c r="CU11" s="31">
        <f t="shared" si="28"/>
        <v>1.6666666666666668E-3</v>
      </c>
      <c r="CV11" s="31">
        <f t="shared" si="28"/>
        <v>1.6666666666666668E-3</v>
      </c>
      <c r="CW11" s="31">
        <f t="shared" si="28"/>
        <v>1.6666666666666668E-3</v>
      </c>
      <c r="CX11" s="31">
        <f t="shared" si="28"/>
        <v>1.6666666666666668E-3</v>
      </c>
      <c r="CY11" s="31">
        <f t="shared" si="28"/>
        <v>1.6666666666666668E-3</v>
      </c>
      <c r="CZ11" s="31">
        <f t="shared" si="28"/>
        <v>1.6666666666666668E-3</v>
      </c>
      <c r="DA11" s="31">
        <f t="shared" si="28"/>
        <v>1.6666666666666668E-3</v>
      </c>
      <c r="DB11" s="31">
        <f t="shared" si="28"/>
        <v>1.6666666666666668E-3</v>
      </c>
      <c r="DC11" s="31">
        <f t="shared" si="28"/>
        <v>1.6666666666666668E-3</v>
      </c>
      <c r="DD11" s="31">
        <f t="shared" si="28"/>
        <v>1.6666666666666668E-3</v>
      </c>
      <c r="DE11" s="31">
        <f t="shared" si="28"/>
        <v>1.6666666666666668E-3</v>
      </c>
      <c r="DF11" s="31">
        <f t="shared" si="28"/>
        <v>1.6666666666666668E-3</v>
      </c>
      <c r="DG11" s="31">
        <f t="shared" si="28"/>
        <v>1.6666666666666668E-3</v>
      </c>
      <c r="DH11" s="31">
        <f t="shared" si="28"/>
        <v>1.6666666666666668E-3</v>
      </c>
      <c r="DI11" s="31">
        <f t="shared" si="28"/>
        <v>1.6666666666666668E-3</v>
      </c>
      <c r="DJ11" s="31">
        <f t="shared" si="28"/>
        <v>1.6666666666666668E-3</v>
      </c>
      <c r="DK11" s="31">
        <f t="shared" si="28"/>
        <v>1.6666666666666668E-3</v>
      </c>
      <c r="DL11" s="31">
        <f t="shared" si="28"/>
        <v>1.6666666666666668E-3</v>
      </c>
      <c r="DM11" s="31">
        <f t="shared" si="28"/>
        <v>1.6666666666666668E-3</v>
      </c>
      <c r="DN11" s="31">
        <f t="shared" si="28"/>
        <v>1.6666666666666668E-3</v>
      </c>
      <c r="DO11" s="31">
        <f t="shared" si="28"/>
        <v>1.6666666666666668E-3</v>
      </c>
      <c r="DP11" s="31">
        <f t="shared" si="28"/>
        <v>1.6666666666666668E-3</v>
      </c>
      <c r="DQ11" s="31">
        <f t="shared" si="28"/>
        <v>1.6666666666666668E-3</v>
      </c>
      <c r="DR11" s="31">
        <f t="shared" si="28"/>
        <v>1.6666666666666668E-3</v>
      </c>
      <c r="DS11" s="31">
        <f t="shared" ref="DS11:FB11" si="29">IFERROR(INDEX($C79:$G79,MATCH(YEAR(DS$6),$C$77:$G$77,0))/12,DR11)</f>
        <v>1.6666666666666668E-3</v>
      </c>
      <c r="DT11" s="31">
        <f t="shared" si="29"/>
        <v>1.6666666666666668E-3</v>
      </c>
      <c r="DU11" s="31">
        <f t="shared" si="29"/>
        <v>1.6666666666666668E-3</v>
      </c>
      <c r="DV11" s="31">
        <f t="shared" si="29"/>
        <v>1.6666666666666668E-3</v>
      </c>
      <c r="DW11" s="31">
        <f t="shared" si="29"/>
        <v>1.6666666666666668E-3</v>
      </c>
      <c r="DX11" s="31">
        <f t="shared" si="29"/>
        <v>1.6666666666666668E-3</v>
      </c>
      <c r="DY11" s="31">
        <f t="shared" si="29"/>
        <v>1.6666666666666668E-3</v>
      </c>
      <c r="DZ11" s="31">
        <f t="shared" si="29"/>
        <v>1.6666666666666668E-3</v>
      </c>
      <c r="EA11" s="31">
        <f t="shared" si="29"/>
        <v>1.6666666666666668E-3</v>
      </c>
      <c r="EB11" s="31">
        <f t="shared" si="29"/>
        <v>1.6666666666666668E-3</v>
      </c>
      <c r="EC11" s="31">
        <f t="shared" si="29"/>
        <v>1.6666666666666668E-3</v>
      </c>
      <c r="ED11" s="31">
        <f t="shared" si="29"/>
        <v>1.6666666666666668E-3</v>
      </c>
      <c r="EE11" s="31">
        <f t="shared" si="29"/>
        <v>1.6666666666666668E-3</v>
      </c>
      <c r="EF11" s="31">
        <f t="shared" si="29"/>
        <v>1.6666666666666668E-3</v>
      </c>
      <c r="EG11" s="31">
        <f t="shared" si="29"/>
        <v>1.6666666666666668E-3</v>
      </c>
      <c r="EH11" s="31">
        <f t="shared" si="29"/>
        <v>1.6666666666666668E-3</v>
      </c>
      <c r="EI11" s="31">
        <f t="shared" si="29"/>
        <v>1.6666666666666668E-3</v>
      </c>
      <c r="EJ11" s="31">
        <f t="shared" si="29"/>
        <v>1.6666666666666668E-3</v>
      </c>
      <c r="EK11" s="31">
        <f t="shared" si="29"/>
        <v>1.6666666666666668E-3</v>
      </c>
      <c r="EL11" s="31">
        <f t="shared" si="29"/>
        <v>1.6666666666666668E-3</v>
      </c>
      <c r="EM11" s="31">
        <f t="shared" si="29"/>
        <v>1.6666666666666668E-3</v>
      </c>
      <c r="EN11" s="31">
        <f t="shared" si="29"/>
        <v>1.6666666666666668E-3</v>
      </c>
      <c r="EO11" s="31">
        <f t="shared" si="29"/>
        <v>1.6666666666666668E-3</v>
      </c>
      <c r="EP11" s="31">
        <f t="shared" si="29"/>
        <v>1.6666666666666668E-3</v>
      </c>
      <c r="EQ11" s="31">
        <f t="shared" si="29"/>
        <v>1.6666666666666668E-3</v>
      </c>
      <c r="ER11" s="31">
        <f t="shared" si="29"/>
        <v>1.6666666666666668E-3</v>
      </c>
      <c r="ES11" s="31">
        <f t="shared" si="29"/>
        <v>1.6666666666666668E-3</v>
      </c>
      <c r="ET11" s="31">
        <f t="shared" si="29"/>
        <v>1.6666666666666668E-3</v>
      </c>
      <c r="EU11" s="31">
        <f t="shared" si="29"/>
        <v>1.6666666666666668E-3</v>
      </c>
      <c r="EV11" s="31">
        <f t="shared" si="29"/>
        <v>1.6666666666666668E-3</v>
      </c>
      <c r="EW11" s="31">
        <f t="shared" si="29"/>
        <v>1.6666666666666668E-3</v>
      </c>
      <c r="EX11" s="31">
        <f t="shared" si="29"/>
        <v>1.6666666666666668E-3</v>
      </c>
      <c r="EY11" s="31">
        <f t="shared" si="29"/>
        <v>1.6666666666666668E-3</v>
      </c>
      <c r="EZ11" s="31">
        <f t="shared" si="29"/>
        <v>1.6666666666666668E-3</v>
      </c>
      <c r="FA11" s="31">
        <f t="shared" si="29"/>
        <v>1.6666666666666668E-3</v>
      </c>
      <c r="FB11" s="31">
        <f t="shared" si="29"/>
        <v>1.6666666666666668E-3</v>
      </c>
    </row>
    <row r="12" spans="2:158">
      <c r="B12" s="232"/>
      <c r="C12" s="13"/>
      <c r="D12" s="11"/>
      <c r="E12" s="15"/>
      <c r="F12" s="16"/>
      <c r="I12" s="32" t="s">
        <v>22</v>
      </c>
      <c r="J12" s="32"/>
      <c r="K12" s="33"/>
      <c r="L12" s="141"/>
      <c r="M12" s="33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3"/>
      <c r="Z12" s="34">
        <v>1</v>
      </c>
      <c r="AA12" s="34">
        <f>Z12*(1+AA11)</f>
        <v>1.0016666666666667</v>
      </c>
      <c r="AB12" s="34">
        <f t="shared" ref="AB12:CM12" si="30">AA12*(1+AB11)</f>
        <v>1.0033361111111112</v>
      </c>
      <c r="AC12" s="34">
        <f t="shared" si="30"/>
        <v>1.0050083379629631</v>
      </c>
      <c r="AD12" s="34">
        <f t="shared" si="30"/>
        <v>1.0066833518595681</v>
      </c>
      <c r="AE12" s="34">
        <f t="shared" si="30"/>
        <v>1.0083611574460007</v>
      </c>
      <c r="AF12" s="34">
        <f t="shared" si="30"/>
        <v>1.0100417593750775</v>
      </c>
      <c r="AG12" s="34">
        <f t="shared" si="30"/>
        <v>1.0117251623073693</v>
      </c>
      <c r="AH12" s="34">
        <f t="shared" si="30"/>
        <v>1.0134113709112149</v>
      </c>
      <c r="AI12" s="34">
        <f t="shared" si="30"/>
        <v>1.0151003898627335</v>
      </c>
      <c r="AJ12" s="34">
        <f t="shared" si="30"/>
        <v>1.0167922238458382</v>
      </c>
      <c r="AK12" s="34">
        <f t="shared" si="30"/>
        <v>1.018486877552248</v>
      </c>
      <c r="AL12" s="34">
        <f t="shared" si="30"/>
        <v>1.0201843556815018</v>
      </c>
      <c r="AM12" s="34">
        <f t="shared" si="30"/>
        <v>1.021884662940971</v>
      </c>
      <c r="AN12" s="34">
        <f t="shared" si="30"/>
        <v>1.0235878040458726</v>
      </c>
      <c r="AO12" s="34">
        <f t="shared" si="30"/>
        <v>1.0252937837192824</v>
      </c>
      <c r="AP12" s="34">
        <f t="shared" si="30"/>
        <v>1.0270026066921478</v>
      </c>
      <c r="AQ12" s="34">
        <f t="shared" si="30"/>
        <v>1.0287142777033014</v>
      </c>
      <c r="AR12" s="34">
        <f t="shared" si="30"/>
        <v>1.0304288014994736</v>
      </c>
      <c r="AS12" s="34">
        <f t="shared" si="30"/>
        <v>1.032146182835306</v>
      </c>
      <c r="AT12" s="34">
        <f t="shared" si="30"/>
        <v>1.0338664264733648</v>
      </c>
      <c r="AU12" s="34">
        <f t="shared" si="30"/>
        <v>1.0355895371841537</v>
      </c>
      <c r="AV12" s="34">
        <f t="shared" si="30"/>
        <v>1.0373155197461272</v>
      </c>
      <c r="AW12" s="34">
        <f t="shared" si="30"/>
        <v>1.0390443789457042</v>
      </c>
      <c r="AX12" s="34">
        <f t="shared" si="30"/>
        <v>1.0407761195772804</v>
      </c>
      <c r="AY12" s="34">
        <f t="shared" si="30"/>
        <v>1.0425107464432426</v>
      </c>
      <c r="AZ12" s="34">
        <f t="shared" si="30"/>
        <v>1.0442482643539814</v>
      </c>
      <c r="BA12" s="34">
        <f t="shared" si="30"/>
        <v>1.0459886781279049</v>
      </c>
      <c r="BB12" s="34">
        <f t="shared" si="30"/>
        <v>1.0477319925914514</v>
      </c>
      <c r="BC12" s="34">
        <f t="shared" si="30"/>
        <v>1.049478212579104</v>
      </c>
      <c r="BD12" s="34">
        <f t="shared" si="30"/>
        <v>1.0512273429334025</v>
      </c>
      <c r="BE12" s="34">
        <f t="shared" si="30"/>
        <v>1.0529793885049581</v>
      </c>
      <c r="BF12" s="34">
        <f t="shared" si="30"/>
        <v>1.0547343541524663</v>
      </c>
      <c r="BG12" s="34">
        <f t="shared" si="30"/>
        <v>1.0564922447427205</v>
      </c>
      <c r="BH12" s="34">
        <f t="shared" si="30"/>
        <v>1.058253065150625</v>
      </c>
      <c r="BI12" s="34">
        <f t="shared" si="30"/>
        <v>1.0600168202592095</v>
      </c>
      <c r="BJ12" s="34">
        <f t="shared" si="30"/>
        <v>1.0617835149596415</v>
      </c>
      <c r="BK12" s="34">
        <f t="shared" si="30"/>
        <v>1.0635531541512409</v>
      </c>
      <c r="BL12" s="34">
        <f t="shared" si="30"/>
        <v>1.0653257427414931</v>
      </c>
      <c r="BM12" s="34">
        <f t="shared" si="30"/>
        <v>1.0671012856460622</v>
      </c>
      <c r="BN12" s="34">
        <f t="shared" si="30"/>
        <v>1.0688797877888057</v>
      </c>
      <c r="BO12" s="34">
        <f t="shared" si="30"/>
        <v>1.070661254101787</v>
      </c>
      <c r="BP12" s="34">
        <f t="shared" si="30"/>
        <v>1.0724456895252901</v>
      </c>
      <c r="BQ12" s="34">
        <f t="shared" si="30"/>
        <v>1.0742330990078324</v>
      </c>
      <c r="BR12" s="34">
        <f t="shared" si="30"/>
        <v>1.0760234875061787</v>
      </c>
      <c r="BS12" s="34">
        <f t="shared" si="30"/>
        <v>1.0778168599853557</v>
      </c>
      <c r="BT12" s="34">
        <f t="shared" si="30"/>
        <v>1.0796132214186647</v>
      </c>
      <c r="BU12" s="34">
        <f t="shared" si="30"/>
        <v>1.0814125767876959</v>
      </c>
      <c r="BV12" s="34">
        <f t="shared" si="30"/>
        <v>1.083214931082342</v>
      </c>
      <c r="BW12" s="34">
        <f t="shared" si="30"/>
        <v>1.0850202893008127</v>
      </c>
      <c r="BX12" s="34">
        <f t="shared" si="30"/>
        <v>1.0868286564496474</v>
      </c>
      <c r="BY12" s="34">
        <f t="shared" si="30"/>
        <v>1.0886400375437302</v>
      </c>
      <c r="BZ12" s="34">
        <f t="shared" si="30"/>
        <v>1.090454437606303</v>
      </c>
      <c r="CA12" s="34">
        <f t="shared" si="30"/>
        <v>1.0922718616689802</v>
      </c>
      <c r="CB12" s="34">
        <f t="shared" si="30"/>
        <v>1.0940923147717618</v>
      </c>
      <c r="CC12" s="34">
        <f t="shared" si="30"/>
        <v>1.0959158019630482</v>
      </c>
      <c r="CD12" s="34">
        <f t="shared" si="30"/>
        <v>1.0977423282996532</v>
      </c>
      <c r="CE12" s="34">
        <f t="shared" si="30"/>
        <v>1.0995718988468193</v>
      </c>
      <c r="CF12" s="34">
        <f t="shared" si="30"/>
        <v>1.1014045186782306</v>
      </c>
      <c r="CG12" s="34">
        <f t="shared" si="30"/>
        <v>1.1032401928760278</v>
      </c>
      <c r="CH12" s="34">
        <f t="shared" si="30"/>
        <v>1.1050789265308212</v>
      </c>
      <c r="CI12" s="34">
        <f t="shared" si="30"/>
        <v>1.1069207247417059</v>
      </c>
      <c r="CJ12" s="34">
        <f t="shared" si="30"/>
        <v>1.1087655926162754</v>
      </c>
      <c r="CK12" s="34">
        <f t="shared" si="30"/>
        <v>1.1106135352706359</v>
      </c>
      <c r="CL12" s="34">
        <f t="shared" si="30"/>
        <v>1.1124645578294203</v>
      </c>
      <c r="CM12" s="34">
        <f t="shared" si="30"/>
        <v>1.1143186654258028</v>
      </c>
      <c r="CN12" s="34">
        <f t="shared" ref="CN12:EY12" si="31">CM12*(1+CN11)</f>
        <v>1.1161758632015126</v>
      </c>
      <c r="CO12" s="34">
        <f t="shared" si="31"/>
        <v>1.1180361563068486</v>
      </c>
      <c r="CP12" s="34">
        <f t="shared" si="31"/>
        <v>1.1198995499006934</v>
      </c>
      <c r="CQ12" s="34">
        <f t="shared" si="31"/>
        <v>1.1217660491505279</v>
      </c>
      <c r="CR12" s="34">
        <f t="shared" si="31"/>
        <v>1.1236356592324455</v>
      </c>
      <c r="CS12" s="34">
        <f t="shared" si="31"/>
        <v>1.1255083853311663</v>
      </c>
      <c r="CT12" s="34">
        <f t="shared" si="31"/>
        <v>1.1273842326400516</v>
      </c>
      <c r="CU12" s="34">
        <f t="shared" si="31"/>
        <v>1.1292632063611183</v>
      </c>
      <c r="CV12" s="34">
        <f t="shared" si="31"/>
        <v>1.1311453117050536</v>
      </c>
      <c r="CW12" s="34">
        <f t="shared" si="31"/>
        <v>1.1330305538912286</v>
      </c>
      <c r="CX12" s="34">
        <f t="shared" si="31"/>
        <v>1.1349189381477141</v>
      </c>
      <c r="CY12" s="34">
        <f t="shared" si="31"/>
        <v>1.1368104697112935</v>
      </c>
      <c r="CZ12" s="34">
        <f t="shared" si="31"/>
        <v>1.1387051538274791</v>
      </c>
      <c r="DA12" s="34">
        <f t="shared" si="31"/>
        <v>1.1406029957505248</v>
      </c>
      <c r="DB12" s="34">
        <f t="shared" si="31"/>
        <v>1.1425040007434424</v>
      </c>
      <c r="DC12" s="34">
        <f t="shared" si="31"/>
        <v>1.1444081740780148</v>
      </c>
      <c r="DD12" s="34">
        <f t="shared" si="31"/>
        <v>1.1463155210348115</v>
      </c>
      <c r="DE12" s="34">
        <f t="shared" si="31"/>
        <v>1.1482260469032028</v>
      </c>
      <c r="DF12" s="34">
        <f t="shared" si="31"/>
        <v>1.1501397569813749</v>
      </c>
      <c r="DG12" s="34">
        <f t="shared" si="31"/>
        <v>1.1520566565763439</v>
      </c>
      <c r="DH12" s="34">
        <f t="shared" si="31"/>
        <v>1.1539767510039711</v>
      </c>
      <c r="DI12" s="34">
        <f t="shared" si="31"/>
        <v>1.1559000455889779</v>
      </c>
      <c r="DJ12" s="34">
        <f t="shared" si="31"/>
        <v>1.1578265456649595</v>
      </c>
      <c r="DK12" s="34">
        <f t="shared" si="31"/>
        <v>1.1597562565744011</v>
      </c>
      <c r="DL12" s="34">
        <f t="shared" si="31"/>
        <v>1.1616891836686918</v>
      </c>
      <c r="DM12" s="34">
        <f t="shared" si="31"/>
        <v>1.1636253323081396</v>
      </c>
      <c r="DN12" s="34">
        <f t="shared" si="31"/>
        <v>1.1655647078619866</v>
      </c>
      <c r="DO12" s="34">
        <f t="shared" si="31"/>
        <v>1.1675073157084233</v>
      </c>
      <c r="DP12" s="34">
        <f t="shared" si="31"/>
        <v>1.169453161234604</v>
      </c>
      <c r="DQ12" s="34">
        <f t="shared" si="31"/>
        <v>1.1714022498366616</v>
      </c>
      <c r="DR12" s="34">
        <f t="shared" si="31"/>
        <v>1.1733545869197228</v>
      </c>
      <c r="DS12" s="34">
        <f t="shared" si="31"/>
        <v>1.1753101778979225</v>
      </c>
      <c r="DT12" s="34">
        <f t="shared" si="31"/>
        <v>1.1772690281944191</v>
      </c>
      <c r="DU12" s="34">
        <f t="shared" si="31"/>
        <v>1.17923114324141</v>
      </c>
      <c r="DV12" s="34">
        <f t="shared" si="31"/>
        <v>1.1811965284801458</v>
      </c>
      <c r="DW12" s="34">
        <f t="shared" si="31"/>
        <v>1.1831651893609461</v>
      </c>
      <c r="DX12" s="34">
        <f t="shared" si="31"/>
        <v>1.1851371313432144</v>
      </c>
      <c r="DY12" s="34">
        <f t="shared" si="31"/>
        <v>1.1871123598954532</v>
      </c>
      <c r="DZ12" s="34">
        <f t="shared" si="31"/>
        <v>1.1890908804952789</v>
      </c>
      <c r="EA12" s="34">
        <f t="shared" si="31"/>
        <v>1.1910726986294378</v>
      </c>
      <c r="EB12" s="34">
        <f t="shared" si="31"/>
        <v>1.1930578197938202</v>
      </c>
      <c r="EC12" s="34">
        <f t="shared" si="31"/>
        <v>1.1950462494934766</v>
      </c>
      <c r="ED12" s="34">
        <f t="shared" si="31"/>
        <v>1.1970379932426325</v>
      </c>
      <c r="EE12" s="34">
        <f t="shared" si="31"/>
        <v>1.1990330565647036</v>
      </c>
      <c r="EF12" s="34">
        <f t="shared" si="31"/>
        <v>1.2010314449923114</v>
      </c>
      <c r="EG12" s="34">
        <f t="shared" si="31"/>
        <v>1.2030331640672987</v>
      </c>
      <c r="EH12" s="34">
        <f t="shared" si="31"/>
        <v>1.2050382193407443</v>
      </c>
      <c r="EI12" s="34">
        <f t="shared" si="31"/>
        <v>1.2070466163729789</v>
      </c>
      <c r="EJ12" s="34">
        <f t="shared" si="31"/>
        <v>1.2090583607336005</v>
      </c>
      <c r="EK12" s="34">
        <f t="shared" si="31"/>
        <v>1.2110734580014899</v>
      </c>
      <c r="EL12" s="34">
        <f t="shared" si="31"/>
        <v>1.2130919137648257</v>
      </c>
      <c r="EM12" s="34">
        <f t="shared" si="31"/>
        <v>1.2151137336211004</v>
      </c>
      <c r="EN12" s="34">
        <f t="shared" si="31"/>
        <v>1.2171389231771357</v>
      </c>
      <c r="EO12" s="34">
        <f t="shared" si="31"/>
        <v>1.2191674880490977</v>
      </c>
      <c r="EP12" s="34">
        <f t="shared" si="31"/>
        <v>1.221199433862513</v>
      </c>
      <c r="EQ12" s="34">
        <f t="shared" si="31"/>
        <v>1.2232347662522838</v>
      </c>
      <c r="ER12" s="34">
        <f t="shared" si="31"/>
        <v>1.2252734908627043</v>
      </c>
      <c r="ES12" s="34">
        <f t="shared" si="31"/>
        <v>1.2273156133474756</v>
      </c>
      <c r="ET12" s="34">
        <f t="shared" si="31"/>
        <v>1.2293611393697215</v>
      </c>
      <c r="EU12" s="34">
        <f t="shared" si="31"/>
        <v>1.2314100746020045</v>
      </c>
      <c r="EV12" s="34">
        <f t="shared" si="31"/>
        <v>1.2334624247263413</v>
      </c>
      <c r="EW12" s="34">
        <f t="shared" si="31"/>
        <v>1.2355181954342185</v>
      </c>
      <c r="EX12" s="34">
        <f t="shared" si="31"/>
        <v>1.2375773924266089</v>
      </c>
      <c r="EY12" s="34">
        <f t="shared" si="31"/>
        <v>1.2396400214139867</v>
      </c>
      <c r="EZ12" s="34">
        <f t="shared" ref="EZ12:FB12" si="32">EY12*(1+EZ11)</f>
        <v>1.2417060881163433</v>
      </c>
      <c r="FA12" s="34">
        <f t="shared" si="32"/>
        <v>1.2437755982632039</v>
      </c>
      <c r="FB12" s="34">
        <f t="shared" si="32"/>
        <v>1.2458485575936427</v>
      </c>
    </row>
    <row r="13" spans="2:158">
      <c r="B13" s="7" t="s">
        <v>21</v>
      </c>
      <c r="C13" s="7"/>
      <c r="D13" s="7"/>
      <c r="E13" s="7"/>
      <c r="F13" s="7"/>
      <c r="G13" s="7"/>
      <c r="I13" s="9" t="str">
        <f>B80</f>
        <v>Operating Expenses</v>
      </c>
      <c r="N13" s="31">
        <f>SUMIF($Z$3:$FB$3,N$7,$Z13:$FB13)</f>
        <v>0</v>
      </c>
      <c r="O13" s="31">
        <f t="shared" si="18"/>
        <v>0.02</v>
      </c>
      <c r="P13" s="31">
        <f t="shared" si="18"/>
        <v>0.02</v>
      </c>
      <c r="Q13" s="31">
        <f t="shared" si="18"/>
        <v>0.02</v>
      </c>
      <c r="R13" s="31">
        <f t="shared" si="18"/>
        <v>0.02</v>
      </c>
      <c r="S13" s="31">
        <f t="shared" si="18"/>
        <v>0.02</v>
      </c>
      <c r="T13" s="31">
        <f t="shared" si="18"/>
        <v>0.02</v>
      </c>
      <c r="U13" s="31">
        <f t="shared" si="18"/>
        <v>0.02</v>
      </c>
      <c r="V13" s="31">
        <f t="shared" si="18"/>
        <v>0.02</v>
      </c>
      <c r="W13" s="31">
        <f t="shared" si="18"/>
        <v>0.02</v>
      </c>
      <c r="X13" s="31">
        <f t="shared" si="18"/>
        <v>0.02</v>
      </c>
      <c r="Z13" s="31">
        <v>0</v>
      </c>
      <c r="AA13" s="31">
        <f t="shared" ref="AA13:BF13" si="33">IFERROR(INDEX($C80:$G80,MATCH(YEAR(AA$6),$C$77:$G$77,0))/12,Z13)</f>
        <v>1.6666666666666668E-3</v>
      </c>
      <c r="AB13" s="31">
        <f t="shared" si="33"/>
        <v>1.6666666666666668E-3</v>
      </c>
      <c r="AC13" s="31">
        <f t="shared" si="33"/>
        <v>1.6666666666666668E-3</v>
      </c>
      <c r="AD13" s="31">
        <f t="shared" si="33"/>
        <v>1.6666666666666668E-3</v>
      </c>
      <c r="AE13" s="31">
        <f t="shared" si="33"/>
        <v>1.6666666666666668E-3</v>
      </c>
      <c r="AF13" s="31">
        <f t="shared" si="33"/>
        <v>1.6666666666666668E-3</v>
      </c>
      <c r="AG13" s="31">
        <f t="shared" si="33"/>
        <v>1.6666666666666668E-3</v>
      </c>
      <c r="AH13" s="31">
        <f t="shared" si="33"/>
        <v>1.6666666666666668E-3</v>
      </c>
      <c r="AI13" s="31">
        <f t="shared" si="33"/>
        <v>1.6666666666666668E-3</v>
      </c>
      <c r="AJ13" s="31">
        <f t="shared" si="33"/>
        <v>1.6666666666666668E-3</v>
      </c>
      <c r="AK13" s="31">
        <f t="shared" si="33"/>
        <v>1.6666666666666668E-3</v>
      </c>
      <c r="AL13" s="31">
        <f t="shared" si="33"/>
        <v>1.6666666666666668E-3</v>
      </c>
      <c r="AM13" s="31">
        <f t="shared" si="33"/>
        <v>1.6666666666666668E-3</v>
      </c>
      <c r="AN13" s="31">
        <f t="shared" si="33"/>
        <v>1.6666666666666668E-3</v>
      </c>
      <c r="AO13" s="31">
        <f t="shared" si="33"/>
        <v>1.6666666666666668E-3</v>
      </c>
      <c r="AP13" s="31">
        <f t="shared" si="33"/>
        <v>1.6666666666666668E-3</v>
      </c>
      <c r="AQ13" s="31">
        <f t="shared" si="33"/>
        <v>1.6666666666666668E-3</v>
      </c>
      <c r="AR13" s="31">
        <f t="shared" si="33"/>
        <v>1.6666666666666668E-3</v>
      </c>
      <c r="AS13" s="31">
        <f t="shared" si="33"/>
        <v>1.6666666666666668E-3</v>
      </c>
      <c r="AT13" s="31">
        <f t="shared" si="33"/>
        <v>1.6666666666666668E-3</v>
      </c>
      <c r="AU13" s="31">
        <f t="shared" si="33"/>
        <v>1.6666666666666668E-3</v>
      </c>
      <c r="AV13" s="31">
        <f t="shared" si="33"/>
        <v>1.6666666666666668E-3</v>
      </c>
      <c r="AW13" s="31">
        <f t="shared" si="33"/>
        <v>1.6666666666666668E-3</v>
      </c>
      <c r="AX13" s="31">
        <f t="shared" si="33"/>
        <v>1.6666666666666668E-3</v>
      </c>
      <c r="AY13" s="31">
        <f t="shared" si="33"/>
        <v>1.6666666666666668E-3</v>
      </c>
      <c r="AZ13" s="31">
        <f t="shared" si="33"/>
        <v>1.6666666666666668E-3</v>
      </c>
      <c r="BA13" s="31">
        <f t="shared" si="33"/>
        <v>1.6666666666666668E-3</v>
      </c>
      <c r="BB13" s="31">
        <f t="shared" si="33"/>
        <v>1.6666666666666668E-3</v>
      </c>
      <c r="BC13" s="31">
        <f t="shared" si="33"/>
        <v>1.6666666666666668E-3</v>
      </c>
      <c r="BD13" s="31">
        <f t="shared" si="33"/>
        <v>1.6666666666666668E-3</v>
      </c>
      <c r="BE13" s="31">
        <f t="shared" si="33"/>
        <v>1.6666666666666668E-3</v>
      </c>
      <c r="BF13" s="31">
        <f t="shared" si="33"/>
        <v>1.6666666666666668E-3</v>
      </c>
      <c r="BG13" s="31">
        <f t="shared" ref="BG13:CL13" si="34">IFERROR(INDEX($C80:$G80,MATCH(YEAR(BG$6),$C$77:$G$77,0))/12,BF13)</f>
        <v>1.6666666666666668E-3</v>
      </c>
      <c r="BH13" s="31">
        <f t="shared" si="34"/>
        <v>1.6666666666666668E-3</v>
      </c>
      <c r="BI13" s="31">
        <f t="shared" si="34"/>
        <v>1.6666666666666668E-3</v>
      </c>
      <c r="BJ13" s="31">
        <f t="shared" si="34"/>
        <v>1.6666666666666668E-3</v>
      </c>
      <c r="BK13" s="31">
        <f t="shared" si="34"/>
        <v>1.6666666666666668E-3</v>
      </c>
      <c r="BL13" s="31">
        <f t="shared" si="34"/>
        <v>1.6666666666666668E-3</v>
      </c>
      <c r="BM13" s="31">
        <f t="shared" si="34"/>
        <v>1.6666666666666668E-3</v>
      </c>
      <c r="BN13" s="31">
        <f t="shared" si="34"/>
        <v>1.6666666666666668E-3</v>
      </c>
      <c r="BO13" s="31">
        <f t="shared" si="34"/>
        <v>1.6666666666666668E-3</v>
      </c>
      <c r="BP13" s="31">
        <f t="shared" si="34"/>
        <v>1.6666666666666668E-3</v>
      </c>
      <c r="BQ13" s="31">
        <f t="shared" si="34"/>
        <v>1.6666666666666668E-3</v>
      </c>
      <c r="BR13" s="31">
        <f t="shared" si="34"/>
        <v>1.6666666666666668E-3</v>
      </c>
      <c r="BS13" s="31">
        <f t="shared" si="34"/>
        <v>1.6666666666666668E-3</v>
      </c>
      <c r="BT13" s="31">
        <f t="shared" si="34"/>
        <v>1.6666666666666668E-3</v>
      </c>
      <c r="BU13" s="31">
        <f t="shared" si="34"/>
        <v>1.6666666666666668E-3</v>
      </c>
      <c r="BV13" s="31">
        <f t="shared" si="34"/>
        <v>1.6666666666666668E-3</v>
      </c>
      <c r="BW13" s="31">
        <f t="shared" si="34"/>
        <v>1.6666666666666668E-3</v>
      </c>
      <c r="BX13" s="31">
        <f t="shared" si="34"/>
        <v>1.6666666666666668E-3</v>
      </c>
      <c r="BY13" s="31">
        <f t="shared" si="34"/>
        <v>1.6666666666666668E-3</v>
      </c>
      <c r="BZ13" s="31">
        <f t="shared" si="34"/>
        <v>1.6666666666666668E-3</v>
      </c>
      <c r="CA13" s="31">
        <f t="shared" si="34"/>
        <v>1.6666666666666668E-3</v>
      </c>
      <c r="CB13" s="31">
        <f t="shared" si="34"/>
        <v>1.6666666666666668E-3</v>
      </c>
      <c r="CC13" s="31">
        <f t="shared" si="34"/>
        <v>1.6666666666666668E-3</v>
      </c>
      <c r="CD13" s="31">
        <f t="shared" si="34"/>
        <v>1.6666666666666668E-3</v>
      </c>
      <c r="CE13" s="31">
        <f t="shared" si="34"/>
        <v>1.6666666666666668E-3</v>
      </c>
      <c r="CF13" s="31">
        <f t="shared" si="34"/>
        <v>1.6666666666666668E-3</v>
      </c>
      <c r="CG13" s="31">
        <f t="shared" si="34"/>
        <v>1.6666666666666668E-3</v>
      </c>
      <c r="CH13" s="31">
        <f t="shared" si="34"/>
        <v>1.6666666666666668E-3</v>
      </c>
      <c r="CI13" s="31">
        <f t="shared" si="34"/>
        <v>1.6666666666666668E-3</v>
      </c>
      <c r="CJ13" s="31">
        <f t="shared" si="34"/>
        <v>1.6666666666666668E-3</v>
      </c>
      <c r="CK13" s="31">
        <f t="shared" si="34"/>
        <v>1.6666666666666668E-3</v>
      </c>
      <c r="CL13" s="31">
        <f t="shared" si="34"/>
        <v>1.6666666666666668E-3</v>
      </c>
      <c r="CM13" s="31">
        <f t="shared" ref="CM13:DR13" si="35">IFERROR(INDEX($C80:$G80,MATCH(YEAR(CM$6),$C$77:$G$77,0))/12,CL13)</f>
        <v>1.6666666666666668E-3</v>
      </c>
      <c r="CN13" s="31">
        <f t="shared" si="35"/>
        <v>1.6666666666666668E-3</v>
      </c>
      <c r="CO13" s="31">
        <f t="shared" si="35"/>
        <v>1.6666666666666668E-3</v>
      </c>
      <c r="CP13" s="31">
        <f t="shared" si="35"/>
        <v>1.6666666666666668E-3</v>
      </c>
      <c r="CQ13" s="31">
        <f t="shared" si="35"/>
        <v>1.6666666666666668E-3</v>
      </c>
      <c r="CR13" s="31">
        <f t="shared" si="35"/>
        <v>1.6666666666666668E-3</v>
      </c>
      <c r="CS13" s="31">
        <f t="shared" si="35"/>
        <v>1.6666666666666668E-3</v>
      </c>
      <c r="CT13" s="31">
        <f t="shared" si="35"/>
        <v>1.6666666666666668E-3</v>
      </c>
      <c r="CU13" s="31">
        <f t="shared" si="35"/>
        <v>1.6666666666666668E-3</v>
      </c>
      <c r="CV13" s="31">
        <f t="shared" si="35"/>
        <v>1.6666666666666668E-3</v>
      </c>
      <c r="CW13" s="31">
        <f t="shared" si="35"/>
        <v>1.6666666666666668E-3</v>
      </c>
      <c r="CX13" s="31">
        <f t="shared" si="35"/>
        <v>1.6666666666666668E-3</v>
      </c>
      <c r="CY13" s="31">
        <f t="shared" si="35"/>
        <v>1.6666666666666668E-3</v>
      </c>
      <c r="CZ13" s="31">
        <f t="shared" si="35"/>
        <v>1.6666666666666668E-3</v>
      </c>
      <c r="DA13" s="31">
        <f t="shared" si="35"/>
        <v>1.6666666666666668E-3</v>
      </c>
      <c r="DB13" s="31">
        <f t="shared" si="35"/>
        <v>1.6666666666666668E-3</v>
      </c>
      <c r="DC13" s="31">
        <f t="shared" si="35"/>
        <v>1.6666666666666668E-3</v>
      </c>
      <c r="DD13" s="31">
        <f t="shared" si="35"/>
        <v>1.6666666666666668E-3</v>
      </c>
      <c r="DE13" s="31">
        <f t="shared" si="35"/>
        <v>1.6666666666666668E-3</v>
      </c>
      <c r="DF13" s="31">
        <f t="shared" si="35"/>
        <v>1.6666666666666668E-3</v>
      </c>
      <c r="DG13" s="31">
        <f t="shared" si="35"/>
        <v>1.6666666666666668E-3</v>
      </c>
      <c r="DH13" s="31">
        <f t="shared" si="35"/>
        <v>1.6666666666666668E-3</v>
      </c>
      <c r="DI13" s="31">
        <f t="shared" si="35"/>
        <v>1.6666666666666668E-3</v>
      </c>
      <c r="DJ13" s="31">
        <f t="shared" si="35"/>
        <v>1.6666666666666668E-3</v>
      </c>
      <c r="DK13" s="31">
        <f t="shared" si="35"/>
        <v>1.6666666666666668E-3</v>
      </c>
      <c r="DL13" s="31">
        <f t="shared" si="35"/>
        <v>1.6666666666666668E-3</v>
      </c>
      <c r="DM13" s="31">
        <f t="shared" si="35"/>
        <v>1.6666666666666668E-3</v>
      </c>
      <c r="DN13" s="31">
        <f t="shared" si="35"/>
        <v>1.6666666666666668E-3</v>
      </c>
      <c r="DO13" s="31">
        <f t="shared" si="35"/>
        <v>1.6666666666666668E-3</v>
      </c>
      <c r="DP13" s="31">
        <f t="shared" si="35"/>
        <v>1.6666666666666668E-3</v>
      </c>
      <c r="DQ13" s="31">
        <f t="shared" si="35"/>
        <v>1.6666666666666668E-3</v>
      </c>
      <c r="DR13" s="31">
        <f t="shared" si="35"/>
        <v>1.6666666666666668E-3</v>
      </c>
      <c r="DS13" s="31">
        <f t="shared" ref="DS13:FB13" si="36">IFERROR(INDEX($C80:$G80,MATCH(YEAR(DS$6),$C$77:$G$77,0))/12,DR13)</f>
        <v>1.6666666666666668E-3</v>
      </c>
      <c r="DT13" s="31">
        <f t="shared" si="36"/>
        <v>1.6666666666666668E-3</v>
      </c>
      <c r="DU13" s="31">
        <f t="shared" si="36"/>
        <v>1.6666666666666668E-3</v>
      </c>
      <c r="DV13" s="31">
        <f t="shared" si="36"/>
        <v>1.6666666666666668E-3</v>
      </c>
      <c r="DW13" s="31">
        <f t="shared" si="36"/>
        <v>1.6666666666666668E-3</v>
      </c>
      <c r="DX13" s="31">
        <f t="shared" si="36"/>
        <v>1.6666666666666668E-3</v>
      </c>
      <c r="DY13" s="31">
        <f t="shared" si="36"/>
        <v>1.6666666666666668E-3</v>
      </c>
      <c r="DZ13" s="31">
        <f t="shared" si="36"/>
        <v>1.6666666666666668E-3</v>
      </c>
      <c r="EA13" s="31">
        <f t="shared" si="36"/>
        <v>1.6666666666666668E-3</v>
      </c>
      <c r="EB13" s="31">
        <f t="shared" si="36"/>
        <v>1.6666666666666668E-3</v>
      </c>
      <c r="EC13" s="31">
        <f t="shared" si="36"/>
        <v>1.6666666666666668E-3</v>
      </c>
      <c r="ED13" s="31">
        <f t="shared" si="36"/>
        <v>1.6666666666666668E-3</v>
      </c>
      <c r="EE13" s="31">
        <f t="shared" si="36"/>
        <v>1.6666666666666668E-3</v>
      </c>
      <c r="EF13" s="31">
        <f t="shared" si="36"/>
        <v>1.6666666666666668E-3</v>
      </c>
      <c r="EG13" s="31">
        <f t="shared" si="36"/>
        <v>1.6666666666666668E-3</v>
      </c>
      <c r="EH13" s="31">
        <f t="shared" si="36"/>
        <v>1.6666666666666668E-3</v>
      </c>
      <c r="EI13" s="31">
        <f t="shared" si="36"/>
        <v>1.6666666666666668E-3</v>
      </c>
      <c r="EJ13" s="31">
        <f t="shared" si="36"/>
        <v>1.6666666666666668E-3</v>
      </c>
      <c r="EK13" s="31">
        <f t="shared" si="36"/>
        <v>1.6666666666666668E-3</v>
      </c>
      <c r="EL13" s="31">
        <f t="shared" si="36"/>
        <v>1.6666666666666668E-3</v>
      </c>
      <c r="EM13" s="31">
        <f t="shared" si="36"/>
        <v>1.6666666666666668E-3</v>
      </c>
      <c r="EN13" s="31">
        <f t="shared" si="36"/>
        <v>1.6666666666666668E-3</v>
      </c>
      <c r="EO13" s="31">
        <f t="shared" si="36"/>
        <v>1.6666666666666668E-3</v>
      </c>
      <c r="EP13" s="31">
        <f t="shared" si="36"/>
        <v>1.6666666666666668E-3</v>
      </c>
      <c r="EQ13" s="31">
        <f t="shared" si="36"/>
        <v>1.6666666666666668E-3</v>
      </c>
      <c r="ER13" s="31">
        <f t="shared" si="36"/>
        <v>1.6666666666666668E-3</v>
      </c>
      <c r="ES13" s="31">
        <f t="shared" si="36"/>
        <v>1.6666666666666668E-3</v>
      </c>
      <c r="ET13" s="31">
        <f t="shared" si="36"/>
        <v>1.6666666666666668E-3</v>
      </c>
      <c r="EU13" s="31">
        <f t="shared" si="36"/>
        <v>1.6666666666666668E-3</v>
      </c>
      <c r="EV13" s="31">
        <f t="shared" si="36"/>
        <v>1.6666666666666668E-3</v>
      </c>
      <c r="EW13" s="31">
        <f t="shared" si="36"/>
        <v>1.6666666666666668E-3</v>
      </c>
      <c r="EX13" s="31">
        <f t="shared" si="36"/>
        <v>1.6666666666666668E-3</v>
      </c>
      <c r="EY13" s="31">
        <f t="shared" si="36"/>
        <v>1.6666666666666668E-3</v>
      </c>
      <c r="EZ13" s="31">
        <f t="shared" si="36"/>
        <v>1.6666666666666668E-3</v>
      </c>
      <c r="FA13" s="31">
        <f t="shared" si="36"/>
        <v>1.6666666666666668E-3</v>
      </c>
      <c r="FB13" s="31">
        <f t="shared" si="36"/>
        <v>1.6666666666666668E-3</v>
      </c>
    </row>
    <row r="14" spans="2:158">
      <c r="B14" s="35"/>
      <c r="C14" s="36" t="s">
        <v>23</v>
      </c>
      <c r="D14" s="22" t="s">
        <v>24</v>
      </c>
      <c r="E14" s="37" t="s">
        <v>25</v>
      </c>
      <c r="F14" s="22" t="s">
        <v>26</v>
      </c>
      <c r="G14" s="22" t="s">
        <v>27</v>
      </c>
      <c r="I14" s="32" t="s">
        <v>22</v>
      </c>
      <c r="J14" s="32"/>
      <c r="K14" s="33"/>
      <c r="L14" s="141"/>
      <c r="M14" s="33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3"/>
      <c r="Z14" s="34">
        <v>1</v>
      </c>
      <c r="AA14" s="34">
        <f>Z14*(1+AA13)</f>
        <v>1.0016666666666667</v>
      </c>
      <c r="AB14" s="34">
        <f t="shared" ref="AB14:CM14" si="37">AA14*(1+AB13)</f>
        <v>1.0033361111111112</v>
      </c>
      <c r="AC14" s="34">
        <f t="shared" si="37"/>
        <v>1.0050083379629631</v>
      </c>
      <c r="AD14" s="34">
        <f t="shared" si="37"/>
        <v>1.0066833518595681</v>
      </c>
      <c r="AE14" s="34">
        <f t="shared" si="37"/>
        <v>1.0083611574460007</v>
      </c>
      <c r="AF14" s="34">
        <f t="shared" si="37"/>
        <v>1.0100417593750775</v>
      </c>
      <c r="AG14" s="34">
        <f t="shared" si="37"/>
        <v>1.0117251623073693</v>
      </c>
      <c r="AH14" s="34">
        <f t="shared" si="37"/>
        <v>1.0134113709112149</v>
      </c>
      <c r="AI14" s="34">
        <f t="shared" si="37"/>
        <v>1.0151003898627335</v>
      </c>
      <c r="AJ14" s="34">
        <f t="shared" si="37"/>
        <v>1.0167922238458382</v>
      </c>
      <c r="AK14" s="34">
        <f t="shared" si="37"/>
        <v>1.018486877552248</v>
      </c>
      <c r="AL14" s="34">
        <f t="shared" si="37"/>
        <v>1.0201843556815018</v>
      </c>
      <c r="AM14" s="34">
        <f t="shared" si="37"/>
        <v>1.021884662940971</v>
      </c>
      <c r="AN14" s="34">
        <f t="shared" si="37"/>
        <v>1.0235878040458726</v>
      </c>
      <c r="AO14" s="34">
        <f t="shared" si="37"/>
        <v>1.0252937837192824</v>
      </c>
      <c r="AP14" s="34">
        <f t="shared" si="37"/>
        <v>1.0270026066921478</v>
      </c>
      <c r="AQ14" s="34">
        <f t="shared" si="37"/>
        <v>1.0287142777033014</v>
      </c>
      <c r="AR14" s="34">
        <f t="shared" si="37"/>
        <v>1.0304288014994736</v>
      </c>
      <c r="AS14" s="34">
        <f t="shared" si="37"/>
        <v>1.032146182835306</v>
      </c>
      <c r="AT14" s="34">
        <f t="shared" si="37"/>
        <v>1.0338664264733648</v>
      </c>
      <c r="AU14" s="34">
        <f t="shared" si="37"/>
        <v>1.0355895371841537</v>
      </c>
      <c r="AV14" s="34">
        <f t="shared" si="37"/>
        <v>1.0373155197461272</v>
      </c>
      <c r="AW14" s="34">
        <f t="shared" si="37"/>
        <v>1.0390443789457042</v>
      </c>
      <c r="AX14" s="34">
        <f t="shared" si="37"/>
        <v>1.0407761195772804</v>
      </c>
      <c r="AY14" s="34">
        <f t="shared" si="37"/>
        <v>1.0425107464432426</v>
      </c>
      <c r="AZ14" s="34">
        <f t="shared" si="37"/>
        <v>1.0442482643539814</v>
      </c>
      <c r="BA14" s="34">
        <f t="shared" si="37"/>
        <v>1.0459886781279049</v>
      </c>
      <c r="BB14" s="34">
        <f t="shared" si="37"/>
        <v>1.0477319925914514</v>
      </c>
      <c r="BC14" s="34">
        <f t="shared" si="37"/>
        <v>1.049478212579104</v>
      </c>
      <c r="BD14" s="34">
        <f t="shared" si="37"/>
        <v>1.0512273429334025</v>
      </c>
      <c r="BE14" s="34">
        <f t="shared" si="37"/>
        <v>1.0529793885049581</v>
      </c>
      <c r="BF14" s="34">
        <f t="shared" si="37"/>
        <v>1.0547343541524663</v>
      </c>
      <c r="BG14" s="34">
        <f t="shared" si="37"/>
        <v>1.0564922447427205</v>
      </c>
      <c r="BH14" s="34">
        <f t="shared" si="37"/>
        <v>1.058253065150625</v>
      </c>
      <c r="BI14" s="34">
        <f t="shared" si="37"/>
        <v>1.0600168202592095</v>
      </c>
      <c r="BJ14" s="34">
        <f t="shared" si="37"/>
        <v>1.0617835149596415</v>
      </c>
      <c r="BK14" s="34">
        <f t="shared" si="37"/>
        <v>1.0635531541512409</v>
      </c>
      <c r="BL14" s="34">
        <f t="shared" si="37"/>
        <v>1.0653257427414931</v>
      </c>
      <c r="BM14" s="34">
        <f t="shared" si="37"/>
        <v>1.0671012856460622</v>
      </c>
      <c r="BN14" s="34">
        <f t="shared" si="37"/>
        <v>1.0688797877888057</v>
      </c>
      <c r="BO14" s="34">
        <f t="shared" si="37"/>
        <v>1.070661254101787</v>
      </c>
      <c r="BP14" s="34">
        <f t="shared" si="37"/>
        <v>1.0724456895252901</v>
      </c>
      <c r="BQ14" s="34">
        <f t="shared" si="37"/>
        <v>1.0742330990078324</v>
      </c>
      <c r="BR14" s="34">
        <f t="shared" si="37"/>
        <v>1.0760234875061787</v>
      </c>
      <c r="BS14" s="34">
        <f t="shared" si="37"/>
        <v>1.0778168599853557</v>
      </c>
      <c r="BT14" s="34">
        <f t="shared" si="37"/>
        <v>1.0796132214186647</v>
      </c>
      <c r="BU14" s="34">
        <f t="shared" si="37"/>
        <v>1.0814125767876959</v>
      </c>
      <c r="BV14" s="34">
        <f t="shared" si="37"/>
        <v>1.083214931082342</v>
      </c>
      <c r="BW14" s="34">
        <f t="shared" si="37"/>
        <v>1.0850202893008127</v>
      </c>
      <c r="BX14" s="34">
        <f t="shared" si="37"/>
        <v>1.0868286564496474</v>
      </c>
      <c r="BY14" s="34">
        <f t="shared" si="37"/>
        <v>1.0886400375437302</v>
      </c>
      <c r="BZ14" s="34">
        <f t="shared" si="37"/>
        <v>1.090454437606303</v>
      </c>
      <c r="CA14" s="34">
        <f t="shared" si="37"/>
        <v>1.0922718616689802</v>
      </c>
      <c r="CB14" s="34">
        <f t="shared" si="37"/>
        <v>1.0940923147717618</v>
      </c>
      <c r="CC14" s="34">
        <f t="shared" si="37"/>
        <v>1.0959158019630482</v>
      </c>
      <c r="CD14" s="34">
        <f t="shared" si="37"/>
        <v>1.0977423282996532</v>
      </c>
      <c r="CE14" s="34">
        <f t="shared" si="37"/>
        <v>1.0995718988468193</v>
      </c>
      <c r="CF14" s="34">
        <f t="shared" si="37"/>
        <v>1.1014045186782306</v>
      </c>
      <c r="CG14" s="34">
        <f t="shared" si="37"/>
        <v>1.1032401928760278</v>
      </c>
      <c r="CH14" s="34">
        <f t="shared" si="37"/>
        <v>1.1050789265308212</v>
      </c>
      <c r="CI14" s="34">
        <f t="shared" si="37"/>
        <v>1.1069207247417059</v>
      </c>
      <c r="CJ14" s="34">
        <f t="shared" si="37"/>
        <v>1.1087655926162754</v>
      </c>
      <c r="CK14" s="34">
        <f t="shared" si="37"/>
        <v>1.1106135352706359</v>
      </c>
      <c r="CL14" s="34">
        <f t="shared" si="37"/>
        <v>1.1124645578294203</v>
      </c>
      <c r="CM14" s="34">
        <f t="shared" si="37"/>
        <v>1.1143186654258028</v>
      </c>
      <c r="CN14" s="34">
        <f t="shared" ref="CN14:EY14" si="38">CM14*(1+CN13)</f>
        <v>1.1161758632015126</v>
      </c>
      <c r="CO14" s="34">
        <f t="shared" si="38"/>
        <v>1.1180361563068486</v>
      </c>
      <c r="CP14" s="34">
        <f t="shared" si="38"/>
        <v>1.1198995499006934</v>
      </c>
      <c r="CQ14" s="34">
        <f t="shared" si="38"/>
        <v>1.1217660491505279</v>
      </c>
      <c r="CR14" s="34">
        <f t="shared" si="38"/>
        <v>1.1236356592324455</v>
      </c>
      <c r="CS14" s="34">
        <f t="shared" si="38"/>
        <v>1.1255083853311663</v>
      </c>
      <c r="CT14" s="34">
        <f t="shared" si="38"/>
        <v>1.1273842326400516</v>
      </c>
      <c r="CU14" s="34">
        <f t="shared" si="38"/>
        <v>1.1292632063611183</v>
      </c>
      <c r="CV14" s="34">
        <f t="shared" si="38"/>
        <v>1.1311453117050536</v>
      </c>
      <c r="CW14" s="34">
        <f t="shared" si="38"/>
        <v>1.1330305538912286</v>
      </c>
      <c r="CX14" s="34">
        <f t="shared" si="38"/>
        <v>1.1349189381477141</v>
      </c>
      <c r="CY14" s="34">
        <f t="shared" si="38"/>
        <v>1.1368104697112935</v>
      </c>
      <c r="CZ14" s="34">
        <f t="shared" si="38"/>
        <v>1.1387051538274791</v>
      </c>
      <c r="DA14" s="34">
        <f t="shared" si="38"/>
        <v>1.1406029957505248</v>
      </c>
      <c r="DB14" s="34">
        <f t="shared" si="38"/>
        <v>1.1425040007434424</v>
      </c>
      <c r="DC14" s="34">
        <f t="shared" si="38"/>
        <v>1.1444081740780148</v>
      </c>
      <c r="DD14" s="34">
        <f t="shared" si="38"/>
        <v>1.1463155210348115</v>
      </c>
      <c r="DE14" s="34">
        <f t="shared" si="38"/>
        <v>1.1482260469032028</v>
      </c>
      <c r="DF14" s="34">
        <f t="shared" si="38"/>
        <v>1.1501397569813749</v>
      </c>
      <c r="DG14" s="34">
        <f t="shared" si="38"/>
        <v>1.1520566565763439</v>
      </c>
      <c r="DH14" s="34">
        <f t="shared" si="38"/>
        <v>1.1539767510039711</v>
      </c>
      <c r="DI14" s="34">
        <f t="shared" si="38"/>
        <v>1.1559000455889779</v>
      </c>
      <c r="DJ14" s="34">
        <f t="shared" si="38"/>
        <v>1.1578265456649595</v>
      </c>
      <c r="DK14" s="34">
        <f t="shared" si="38"/>
        <v>1.1597562565744011</v>
      </c>
      <c r="DL14" s="34">
        <f t="shared" si="38"/>
        <v>1.1616891836686918</v>
      </c>
      <c r="DM14" s="34">
        <f t="shared" si="38"/>
        <v>1.1636253323081396</v>
      </c>
      <c r="DN14" s="34">
        <f t="shared" si="38"/>
        <v>1.1655647078619866</v>
      </c>
      <c r="DO14" s="34">
        <f t="shared" si="38"/>
        <v>1.1675073157084233</v>
      </c>
      <c r="DP14" s="34">
        <f t="shared" si="38"/>
        <v>1.169453161234604</v>
      </c>
      <c r="DQ14" s="34">
        <f t="shared" si="38"/>
        <v>1.1714022498366616</v>
      </c>
      <c r="DR14" s="34">
        <f t="shared" si="38"/>
        <v>1.1733545869197228</v>
      </c>
      <c r="DS14" s="34">
        <f t="shared" si="38"/>
        <v>1.1753101778979225</v>
      </c>
      <c r="DT14" s="34">
        <f t="shared" si="38"/>
        <v>1.1772690281944191</v>
      </c>
      <c r="DU14" s="34">
        <f t="shared" si="38"/>
        <v>1.17923114324141</v>
      </c>
      <c r="DV14" s="34">
        <f t="shared" si="38"/>
        <v>1.1811965284801458</v>
      </c>
      <c r="DW14" s="34">
        <f t="shared" si="38"/>
        <v>1.1831651893609461</v>
      </c>
      <c r="DX14" s="34">
        <f t="shared" si="38"/>
        <v>1.1851371313432144</v>
      </c>
      <c r="DY14" s="34">
        <f t="shared" si="38"/>
        <v>1.1871123598954532</v>
      </c>
      <c r="DZ14" s="34">
        <f t="shared" si="38"/>
        <v>1.1890908804952789</v>
      </c>
      <c r="EA14" s="34">
        <f t="shared" si="38"/>
        <v>1.1910726986294378</v>
      </c>
      <c r="EB14" s="34">
        <f t="shared" si="38"/>
        <v>1.1930578197938202</v>
      </c>
      <c r="EC14" s="34">
        <f t="shared" si="38"/>
        <v>1.1950462494934766</v>
      </c>
      <c r="ED14" s="34">
        <f t="shared" si="38"/>
        <v>1.1970379932426325</v>
      </c>
      <c r="EE14" s="34">
        <f t="shared" si="38"/>
        <v>1.1990330565647036</v>
      </c>
      <c r="EF14" s="34">
        <f t="shared" si="38"/>
        <v>1.2010314449923114</v>
      </c>
      <c r="EG14" s="34">
        <f t="shared" si="38"/>
        <v>1.2030331640672987</v>
      </c>
      <c r="EH14" s="34">
        <f t="shared" si="38"/>
        <v>1.2050382193407443</v>
      </c>
      <c r="EI14" s="34">
        <f t="shared" si="38"/>
        <v>1.2070466163729789</v>
      </c>
      <c r="EJ14" s="34">
        <f t="shared" si="38"/>
        <v>1.2090583607336005</v>
      </c>
      <c r="EK14" s="34">
        <f t="shared" si="38"/>
        <v>1.2110734580014899</v>
      </c>
      <c r="EL14" s="34">
        <f t="shared" si="38"/>
        <v>1.2130919137648257</v>
      </c>
      <c r="EM14" s="34">
        <f t="shared" si="38"/>
        <v>1.2151137336211004</v>
      </c>
      <c r="EN14" s="34">
        <f t="shared" si="38"/>
        <v>1.2171389231771357</v>
      </c>
      <c r="EO14" s="34">
        <f t="shared" si="38"/>
        <v>1.2191674880490977</v>
      </c>
      <c r="EP14" s="34">
        <f t="shared" si="38"/>
        <v>1.221199433862513</v>
      </c>
      <c r="EQ14" s="34">
        <f t="shared" si="38"/>
        <v>1.2232347662522838</v>
      </c>
      <c r="ER14" s="34">
        <f t="shared" si="38"/>
        <v>1.2252734908627043</v>
      </c>
      <c r="ES14" s="34">
        <f t="shared" si="38"/>
        <v>1.2273156133474756</v>
      </c>
      <c r="ET14" s="34">
        <f t="shared" si="38"/>
        <v>1.2293611393697215</v>
      </c>
      <c r="EU14" s="34">
        <f t="shared" si="38"/>
        <v>1.2314100746020045</v>
      </c>
      <c r="EV14" s="34">
        <f t="shared" si="38"/>
        <v>1.2334624247263413</v>
      </c>
      <c r="EW14" s="34">
        <f t="shared" si="38"/>
        <v>1.2355181954342185</v>
      </c>
      <c r="EX14" s="34">
        <f t="shared" si="38"/>
        <v>1.2375773924266089</v>
      </c>
      <c r="EY14" s="34">
        <f t="shared" si="38"/>
        <v>1.2396400214139867</v>
      </c>
      <c r="EZ14" s="34">
        <f t="shared" ref="EZ14:FB14" si="39">EY14*(1+EZ13)</f>
        <v>1.2417060881163433</v>
      </c>
      <c r="FA14" s="34">
        <f t="shared" si="39"/>
        <v>1.2437755982632039</v>
      </c>
      <c r="FB14" s="34">
        <f t="shared" si="39"/>
        <v>1.2458485575936427</v>
      </c>
    </row>
    <row r="15" spans="2:158">
      <c r="B15" s="11" t="s">
        <v>28</v>
      </c>
      <c r="C15" s="131">
        <v>0</v>
      </c>
      <c r="D15" s="38">
        <v>46174</v>
      </c>
      <c r="E15" s="125">
        <v>0</v>
      </c>
      <c r="F15" s="186">
        <f>EOMONTH(D15,E15)</f>
        <v>46203</v>
      </c>
      <c r="G15" s="39">
        <f>INDEX($Z$4:$FB$4,MATCH(F15,$Z$6:$FB$6,0))</f>
        <v>1</v>
      </c>
      <c r="I15" s="9" t="str">
        <f>B81</f>
        <v>Property Taxes</v>
      </c>
      <c r="N15" s="31">
        <f>SUMIF($Z$3:$FB$3,N$7,$Z15:$FB15)</f>
        <v>0</v>
      </c>
      <c r="O15" s="31">
        <f t="shared" si="18"/>
        <v>0.02</v>
      </c>
      <c r="P15" s="31">
        <f t="shared" si="18"/>
        <v>0.02</v>
      </c>
      <c r="Q15" s="31">
        <f t="shared" si="18"/>
        <v>0.02</v>
      </c>
      <c r="R15" s="31">
        <f t="shared" si="18"/>
        <v>0.02</v>
      </c>
      <c r="S15" s="31">
        <f t="shared" si="18"/>
        <v>0.02</v>
      </c>
      <c r="T15" s="31">
        <f t="shared" si="18"/>
        <v>0.02</v>
      </c>
      <c r="U15" s="31">
        <f t="shared" si="18"/>
        <v>0.02</v>
      </c>
      <c r="V15" s="31">
        <f t="shared" si="18"/>
        <v>0.02</v>
      </c>
      <c r="W15" s="31">
        <f t="shared" si="18"/>
        <v>0.02</v>
      </c>
      <c r="X15" s="31">
        <f t="shared" si="18"/>
        <v>0.02</v>
      </c>
      <c r="Z15" s="31">
        <v>0</v>
      </c>
      <c r="AA15" s="31">
        <f t="shared" ref="AA15:BF15" si="40">IFERROR(INDEX($C81:$G81,MATCH(YEAR(AA$6),$C$77:$G$77,0))/12,Z15)</f>
        <v>1.6666666666666668E-3</v>
      </c>
      <c r="AB15" s="31">
        <f t="shared" si="40"/>
        <v>1.6666666666666668E-3</v>
      </c>
      <c r="AC15" s="31">
        <f t="shared" si="40"/>
        <v>1.6666666666666668E-3</v>
      </c>
      <c r="AD15" s="31">
        <f t="shared" si="40"/>
        <v>1.6666666666666668E-3</v>
      </c>
      <c r="AE15" s="31">
        <f t="shared" si="40"/>
        <v>1.6666666666666668E-3</v>
      </c>
      <c r="AF15" s="31">
        <f t="shared" si="40"/>
        <v>1.6666666666666668E-3</v>
      </c>
      <c r="AG15" s="31">
        <f t="shared" si="40"/>
        <v>1.6666666666666668E-3</v>
      </c>
      <c r="AH15" s="31">
        <f t="shared" si="40"/>
        <v>1.6666666666666668E-3</v>
      </c>
      <c r="AI15" s="31">
        <f t="shared" si="40"/>
        <v>1.6666666666666668E-3</v>
      </c>
      <c r="AJ15" s="31">
        <f t="shared" si="40"/>
        <v>1.6666666666666668E-3</v>
      </c>
      <c r="AK15" s="31">
        <f t="shared" si="40"/>
        <v>1.6666666666666668E-3</v>
      </c>
      <c r="AL15" s="31">
        <f t="shared" si="40"/>
        <v>1.6666666666666668E-3</v>
      </c>
      <c r="AM15" s="31">
        <f t="shared" si="40"/>
        <v>1.6666666666666668E-3</v>
      </c>
      <c r="AN15" s="31">
        <f t="shared" si="40"/>
        <v>1.6666666666666668E-3</v>
      </c>
      <c r="AO15" s="31">
        <f t="shared" si="40"/>
        <v>1.6666666666666668E-3</v>
      </c>
      <c r="AP15" s="31">
        <f t="shared" si="40"/>
        <v>1.6666666666666668E-3</v>
      </c>
      <c r="AQ15" s="31">
        <f t="shared" si="40"/>
        <v>1.6666666666666668E-3</v>
      </c>
      <c r="AR15" s="31">
        <f t="shared" si="40"/>
        <v>1.6666666666666668E-3</v>
      </c>
      <c r="AS15" s="31">
        <f t="shared" si="40"/>
        <v>1.6666666666666668E-3</v>
      </c>
      <c r="AT15" s="31">
        <f t="shared" si="40"/>
        <v>1.6666666666666668E-3</v>
      </c>
      <c r="AU15" s="31">
        <f t="shared" si="40"/>
        <v>1.6666666666666668E-3</v>
      </c>
      <c r="AV15" s="31">
        <f t="shared" si="40"/>
        <v>1.6666666666666668E-3</v>
      </c>
      <c r="AW15" s="31">
        <f t="shared" si="40"/>
        <v>1.6666666666666668E-3</v>
      </c>
      <c r="AX15" s="31">
        <f t="shared" si="40"/>
        <v>1.6666666666666668E-3</v>
      </c>
      <c r="AY15" s="31">
        <f t="shared" si="40"/>
        <v>1.6666666666666668E-3</v>
      </c>
      <c r="AZ15" s="31">
        <f t="shared" si="40"/>
        <v>1.6666666666666668E-3</v>
      </c>
      <c r="BA15" s="31">
        <f t="shared" si="40"/>
        <v>1.6666666666666668E-3</v>
      </c>
      <c r="BB15" s="31">
        <f t="shared" si="40"/>
        <v>1.6666666666666668E-3</v>
      </c>
      <c r="BC15" s="31">
        <f t="shared" si="40"/>
        <v>1.6666666666666668E-3</v>
      </c>
      <c r="BD15" s="31">
        <f t="shared" si="40"/>
        <v>1.6666666666666668E-3</v>
      </c>
      <c r="BE15" s="31">
        <f t="shared" si="40"/>
        <v>1.6666666666666668E-3</v>
      </c>
      <c r="BF15" s="31">
        <f t="shared" si="40"/>
        <v>1.6666666666666668E-3</v>
      </c>
      <c r="BG15" s="31">
        <f t="shared" ref="BG15:CL15" si="41">IFERROR(INDEX($C81:$G81,MATCH(YEAR(BG$6),$C$77:$G$77,0))/12,BF15)</f>
        <v>1.6666666666666668E-3</v>
      </c>
      <c r="BH15" s="31">
        <f t="shared" si="41"/>
        <v>1.6666666666666668E-3</v>
      </c>
      <c r="BI15" s="31">
        <f t="shared" si="41"/>
        <v>1.6666666666666668E-3</v>
      </c>
      <c r="BJ15" s="31">
        <f t="shared" si="41"/>
        <v>1.6666666666666668E-3</v>
      </c>
      <c r="BK15" s="31">
        <f t="shared" si="41"/>
        <v>1.6666666666666668E-3</v>
      </c>
      <c r="BL15" s="31">
        <f t="shared" si="41"/>
        <v>1.6666666666666668E-3</v>
      </c>
      <c r="BM15" s="31">
        <f t="shared" si="41"/>
        <v>1.6666666666666668E-3</v>
      </c>
      <c r="BN15" s="31">
        <f t="shared" si="41"/>
        <v>1.6666666666666668E-3</v>
      </c>
      <c r="BO15" s="31">
        <f t="shared" si="41"/>
        <v>1.6666666666666668E-3</v>
      </c>
      <c r="BP15" s="31">
        <f t="shared" si="41"/>
        <v>1.6666666666666668E-3</v>
      </c>
      <c r="BQ15" s="31">
        <f t="shared" si="41"/>
        <v>1.6666666666666668E-3</v>
      </c>
      <c r="BR15" s="31">
        <f t="shared" si="41"/>
        <v>1.6666666666666668E-3</v>
      </c>
      <c r="BS15" s="31">
        <f t="shared" si="41"/>
        <v>1.6666666666666668E-3</v>
      </c>
      <c r="BT15" s="31">
        <f t="shared" si="41"/>
        <v>1.6666666666666668E-3</v>
      </c>
      <c r="BU15" s="31">
        <f t="shared" si="41"/>
        <v>1.6666666666666668E-3</v>
      </c>
      <c r="BV15" s="31">
        <f t="shared" si="41"/>
        <v>1.6666666666666668E-3</v>
      </c>
      <c r="BW15" s="31">
        <f t="shared" si="41"/>
        <v>1.6666666666666668E-3</v>
      </c>
      <c r="BX15" s="31">
        <f t="shared" si="41"/>
        <v>1.6666666666666668E-3</v>
      </c>
      <c r="BY15" s="31">
        <f t="shared" si="41"/>
        <v>1.6666666666666668E-3</v>
      </c>
      <c r="BZ15" s="31">
        <f t="shared" si="41"/>
        <v>1.6666666666666668E-3</v>
      </c>
      <c r="CA15" s="31">
        <f t="shared" si="41"/>
        <v>1.6666666666666668E-3</v>
      </c>
      <c r="CB15" s="31">
        <f t="shared" si="41"/>
        <v>1.6666666666666668E-3</v>
      </c>
      <c r="CC15" s="31">
        <f t="shared" si="41"/>
        <v>1.6666666666666668E-3</v>
      </c>
      <c r="CD15" s="31">
        <f t="shared" si="41"/>
        <v>1.6666666666666668E-3</v>
      </c>
      <c r="CE15" s="31">
        <f t="shared" si="41"/>
        <v>1.6666666666666668E-3</v>
      </c>
      <c r="CF15" s="31">
        <f t="shared" si="41"/>
        <v>1.6666666666666668E-3</v>
      </c>
      <c r="CG15" s="31">
        <f t="shared" si="41"/>
        <v>1.6666666666666668E-3</v>
      </c>
      <c r="CH15" s="31">
        <f t="shared" si="41"/>
        <v>1.6666666666666668E-3</v>
      </c>
      <c r="CI15" s="31">
        <f t="shared" si="41"/>
        <v>1.6666666666666668E-3</v>
      </c>
      <c r="CJ15" s="31">
        <f t="shared" si="41"/>
        <v>1.6666666666666668E-3</v>
      </c>
      <c r="CK15" s="31">
        <f t="shared" si="41"/>
        <v>1.6666666666666668E-3</v>
      </c>
      <c r="CL15" s="31">
        <f t="shared" si="41"/>
        <v>1.6666666666666668E-3</v>
      </c>
      <c r="CM15" s="31">
        <f t="shared" ref="CM15:DR15" si="42">IFERROR(INDEX($C81:$G81,MATCH(YEAR(CM$6),$C$77:$G$77,0))/12,CL15)</f>
        <v>1.6666666666666668E-3</v>
      </c>
      <c r="CN15" s="31">
        <f t="shared" si="42"/>
        <v>1.6666666666666668E-3</v>
      </c>
      <c r="CO15" s="31">
        <f t="shared" si="42"/>
        <v>1.6666666666666668E-3</v>
      </c>
      <c r="CP15" s="31">
        <f t="shared" si="42"/>
        <v>1.6666666666666668E-3</v>
      </c>
      <c r="CQ15" s="31">
        <f t="shared" si="42"/>
        <v>1.6666666666666668E-3</v>
      </c>
      <c r="CR15" s="31">
        <f t="shared" si="42"/>
        <v>1.6666666666666668E-3</v>
      </c>
      <c r="CS15" s="31">
        <f t="shared" si="42"/>
        <v>1.6666666666666668E-3</v>
      </c>
      <c r="CT15" s="31">
        <f t="shared" si="42"/>
        <v>1.6666666666666668E-3</v>
      </c>
      <c r="CU15" s="31">
        <f t="shared" si="42"/>
        <v>1.6666666666666668E-3</v>
      </c>
      <c r="CV15" s="31">
        <f t="shared" si="42"/>
        <v>1.6666666666666668E-3</v>
      </c>
      <c r="CW15" s="31">
        <f t="shared" si="42"/>
        <v>1.6666666666666668E-3</v>
      </c>
      <c r="CX15" s="31">
        <f t="shared" si="42"/>
        <v>1.6666666666666668E-3</v>
      </c>
      <c r="CY15" s="31">
        <f t="shared" si="42"/>
        <v>1.6666666666666668E-3</v>
      </c>
      <c r="CZ15" s="31">
        <f t="shared" si="42"/>
        <v>1.6666666666666668E-3</v>
      </c>
      <c r="DA15" s="31">
        <f t="shared" si="42"/>
        <v>1.6666666666666668E-3</v>
      </c>
      <c r="DB15" s="31">
        <f t="shared" si="42"/>
        <v>1.6666666666666668E-3</v>
      </c>
      <c r="DC15" s="31">
        <f t="shared" si="42"/>
        <v>1.6666666666666668E-3</v>
      </c>
      <c r="DD15" s="31">
        <f t="shared" si="42"/>
        <v>1.6666666666666668E-3</v>
      </c>
      <c r="DE15" s="31">
        <f t="shared" si="42"/>
        <v>1.6666666666666668E-3</v>
      </c>
      <c r="DF15" s="31">
        <f t="shared" si="42"/>
        <v>1.6666666666666668E-3</v>
      </c>
      <c r="DG15" s="31">
        <f t="shared" si="42"/>
        <v>1.6666666666666668E-3</v>
      </c>
      <c r="DH15" s="31">
        <f t="shared" si="42"/>
        <v>1.6666666666666668E-3</v>
      </c>
      <c r="DI15" s="31">
        <f t="shared" si="42"/>
        <v>1.6666666666666668E-3</v>
      </c>
      <c r="DJ15" s="31">
        <f t="shared" si="42"/>
        <v>1.6666666666666668E-3</v>
      </c>
      <c r="DK15" s="31">
        <f t="shared" si="42"/>
        <v>1.6666666666666668E-3</v>
      </c>
      <c r="DL15" s="31">
        <f t="shared" si="42"/>
        <v>1.6666666666666668E-3</v>
      </c>
      <c r="DM15" s="31">
        <f t="shared" si="42"/>
        <v>1.6666666666666668E-3</v>
      </c>
      <c r="DN15" s="31">
        <f t="shared" si="42"/>
        <v>1.6666666666666668E-3</v>
      </c>
      <c r="DO15" s="31">
        <f t="shared" si="42"/>
        <v>1.6666666666666668E-3</v>
      </c>
      <c r="DP15" s="31">
        <f t="shared" si="42"/>
        <v>1.6666666666666668E-3</v>
      </c>
      <c r="DQ15" s="31">
        <f t="shared" si="42"/>
        <v>1.6666666666666668E-3</v>
      </c>
      <c r="DR15" s="31">
        <f t="shared" si="42"/>
        <v>1.6666666666666668E-3</v>
      </c>
      <c r="DS15" s="31">
        <f t="shared" ref="DS15:FB15" si="43">IFERROR(INDEX($C81:$G81,MATCH(YEAR(DS$6),$C$77:$G$77,0))/12,DR15)</f>
        <v>1.6666666666666668E-3</v>
      </c>
      <c r="DT15" s="31">
        <f t="shared" si="43"/>
        <v>1.6666666666666668E-3</v>
      </c>
      <c r="DU15" s="31">
        <f t="shared" si="43"/>
        <v>1.6666666666666668E-3</v>
      </c>
      <c r="DV15" s="31">
        <f t="shared" si="43"/>
        <v>1.6666666666666668E-3</v>
      </c>
      <c r="DW15" s="31">
        <f t="shared" si="43"/>
        <v>1.6666666666666668E-3</v>
      </c>
      <c r="DX15" s="31">
        <f t="shared" si="43"/>
        <v>1.6666666666666668E-3</v>
      </c>
      <c r="DY15" s="31">
        <f t="shared" si="43"/>
        <v>1.6666666666666668E-3</v>
      </c>
      <c r="DZ15" s="31">
        <f t="shared" si="43"/>
        <v>1.6666666666666668E-3</v>
      </c>
      <c r="EA15" s="31">
        <f t="shared" si="43"/>
        <v>1.6666666666666668E-3</v>
      </c>
      <c r="EB15" s="31">
        <f t="shared" si="43"/>
        <v>1.6666666666666668E-3</v>
      </c>
      <c r="EC15" s="31">
        <f t="shared" si="43"/>
        <v>1.6666666666666668E-3</v>
      </c>
      <c r="ED15" s="31">
        <f t="shared" si="43"/>
        <v>1.6666666666666668E-3</v>
      </c>
      <c r="EE15" s="31">
        <f t="shared" si="43"/>
        <v>1.6666666666666668E-3</v>
      </c>
      <c r="EF15" s="31">
        <f t="shared" si="43"/>
        <v>1.6666666666666668E-3</v>
      </c>
      <c r="EG15" s="31">
        <f t="shared" si="43"/>
        <v>1.6666666666666668E-3</v>
      </c>
      <c r="EH15" s="31">
        <f t="shared" si="43"/>
        <v>1.6666666666666668E-3</v>
      </c>
      <c r="EI15" s="31">
        <f t="shared" si="43"/>
        <v>1.6666666666666668E-3</v>
      </c>
      <c r="EJ15" s="31">
        <f t="shared" si="43"/>
        <v>1.6666666666666668E-3</v>
      </c>
      <c r="EK15" s="31">
        <f t="shared" si="43"/>
        <v>1.6666666666666668E-3</v>
      </c>
      <c r="EL15" s="31">
        <f t="shared" si="43"/>
        <v>1.6666666666666668E-3</v>
      </c>
      <c r="EM15" s="31">
        <f t="shared" si="43"/>
        <v>1.6666666666666668E-3</v>
      </c>
      <c r="EN15" s="31">
        <f t="shared" si="43"/>
        <v>1.6666666666666668E-3</v>
      </c>
      <c r="EO15" s="31">
        <f t="shared" si="43"/>
        <v>1.6666666666666668E-3</v>
      </c>
      <c r="EP15" s="31">
        <f t="shared" si="43"/>
        <v>1.6666666666666668E-3</v>
      </c>
      <c r="EQ15" s="31">
        <f t="shared" si="43"/>
        <v>1.6666666666666668E-3</v>
      </c>
      <c r="ER15" s="31">
        <f t="shared" si="43"/>
        <v>1.6666666666666668E-3</v>
      </c>
      <c r="ES15" s="31">
        <f t="shared" si="43"/>
        <v>1.6666666666666668E-3</v>
      </c>
      <c r="ET15" s="31">
        <f t="shared" si="43"/>
        <v>1.6666666666666668E-3</v>
      </c>
      <c r="EU15" s="31">
        <f t="shared" si="43"/>
        <v>1.6666666666666668E-3</v>
      </c>
      <c r="EV15" s="31">
        <f t="shared" si="43"/>
        <v>1.6666666666666668E-3</v>
      </c>
      <c r="EW15" s="31">
        <f t="shared" si="43"/>
        <v>1.6666666666666668E-3</v>
      </c>
      <c r="EX15" s="31">
        <f t="shared" si="43"/>
        <v>1.6666666666666668E-3</v>
      </c>
      <c r="EY15" s="31">
        <f t="shared" si="43"/>
        <v>1.6666666666666668E-3</v>
      </c>
      <c r="EZ15" s="31">
        <f t="shared" si="43"/>
        <v>1.6666666666666668E-3</v>
      </c>
      <c r="FA15" s="31">
        <f t="shared" si="43"/>
        <v>1.6666666666666668E-3</v>
      </c>
      <c r="FB15" s="31">
        <f t="shared" si="43"/>
        <v>1.6666666666666668E-3</v>
      </c>
    </row>
    <row r="16" spans="2:158">
      <c r="B16" s="11" t="s">
        <v>29</v>
      </c>
      <c r="C16" s="131">
        <f>INDEX($Z$4:$FB$4,MATCH(D16,$Z$6:$FB$6,0))</f>
        <v>1</v>
      </c>
      <c r="D16" s="40">
        <f>EOMONTH(F15,0)</f>
        <v>46203</v>
      </c>
      <c r="E16" s="125">
        <v>24</v>
      </c>
      <c r="F16" s="186">
        <f>EOMONTH(D16,E16-1)</f>
        <v>46904</v>
      </c>
      <c r="G16" s="39">
        <f>INDEX($Z$4:$FB$4,MATCH(F16,$Z$6:$FB$6,0))</f>
        <v>24</v>
      </c>
      <c r="I16" s="32" t="s">
        <v>22</v>
      </c>
      <c r="J16" s="32"/>
      <c r="K16" s="33"/>
      <c r="L16" s="141"/>
      <c r="M16" s="33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3"/>
      <c r="Z16" s="34">
        <v>1</v>
      </c>
      <c r="AA16" s="34">
        <f t="shared" ref="AA16:CL16" si="44">Z16*(1+AA15)</f>
        <v>1.0016666666666667</v>
      </c>
      <c r="AB16" s="34">
        <f t="shared" si="44"/>
        <v>1.0033361111111112</v>
      </c>
      <c r="AC16" s="34">
        <f t="shared" si="44"/>
        <v>1.0050083379629631</v>
      </c>
      <c r="AD16" s="34">
        <f t="shared" si="44"/>
        <v>1.0066833518595681</v>
      </c>
      <c r="AE16" s="34">
        <f t="shared" si="44"/>
        <v>1.0083611574460007</v>
      </c>
      <c r="AF16" s="34">
        <f t="shared" si="44"/>
        <v>1.0100417593750775</v>
      </c>
      <c r="AG16" s="34">
        <f t="shared" si="44"/>
        <v>1.0117251623073693</v>
      </c>
      <c r="AH16" s="34">
        <f t="shared" si="44"/>
        <v>1.0134113709112149</v>
      </c>
      <c r="AI16" s="34">
        <f t="shared" si="44"/>
        <v>1.0151003898627335</v>
      </c>
      <c r="AJ16" s="34">
        <f t="shared" si="44"/>
        <v>1.0167922238458382</v>
      </c>
      <c r="AK16" s="34">
        <f t="shared" si="44"/>
        <v>1.018486877552248</v>
      </c>
      <c r="AL16" s="34">
        <f t="shared" si="44"/>
        <v>1.0201843556815018</v>
      </c>
      <c r="AM16" s="34">
        <f t="shared" si="44"/>
        <v>1.021884662940971</v>
      </c>
      <c r="AN16" s="34">
        <f t="shared" si="44"/>
        <v>1.0235878040458726</v>
      </c>
      <c r="AO16" s="34">
        <f t="shared" si="44"/>
        <v>1.0252937837192824</v>
      </c>
      <c r="AP16" s="34">
        <f t="shared" si="44"/>
        <v>1.0270026066921478</v>
      </c>
      <c r="AQ16" s="34">
        <f t="shared" si="44"/>
        <v>1.0287142777033014</v>
      </c>
      <c r="AR16" s="34">
        <f t="shared" si="44"/>
        <v>1.0304288014994736</v>
      </c>
      <c r="AS16" s="34">
        <f t="shared" si="44"/>
        <v>1.032146182835306</v>
      </c>
      <c r="AT16" s="34">
        <f t="shared" si="44"/>
        <v>1.0338664264733648</v>
      </c>
      <c r="AU16" s="34">
        <f t="shared" si="44"/>
        <v>1.0355895371841537</v>
      </c>
      <c r="AV16" s="34">
        <f t="shared" si="44"/>
        <v>1.0373155197461272</v>
      </c>
      <c r="AW16" s="34">
        <f t="shared" si="44"/>
        <v>1.0390443789457042</v>
      </c>
      <c r="AX16" s="34">
        <f t="shared" si="44"/>
        <v>1.0407761195772804</v>
      </c>
      <c r="AY16" s="34">
        <f t="shared" si="44"/>
        <v>1.0425107464432426</v>
      </c>
      <c r="AZ16" s="34">
        <f t="shared" si="44"/>
        <v>1.0442482643539814</v>
      </c>
      <c r="BA16" s="34">
        <f t="shared" si="44"/>
        <v>1.0459886781279049</v>
      </c>
      <c r="BB16" s="34">
        <f t="shared" si="44"/>
        <v>1.0477319925914514</v>
      </c>
      <c r="BC16" s="34">
        <f t="shared" si="44"/>
        <v>1.049478212579104</v>
      </c>
      <c r="BD16" s="34">
        <f t="shared" si="44"/>
        <v>1.0512273429334025</v>
      </c>
      <c r="BE16" s="34">
        <f t="shared" si="44"/>
        <v>1.0529793885049581</v>
      </c>
      <c r="BF16" s="34">
        <f t="shared" si="44"/>
        <v>1.0547343541524663</v>
      </c>
      <c r="BG16" s="34">
        <f t="shared" si="44"/>
        <v>1.0564922447427205</v>
      </c>
      <c r="BH16" s="34">
        <f t="shared" si="44"/>
        <v>1.058253065150625</v>
      </c>
      <c r="BI16" s="34">
        <f t="shared" si="44"/>
        <v>1.0600168202592095</v>
      </c>
      <c r="BJ16" s="34">
        <f t="shared" si="44"/>
        <v>1.0617835149596415</v>
      </c>
      <c r="BK16" s="34">
        <f t="shared" si="44"/>
        <v>1.0635531541512409</v>
      </c>
      <c r="BL16" s="34">
        <f t="shared" si="44"/>
        <v>1.0653257427414931</v>
      </c>
      <c r="BM16" s="34">
        <f t="shared" si="44"/>
        <v>1.0671012856460622</v>
      </c>
      <c r="BN16" s="34">
        <f t="shared" si="44"/>
        <v>1.0688797877888057</v>
      </c>
      <c r="BO16" s="34">
        <f t="shared" si="44"/>
        <v>1.070661254101787</v>
      </c>
      <c r="BP16" s="34">
        <f t="shared" si="44"/>
        <v>1.0724456895252901</v>
      </c>
      <c r="BQ16" s="34">
        <f t="shared" si="44"/>
        <v>1.0742330990078324</v>
      </c>
      <c r="BR16" s="34">
        <f t="shared" si="44"/>
        <v>1.0760234875061787</v>
      </c>
      <c r="BS16" s="34">
        <f t="shared" si="44"/>
        <v>1.0778168599853557</v>
      </c>
      <c r="BT16" s="34">
        <f t="shared" si="44"/>
        <v>1.0796132214186647</v>
      </c>
      <c r="BU16" s="34">
        <f t="shared" si="44"/>
        <v>1.0814125767876959</v>
      </c>
      <c r="BV16" s="34">
        <f t="shared" si="44"/>
        <v>1.083214931082342</v>
      </c>
      <c r="BW16" s="34">
        <f t="shared" si="44"/>
        <v>1.0850202893008127</v>
      </c>
      <c r="BX16" s="34">
        <f t="shared" si="44"/>
        <v>1.0868286564496474</v>
      </c>
      <c r="BY16" s="34">
        <f t="shared" si="44"/>
        <v>1.0886400375437302</v>
      </c>
      <c r="BZ16" s="34">
        <f t="shared" si="44"/>
        <v>1.090454437606303</v>
      </c>
      <c r="CA16" s="34">
        <f t="shared" si="44"/>
        <v>1.0922718616689802</v>
      </c>
      <c r="CB16" s="34">
        <f t="shared" si="44"/>
        <v>1.0940923147717618</v>
      </c>
      <c r="CC16" s="34">
        <f t="shared" si="44"/>
        <v>1.0959158019630482</v>
      </c>
      <c r="CD16" s="34">
        <f t="shared" si="44"/>
        <v>1.0977423282996532</v>
      </c>
      <c r="CE16" s="34">
        <f t="shared" si="44"/>
        <v>1.0995718988468193</v>
      </c>
      <c r="CF16" s="34">
        <f t="shared" si="44"/>
        <v>1.1014045186782306</v>
      </c>
      <c r="CG16" s="34">
        <f t="shared" si="44"/>
        <v>1.1032401928760278</v>
      </c>
      <c r="CH16" s="34">
        <f t="shared" si="44"/>
        <v>1.1050789265308212</v>
      </c>
      <c r="CI16" s="34">
        <f t="shared" si="44"/>
        <v>1.1069207247417059</v>
      </c>
      <c r="CJ16" s="34">
        <f t="shared" si="44"/>
        <v>1.1087655926162754</v>
      </c>
      <c r="CK16" s="34">
        <f t="shared" si="44"/>
        <v>1.1106135352706359</v>
      </c>
      <c r="CL16" s="34">
        <f t="shared" si="44"/>
        <v>1.1124645578294203</v>
      </c>
      <c r="CM16" s="34">
        <f t="shared" ref="CM16:EX16" si="45">CL16*(1+CM15)</f>
        <v>1.1143186654258028</v>
      </c>
      <c r="CN16" s="34">
        <f t="shared" si="45"/>
        <v>1.1161758632015126</v>
      </c>
      <c r="CO16" s="34">
        <f t="shared" si="45"/>
        <v>1.1180361563068486</v>
      </c>
      <c r="CP16" s="34">
        <f t="shared" si="45"/>
        <v>1.1198995499006934</v>
      </c>
      <c r="CQ16" s="34">
        <f t="shared" si="45"/>
        <v>1.1217660491505279</v>
      </c>
      <c r="CR16" s="34">
        <f t="shared" si="45"/>
        <v>1.1236356592324455</v>
      </c>
      <c r="CS16" s="34">
        <f t="shared" si="45"/>
        <v>1.1255083853311663</v>
      </c>
      <c r="CT16" s="34">
        <f t="shared" si="45"/>
        <v>1.1273842326400516</v>
      </c>
      <c r="CU16" s="34">
        <f t="shared" si="45"/>
        <v>1.1292632063611183</v>
      </c>
      <c r="CV16" s="34">
        <f t="shared" si="45"/>
        <v>1.1311453117050536</v>
      </c>
      <c r="CW16" s="34">
        <f t="shared" si="45"/>
        <v>1.1330305538912286</v>
      </c>
      <c r="CX16" s="34">
        <f t="shared" si="45"/>
        <v>1.1349189381477141</v>
      </c>
      <c r="CY16" s="34">
        <f t="shared" si="45"/>
        <v>1.1368104697112935</v>
      </c>
      <c r="CZ16" s="34">
        <f t="shared" si="45"/>
        <v>1.1387051538274791</v>
      </c>
      <c r="DA16" s="34">
        <f t="shared" si="45"/>
        <v>1.1406029957505248</v>
      </c>
      <c r="DB16" s="34">
        <f t="shared" si="45"/>
        <v>1.1425040007434424</v>
      </c>
      <c r="DC16" s="34">
        <f t="shared" si="45"/>
        <v>1.1444081740780148</v>
      </c>
      <c r="DD16" s="34">
        <f t="shared" si="45"/>
        <v>1.1463155210348115</v>
      </c>
      <c r="DE16" s="34">
        <f t="shared" si="45"/>
        <v>1.1482260469032028</v>
      </c>
      <c r="DF16" s="34">
        <f t="shared" si="45"/>
        <v>1.1501397569813749</v>
      </c>
      <c r="DG16" s="34">
        <f t="shared" si="45"/>
        <v>1.1520566565763439</v>
      </c>
      <c r="DH16" s="34">
        <f t="shared" si="45"/>
        <v>1.1539767510039711</v>
      </c>
      <c r="DI16" s="34">
        <f t="shared" si="45"/>
        <v>1.1559000455889779</v>
      </c>
      <c r="DJ16" s="34">
        <f t="shared" si="45"/>
        <v>1.1578265456649595</v>
      </c>
      <c r="DK16" s="34">
        <f t="shared" si="45"/>
        <v>1.1597562565744011</v>
      </c>
      <c r="DL16" s="34">
        <f t="shared" si="45"/>
        <v>1.1616891836686918</v>
      </c>
      <c r="DM16" s="34">
        <f t="shared" si="45"/>
        <v>1.1636253323081396</v>
      </c>
      <c r="DN16" s="34">
        <f t="shared" si="45"/>
        <v>1.1655647078619866</v>
      </c>
      <c r="DO16" s="34">
        <f t="shared" si="45"/>
        <v>1.1675073157084233</v>
      </c>
      <c r="DP16" s="34">
        <f t="shared" si="45"/>
        <v>1.169453161234604</v>
      </c>
      <c r="DQ16" s="34">
        <f t="shared" si="45"/>
        <v>1.1714022498366616</v>
      </c>
      <c r="DR16" s="34">
        <f t="shared" si="45"/>
        <v>1.1733545869197228</v>
      </c>
      <c r="DS16" s="34">
        <f t="shared" si="45"/>
        <v>1.1753101778979225</v>
      </c>
      <c r="DT16" s="34">
        <f t="shared" si="45"/>
        <v>1.1772690281944191</v>
      </c>
      <c r="DU16" s="34">
        <f t="shared" si="45"/>
        <v>1.17923114324141</v>
      </c>
      <c r="DV16" s="34">
        <f t="shared" si="45"/>
        <v>1.1811965284801458</v>
      </c>
      <c r="DW16" s="34">
        <f t="shared" si="45"/>
        <v>1.1831651893609461</v>
      </c>
      <c r="DX16" s="34">
        <f t="shared" si="45"/>
        <v>1.1851371313432144</v>
      </c>
      <c r="DY16" s="34">
        <f t="shared" si="45"/>
        <v>1.1871123598954532</v>
      </c>
      <c r="DZ16" s="34">
        <f t="shared" si="45"/>
        <v>1.1890908804952789</v>
      </c>
      <c r="EA16" s="34">
        <f t="shared" si="45"/>
        <v>1.1910726986294378</v>
      </c>
      <c r="EB16" s="34">
        <f t="shared" si="45"/>
        <v>1.1930578197938202</v>
      </c>
      <c r="EC16" s="34">
        <f t="shared" si="45"/>
        <v>1.1950462494934766</v>
      </c>
      <c r="ED16" s="34">
        <f t="shared" si="45"/>
        <v>1.1970379932426325</v>
      </c>
      <c r="EE16" s="34">
        <f t="shared" si="45"/>
        <v>1.1990330565647036</v>
      </c>
      <c r="EF16" s="34">
        <f t="shared" si="45"/>
        <v>1.2010314449923114</v>
      </c>
      <c r="EG16" s="34">
        <f t="shared" si="45"/>
        <v>1.2030331640672987</v>
      </c>
      <c r="EH16" s="34">
        <f t="shared" si="45"/>
        <v>1.2050382193407443</v>
      </c>
      <c r="EI16" s="34">
        <f t="shared" si="45"/>
        <v>1.2070466163729789</v>
      </c>
      <c r="EJ16" s="34">
        <f t="shared" si="45"/>
        <v>1.2090583607336005</v>
      </c>
      <c r="EK16" s="34">
        <f t="shared" si="45"/>
        <v>1.2110734580014899</v>
      </c>
      <c r="EL16" s="34">
        <f t="shared" si="45"/>
        <v>1.2130919137648257</v>
      </c>
      <c r="EM16" s="34">
        <f t="shared" si="45"/>
        <v>1.2151137336211004</v>
      </c>
      <c r="EN16" s="34">
        <f t="shared" si="45"/>
        <v>1.2171389231771357</v>
      </c>
      <c r="EO16" s="34">
        <f t="shared" si="45"/>
        <v>1.2191674880490977</v>
      </c>
      <c r="EP16" s="34">
        <f t="shared" si="45"/>
        <v>1.221199433862513</v>
      </c>
      <c r="EQ16" s="34">
        <f t="shared" si="45"/>
        <v>1.2232347662522838</v>
      </c>
      <c r="ER16" s="34">
        <f t="shared" si="45"/>
        <v>1.2252734908627043</v>
      </c>
      <c r="ES16" s="34">
        <f t="shared" si="45"/>
        <v>1.2273156133474756</v>
      </c>
      <c r="ET16" s="34">
        <f t="shared" si="45"/>
        <v>1.2293611393697215</v>
      </c>
      <c r="EU16" s="34">
        <f t="shared" si="45"/>
        <v>1.2314100746020045</v>
      </c>
      <c r="EV16" s="34">
        <f t="shared" si="45"/>
        <v>1.2334624247263413</v>
      </c>
      <c r="EW16" s="34">
        <f t="shared" si="45"/>
        <v>1.2355181954342185</v>
      </c>
      <c r="EX16" s="34">
        <f t="shared" si="45"/>
        <v>1.2375773924266089</v>
      </c>
      <c r="EY16" s="34">
        <f t="shared" ref="EY16:FB16" si="46">EX16*(1+EY15)</f>
        <v>1.2396400214139867</v>
      </c>
      <c r="EZ16" s="34">
        <f t="shared" si="46"/>
        <v>1.2417060881163433</v>
      </c>
      <c r="FA16" s="34">
        <f t="shared" si="46"/>
        <v>1.2437755982632039</v>
      </c>
      <c r="FB16" s="34">
        <f t="shared" si="46"/>
        <v>1.2458485575936427</v>
      </c>
    </row>
    <row r="17" spans="2:158">
      <c r="B17" s="11" t="s">
        <v>30</v>
      </c>
      <c r="C17" s="132">
        <f>INDEX($Z$4:$FB$4,MATCH(D17,$Z$6:$FB$6,0))</f>
        <v>24</v>
      </c>
      <c r="D17" s="40">
        <f>EOMONTH(F16,0)</f>
        <v>46904</v>
      </c>
      <c r="E17" s="125">
        <v>1</v>
      </c>
      <c r="F17" s="186">
        <f>EOMONTH(D17,E17-1)</f>
        <v>46904</v>
      </c>
      <c r="G17" s="39">
        <f>INDEX($Z$4:$FB$4,MATCH(F17,$Z$6:$FB$6,0))</f>
        <v>24</v>
      </c>
      <c r="Z17" s="31"/>
    </row>
    <row r="18" spans="2:158">
      <c r="B18" s="135">
        <v>10</v>
      </c>
      <c r="C18" s="133">
        <f>INDEX($Z$4:$FB$4,MATCH(D18,$Z$6:$FB$6,0))</f>
        <v>24</v>
      </c>
      <c r="D18" s="41">
        <f>EOMONTH(F17,0)</f>
        <v>46904</v>
      </c>
      <c r="E18" s="42">
        <f>G18-C18</f>
        <v>96</v>
      </c>
      <c r="F18" s="186">
        <f>EOMONTH(D15,B18*12-1)</f>
        <v>49826</v>
      </c>
      <c r="G18" s="39">
        <f>INDEX($Z$4:$FB$4,MATCH(F18,$Z$6:$FB$6,0))</f>
        <v>120</v>
      </c>
      <c r="I18" s="15" t="s">
        <v>37</v>
      </c>
    </row>
    <row r="19" spans="2:158">
      <c r="B19" s="15"/>
      <c r="C19" s="43"/>
      <c r="D19" s="134"/>
      <c r="E19" s="44"/>
      <c r="F19" s="44"/>
      <c r="G19" s="44"/>
      <c r="I19" s="9" t="s">
        <v>38</v>
      </c>
      <c r="Z19" s="46">
        <f>D63</f>
        <v>1235.2242857142858</v>
      </c>
      <c r="AA19" s="46">
        <f t="shared" ref="AA19:CL19" si="47">Z19*(1+AA9)</f>
        <v>1237.282992857143</v>
      </c>
      <c r="AB19" s="46">
        <f t="shared" si="47"/>
        <v>1239.3451311785716</v>
      </c>
      <c r="AC19" s="46">
        <f t="shared" si="47"/>
        <v>1241.4107063972026</v>
      </c>
      <c r="AD19" s="46">
        <f t="shared" si="47"/>
        <v>1243.479724241198</v>
      </c>
      <c r="AE19" s="46">
        <f t="shared" si="47"/>
        <v>1245.5521904482666</v>
      </c>
      <c r="AF19" s="46">
        <f t="shared" si="47"/>
        <v>1247.6281107656805</v>
      </c>
      <c r="AG19" s="46">
        <f t="shared" si="47"/>
        <v>1249.7074909502901</v>
      </c>
      <c r="AH19" s="46">
        <f t="shared" si="47"/>
        <v>1251.7903367685406</v>
      </c>
      <c r="AI19" s="46">
        <f t="shared" si="47"/>
        <v>1253.8766539964881</v>
      </c>
      <c r="AJ19" s="46">
        <f t="shared" si="47"/>
        <v>1255.9664484198156</v>
      </c>
      <c r="AK19" s="46">
        <f t="shared" si="47"/>
        <v>1258.0597258338487</v>
      </c>
      <c r="AL19" s="46">
        <f t="shared" si="47"/>
        <v>1260.1564920435719</v>
      </c>
      <c r="AM19" s="46">
        <f t="shared" si="47"/>
        <v>1262.2567528636446</v>
      </c>
      <c r="AN19" s="46">
        <f t="shared" si="47"/>
        <v>1264.3605141184173</v>
      </c>
      <c r="AO19" s="46">
        <f t="shared" si="47"/>
        <v>1266.467781641948</v>
      </c>
      <c r="AP19" s="46">
        <f t="shared" si="47"/>
        <v>1268.578561278018</v>
      </c>
      <c r="AQ19" s="46">
        <f t="shared" si="47"/>
        <v>1270.6928588801482</v>
      </c>
      <c r="AR19" s="46">
        <f t="shared" si="47"/>
        <v>1272.8106803116152</v>
      </c>
      <c r="AS19" s="46">
        <f t="shared" si="47"/>
        <v>1274.9320314454681</v>
      </c>
      <c r="AT19" s="46">
        <f t="shared" si="47"/>
        <v>1277.056918164544</v>
      </c>
      <c r="AU19" s="46">
        <f t="shared" si="47"/>
        <v>1279.185346361485</v>
      </c>
      <c r="AV19" s="46">
        <f t="shared" si="47"/>
        <v>1281.3173219387543</v>
      </c>
      <c r="AW19" s="46">
        <f t="shared" si="47"/>
        <v>1283.4528508086523</v>
      </c>
      <c r="AX19" s="46">
        <f t="shared" si="47"/>
        <v>1285.5919388933335</v>
      </c>
      <c r="AY19" s="46">
        <f t="shared" si="47"/>
        <v>1287.7345921248225</v>
      </c>
      <c r="AZ19" s="46">
        <f t="shared" si="47"/>
        <v>1289.8808164450306</v>
      </c>
      <c r="BA19" s="46">
        <f t="shared" si="47"/>
        <v>1292.0306178057724</v>
      </c>
      <c r="BB19" s="46">
        <f t="shared" si="47"/>
        <v>1294.1840021687822</v>
      </c>
      <c r="BC19" s="46">
        <f t="shared" si="47"/>
        <v>1296.3409755057303</v>
      </c>
      <c r="BD19" s="46">
        <f t="shared" si="47"/>
        <v>1298.5015437982399</v>
      </c>
      <c r="BE19" s="46">
        <f t="shared" si="47"/>
        <v>1300.6657130379037</v>
      </c>
      <c r="BF19" s="46">
        <f t="shared" si="47"/>
        <v>1302.8334892263003</v>
      </c>
      <c r="BG19" s="46">
        <f t="shared" si="47"/>
        <v>1305.004878375011</v>
      </c>
      <c r="BH19" s="46">
        <f t="shared" si="47"/>
        <v>1307.179886505636</v>
      </c>
      <c r="BI19" s="46">
        <f t="shared" si="47"/>
        <v>1309.358519649812</v>
      </c>
      <c r="BJ19" s="46">
        <f t="shared" si="47"/>
        <v>1311.5407838492283</v>
      </c>
      <c r="BK19" s="46">
        <f t="shared" si="47"/>
        <v>1313.7266851556437</v>
      </c>
      <c r="BL19" s="46">
        <f t="shared" si="47"/>
        <v>1315.9162296309032</v>
      </c>
      <c r="BM19" s="46">
        <f t="shared" si="47"/>
        <v>1318.1094233469548</v>
      </c>
      <c r="BN19" s="46">
        <f t="shared" si="47"/>
        <v>1320.3062723858666</v>
      </c>
      <c r="BO19" s="46">
        <f t="shared" si="47"/>
        <v>1322.506782839843</v>
      </c>
      <c r="BP19" s="46">
        <f t="shared" si="47"/>
        <v>1324.7109608112428</v>
      </c>
      <c r="BQ19" s="46">
        <f t="shared" si="47"/>
        <v>1326.9188124125949</v>
      </c>
      <c r="BR19" s="46">
        <f t="shared" si="47"/>
        <v>1329.1303437666159</v>
      </c>
      <c r="BS19" s="46">
        <f t="shared" si="47"/>
        <v>1331.3455610062269</v>
      </c>
      <c r="BT19" s="46">
        <f t="shared" si="47"/>
        <v>1333.5644702745708</v>
      </c>
      <c r="BU19" s="46">
        <f t="shared" si="47"/>
        <v>1335.7870777250284</v>
      </c>
      <c r="BV19" s="46">
        <f t="shared" si="47"/>
        <v>1338.0133895212368</v>
      </c>
      <c r="BW19" s="46">
        <f t="shared" si="47"/>
        <v>1340.2434118371057</v>
      </c>
      <c r="BX19" s="46">
        <f t="shared" si="47"/>
        <v>1342.4771508568342</v>
      </c>
      <c r="BY19" s="46">
        <f t="shared" si="47"/>
        <v>1344.714612774929</v>
      </c>
      <c r="BZ19" s="46">
        <f t="shared" si="47"/>
        <v>1346.9558037962206</v>
      </c>
      <c r="CA19" s="46">
        <f t="shared" si="47"/>
        <v>1349.200730135881</v>
      </c>
      <c r="CB19" s="46">
        <f t="shared" si="47"/>
        <v>1351.4493980194409</v>
      </c>
      <c r="CC19" s="46">
        <f t="shared" si="47"/>
        <v>1353.7018136828067</v>
      </c>
      <c r="CD19" s="46">
        <f t="shared" si="47"/>
        <v>1355.957983372278</v>
      </c>
      <c r="CE19" s="46">
        <f t="shared" si="47"/>
        <v>1358.2179133445652</v>
      </c>
      <c r="CF19" s="46">
        <f t="shared" si="47"/>
        <v>1360.4816098668061</v>
      </c>
      <c r="CG19" s="46">
        <f t="shared" si="47"/>
        <v>1362.7490792165843</v>
      </c>
      <c r="CH19" s="46">
        <f t="shared" si="47"/>
        <v>1365.0203276819452</v>
      </c>
      <c r="CI19" s="46">
        <f t="shared" si="47"/>
        <v>1367.2953615614151</v>
      </c>
      <c r="CJ19" s="46">
        <f t="shared" si="47"/>
        <v>1369.5741871640175</v>
      </c>
      <c r="CK19" s="46">
        <f t="shared" si="47"/>
        <v>1371.8568108092909</v>
      </c>
      <c r="CL19" s="46">
        <f t="shared" si="47"/>
        <v>1374.1432388273065</v>
      </c>
      <c r="CM19" s="46">
        <f t="shared" ref="CM19:EX19" si="48">CL19*(1+CM9)</f>
        <v>1376.4334775586854</v>
      </c>
      <c r="CN19" s="46">
        <f t="shared" si="48"/>
        <v>1378.7275333546165</v>
      </c>
      <c r="CO19" s="46">
        <f t="shared" si="48"/>
        <v>1381.0254125768743</v>
      </c>
      <c r="CP19" s="46">
        <f t="shared" si="48"/>
        <v>1383.3271215978357</v>
      </c>
      <c r="CQ19" s="46">
        <f t="shared" si="48"/>
        <v>1385.6326668004988</v>
      </c>
      <c r="CR19" s="46">
        <f t="shared" si="48"/>
        <v>1387.9420545784997</v>
      </c>
      <c r="CS19" s="46">
        <f t="shared" si="48"/>
        <v>1390.2552913361305</v>
      </c>
      <c r="CT19" s="46">
        <f t="shared" si="48"/>
        <v>1392.5723834883574</v>
      </c>
      <c r="CU19" s="46">
        <f t="shared" si="48"/>
        <v>1394.893337460838</v>
      </c>
      <c r="CV19" s="46">
        <f t="shared" si="48"/>
        <v>1397.2181596899395</v>
      </c>
      <c r="CW19" s="46">
        <f t="shared" si="48"/>
        <v>1399.5468566227562</v>
      </c>
      <c r="CX19" s="46">
        <f t="shared" si="48"/>
        <v>1401.8794347171274</v>
      </c>
      <c r="CY19" s="46">
        <f t="shared" si="48"/>
        <v>1404.215900441656</v>
      </c>
      <c r="CZ19" s="46">
        <f t="shared" si="48"/>
        <v>1406.5562602757254</v>
      </c>
      <c r="DA19" s="46">
        <f t="shared" si="48"/>
        <v>1408.9005207095183</v>
      </c>
      <c r="DB19" s="46">
        <f t="shared" si="48"/>
        <v>1411.2486882440342</v>
      </c>
      <c r="DC19" s="46">
        <f t="shared" si="48"/>
        <v>1413.6007693911076</v>
      </c>
      <c r="DD19" s="46">
        <f t="shared" si="48"/>
        <v>1415.9567706734263</v>
      </c>
      <c r="DE19" s="46">
        <f t="shared" si="48"/>
        <v>1418.3166986245487</v>
      </c>
      <c r="DF19" s="46">
        <f t="shared" si="48"/>
        <v>1420.6805597889231</v>
      </c>
      <c r="DG19" s="46">
        <f t="shared" si="48"/>
        <v>1423.0483607219046</v>
      </c>
      <c r="DH19" s="46">
        <f t="shared" si="48"/>
        <v>1425.4201079897746</v>
      </c>
      <c r="DI19" s="46">
        <f t="shared" si="48"/>
        <v>1427.7958081697575</v>
      </c>
      <c r="DJ19" s="46">
        <f t="shared" si="48"/>
        <v>1430.1754678500404</v>
      </c>
      <c r="DK19" s="46">
        <f t="shared" si="48"/>
        <v>1432.5590936297906</v>
      </c>
      <c r="DL19" s="46">
        <f t="shared" si="48"/>
        <v>1434.9466921191736</v>
      </c>
      <c r="DM19" s="46">
        <f t="shared" si="48"/>
        <v>1437.3382699393724</v>
      </c>
      <c r="DN19" s="46">
        <f t="shared" si="48"/>
        <v>1439.7338337226047</v>
      </c>
      <c r="DO19" s="46">
        <f t="shared" si="48"/>
        <v>1442.1333901121425</v>
      </c>
      <c r="DP19" s="46">
        <f t="shared" si="48"/>
        <v>1444.5369457623294</v>
      </c>
      <c r="DQ19" s="46">
        <f t="shared" si="48"/>
        <v>1446.9445073386</v>
      </c>
      <c r="DR19" s="46">
        <f t="shared" si="48"/>
        <v>1449.3560815174978</v>
      </c>
      <c r="DS19" s="46">
        <f t="shared" si="48"/>
        <v>1451.7716749866938</v>
      </c>
      <c r="DT19" s="46">
        <f t="shared" si="48"/>
        <v>1454.191294445005</v>
      </c>
      <c r="DU19" s="46">
        <f t="shared" si="48"/>
        <v>1456.6149466024135</v>
      </c>
      <c r="DV19" s="46">
        <f t="shared" si="48"/>
        <v>1459.0426381800842</v>
      </c>
      <c r="DW19" s="46">
        <f t="shared" si="48"/>
        <v>1461.4743759103844</v>
      </c>
      <c r="DX19" s="46">
        <f t="shared" si="48"/>
        <v>1463.9101665369019</v>
      </c>
      <c r="DY19" s="46">
        <f t="shared" si="48"/>
        <v>1466.3500168144635</v>
      </c>
      <c r="DZ19" s="46">
        <f t="shared" si="48"/>
        <v>1468.7939335091544</v>
      </c>
      <c r="EA19" s="46">
        <f t="shared" si="48"/>
        <v>1471.2419233983364</v>
      </c>
      <c r="EB19" s="46">
        <f t="shared" si="48"/>
        <v>1473.6939932706671</v>
      </c>
      <c r="EC19" s="46">
        <f t="shared" si="48"/>
        <v>1476.1501499261183</v>
      </c>
      <c r="ED19" s="46">
        <f t="shared" si="48"/>
        <v>1478.6104001759952</v>
      </c>
      <c r="EE19" s="46">
        <f t="shared" si="48"/>
        <v>1481.0747508429552</v>
      </c>
      <c r="EF19" s="46">
        <f t="shared" si="48"/>
        <v>1483.5432087610268</v>
      </c>
      <c r="EG19" s="46">
        <f t="shared" si="48"/>
        <v>1486.0157807756286</v>
      </c>
      <c r="EH19" s="46">
        <f t="shared" si="48"/>
        <v>1488.4924737435881</v>
      </c>
      <c r="EI19" s="46">
        <f t="shared" si="48"/>
        <v>1490.9732945331609</v>
      </c>
      <c r="EJ19" s="46">
        <f t="shared" si="48"/>
        <v>1493.4582500240497</v>
      </c>
      <c r="EK19" s="46">
        <f t="shared" si="48"/>
        <v>1495.9473471074232</v>
      </c>
      <c r="EL19" s="46">
        <f t="shared" si="48"/>
        <v>1498.4405926859356</v>
      </c>
      <c r="EM19" s="46">
        <f t="shared" si="48"/>
        <v>1500.9379936737455</v>
      </c>
      <c r="EN19" s="46">
        <f t="shared" si="48"/>
        <v>1503.4395569965352</v>
      </c>
      <c r="EO19" s="46">
        <f t="shared" si="48"/>
        <v>1505.9452895915294</v>
      </c>
      <c r="EP19" s="46">
        <f t="shared" si="48"/>
        <v>1508.4551984075154</v>
      </c>
      <c r="EQ19" s="46">
        <f t="shared" si="48"/>
        <v>1510.9692904048613</v>
      </c>
      <c r="ER19" s="46">
        <f t="shared" si="48"/>
        <v>1513.4875725555362</v>
      </c>
      <c r="ES19" s="46">
        <f t="shared" si="48"/>
        <v>1516.0100518431288</v>
      </c>
      <c r="ET19" s="46">
        <f t="shared" si="48"/>
        <v>1518.5367352628675</v>
      </c>
      <c r="EU19" s="46">
        <f t="shared" si="48"/>
        <v>1521.067629821639</v>
      </c>
      <c r="EV19" s="46">
        <f t="shared" si="48"/>
        <v>1523.6027425380084</v>
      </c>
      <c r="EW19" s="46">
        <f t="shared" si="48"/>
        <v>1526.1420804422385</v>
      </c>
      <c r="EX19" s="46">
        <f t="shared" si="48"/>
        <v>1528.6856505763089</v>
      </c>
      <c r="EY19" s="46">
        <f t="shared" ref="EY19:FB19" si="49">EX19*(1+EY9)</f>
        <v>1531.2334599939361</v>
      </c>
      <c r="EZ19" s="46">
        <f t="shared" si="49"/>
        <v>1533.7855157605927</v>
      </c>
      <c r="FA19" s="46">
        <f t="shared" si="49"/>
        <v>1536.3418249535271</v>
      </c>
      <c r="FB19" s="46">
        <f t="shared" si="49"/>
        <v>1538.9023946617831</v>
      </c>
    </row>
    <row r="20" spans="2:158">
      <c r="B20" s="17" t="s">
        <v>31</v>
      </c>
      <c r="C20" s="17"/>
      <c r="D20" s="17"/>
      <c r="E20" s="17"/>
      <c r="F20" s="17"/>
      <c r="G20" s="17"/>
      <c r="AA20" s="24"/>
      <c r="AB20" s="24"/>
      <c r="AC20" s="24"/>
      <c r="AD20" s="24"/>
      <c r="AE20" s="24"/>
    </row>
    <row r="21" spans="2:158">
      <c r="B21" s="21" t="s">
        <v>32</v>
      </c>
      <c r="C21" s="45" t="s">
        <v>33</v>
      </c>
      <c r="D21" s="45" t="s">
        <v>34</v>
      </c>
      <c r="E21" s="23" t="s">
        <v>35</v>
      </c>
      <c r="F21" s="45" t="s">
        <v>30</v>
      </c>
      <c r="G21" s="45" t="s">
        <v>36</v>
      </c>
      <c r="I21" s="53" t="s">
        <v>41</v>
      </c>
    </row>
    <row r="22" spans="2:158">
      <c r="B22" s="11" t="s">
        <v>168</v>
      </c>
      <c r="C22" s="101">
        <v>557219.8628</v>
      </c>
      <c r="D22" s="46">
        <f>C22</f>
        <v>557219.8628</v>
      </c>
      <c r="E22" s="47" t="s">
        <v>168</v>
      </c>
      <c r="F22" s="48">
        <f ca="1">INDEX($Z$71:$FB$71,MATCH(C17,$Z$4:$FB$4,0))</f>
        <v>534918.48090242269</v>
      </c>
      <c r="G22" s="48">
        <f ca="1">INDEX($Z$71:$FB$71,MATCH(G18,$Z$4:$FB$4,0))</f>
        <v>644204.91108986712</v>
      </c>
      <c r="I22" s="24" t="s">
        <v>42</v>
      </c>
      <c r="J22" s="24"/>
      <c r="K22" s="55"/>
      <c r="L22" s="24">
        <f>SUMIF($Z$4:$FB$4,"&lt;="&amp;$G$18,$Z22:$FB22)</f>
        <v>9195859.5976030827</v>
      </c>
      <c r="M22" s="55"/>
      <c r="N22" s="24">
        <f>SUMIF($Z$3:$FB$3,N$7,$Z22:$FB22)</f>
        <v>0</v>
      </c>
      <c r="O22" s="24">
        <f t="shared" ref="O22:X24" si="50">SUMIF($Z$3:$FB$3,O$7,$Z22:$FB22)</f>
        <v>839118.3362184345</v>
      </c>
      <c r="P22" s="24">
        <f t="shared" si="50"/>
        <v>856055.39917553763</v>
      </c>
      <c r="Q22" s="24">
        <f t="shared" si="50"/>
        <v>873334.32583556708</v>
      </c>
      <c r="R22" s="24">
        <f t="shared" si="50"/>
        <v>890962.01649709686</v>
      </c>
      <c r="S22" s="24">
        <f t="shared" si="50"/>
        <v>908945.5107367821</v>
      </c>
      <c r="T22" s="24">
        <f t="shared" si="50"/>
        <v>927291.99022059771</v>
      </c>
      <c r="U22" s="24">
        <f t="shared" si="50"/>
        <v>946008.78157181758</v>
      </c>
      <c r="V22" s="24">
        <f t="shared" si="50"/>
        <v>965103.35929688718</v>
      </c>
      <c r="W22" s="24">
        <f t="shared" si="50"/>
        <v>984583.34877034824</v>
      </c>
      <c r="X22" s="24">
        <f t="shared" si="50"/>
        <v>1004456.5292800132</v>
      </c>
      <c r="Y22" s="55"/>
      <c r="Z22" s="24">
        <v>0</v>
      </c>
      <c r="AA22" s="24">
        <f t="shared" ref="AA22:BF22" si="51">AA19*$C$63</f>
        <v>69287.847600000008</v>
      </c>
      <c r="AB22" s="24">
        <f t="shared" si="51"/>
        <v>69403.327346000005</v>
      </c>
      <c r="AC22" s="24">
        <f t="shared" si="51"/>
        <v>69518.999558243348</v>
      </c>
      <c r="AD22" s="24">
        <f t="shared" si="51"/>
        <v>69634.864557507084</v>
      </c>
      <c r="AE22" s="24">
        <f t="shared" si="51"/>
        <v>69750.922665102931</v>
      </c>
      <c r="AF22" s="24">
        <f t="shared" si="51"/>
        <v>69867.174202878115</v>
      </c>
      <c r="AG22" s="24">
        <f t="shared" si="51"/>
        <v>69983.619493216247</v>
      </c>
      <c r="AH22" s="24">
        <f t="shared" si="51"/>
        <v>70100.258859038266</v>
      </c>
      <c r="AI22" s="24">
        <f t="shared" si="51"/>
        <v>70217.092623803328</v>
      </c>
      <c r="AJ22" s="24">
        <f t="shared" si="51"/>
        <v>70334.121111509681</v>
      </c>
      <c r="AK22" s="24">
        <f t="shared" si="51"/>
        <v>70451.344646695521</v>
      </c>
      <c r="AL22" s="24">
        <f t="shared" si="51"/>
        <v>70568.763554440025</v>
      </c>
      <c r="AM22" s="24">
        <f t="shared" si="51"/>
        <v>70686.378160364096</v>
      </c>
      <c r="AN22" s="24">
        <f t="shared" si="51"/>
        <v>70804.188790631364</v>
      </c>
      <c r="AO22" s="24">
        <f t="shared" si="51"/>
        <v>70922.195771949089</v>
      </c>
      <c r="AP22" s="24">
        <f t="shared" si="51"/>
        <v>71040.399431569007</v>
      </c>
      <c r="AQ22" s="24">
        <f t="shared" si="51"/>
        <v>71158.800097288302</v>
      </c>
      <c r="AR22" s="24">
        <f t="shared" si="51"/>
        <v>71277.398097450452</v>
      </c>
      <c r="AS22" s="24">
        <f t="shared" si="51"/>
        <v>71396.193760946218</v>
      </c>
      <c r="AT22" s="24">
        <f t="shared" si="51"/>
        <v>71515.18741721446</v>
      </c>
      <c r="AU22" s="24">
        <f t="shared" si="51"/>
        <v>71634.379396243166</v>
      </c>
      <c r="AV22" s="24">
        <f t="shared" si="51"/>
        <v>71753.770028570245</v>
      </c>
      <c r="AW22" s="24">
        <f t="shared" si="51"/>
        <v>71873.359645284538</v>
      </c>
      <c r="AX22" s="24">
        <f t="shared" si="51"/>
        <v>71993.148578026681</v>
      </c>
      <c r="AY22" s="24">
        <f t="shared" si="51"/>
        <v>72113.137158990052</v>
      </c>
      <c r="AZ22" s="24">
        <f t="shared" si="51"/>
        <v>72233.325720921712</v>
      </c>
      <c r="BA22" s="24">
        <f t="shared" si="51"/>
        <v>72353.714597123253</v>
      </c>
      <c r="BB22" s="24">
        <f t="shared" si="51"/>
        <v>72474.304121451802</v>
      </c>
      <c r="BC22" s="24">
        <f t="shared" si="51"/>
        <v>72595.09462832089</v>
      </c>
      <c r="BD22" s="24">
        <f t="shared" si="51"/>
        <v>72716.086452701435</v>
      </c>
      <c r="BE22" s="24">
        <f t="shared" si="51"/>
        <v>72837.279930122604</v>
      </c>
      <c r="BF22" s="24">
        <f t="shared" si="51"/>
        <v>72958.675396672814</v>
      </c>
      <c r="BG22" s="24">
        <f t="shared" ref="BG22:CL22" si="52">BG19*$C$63</f>
        <v>73080.273189000611</v>
      </c>
      <c r="BH22" s="24">
        <f t="shared" si="52"/>
        <v>73202.07364431562</v>
      </c>
      <c r="BI22" s="24">
        <f t="shared" si="52"/>
        <v>73324.077100389477</v>
      </c>
      <c r="BJ22" s="24">
        <f t="shared" si="52"/>
        <v>73446.283895556786</v>
      </c>
      <c r="BK22" s="24">
        <f t="shared" si="52"/>
        <v>73568.694368716053</v>
      </c>
      <c r="BL22" s="24">
        <f t="shared" si="52"/>
        <v>73691.308859330573</v>
      </c>
      <c r="BM22" s="24">
        <f t="shared" si="52"/>
        <v>73814.127707429463</v>
      </c>
      <c r="BN22" s="24">
        <f t="shared" si="52"/>
        <v>73937.151253608521</v>
      </c>
      <c r="BO22" s="24">
        <f t="shared" si="52"/>
        <v>74060.379839031215</v>
      </c>
      <c r="BP22" s="24">
        <f t="shared" si="52"/>
        <v>74183.8138054296</v>
      </c>
      <c r="BQ22" s="24">
        <f t="shared" si="52"/>
        <v>74307.453495105321</v>
      </c>
      <c r="BR22" s="24">
        <f t="shared" si="52"/>
        <v>74431.29925093049</v>
      </c>
      <c r="BS22" s="24">
        <f t="shared" si="52"/>
        <v>74555.351416348713</v>
      </c>
      <c r="BT22" s="24">
        <f t="shared" si="52"/>
        <v>74679.610335375968</v>
      </c>
      <c r="BU22" s="24">
        <f t="shared" si="52"/>
        <v>74804.076352601594</v>
      </c>
      <c r="BV22" s="24">
        <f t="shared" si="52"/>
        <v>74928.749813189264</v>
      </c>
      <c r="BW22" s="24">
        <f t="shared" si="52"/>
        <v>75053.631062877917</v>
      </c>
      <c r="BX22" s="24">
        <f t="shared" si="52"/>
        <v>75178.72044798272</v>
      </c>
      <c r="BY22" s="24">
        <f t="shared" si="52"/>
        <v>75304.018315396024</v>
      </c>
      <c r="BZ22" s="24">
        <f t="shared" si="52"/>
        <v>75429.525012588361</v>
      </c>
      <c r="CA22" s="24">
        <f t="shared" si="52"/>
        <v>75555.24088760934</v>
      </c>
      <c r="CB22" s="24">
        <f t="shared" si="52"/>
        <v>75681.166289088695</v>
      </c>
      <c r="CC22" s="24">
        <f t="shared" si="52"/>
        <v>75807.301566237176</v>
      </c>
      <c r="CD22" s="24">
        <f t="shared" si="52"/>
        <v>75933.647068847567</v>
      </c>
      <c r="CE22" s="24">
        <f t="shared" si="52"/>
        <v>76060.203147295659</v>
      </c>
      <c r="CF22" s="24">
        <f t="shared" si="52"/>
        <v>76186.970152541151</v>
      </c>
      <c r="CG22" s="24">
        <f t="shared" si="52"/>
        <v>76313.948436128718</v>
      </c>
      <c r="CH22" s="24">
        <f t="shared" si="52"/>
        <v>76441.138350188936</v>
      </c>
      <c r="CI22" s="24">
        <f t="shared" si="52"/>
        <v>76568.540247439247</v>
      </c>
      <c r="CJ22" s="24">
        <f t="shared" si="52"/>
        <v>76696.154481184989</v>
      </c>
      <c r="CK22" s="24">
        <f t="shared" si="52"/>
        <v>76823.981405320286</v>
      </c>
      <c r="CL22" s="24">
        <f t="shared" si="52"/>
        <v>76952.021374329168</v>
      </c>
      <c r="CM22" s="24">
        <f t="shared" ref="CM22:DR22" si="53">CM19*$C$63</f>
        <v>77080.274743286383</v>
      </c>
      <c r="CN22" s="24">
        <f t="shared" si="53"/>
        <v>77208.741867858524</v>
      </c>
      <c r="CO22" s="24">
        <f t="shared" si="53"/>
        <v>77337.423104304966</v>
      </c>
      <c r="CP22" s="24">
        <f t="shared" si="53"/>
        <v>77466.318809478806</v>
      </c>
      <c r="CQ22" s="24">
        <f t="shared" si="53"/>
        <v>77595.429340827934</v>
      </c>
      <c r="CR22" s="24">
        <f t="shared" si="53"/>
        <v>77724.755056395981</v>
      </c>
      <c r="CS22" s="24">
        <f t="shared" si="53"/>
        <v>77854.29631482331</v>
      </c>
      <c r="CT22" s="24">
        <f t="shared" si="53"/>
        <v>77984.053475348017</v>
      </c>
      <c r="CU22" s="24">
        <f t="shared" si="53"/>
        <v>78114.026897806922</v>
      </c>
      <c r="CV22" s="24">
        <f t="shared" si="53"/>
        <v>78244.216942636616</v>
      </c>
      <c r="CW22" s="24">
        <f t="shared" si="53"/>
        <v>78374.623970874352</v>
      </c>
      <c r="CX22" s="24">
        <f t="shared" si="53"/>
        <v>78505.248344159132</v>
      </c>
      <c r="CY22" s="24">
        <f t="shared" si="53"/>
        <v>78636.090424732742</v>
      </c>
      <c r="CZ22" s="24">
        <f t="shared" si="53"/>
        <v>78767.150575440624</v>
      </c>
      <c r="DA22" s="24">
        <f t="shared" si="53"/>
        <v>78898.42915973303</v>
      </c>
      <c r="DB22" s="24">
        <f t="shared" si="53"/>
        <v>79029.926541665918</v>
      </c>
      <c r="DC22" s="24">
        <f t="shared" si="53"/>
        <v>79161.643085902033</v>
      </c>
      <c r="DD22" s="24">
        <f t="shared" si="53"/>
        <v>79293.579157711865</v>
      </c>
      <c r="DE22" s="24">
        <f t="shared" si="53"/>
        <v>79425.735122974729</v>
      </c>
      <c r="DF22" s="24">
        <f t="shared" si="53"/>
        <v>79558.111348179693</v>
      </c>
      <c r="DG22" s="24">
        <f t="shared" si="53"/>
        <v>79690.708200426656</v>
      </c>
      <c r="DH22" s="24">
        <f t="shared" si="53"/>
        <v>79823.526047427382</v>
      </c>
      <c r="DI22" s="24">
        <f t="shared" si="53"/>
        <v>79956.565257506416</v>
      </c>
      <c r="DJ22" s="24">
        <f t="shared" si="53"/>
        <v>80089.826199602263</v>
      </c>
      <c r="DK22" s="24">
        <f t="shared" si="53"/>
        <v>80223.309243268275</v>
      </c>
      <c r="DL22" s="24">
        <f t="shared" si="53"/>
        <v>80357.014758673715</v>
      </c>
      <c r="DM22" s="24">
        <f t="shared" si="53"/>
        <v>80490.943116604845</v>
      </c>
      <c r="DN22" s="24">
        <f t="shared" si="53"/>
        <v>80625.094688465862</v>
      </c>
      <c r="DO22" s="24">
        <f t="shared" si="53"/>
        <v>80759.469846279972</v>
      </c>
      <c r="DP22" s="24">
        <f t="shared" si="53"/>
        <v>80894.06896269045</v>
      </c>
      <c r="DQ22" s="24">
        <f t="shared" si="53"/>
        <v>81028.892410961605</v>
      </c>
      <c r="DR22" s="24">
        <f t="shared" si="53"/>
        <v>81163.940564979886</v>
      </c>
      <c r="DS22" s="24">
        <f t="shared" ref="DS22:FB22" si="54">DS19*$C$63</f>
        <v>81299.213799254852</v>
      </c>
      <c r="DT22" s="24">
        <f t="shared" si="54"/>
        <v>81434.712488920282</v>
      </c>
      <c r="DU22" s="24">
        <f t="shared" si="54"/>
        <v>81570.437009735149</v>
      </c>
      <c r="DV22" s="24">
        <f t="shared" si="54"/>
        <v>81706.387738084712</v>
      </c>
      <c r="DW22" s="24">
        <f t="shared" si="54"/>
        <v>81842.565050981531</v>
      </c>
      <c r="DX22" s="24">
        <f t="shared" si="54"/>
        <v>81978.969326066508</v>
      </c>
      <c r="DY22" s="24">
        <f t="shared" si="54"/>
        <v>82115.600941609955</v>
      </c>
      <c r="DZ22" s="24">
        <f t="shared" si="54"/>
        <v>82252.460276512647</v>
      </c>
      <c r="EA22" s="24">
        <f t="shared" si="54"/>
        <v>82389.547710306841</v>
      </c>
      <c r="EB22" s="24">
        <f t="shared" si="54"/>
        <v>82526.863623157362</v>
      </c>
      <c r="EC22" s="24">
        <f t="shared" si="54"/>
        <v>82664.408395862629</v>
      </c>
      <c r="ED22" s="24">
        <f t="shared" si="54"/>
        <v>82802.182409855726</v>
      </c>
      <c r="EE22" s="24">
        <f t="shared" si="54"/>
        <v>82940.186047205483</v>
      </c>
      <c r="EF22" s="24">
        <f t="shared" si="54"/>
        <v>83078.419690617506</v>
      </c>
      <c r="EG22" s="24">
        <f t="shared" si="54"/>
        <v>83216.883723435196</v>
      </c>
      <c r="EH22" s="24">
        <f t="shared" si="54"/>
        <v>83355.57852964093</v>
      </c>
      <c r="EI22" s="24">
        <f t="shared" si="54"/>
        <v>83494.504493857006</v>
      </c>
      <c r="EJ22" s="24">
        <f t="shared" si="54"/>
        <v>83633.662001346776</v>
      </c>
      <c r="EK22" s="24">
        <f t="shared" si="54"/>
        <v>83773.051438015696</v>
      </c>
      <c r="EL22" s="24">
        <f t="shared" si="54"/>
        <v>83912.673190412388</v>
      </c>
      <c r="EM22" s="24">
        <f t="shared" si="54"/>
        <v>84052.527645729744</v>
      </c>
      <c r="EN22" s="24">
        <f t="shared" si="54"/>
        <v>84192.615191805977</v>
      </c>
      <c r="EO22" s="24">
        <f t="shared" si="54"/>
        <v>84332.936217125651</v>
      </c>
      <c r="EP22" s="24">
        <f t="shared" si="54"/>
        <v>84473.491110820862</v>
      </c>
      <c r="EQ22" s="24">
        <f t="shared" si="54"/>
        <v>84614.28026267224</v>
      </c>
      <c r="ER22" s="24">
        <f t="shared" si="54"/>
        <v>84755.30406311003</v>
      </c>
      <c r="ES22" s="24">
        <f t="shared" si="54"/>
        <v>84896.562903215221</v>
      </c>
      <c r="ET22" s="24">
        <f t="shared" si="54"/>
        <v>85038.057174720583</v>
      </c>
      <c r="EU22" s="24">
        <f t="shared" si="54"/>
        <v>85179.787270011788</v>
      </c>
      <c r="EV22" s="24">
        <f t="shared" si="54"/>
        <v>85321.753582128469</v>
      </c>
      <c r="EW22" s="24">
        <f t="shared" si="54"/>
        <v>85463.95650476536</v>
      </c>
      <c r="EX22" s="24">
        <f t="shared" si="54"/>
        <v>85606.396432273294</v>
      </c>
      <c r="EY22" s="24">
        <f t="shared" si="54"/>
        <v>85749.073759660416</v>
      </c>
      <c r="EZ22" s="24">
        <f t="shared" si="54"/>
        <v>85891.988882593199</v>
      </c>
      <c r="FA22" s="24">
        <f t="shared" si="54"/>
        <v>86035.142197397508</v>
      </c>
      <c r="FB22" s="24">
        <f t="shared" si="54"/>
        <v>86178.534101059849</v>
      </c>
    </row>
    <row r="23" spans="2:158">
      <c r="B23" s="11" t="s">
        <v>39</v>
      </c>
      <c r="C23" s="49">
        <f>C22/C24</f>
        <v>8.3167143701492544E-2</v>
      </c>
      <c r="D23" s="50">
        <v>8.3167143701492502E-2</v>
      </c>
      <c r="E23" s="47" t="s">
        <v>39</v>
      </c>
      <c r="F23" s="50">
        <f>C110</f>
        <v>6.7500000000000004E-2</v>
      </c>
      <c r="G23" s="50">
        <f>F23</f>
        <v>6.7500000000000004E-2</v>
      </c>
      <c r="H23" s="9"/>
      <c r="I23" s="24" t="s">
        <v>44</v>
      </c>
      <c r="J23" s="24"/>
      <c r="K23" s="55"/>
      <c r="L23" s="24">
        <f>SUMIF($Z$4:$FB$4,"&lt;="&amp;$G$18,$Z23:$FB23)</f>
        <v>-114948.24497003855</v>
      </c>
      <c r="M23" s="55"/>
      <c r="N23" s="24">
        <f t="shared" ref="N23:N24" si="55">SUMIF($Z$3:$FB$3,N$7,$Z23:$FB23)</f>
        <v>0</v>
      </c>
      <c r="O23" s="24">
        <f t="shared" si="50"/>
        <v>-10488.979202730434</v>
      </c>
      <c r="P23" s="24">
        <f t="shared" si="50"/>
        <v>-10700.692489694222</v>
      </c>
      <c r="Q23" s="24">
        <f t="shared" si="50"/>
        <v>-10916.679072944591</v>
      </c>
      <c r="R23" s="24">
        <f t="shared" si="50"/>
        <v>-11137.025206213708</v>
      </c>
      <c r="S23" s="24">
        <f t="shared" si="50"/>
        <v>-11361.818884209779</v>
      </c>
      <c r="T23" s="24">
        <f t="shared" si="50"/>
        <v>-11591.149877757471</v>
      </c>
      <c r="U23" s="24">
        <f t="shared" si="50"/>
        <v>-11825.109769647721</v>
      </c>
      <c r="V23" s="24">
        <f t="shared" si="50"/>
        <v>-12063.791991211092</v>
      </c>
      <c r="W23" s="24">
        <f t="shared" si="50"/>
        <v>-12307.291859629355</v>
      </c>
      <c r="X23" s="24">
        <f t="shared" si="50"/>
        <v>-12555.706616000165</v>
      </c>
      <c r="Y23" s="55"/>
      <c r="Z23" s="56">
        <v>0</v>
      </c>
      <c r="AA23" s="56">
        <f t="shared" ref="AA23:BF23" si="56">AA22*-IFERROR(INDEX($C$72:$G$72,MATCH(YEAR(AA6),$C$71:$G$71,0)),$G$72)</f>
        <v>-866.09809500000017</v>
      </c>
      <c r="AB23" s="56">
        <f t="shared" si="56"/>
        <v>-867.54159182500007</v>
      </c>
      <c r="AC23" s="56">
        <f t="shared" si="56"/>
        <v>-868.98749447804187</v>
      </c>
      <c r="AD23" s="56">
        <f t="shared" si="56"/>
        <v>-870.43580696883862</v>
      </c>
      <c r="AE23" s="56">
        <f t="shared" si="56"/>
        <v>-871.88653331378669</v>
      </c>
      <c r="AF23" s="56">
        <f t="shared" si="56"/>
        <v>-873.33967753597653</v>
      </c>
      <c r="AG23" s="56">
        <f t="shared" si="56"/>
        <v>-874.79524366520309</v>
      </c>
      <c r="AH23" s="56">
        <f t="shared" si="56"/>
        <v>-876.25323573797834</v>
      </c>
      <c r="AI23" s="56">
        <f t="shared" si="56"/>
        <v>-877.7136577975416</v>
      </c>
      <c r="AJ23" s="56">
        <f t="shared" si="56"/>
        <v>-879.17651389387106</v>
      </c>
      <c r="AK23" s="56">
        <f t="shared" si="56"/>
        <v>-880.64180808369406</v>
      </c>
      <c r="AL23" s="56">
        <f t="shared" si="56"/>
        <v>-882.10954443050036</v>
      </c>
      <c r="AM23" s="56">
        <f t="shared" si="56"/>
        <v>-883.57972700455127</v>
      </c>
      <c r="AN23" s="56">
        <f t="shared" si="56"/>
        <v>-885.05235988289212</v>
      </c>
      <c r="AO23" s="56">
        <f t="shared" si="56"/>
        <v>-886.52744714936364</v>
      </c>
      <c r="AP23" s="56">
        <f t="shared" si="56"/>
        <v>-888.00499289461266</v>
      </c>
      <c r="AQ23" s="56">
        <f t="shared" si="56"/>
        <v>-889.4850012161038</v>
      </c>
      <c r="AR23" s="56">
        <f t="shared" si="56"/>
        <v>-890.96747621813074</v>
      </c>
      <c r="AS23" s="56">
        <f t="shared" si="56"/>
        <v>-892.45242201182782</v>
      </c>
      <c r="AT23" s="56">
        <f t="shared" si="56"/>
        <v>-893.93984271518082</v>
      </c>
      <c r="AU23" s="56">
        <f t="shared" si="56"/>
        <v>-895.42974245303958</v>
      </c>
      <c r="AV23" s="56">
        <f t="shared" si="56"/>
        <v>-896.92212535712815</v>
      </c>
      <c r="AW23" s="56">
        <f t="shared" si="56"/>
        <v>-898.41699556605681</v>
      </c>
      <c r="AX23" s="56">
        <f t="shared" si="56"/>
        <v>-899.91435722533356</v>
      </c>
      <c r="AY23" s="56">
        <f t="shared" si="56"/>
        <v>-901.41421448737572</v>
      </c>
      <c r="AZ23" s="56">
        <f t="shared" si="56"/>
        <v>-902.9165715115214</v>
      </c>
      <c r="BA23" s="56">
        <f t="shared" si="56"/>
        <v>-904.42143246404066</v>
      </c>
      <c r="BB23" s="56">
        <f t="shared" si="56"/>
        <v>-905.92880151814757</v>
      </c>
      <c r="BC23" s="56">
        <f t="shared" si="56"/>
        <v>-907.43868285401118</v>
      </c>
      <c r="BD23" s="56">
        <f t="shared" si="56"/>
        <v>-908.95108065876798</v>
      </c>
      <c r="BE23" s="56">
        <f t="shared" si="56"/>
        <v>-910.46599912653255</v>
      </c>
      <c r="BF23" s="56">
        <f t="shared" si="56"/>
        <v>-911.9834424584102</v>
      </c>
      <c r="BG23" s="56">
        <f t="shared" ref="BG23:CL23" si="57">BG22*-IFERROR(INDEX($C$72:$G$72,MATCH(YEAR(BG6),$C$71:$G$71,0)),$G$72)</f>
        <v>-913.50341486250773</v>
      </c>
      <c r="BH23" s="56">
        <f t="shared" si="57"/>
        <v>-915.0259205539453</v>
      </c>
      <c r="BI23" s="56">
        <f t="shared" si="57"/>
        <v>-916.55096375486846</v>
      </c>
      <c r="BJ23" s="56">
        <f t="shared" si="57"/>
        <v>-918.07854869445987</v>
      </c>
      <c r="BK23" s="56">
        <f t="shared" si="57"/>
        <v>-919.60867960895075</v>
      </c>
      <c r="BL23" s="56">
        <f t="shared" si="57"/>
        <v>-921.14136074163218</v>
      </c>
      <c r="BM23" s="56">
        <f t="shared" si="57"/>
        <v>-922.67659634286838</v>
      </c>
      <c r="BN23" s="56">
        <f t="shared" si="57"/>
        <v>-924.21439067010658</v>
      </c>
      <c r="BO23" s="56">
        <f t="shared" si="57"/>
        <v>-925.75474798789025</v>
      </c>
      <c r="BP23" s="56">
        <f t="shared" si="57"/>
        <v>-927.29767256786999</v>
      </c>
      <c r="BQ23" s="56">
        <f t="shared" si="57"/>
        <v>-928.8431686888166</v>
      </c>
      <c r="BR23" s="56">
        <f t="shared" si="57"/>
        <v>-930.39124063663121</v>
      </c>
      <c r="BS23" s="56">
        <f t="shared" si="57"/>
        <v>-931.94189270435891</v>
      </c>
      <c r="BT23" s="56">
        <f t="shared" si="57"/>
        <v>-933.49512919219967</v>
      </c>
      <c r="BU23" s="56">
        <f t="shared" si="57"/>
        <v>-935.05095440751995</v>
      </c>
      <c r="BV23" s="56">
        <f t="shared" si="57"/>
        <v>-936.60937266486587</v>
      </c>
      <c r="BW23" s="56">
        <f t="shared" si="57"/>
        <v>-938.17038828597401</v>
      </c>
      <c r="BX23" s="56">
        <f t="shared" si="57"/>
        <v>-939.73400559978404</v>
      </c>
      <c r="BY23" s="56">
        <f t="shared" si="57"/>
        <v>-941.3002289424503</v>
      </c>
      <c r="BZ23" s="56">
        <f t="shared" si="57"/>
        <v>-942.86906265735456</v>
      </c>
      <c r="CA23" s="56">
        <f t="shared" si="57"/>
        <v>-944.44051109511679</v>
      </c>
      <c r="CB23" s="56">
        <f t="shared" si="57"/>
        <v>-946.01457861360871</v>
      </c>
      <c r="CC23" s="56">
        <f t="shared" si="57"/>
        <v>-947.59126957796479</v>
      </c>
      <c r="CD23" s="56">
        <f t="shared" si="57"/>
        <v>-949.17058836059459</v>
      </c>
      <c r="CE23" s="56">
        <f t="shared" si="57"/>
        <v>-950.75253934119576</v>
      </c>
      <c r="CF23" s="56">
        <f t="shared" si="57"/>
        <v>-952.33712690676441</v>
      </c>
      <c r="CG23" s="56">
        <f t="shared" si="57"/>
        <v>-953.92435545160902</v>
      </c>
      <c r="CH23" s="56">
        <f t="shared" si="57"/>
        <v>-955.51422937736174</v>
      </c>
      <c r="CI23" s="56">
        <f t="shared" si="57"/>
        <v>-957.10675309299063</v>
      </c>
      <c r="CJ23" s="56">
        <f t="shared" si="57"/>
        <v>-958.70193101481243</v>
      </c>
      <c r="CK23" s="56">
        <f t="shared" si="57"/>
        <v>-960.29976756650365</v>
      </c>
      <c r="CL23" s="56">
        <f t="shared" si="57"/>
        <v>-961.90026717911462</v>
      </c>
      <c r="CM23" s="56">
        <f t="shared" ref="CM23:DR23" si="58">CM22*-IFERROR(INDEX($C$72:$G$72,MATCH(YEAR(CM6),$C$71:$G$71,0)),$G$72)</f>
        <v>-963.50343429107988</v>
      </c>
      <c r="CN23" s="56">
        <f t="shared" si="58"/>
        <v>-965.10927334823157</v>
      </c>
      <c r="CO23" s="56">
        <f t="shared" si="58"/>
        <v>-966.71778880381214</v>
      </c>
      <c r="CP23" s="56">
        <f t="shared" si="58"/>
        <v>-968.32898511848509</v>
      </c>
      <c r="CQ23" s="56">
        <f t="shared" si="58"/>
        <v>-969.94286676034926</v>
      </c>
      <c r="CR23" s="56">
        <f t="shared" si="58"/>
        <v>-971.55943820494986</v>
      </c>
      <c r="CS23" s="56">
        <f t="shared" si="58"/>
        <v>-973.17870393529142</v>
      </c>
      <c r="CT23" s="56">
        <f t="shared" si="58"/>
        <v>-974.80066844185023</v>
      </c>
      <c r="CU23" s="56">
        <f t="shared" si="58"/>
        <v>-976.42533622258657</v>
      </c>
      <c r="CV23" s="56">
        <f t="shared" si="58"/>
        <v>-978.05271178295777</v>
      </c>
      <c r="CW23" s="56">
        <f t="shared" si="58"/>
        <v>-979.68279963592943</v>
      </c>
      <c r="CX23" s="56">
        <f t="shared" si="58"/>
        <v>-981.3156043019892</v>
      </c>
      <c r="CY23" s="56">
        <f t="shared" si="58"/>
        <v>-982.95113030915934</v>
      </c>
      <c r="CZ23" s="56">
        <f t="shared" si="58"/>
        <v>-984.58938219300785</v>
      </c>
      <c r="DA23" s="56">
        <f t="shared" si="58"/>
        <v>-986.2303644966629</v>
      </c>
      <c r="DB23" s="56">
        <f t="shared" si="58"/>
        <v>-987.87408177082398</v>
      </c>
      <c r="DC23" s="56">
        <f t="shared" si="58"/>
        <v>-989.52053857377541</v>
      </c>
      <c r="DD23" s="56">
        <f t="shared" si="58"/>
        <v>-991.16973947139832</v>
      </c>
      <c r="DE23" s="56">
        <f t="shared" si="58"/>
        <v>-992.82168903718411</v>
      </c>
      <c r="DF23" s="56">
        <f t="shared" si="58"/>
        <v>-994.47639185224625</v>
      </c>
      <c r="DG23" s="56">
        <f t="shared" si="58"/>
        <v>-996.13385250533327</v>
      </c>
      <c r="DH23" s="56">
        <f t="shared" si="58"/>
        <v>-997.79407559284232</v>
      </c>
      <c r="DI23" s="56">
        <f t="shared" si="58"/>
        <v>-999.45706571883022</v>
      </c>
      <c r="DJ23" s="56">
        <f t="shared" si="58"/>
        <v>-1001.1228274950283</v>
      </c>
      <c r="DK23" s="56">
        <f t="shared" si="58"/>
        <v>-1002.7913655408535</v>
      </c>
      <c r="DL23" s="56">
        <f t="shared" si="58"/>
        <v>-1004.4626844834215</v>
      </c>
      <c r="DM23" s="56">
        <f t="shared" si="58"/>
        <v>-1006.1367889575606</v>
      </c>
      <c r="DN23" s="56">
        <f t="shared" si="58"/>
        <v>-1007.8136836058234</v>
      </c>
      <c r="DO23" s="56">
        <f t="shared" si="58"/>
        <v>-1009.4933730784996</v>
      </c>
      <c r="DP23" s="56">
        <f t="shared" si="58"/>
        <v>-1011.1758620336307</v>
      </c>
      <c r="DQ23" s="56">
        <f t="shared" si="58"/>
        <v>-1012.8611551370201</v>
      </c>
      <c r="DR23" s="56">
        <f t="shared" si="58"/>
        <v>-1014.5492570622487</v>
      </c>
      <c r="DS23" s="56">
        <f t="shared" ref="DS23:EX23" si="59">DS22*-IFERROR(INDEX($C$72:$G$72,MATCH(YEAR(DS6),$C$71:$G$71,0)),$G$72)</f>
        <v>-1016.2401724906857</v>
      </c>
      <c r="DT23" s="56">
        <f t="shared" si="59"/>
        <v>-1017.9339061115036</v>
      </c>
      <c r="DU23" s="56">
        <f t="shared" si="59"/>
        <v>-1019.6304626216894</v>
      </c>
      <c r="DV23" s="56">
        <f t="shared" si="59"/>
        <v>-1021.3298467260589</v>
      </c>
      <c r="DW23" s="56">
        <f t="shared" si="59"/>
        <v>-1023.0320631372692</v>
      </c>
      <c r="DX23" s="56">
        <f t="shared" si="59"/>
        <v>-1024.7371165758314</v>
      </c>
      <c r="DY23" s="56">
        <f t="shared" si="59"/>
        <v>-1026.4450117701244</v>
      </c>
      <c r="DZ23" s="56">
        <f t="shared" si="59"/>
        <v>-1028.1557534564081</v>
      </c>
      <c r="EA23" s="56">
        <f t="shared" si="59"/>
        <v>-1029.8693463788356</v>
      </c>
      <c r="EB23" s="56">
        <f t="shared" si="59"/>
        <v>-1031.5857952894671</v>
      </c>
      <c r="EC23" s="56">
        <f t="shared" si="59"/>
        <v>-1033.3051049482829</v>
      </c>
      <c r="ED23" s="56">
        <f t="shared" si="59"/>
        <v>-1035.0272801231965</v>
      </c>
      <c r="EE23" s="56">
        <f t="shared" si="59"/>
        <v>-1036.7523255900685</v>
      </c>
      <c r="EF23" s="56">
        <f t="shared" si="59"/>
        <v>-1038.4802461327188</v>
      </c>
      <c r="EG23" s="56">
        <f t="shared" si="59"/>
        <v>-1040.21104654294</v>
      </c>
      <c r="EH23" s="56">
        <f t="shared" si="59"/>
        <v>-1041.9447316205117</v>
      </c>
      <c r="EI23" s="56">
        <f t="shared" si="59"/>
        <v>-1043.6813061732125</v>
      </c>
      <c r="EJ23" s="56">
        <f t="shared" si="59"/>
        <v>-1045.4207750168348</v>
      </c>
      <c r="EK23" s="56">
        <f t="shared" si="59"/>
        <v>-1047.1631429751963</v>
      </c>
      <c r="EL23" s="56">
        <f t="shared" si="59"/>
        <v>-1048.9084148801549</v>
      </c>
      <c r="EM23" s="56">
        <f t="shared" si="59"/>
        <v>-1050.6565955716219</v>
      </c>
      <c r="EN23" s="56">
        <f t="shared" si="59"/>
        <v>-1052.4076898975748</v>
      </c>
      <c r="EO23" s="56">
        <f t="shared" si="59"/>
        <v>-1054.1617027140708</v>
      </c>
      <c r="EP23" s="56">
        <f t="shared" si="59"/>
        <v>-1055.9186388852609</v>
      </c>
      <c r="EQ23" s="56">
        <f t="shared" si="59"/>
        <v>-1057.678503283403</v>
      </c>
      <c r="ER23" s="56">
        <f t="shared" si="59"/>
        <v>-1059.4413007888754</v>
      </c>
      <c r="ES23" s="56">
        <f t="shared" si="59"/>
        <v>-1061.2070362901902</v>
      </c>
      <c r="ET23" s="56">
        <f t="shared" si="59"/>
        <v>-1062.9757146840072</v>
      </c>
      <c r="EU23" s="56">
        <f t="shared" si="59"/>
        <v>-1064.7473408751473</v>
      </c>
      <c r="EV23" s="56">
        <f t="shared" si="59"/>
        <v>-1066.521919776606</v>
      </c>
      <c r="EW23" s="56">
        <f t="shared" si="59"/>
        <v>-1068.2994563095669</v>
      </c>
      <c r="EX23" s="56">
        <f t="shared" si="59"/>
        <v>-1070.0799554034163</v>
      </c>
      <c r="EY23" s="56">
        <f t="shared" ref="EY23:FB23" si="60">EY22*-IFERROR(INDEX($C$72:$G$72,MATCH(YEAR(EY6),$C$71:$G$71,0)),$G$72)</f>
        <v>-1071.8634219957553</v>
      </c>
      <c r="EZ23" s="56">
        <f t="shared" si="60"/>
        <v>-1073.6498610324149</v>
      </c>
      <c r="FA23" s="56">
        <f t="shared" si="60"/>
        <v>-1075.4392774674689</v>
      </c>
      <c r="FB23" s="56">
        <f t="shared" si="60"/>
        <v>-1077.2316762632481</v>
      </c>
    </row>
    <row r="24" spans="2:158">
      <c r="B24" s="94" t="s">
        <v>40</v>
      </c>
      <c r="C24" s="158">
        <v>6700000</v>
      </c>
      <c r="D24" s="159">
        <f>D22/D23</f>
        <v>6700000.0000000028</v>
      </c>
      <c r="E24" s="160" t="s">
        <v>40</v>
      </c>
      <c r="F24" s="130">
        <f ca="1">F22/F23</f>
        <v>7924718.235591447</v>
      </c>
      <c r="G24" s="130">
        <f ca="1">G22/G23</f>
        <v>9543776.4605906233</v>
      </c>
      <c r="H24" s="9"/>
      <c r="I24" s="57" t="s">
        <v>41</v>
      </c>
      <c r="J24" s="57"/>
      <c r="K24" s="58"/>
      <c r="L24" s="57">
        <f>SUMIF($Z$4:$FB$4,"&lt;="&amp;$G$18,$Z24:$FB24)</f>
        <v>9080911.3526330441</v>
      </c>
      <c r="M24" s="58"/>
      <c r="N24" s="57">
        <f t="shared" si="55"/>
        <v>0</v>
      </c>
      <c r="O24" s="57">
        <f t="shared" si="50"/>
        <v>828629.35701570415</v>
      </c>
      <c r="P24" s="57">
        <f t="shared" si="50"/>
        <v>845354.70668584341</v>
      </c>
      <c r="Q24" s="57">
        <f t="shared" si="50"/>
        <v>862417.6467626224</v>
      </c>
      <c r="R24" s="57">
        <f t="shared" si="50"/>
        <v>879824.99129088316</v>
      </c>
      <c r="S24" s="57">
        <f t="shared" si="50"/>
        <v>897583.69185257237</v>
      </c>
      <c r="T24" s="57">
        <f t="shared" si="50"/>
        <v>915700.84034284006</v>
      </c>
      <c r="U24" s="57">
        <f t="shared" si="50"/>
        <v>934183.67180217011</v>
      </c>
      <c r="V24" s="57">
        <f t="shared" si="50"/>
        <v>953039.56730567629</v>
      </c>
      <c r="W24" s="57">
        <f t="shared" si="50"/>
        <v>972276.05691071879</v>
      </c>
      <c r="X24" s="57">
        <f t="shared" si="50"/>
        <v>991900.82266401302</v>
      </c>
      <c r="Y24" s="58"/>
      <c r="Z24" s="57">
        <v>0</v>
      </c>
      <c r="AA24" s="57">
        <f t="shared" ref="AA24:CL24" si="61">SUM(AA22:AA23)</f>
        <v>68421.749505000014</v>
      </c>
      <c r="AB24" s="57">
        <f t="shared" si="61"/>
        <v>68535.785754175013</v>
      </c>
      <c r="AC24" s="57">
        <f t="shared" si="61"/>
        <v>68650.012063765302</v>
      </c>
      <c r="AD24" s="57">
        <f t="shared" si="61"/>
        <v>68764.428750538253</v>
      </c>
      <c r="AE24" s="57">
        <f t="shared" si="61"/>
        <v>68879.036131789151</v>
      </c>
      <c r="AF24" s="57">
        <f t="shared" si="61"/>
        <v>68993.834525342143</v>
      </c>
      <c r="AG24" s="57">
        <f t="shared" si="61"/>
        <v>69108.824249551049</v>
      </c>
      <c r="AH24" s="57">
        <f t="shared" si="61"/>
        <v>69224.005623300283</v>
      </c>
      <c r="AI24" s="57">
        <f t="shared" si="61"/>
        <v>69339.378966005781</v>
      </c>
      <c r="AJ24" s="57">
        <f t="shared" si="61"/>
        <v>69454.944597615817</v>
      </c>
      <c r="AK24" s="57">
        <f t="shared" si="61"/>
        <v>69570.702838611833</v>
      </c>
      <c r="AL24" s="57">
        <f t="shared" si="61"/>
        <v>69686.65401000953</v>
      </c>
      <c r="AM24" s="57">
        <f t="shared" si="61"/>
        <v>69802.798433359552</v>
      </c>
      <c r="AN24" s="57">
        <f t="shared" si="61"/>
        <v>69919.136430748476</v>
      </c>
      <c r="AO24" s="57">
        <f t="shared" si="61"/>
        <v>70035.668324799728</v>
      </c>
      <c r="AP24" s="57">
        <f t="shared" si="61"/>
        <v>70152.394438674397</v>
      </c>
      <c r="AQ24" s="57">
        <f t="shared" si="61"/>
        <v>70269.315096072198</v>
      </c>
      <c r="AR24" s="57">
        <f t="shared" si="61"/>
        <v>70386.430621232328</v>
      </c>
      <c r="AS24" s="57">
        <f t="shared" si="61"/>
        <v>70503.741338934386</v>
      </c>
      <c r="AT24" s="57">
        <f t="shared" si="61"/>
        <v>70621.247574499284</v>
      </c>
      <c r="AU24" s="57">
        <f t="shared" si="61"/>
        <v>70738.949653790129</v>
      </c>
      <c r="AV24" s="57">
        <f t="shared" si="61"/>
        <v>70856.847903213114</v>
      </c>
      <c r="AW24" s="57">
        <f t="shared" si="61"/>
        <v>70974.942649718476</v>
      </c>
      <c r="AX24" s="57">
        <f t="shared" si="61"/>
        <v>71093.234220801343</v>
      </c>
      <c r="AY24" s="57">
        <f t="shared" si="61"/>
        <v>71211.722944502675</v>
      </c>
      <c r="AZ24" s="57">
        <f t="shared" si="61"/>
        <v>71330.409149410189</v>
      </c>
      <c r="BA24" s="57">
        <f t="shared" si="61"/>
        <v>71449.293164659219</v>
      </c>
      <c r="BB24" s="57">
        <f t="shared" si="61"/>
        <v>71568.37531993365</v>
      </c>
      <c r="BC24" s="57">
        <f t="shared" si="61"/>
        <v>71687.655945466875</v>
      </c>
      <c r="BD24" s="57">
        <f t="shared" si="61"/>
        <v>71807.13537204267</v>
      </c>
      <c r="BE24" s="57">
        <f t="shared" si="61"/>
        <v>71926.813930996068</v>
      </c>
      <c r="BF24" s="57">
        <f t="shared" si="61"/>
        <v>72046.691954214402</v>
      </c>
      <c r="BG24" s="57">
        <f t="shared" si="61"/>
        <v>72166.769774138098</v>
      </c>
      <c r="BH24" s="57">
        <f t="shared" si="61"/>
        <v>72287.047723761672</v>
      </c>
      <c r="BI24" s="57">
        <f t="shared" si="61"/>
        <v>72407.526136634609</v>
      </c>
      <c r="BJ24" s="57">
        <f t="shared" si="61"/>
        <v>72528.20534686232</v>
      </c>
      <c r="BK24" s="57">
        <f t="shared" si="61"/>
        <v>72649.085689107102</v>
      </c>
      <c r="BL24" s="57">
        <f t="shared" si="61"/>
        <v>72770.16749858894</v>
      </c>
      <c r="BM24" s="57">
        <f t="shared" si="61"/>
        <v>72891.451111086601</v>
      </c>
      <c r="BN24" s="57">
        <f t="shared" si="61"/>
        <v>73012.936862938412</v>
      </c>
      <c r="BO24" s="57">
        <f t="shared" si="61"/>
        <v>73134.62509104333</v>
      </c>
      <c r="BP24" s="57">
        <f t="shared" si="61"/>
        <v>73256.516132861725</v>
      </c>
      <c r="BQ24" s="57">
        <f t="shared" si="61"/>
        <v>73378.610326416499</v>
      </c>
      <c r="BR24" s="57">
        <f t="shared" si="61"/>
        <v>73500.908010293861</v>
      </c>
      <c r="BS24" s="57">
        <f t="shared" si="61"/>
        <v>73623.409523644354</v>
      </c>
      <c r="BT24" s="57">
        <f t="shared" si="61"/>
        <v>73746.115206183764</v>
      </c>
      <c r="BU24" s="57">
        <f t="shared" si="61"/>
        <v>73869.025398194077</v>
      </c>
      <c r="BV24" s="57">
        <f t="shared" si="61"/>
        <v>73992.140440524396</v>
      </c>
      <c r="BW24" s="57">
        <f t="shared" si="61"/>
        <v>74115.460674591945</v>
      </c>
      <c r="BX24" s="57">
        <f t="shared" si="61"/>
        <v>74238.986442382942</v>
      </c>
      <c r="BY24" s="57">
        <f t="shared" si="61"/>
        <v>74362.718086453577</v>
      </c>
      <c r="BZ24" s="57">
        <f t="shared" si="61"/>
        <v>74486.65594993101</v>
      </c>
      <c r="CA24" s="57">
        <f t="shared" si="61"/>
        <v>74610.80037651422</v>
      </c>
      <c r="CB24" s="57">
        <f t="shared" si="61"/>
        <v>74735.151710475082</v>
      </c>
      <c r="CC24" s="57">
        <f t="shared" si="61"/>
        <v>74859.710296659207</v>
      </c>
      <c r="CD24" s="57">
        <f t="shared" si="61"/>
        <v>74984.476480486977</v>
      </c>
      <c r="CE24" s="57">
        <f t="shared" si="61"/>
        <v>75109.450607954466</v>
      </c>
      <c r="CF24" s="57">
        <f t="shared" si="61"/>
        <v>75234.633025634394</v>
      </c>
      <c r="CG24" s="57">
        <f t="shared" si="61"/>
        <v>75360.024080677103</v>
      </c>
      <c r="CH24" s="57">
        <f t="shared" si="61"/>
        <v>75485.624120811568</v>
      </c>
      <c r="CI24" s="57">
        <f t="shared" si="61"/>
        <v>75611.43349434626</v>
      </c>
      <c r="CJ24" s="57">
        <f t="shared" si="61"/>
        <v>75737.452550170172</v>
      </c>
      <c r="CK24" s="57">
        <f t="shared" si="61"/>
        <v>75863.681637753776</v>
      </c>
      <c r="CL24" s="57">
        <f t="shared" si="61"/>
        <v>75990.121107150058</v>
      </c>
      <c r="CM24" s="57">
        <f t="shared" ref="CM24:EX24" si="62">SUM(CM22:CM23)</f>
        <v>76116.771308995303</v>
      </c>
      <c r="CN24" s="57">
        <f t="shared" si="62"/>
        <v>76243.632594510287</v>
      </c>
      <c r="CO24" s="57">
        <f t="shared" si="62"/>
        <v>76370.705315501153</v>
      </c>
      <c r="CP24" s="57">
        <f t="shared" si="62"/>
        <v>76497.989824360324</v>
      </c>
      <c r="CQ24" s="57">
        <f t="shared" si="62"/>
        <v>76625.486474067584</v>
      </c>
      <c r="CR24" s="57">
        <f t="shared" si="62"/>
        <v>76753.195618191035</v>
      </c>
      <c r="CS24" s="57">
        <f t="shared" si="62"/>
        <v>76881.117610888017</v>
      </c>
      <c r="CT24" s="57">
        <f t="shared" si="62"/>
        <v>77009.252806906166</v>
      </c>
      <c r="CU24" s="57">
        <f t="shared" si="62"/>
        <v>77137.601561584335</v>
      </c>
      <c r="CV24" s="57">
        <f t="shared" si="62"/>
        <v>77266.164230853654</v>
      </c>
      <c r="CW24" s="57">
        <f t="shared" si="62"/>
        <v>77394.941171238417</v>
      </c>
      <c r="CX24" s="57">
        <f t="shared" si="62"/>
        <v>77523.932739857148</v>
      </c>
      <c r="CY24" s="57">
        <f t="shared" si="62"/>
        <v>77653.139294423585</v>
      </c>
      <c r="CZ24" s="57">
        <f t="shared" si="62"/>
        <v>77782.561193247617</v>
      </c>
      <c r="DA24" s="57">
        <f t="shared" si="62"/>
        <v>77912.198795236371</v>
      </c>
      <c r="DB24" s="57">
        <f t="shared" si="62"/>
        <v>78042.052459895087</v>
      </c>
      <c r="DC24" s="57">
        <f t="shared" si="62"/>
        <v>78172.122547328254</v>
      </c>
      <c r="DD24" s="57">
        <f t="shared" si="62"/>
        <v>78302.409418240466</v>
      </c>
      <c r="DE24" s="57">
        <f t="shared" si="62"/>
        <v>78432.913433937545</v>
      </c>
      <c r="DF24" s="57">
        <f t="shared" si="62"/>
        <v>78563.634956327442</v>
      </c>
      <c r="DG24" s="57">
        <f t="shared" si="62"/>
        <v>78694.574347921327</v>
      </c>
      <c r="DH24" s="57">
        <f t="shared" si="62"/>
        <v>78825.731971834539</v>
      </c>
      <c r="DI24" s="57">
        <f t="shared" si="62"/>
        <v>78957.108191787585</v>
      </c>
      <c r="DJ24" s="57">
        <f t="shared" si="62"/>
        <v>79088.703372107237</v>
      </c>
      <c r="DK24" s="57">
        <f t="shared" si="62"/>
        <v>79220.517877727427</v>
      </c>
      <c r="DL24" s="57">
        <f t="shared" si="62"/>
        <v>79352.552074190287</v>
      </c>
      <c r="DM24" s="57">
        <f t="shared" si="62"/>
        <v>79484.806327647282</v>
      </c>
      <c r="DN24" s="57">
        <f t="shared" si="62"/>
        <v>79617.281004860037</v>
      </c>
      <c r="DO24" s="57">
        <f t="shared" si="62"/>
        <v>79749.976473201474</v>
      </c>
      <c r="DP24" s="57">
        <f t="shared" si="62"/>
        <v>79882.893100656816</v>
      </c>
      <c r="DQ24" s="57">
        <f t="shared" si="62"/>
        <v>80016.031255824579</v>
      </c>
      <c r="DR24" s="57">
        <f t="shared" si="62"/>
        <v>80149.391307917642</v>
      </c>
      <c r="DS24" s="57">
        <f t="shared" si="62"/>
        <v>80282.973626764171</v>
      </c>
      <c r="DT24" s="57">
        <f t="shared" si="62"/>
        <v>80416.77858280878</v>
      </c>
      <c r="DU24" s="57">
        <f t="shared" si="62"/>
        <v>80550.806547113461</v>
      </c>
      <c r="DV24" s="57">
        <f t="shared" si="62"/>
        <v>80685.057891358651</v>
      </c>
      <c r="DW24" s="57">
        <f t="shared" si="62"/>
        <v>80819.532987844257</v>
      </c>
      <c r="DX24" s="57">
        <f t="shared" si="62"/>
        <v>80954.23220949067</v>
      </c>
      <c r="DY24" s="57">
        <f t="shared" si="62"/>
        <v>81089.155929839835</v>
      </c>
      <c r="DZ24" s="57">
        <f t="shared" si="62"/>
        <v>81224.304523056242</v>
      </c>
      <c r="EA24" s="57">
        <f t="shared" si="62"/>
        <v>81359.678363928004</v>
      </c>
      <c r="EB24" s="57">
        <f t="shared" si="62"/>
        <v>81495.277827867889</v>
      </c>
      <c r="EC24" s="57">
        <f t="shared" si="62"/>
        <v>81631.10329091434</v>
      </c>
      <c r="ED24" s="57">
        <f t="shared" si="62"/>
        <v>81767.155129732535</v>
      </c>
      <c r="EE24" s="57">
        <f t="shared" si="62"/>
        <v>81903.433721615409</v>
      </c>
      <c r="EF24" s="57">
        <f t="shared" si="62"/>
        <v>82039.939444484786</v>
      </c>
      <c r="EG24" s="57">
        <f t="shared" si="62"/>
        <v>82176.672676892253</v>
      </c>
      <c r="EH24" s="57">
        <f t="shared" si="62"/>
        <v>82313.633798020412</v>
      </c>
      <c r="EI24" s="57">
        <f t="shared" si="62"/>
        <v>82450.823187683796</v>
      </c>
      <c r="EJ24" s="57">
        <f t="shared" si="62"/>
        <v>82588.241226329948</v>
      </c>
      <c r="EK24" s="57">
        <f t="shared" si="62"/>
        <v>82725.888295040495</v>
      </c>
      <c r="EL24" s="57">
        <f t="shared" si="62"/>
        <v>82863.76477553224</v>
      </c>
      <c r="EM24" s="57">
        <f t="shared" si="62"/>
        <v>83001.871050158123</v>
      </c>
      <c r="EN24" s="57">
        <f t="shared" si="62"/>
        <v>83140.2075019084</v>
      </c>
      <c r="EO24" s="57">
        <f t="shared" si="62"/>
        <v>83278.774514411576</v>
      </c>
      <c r="EP24" s="57">
        <f t="shared" si="62"/>
        <v>83417.572471935608</v>
      </c>
      <c r="EQ24" s="57">
        <f t="shared" si="62"/>
        <v>83556.601759388839</v>
      </c>
      <c r="ER24" s="57">
        <f t="shared" si="62"/>
        <v>83695.862762321151</v>
      </c>
      <c r="ES24" s="57">
        <f t="shared" si="62"/>
        <v>83835.355866925034</v>
      </c>
      <c r="ET24" s="57">
        <f t="shared" si="62"/>
        <v>83975.08146003657</v>
      </c>
      <c r="EU24" s="57">
        <f t="shared" si="62"/>
        <v>84115.039929136634</v>
      </c>
      <c r="EV24" s="57">
        <f t="shared" si="62"/>
        <v>84255.231662351856</v>
      </c>
      <c r="EW24" s="57">
        <f t="shared" si="62"/>
        <v>84395.657048455789</v>
      </c>
      <c r="EX24" s="57">
        <f t="shared" si="62"/>
        <v>84536.316476869877</v>
      </c>
      <c r="EY24" s="57">
        <f t="shared" ref="EY24:FB24" si="63">SUM(EY22:EY23)</f>
        <v>84677.210337664656</v>
      </c>
      <c r="EZ24" s="57">
        <f t="shared" si="63"/>
        <v>84818.33902156078</v>
      </c>
      <c r="FA24" s="57">
        <f t="shared" si="63"/>
        <v>84959.702919930045</v>
      </c>
      <c r="FB24" s="57">
        <f t="shared" si="63"/>
        <v>85101.302424796595</v>
      </c>
    </row>
    <row r="25" spans="2:158">
      <c r="B25" s="32" t="s">
        <v>18</v>
      </c>
      <c r="C25" s="128">
        <f>C24/$C$63</f>
        <v>119642.85714285714</v>
      </c>
      <c r="D25" s="128">
        <f>D24/$C$63</f>
        <v>119642.85714285719</v>
      </c>
      <c r="E25" s="136" t="s">
        <v>18</v>
      </c>
      <c r="F25" s="128">
        <f ca="1">F24/$C$63</f>
        <v>141512.82563556154</v>
      </c>
      <c r="G25" s="128">
        <f ca="1">G24/$C$63</f>
        <v>170424.57965340398</v>
      </c>
      <c r="H25" s="9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6"/>
      <c r="BQ25" s="46"/>
      <c r="BR25" s="46"/>
      <c r="BS25" s="46"/>
      <c r="BT25" s="46"/>
      <c r="BU25" s="46"/>
      <c r="BV25" s="46"/>
      <c r="BW25" s="46"/>
      <c r="BX25" s="46"/>
      <c r="BY25" s="46"/>
      <c r="BZ25" s="46"/>
      <c r="CA25" s="46"/>
      <c r="CB25" s="46"/>
      <c r="CC25" s="46"/>
      <c r="CD25" s="46"/>
      <c r="CE25" s="46"/>
      <c r="CF25" s="46"/>
      <c r="CG25" s="46"/>
      <c r="CH25" s="46"/>
      <c r="CI25" s="46"/>
      <c r="CJ25" s="46"/>
      <c r="CK25" s="46"/>
      <c r="CL25" s="46"/>
      <c r="CM25" s="46"/>
      <c r="CN25" s="46"/>
      <c r="CO25" s="46"/>
      <c r="CP25" s="46"/>
      <c r="CQ25" s="46"/>
      <c r="CR25" s="46"/>
      <c r="CS25" s="46"/>
      <c r="CT25" s="46"/>
      <c r="CU25" s="46"/>
      <c r="CV25" s="46"/>
      <c r="CW25" s="46"/>
      <c r="CX25" s="46"/>
      <c r="CY25" s="46"/>
      <c r="CZ25" s="46"/>
      <c r="DA25" s="46"/>
      <c r="DB25" s="46"/>
      <c r="DC25" s="46"/>
      <c r="DD25" s="46"/>
      <c r="DE25" s="46"/>
      <c r="DF25" s="46"/>
      <c r="DG25" s="46"/>
      <c r="DH25" s="46"/>
      <c r="DI25" s="46"/>
      <c r="DJ25" s="46"/>
      <c r="DK25" s="46"/>
      <c r="DL25" s="46"/>
      <c r="DM25" s="46"/>
      <c r="DN25" s="46"/>
      <c r="DO25" s="46"/>
      <c r="DP25" s="46"/>
      <c r="DQ25" s="46"/>
      <c r="DR25" s="46"/>
      <c r="DS25" s="46"/>
      <c r="DT25" s="46"/>
      <c r="DU25" s="46"/>
      <c r="DV25" s="46"/>
      <c r="DW25" s="46"/>
      <c r="DX25" s="46"/>
      <c r="DY25" s="46"/>
      <c r="DZ25" s="46"/>
      <c r="EA25" s="46"/>
      <c r="EB25" s="46"/>
      <c r="EC25" s="46"/>
      <c r="ED25" s="46"/>
      <c r="EE25" s="46"/>
      <c r="EF25" s="46"/>
      <c r="EG25" s="46"/>
      <c r="EH25" s="46"/>
      <c r="EI25" s="46"/>
      <c r="EJ25" s="46"/>
      <c r="EK25" s="46"/>
      <c r="EL25" s="46"/>
      <c r="EM25" s="46"/>
      <c r="EN25" s="46"/>
      <c r="EO25" s="46"/>
      <c r="EP25" s="46"/>
      <c r="EQ25" s="46"/>
      <c r="ER25" s="46"/>
      <c r="ES25" s="46"/>
      <c r="ET25" s="46"/>
      <c r="EU25" s="46"/>
      <c r="EV25" s="46"/>
      <c r="EW25" s="46"/>
      <c r="EX25" s="46"/>
      <c r="EY25" s="46"/>
      <c r="EZ25" s="46"/>
      <c r="FA25" s="46"/>
      <c r="FB25" s="46"/>
    </row>
    <row r="26" spans="2:158">
      <c r="B26" s="165"/>
      <c r="C26" s="163" t="s">
        <v>43</v>
      </c>
      <c r="D26" s="164">
        <f>D24-C24</f>
        <v>0</v>
      </c>
      <c r="E26" s="162">
        <v>0.02</v>
      </c>
      <c r="F26" s="137">
        <f ca="1">-$E26*F24</f>
        <v>-158494.36471182894</v>
      </c>
      <c r="G26" s="137">
        <f ca="1">-$E26*G24</f>
        <v>-190875.52921181248</v>
      </c>
      <c r="H26" s="9"/>
      <c r="I26" s="53" t="s">
        <v>47</v>
      </c>
    </row>
    <row r="27" spans="2:158">
      <c r="B27" s="44"/>
      <c r="C27" s="43" t="s">
        <v>18</v>
      </c>
      <c r="D27" s="44">
        <f>D25-C25</f>
        <v>0</v>
      </c>
      <c r="E27" s="161" t="s">
        <v>45</v>
      </c>
      <c r="F27" s="57">
        <f ca="1">SUM(F24,F26)</f>
        <v>7766223.8708796185</v>
      </c>
      <c r="G27" s="57">
        <f ca="1">SUM(G24,G26)</f>
        <v>9352900.9313788116</v>
      </c>
      <c r="H27" s="9"/>
      <c r="I27" s="9" t="s">
        <v>51</v>
      </c>
      <c r="J27" s="60">
        <f>D66</f>
        <v>0.7</v>
      </c>
      <c r="K27" s="195"/>
      <c r="L27" s="24">
        <f>SUMIF($Z$4:$FB$4,"&lt;="&amp;$G$18,$Z27:$FB27)</f>
        <v>143948.62882050057</v>
      </c>
      <c r="M27" s="62"/>
      <c r="N27" s="61">
        <f t="shared" ref="N27:X30" si="64">SUMIF($Z$3:$FB$3,N$7,$Z27:$FB27)</f>
        <v>0</v>
      </c>
      <c r="O27" s="61">
        <f t="shared" si="64"/>
        <v>13135.252081085237</v>
      </c>
      <c r="P27" s="61">
        <f t="shared" si="64"/>
        <v>13400.378681056041</v>
      </c>
      <c r="Q27" s="61">
        <f t="shared" si="64"/>
        <v>13670.856690621291</v>
      </c>
      <c r="R27" s="61">
        <f t="shared" si="64"/>
        <v>13946.794124535625</v>
      </c>
      <c r="S27" s="61">
        <f t="shared" si="64"/>
        <v>14228.301177761932</v>
      </c>
      <c r="T27" s="61">
        <f t="shared" si="64"/>
        <v>14515.49026947741</v>
      </c>
      <c r="U27" s="61">
        <f t="shared" si="64"/>
        <v>14808.476087967914</v>
      </c>
      <c r="V27" s="61">
        <f t="shared" si="64"/>
        <v>15107.375636428473</v>
      </c>
      <c r="W27" s="61">
        <f t="shared" si="64"/>
        <v>15412.308279688203</v>
      </c>
      <c r="X27" s="61">
        <f t="shared" si="64"/>
        <v>15723.395791878382</v>
      </c>
      <c r="Y27" s="62"/>
      <c r="Z27" s="24">
        <v>0</v>
      </c>
      <c r="AA27" s="24">
        <f t="shared" ref="AA27:BF27" si="65">$J$27*AA53</f>
        <v>1084.6066699999999</v>
      </c>
      <c r="AB27" s="24">
        <f t="shared" si="65"/>
        <v>1086.4143477833336</v>
      </c>
      <c r="AC27" s="24">
        <f t="shared" si="65"/>
        <v>1088.2250383629723</v>
      </c>
      <c r="AD27" s="24">
        <f t="shared" si="65"/>
        <v>1090.0387467602441</v>
      </c>
      <c r="AE27" s="24">
        <f t="shared" si="65"/>
        <v>1091.8554780048446</v>
      </c>
      <c r="AF27" s="24">
        <f t="shared" si="65"/>
        <v>1093.6752371348528</v>
      </c>
      <c r="AG27" s="24">
        <f t="shared" si="65"/>
        <v>1095.498029196744</v>
      </c>
      <c r="AH27" s="24">
        <f t="shared" si="65"/>
        <v>1097.3238592454054</v>
      </c>
      <c r="AI27" s="24">
        <f t="shared" si="65"/>
        <v>1099.1527323441476</v>
      </c>
      <c r="AJ27" s="24">
        <f t="shared" si="65"/>
        <v>1100.9846535647214</v>
      </c>
      <c r="AK27" s="24">
        <f t="shared" si="65"/>
        <v>1102.8196279873293</v>
      </c>
      <c r="AL27" s="24">
        <f t="shared" si="65"/>
        <v>1104.6576607006414</v>
      </c>
      <c r="AM27" s="24">
        <f t="shared" si="65"/>
        <v>1106.4987568018093</v>
      </c>
      <c r="AN27" s="24">
        <f t="shared" si="65"/>
        <v>1108.3429213964789</v>
      </c>
      <c r="AO27" s="24">
        <f t="shared" si="65"/>
        <v>1110.1901595988065</v>
      </c>
      <c r="AP27" s="24">
        <f t="shared" si="65"/>
        <v>1112.0404765314711</v>
      </c>
      <c r="AQ27" s="24">
        <f t="shared" si="65"/>
        <v>1113.89387732569</v>
      </c>
      <c r="AR27" s="24">
        <f t="shared" si="65"/>
        <v>1115.750367121233</v>
      </c>
      <c r="AS27" s="24">
        <f t="shared" si="65"/>
        <v>1117.6099510664351</v>
      </c>
      <c r="AT27" s="24">
        <f t="shared" si="65"/>
        <v>1119.4726343182124</v>
      </c>
      <c r="AU27" s="24">
        <f t="shared" si="65"/>
        <v>1121.338422042076</v>
      </c>
      <c r="AV27" s="24">
        <f t="shared" si="65"/>
        <v>1123.207319412146</v>
      </c>
      <c r="AW27" s="24">
        <f t="shared" si="65"/>
        <v>1125.0793316111665</v>
      </c>
      <c r="AX27" s="24">
        <f t="shared" si="65"/>
        <v>1126.9544638305185</v>
      </c>
      <c r="AY27" s="24">
        <f t="shared" si="65"/>
        <v>1128.8327212702361</v>
      </c>
      <c r="AZ27" s="24">
        <f t="shared" si="65"/>
        <v>1130.7141091390199</v>
      </c>
      <c r="BA27" s="24">
        <f t="shared" si="65"/>
        <v>1132.5986326542516</v>
      </c>
      <c r="BB27" s="24">
        <f t="shared" si="65"/>
        <v>1134.4862970420088</v>
      </c>
      <c r="BC27" s="24">
        <f t="shared" si="65"/>
        <v>1136.3771075370789</v>
      </c>
      <c r="BD27" s="24">
        <f t="shared" si="65"/>
        <v>1138.271069382974</v>
      </c>
      <c r="BE27" s="24">
        <f t="shared" si="65"/>
        <v>1140.1681878319457</v>
      </c>
      <c r="BF27" s="24">
        <f t="shared" si="65"/>
        <v>1142.0684681449989</v>
      </c>
      <c r="BG27" s="24">
        <f t="shared" ref="BG27:CL27" si="66">$J$27*BG53</f>
        <v>1143.9719155919072</v>
      </c>
      <c r="BH27" s="24">
        <f t="shared" si="66"/>
        <v>1145.8785354512272</v>
      </c>
      <c r="BI27" s="24">
        <f t="shared" si="66"/>
        <v>1147.7883330103125</v>
      </c>
      <c r="BJ27" s="24">
        <f t="shared" si="66"/>
        <v>1149.7013135653299</v>
      </c>
      <c r="BK27" s="24">
        <f t="shared" si="66"/>
        <v>1151.6174824212719</v>
      </c>
      <c r="BL27" s="24">
        <f t="shared" si="66"/>
        <v>1153.5368448919742</v>
      </c>
      <c r="BM27" s="24">
        <f t="shared" si="66"/>
        <v>1155.4594063001275</v>
      </c>
      <c r="BN27" s="24">
        <f t="shared" si="66"/>
        <v>1157.3851719772942</v>
      </c>
      <c r="BO27" s="24">
        <f t="shared" si="66"/>
        <v>1159.3141472639231</v>
      </c>
      <c r="BP27" s="24">
        <f t="shared" si="66"/>
        <v>1161.246337509363</v>
      </c>
      <c r="BQ27" s="24">
        <f t="shared" si="66"/>
        <v>1163.1817480718787</v>
      </c>
      <c r="BR27" s="24">
        <f t="shared" si="66"/>
        <v>1165.1203843186654</v>
      </c>
      <c r="BS27" s="24">
        <f t="shared" si="66"/>
        <v>1167.0622516258632</v>
      </c>
      <c r="BT27" s="24">
        <f t="shared" si="66"/>
        <v>1169.007355378573</v>
      </c>
      <c r="BU27" s="24">
        <f t="shared" si="66"/>
        <v>1170.9557009708706</v>
      </c>
      <c r="BV27" s="24">
        <f t="shared" si="66"/>
        <v>1172.9072938058221</v>
      </c>
      <c r="BW27" s="24">
        <f t="shared" si="66"/>
        <v>1174.8621392954988</v>
      </c>
      <c r="BX27" s="24">
        <f t="shared" si="66"/>
        <v>1176.8202428609914</v>
      </c>
      <c r="BY27" s="24">
        <f t="shared" si="66"/>
        <v>1178.7816099324261</v>
      </c>
      <c r="BZ27" s="24">
        <f t="shared" si="66"/>
        <v>1180.74624594898</v>
      </c>
      <c r="CA27" s="24">
        <f t="shared" si="66"/>
        <v>1182.714156358895</v>
      </c>
      <c r="CB27" s="24">
        <f t="shared" si="66"/>
        <v>1184.6853466194932</v>
      </c>
      <c r="CC27" s="24">
        <f t="shared" si="66"/>
        <v>1186.6598221971924</v>
      </c>
      <c r="CD27" s="24">
        <f t="shared" si="66"/>
        <v>1188.6375885675211</v>
      </c>
      <c r="CE27" s="24">
        <f t="shared" si="66"/>
        <v>1190.6186512151337</v>
      </c>
      <c r="CF27" s="24">
        <f t="shared" si="66"/>
        <v>1192.6030156338254</v>
      </c>
      <c r="CG27" s="24">
        <f t="shared" si="66"/>
        <v>1194.5906873265487</v>
      </c>
      <c r="CH27" s="24">
        <f t="shared" si="66"/>
        <v>1196.5816718054261</v>
      </c>
      <c r="CI27" s="24">
        <f t="shared" si="66"/>
        <v>1198.5759745917687</v>
      </c>
      <c r="CJ27" s="24">
        <f t="shared" si="66"/>
        <v>1200.573601216088</v>
      </c>
      <c r="CK27" s="24">
        <f t="shared" si="66"/>
        <v>1202.5745572181152</v>
      </c>
      <c r="CL27" s="24">
        <f t="shared" si="66"/>
        <v>1204.5788481468119</v>
      </c>
      <c r="CM27" s="24">
        <f t="shared" ref="CM27:DR27" si="67">$J$27*CM53</f>
        <v>1206.5864795603902</v>
      </c>
      <c r="CN27" s="24">
        <f t="shared" si="67"/>
        <v>1208.5974570263243</v>
      </c>
      <c r="CO27" s="24">
        <f t="shared" si="67"/>
        <v>1210.6117861213684</v>
      </c>
      <c r="CP27" s="24">
        <f t="shared" si="67"/>
        <v>1212.6294724315708</v>
      </c>
      <c r="CQ27" s="24">
        <f t="shared" si="67"/>
        <v>1214.65052155229</v>
      </c>
      <c r="CR27" s="24">
        <f t="shared" si="67"/>
        <v>1216.6749390882105</v>
      </c>
      <c r="CS27" s="24">
        <f t="shared" si="67"/>
        <v>1218.7027306533575</v>
      </c>
      <c r="CT27" s="24">
        <f t="shared" si="67"/>
        <v>1220.7339018711132</v>
      </c>
      <c r="CU27" s="24">
        <f t="shared" si="67"/>
        <v>1222.7684583742316</v>
      </c>
      <c r="CV27" s="24">
        <f t="shared" si="67"/>
        <v>1224.8064058048553</v>
      </c>
      <c r="CW27" s="24">
        <f t="shared" si="67"/>
        <v>1226.8477498145303</v>
      </c>
      <c r="CX27" s="24">
        <f t="shared" si="67"/>
        <v>1228.8924960642209</v>
      </c>
      <c r="CY27" s="24">
        <f t="shared" si="67"/>
        <v>1230.9406502243282</v>
      </c>
      <c r="CZ27" s="24">
        <f t="shared" si="67"/>
        <v>1232.992217974702</v>
      </c>
      <c r="DA27" s="24">
        <f t="shared" si="67"/>
        <v>1235.0472050046599</v>
      </c>
      <c r="DB27" s="24">
        <f t="shared" si="67"/>
        <v>1237.1056170130009</v>
      </c>
      <c r="DC27" s="24">
        <f t="shared" si="67"/>
        <v>1239.1674597080225</v>
      </c>
      <c r="DD27" s="24">
        <f t="shared" si="67"/>
        <v>1241.232738807536</v>
      </c>
      <c r="DE27" s="24">
        <f t="shared" si="67"/>
        <v>1243.3014600388819</v>
      </c>
      <c r="DF27" s="24">
        <f t="shared" si="67"/>
        <v>1245.3736291389469</v>
      </c>
      <c r="DG27" s="24">
        <f t="shared" si="67"/>
        <v>1247.4492518541783</v>
      </c>
      <c r="DH27" s="24">
        <f t="shared" si="67"/>
        <v>1249.5283339406021</v>
      </c>
      <c r="DI27" s="24">
        <f t="shared" si="67"/>
        <v>1251.6108811638364</v>
      </c>
      <c r="DJ27" s="24">
        <f t="shared" si="67"/>
        <v>1253.6968992991094</v>
      </c>
      <c r="DK27" s="24">
        <f t="shared" si="67"/>
        <v>1255.7863941312748</v>
      </c>
      <c r="DL27" s="24">
        <f t="shared" si="67"/>
        <v>1257.8793714548269</v>
      </c>
      <c r="DM27" s="24">
        <f t="shared" si="67"/>
        <v>1259.9758370739182</v>
      </c>
      <c r="DN27" s="24">
        <f t="shared" si="67"/>
        <v>1262.0757968023747</v>
      </c>
      <c r="DO27" s="24">
        <f t="shared" si="67"/>
        <v>1264.1792564637121</v>
      </c>
      <c r="DP27" s="24">
        <f t="shared" si="67"/>
        <v>1266.2862218911516</v>
      </c>
      <c r="DQ27" s="24">
        <f t="shared" si="67"/>
        <v>1268.3966989276369</v>
      </c>
      <c r="DR27" s="24">
        <f t="shared" si="67"/>
        <v>1270.5106934258497</v>
      </c>
      <c r="DS27" s="24">
        <f t="shared" ref="DS27:FB27" si="68">$J$27*DS53</f>
        <v>1272.6282112482263</v>
      </c>
      <c r="DT27" s="24">
        <f t="shared" si="68"/>
        <v>1274.7492582669734</v>
      </c>
      <c r="DU27" s="24">
        <f t="shared" si="68"/>
        <v>1276.8738403640853</v>
      </c>
      <c r="DV27" s="24">
        <f t="shared" si="68"/>
        <v>1279.0019634313587</v>
      </c>
      <c r="DW27" s="24">
        <f t="shared" si="68"/>
        <v>1281.133633370411</v>
      </c>
      <c r="DX27" s="24">
        <f t="shared" si="68"/>
        <v>1283.2688560926954</v>
      </c>
      <c r="DY27" s="24">
        <f t="shared" si="68"/>
        <v>1285.4076375195166</v>
      </c>
      <c r="DZ27" s="24">
        <f t="shared" si="68"/>
        <v>1287.549983582049</v>
      </c>
      <c r="EA27" s="24">
        <f t="shared" si="68"/>
        <v>1289.6959002213528</v>
      </c>
      <c r="EB27" s="24">
        <f t="shared" si="68"/>
        <v>1291.8453933883879</v>
      </c>
      <c r="EC27" s="24">
        <f t="shared" si="68"/>
        <v>1293.9984690440353</v>
      </c>
      <c r="ED27" s="24">
        <f t="shared" si="68"/>
        <v>1296.1551331591088</v>
      </c>
      <c r="EE27" s="24">
        <f t="shared" si="68"/>
        <v>1298.3153917143741</v>
      </c>
      <c r="EF27" s="24">
        <f t="shared" si="68"/>
        <v>1300.4792507005648</v>
      </c>
      <c r="EG27" s="24">
        <f t="shared" si="68"/>
        <v>1302.6467161183989</v>
      </c>
      <c r="EH27" s="24">
        <f t="shared" si="68"/>
        <v>1304.8177939785967</v>
      </c>
      <c r="EI27" s="24">
        <f t="shared" si="68"/>
        <v>1306.9924903018943</v>
      </c>
      <c r="EJ27" s="24">
        <f t="shared" si="68"/>
        <v>1309.1708111190642</v>
      </c>
      <c r="EK27" s="24">
        <f t="shared" si="68"/>
        <v>1311.3527624709295</v>
      </c>
      <c r="EL27" s="24">
        <f t="shared" si="68"/>
        <v>1313.5383504083809</v>
      </c>
      <c r="EM27" s="24">
        <f t="shared" si="68"/>
        <v>1315.7275809923949</v>
      </c>
      <c r="EN27" s="24">
        <f t="shared" si="68"/>
        <v>1317.9204602940488</v>
      </c>
      <c r="EO27" s="24">
        <f t="shared" si="68"/>
        <v>1320.116994394539</v>
      </c>
      <c r="EP27" s="24">
        <f t="shared" si="68"/>
        <v>1322.3171893851968</v>
      </c>
      <c r="EQ27" s="24">
        <f t="shared" si="68"/>
        <v>1324.5210513675054</v>
      </c>
      <c r="ER27" s="24">
        <f t="shared" si="68"/>
        <v>1326.7285864531179</v>
      </c>
      <c r="ES27" s="24">
        <f t="shared" si="68"/>
        <v>1328.9398007638736</v>
      </c>
      <c r="ET27" s="24">
        <f t="shared" si="68"/>
        <v>1331.1547004318131</v>
      </c>
      <c r="EU27" s="24">
        <f t="shared" si="68"/>
        <v>1333.3732915991995</v>
      </c>
      <c r="EV27" s="24">
        <f t="shared" si="68"/>
        <v>1335.5955804185319</v>
      </c>
      <c r="EW27" s="24">
        <f t="shared" si="68"/>
        <v>1337.8215730525626</v>
      </c>
      <c r="EX27" s="24">
        <f t="shared" si="68"/>
        <v>1340.0512756743169</v>
      </c>
      <c r="EY27" s="24">
        <f t="shared" si="68"/>
        <v>1342.2846944671078</v>
      </c>
      <c r="EZ27" s="24">
        <f t="shared" si="68"/>
        <v>1344.521835624553</v>
      </c>
      <c r="FA27" s="24">
        <f t="shared" si="68"/>
        <v>1346.7627053505937</v>
      </c>
      <c r="FB27" s="24">
        <f t="shared" si="68"/>
        <v>1349.0073098595115</v>
      </c>
    </row>
    <row r="28" spans="2:158">
      <c r="H28" s="9"/>
      <c r="I28" s="9" t="s">
        <v>54</v>
      </c>
      <c r="J28" s="46">
        <f>F67</f>
        <v>0</v>
      </c>
      <c r="K28" s="64"/>
      <c r="L28" s="24">
        <f>SUMIF($Z$4:$FB$4,"&lt;="&amp;$G$18,$Z28:$FB28)</f>
        <v>0</v>
      </c>
      <c r="M28" s="62"/>
      <c r="N28" s="61">
        <f t="shared" si="64"/>
        <v>0</v>
      </c>
      <c r="O28" s="61">
        <f t="shared" si="64"/>
        <v>0</v>
      </c>
      <c r="P28" s="61">
        <f t="shared" si="64"/>
        <v>0</v>
      </c>
      <c r="Q28" s="61">
        <f t="shared" si="64"/>
        <v>0</v>
      </c>
      <c r="R28" s="61">
        <f t="shared" si="64"/>
        <v>0</v>
      </c>
      <c r="S28" s="61">
        <f t="shared" si="64"/>
        <v>0</v>
      </c>
      <c r="T28" s="61">
        <f t="shared" si="64"/>
        <v>0</v>
      </c>
      <c r="U28" s="61">
        <f t="shared" si="64"/>
        <v>0</v>
      </c>
      <c r="V28" s="61">
        <f t="shared" si="64"/>
        <v>0</v>
      </c>
      <c r="W28" s="61">
        <f t="shared" si="64"/>
        <v>0</v>
      </c>
      <c r="X28" s="61">
        <f t="shared" si="64"/>
        <v>0</v>
      </c>
      <c r="Y28" s="62"/>
      <c r="Z28" s="24">
        <v>0</v>
      </c>
      <c r="AA28" s="24">
        <f t="shared" ref="AA28:BF28" si="69">IFERROR($F$67*$E$67*AA12*(AA$4&gt;=1),0)</f>
        <v>0</v>
      </c>
      <c r="AB28" s="24">
        <f t="shared" si="69"/>
        <v>0</v>
      </c>
      <c r="AC28" s="24">
        <f t="shared" si="69"/>
        <v>0</v>
      </c>
      <c r="AD28" s="24">
        <f t="shared" si="69"/>
        <v>0</v>
      </c>
      <c r="AE28" s="24">
        <f t="shared" si="69"/>
        <v>0</v>
      </c>
      <c r="AF28" s="24">
        <f t="shared" si="69"/>
        <v>0</v>
      </c>
      <c r="AG28" s="24">
        <f t="shared" si="69"/>
        <v>0</v>
      </c>
      <c r="AH28" s="24">
        <f t="shared" si="69"/>
        <v>0</v>
      </c>
      <c r="AI28" s="24">
        <f t="shared" si="69"/>
        <v>0</v>
      </c>
      <c r="AJ28" s="24">
        <f t="shared" si="69"/>
        <v>0</v>
      </c>
      <c r="AK28" s="24">
        <f t="shared" si="69"/>
        <v>0</v>
      </c>
      <c r="AL28" s="24">
        <f t="shared" si="69"/>
        <v>0</v>
      </c>
      <c r="AM28" s="24">
        <f t="shared" si="69"/>
        <v>0</v>
      </c>
      <c r="AN28" s="24">
        <f t="shared" si="69"/>
        <v>0</v>
      </c>
      <c r="AO28" s="24">
        <f t="shared" si="69"/>
        <v>0</v>
      </c>
      <c r="AP28" s="24">
        <f t="shared" si="69"/>
        <v>0</v>
      </c>
      <c r="AQ28" s="24">
        <f t="shared" si="69"/>
        <v>0</v>
      </c>
      <c r="AR28" s="24">
        <f t="shared" si="69"/>
        <v>0</v>
      </c>
      <c r="AS28" s="24">
        <f t="shared" si="69"/>
        <v>0</v>
      </c>
      <c r="AT28" s="24">
        <f t="shared" si="69"/>
        <v>0</v>
      </c>
      <c r="AU28" s="24">
        <f t="shared" si="69"/>
        <v>0</v>
      </c>
      <c r="AV28" s="24">
        <f t="shared" si="69"/>
        <v>0</v>
      </c>
      <c r="AW28" s="24">
        <f t="shared" si="69"/>
        <v>0</v>
      </c>
      <c r="AX28" s="24">
        <f t="shared" si="69"/>
        <v>0</v>
      </c>
      <c r="AY28" s="24">
        <f t="shared" si="69"/>
        <v>0</v>
      </c>
      <c r="AZ28" s="24">
        <f t="shared" si="69"/>
        <v>0</v>
      </c>
      <c r="BA28" s="24">
        <f t="shared" si="69"/>
        <v>0</v>
      </c>
      <c r="BB28" s="24">
        <f t="shared" si="69"/>
        <v>0</v>
      </c>
      <c r="BC28" s="24">
        <f t="shared" si="69"/>
        <v>0</v>
      </c>
      <c r="BD28" s="24">
        <f t="shared" si="69"/>
        <v>0</v>
      </c>
      <c r="BE28" s="24">
        <f t="shared" si="69"/>
        <v>0</v>
      </c>
      <c r="BF28" s="24">
        <f t="shared" si="69"/>
        <v>0</v>
      </c>
      <c r="BG28" s="24">
        <f t="shared" ref="BG28:CL28" si="70">IFERROR($F$67*$E$67*BG12*(BG$4&gt;=1),0)</f>
        <v>0</v>
      </c>
      <c r="BH28" s="24">
        <f t="shared" si="70"/>
        <v>0</v>
      </c>
      <c r="BI28" s="24">
        <f t="shared" si="70"/>
        <v>0</v>
      </c>
      <c r="BJ28" s="24">
        <f t="shared" si="70"/>
        <v>0</v>
      </c>
      <c r="BK28" s="24">
        <f t="shared" si="70"/>
        <v>0</v>
      </c>
      <c r="BL28" s="24">
        <f t="shared" si="70"/>
        <v>0</v>
      </c>
      <c r="BM28" s="24">
        <f t="shared" si="70"/>
        <v>0</v>
      </c>
      <c r="BN28" s="24">
        <f t="shared" si="70"/>
        <v>0</v>
      </c>
      <c r="BO28" s="24">
        <f t="shared" si="70"/>
        <v>0</v>
      </c>
      <c r="BP28" s="24">
        <f t="shared" si="70"/>
        <v>0</v>
      </c>
      <c r="BQ28" s="24">
        <f t="shared" si="70"/>
        <v>0</v>
      </c>
      <c r="BR28" s="24">
        <f t="shared" si="70"/>
        <v>0</v>
      </c>
      <c r="BS28" s="24">
        <f t="shared" si="70"/>
        <v>0</v>
      </c>
      <c r="BT28" s="24">
        <f t="shared" si="70"/>
        <v>0</v>
      </c>
      <c r="BU28" s="24">
        <f t="shared" si="70"/>
        <v>0</v>
      </c>
      <c r="BV28" s="24">
        <f t="shared" si="70"/>
        <v>0</v>
      </c>
      <c r="BW28" s="24">
        <f t="shared" si="70"/>
        <v>0</v>
      </c>
      <c r="BX28" s="24">
        <f t="shared" si="70"/>
        <v>0</v>
      </c>
      <c r="BY28" s="24">
        <f t="shared" si="70"/>
        <v>0</v>
      </c>
      <c r="BZ28" s="24">
        <f t="shared" si="70"/>
        <v>0</v>
      </c>
      <c r="CA28" s="24">
        <f t="shared" si="70"/>
        <v>0</v>
      </c>
      <c r="CB28" s="24">
        <f t="shared" si="70"/>
        <v>0</v>
      </c>
      <c r="CC28" s="24">
        <f t="shared" si="70"/>
        <v>0</v>
      </c>
      <c r="CD28" s="24">
        <f t="shared" si="70"/>
        <v>0</v>
      </c>
      <c r="CE28" s="24">
        <f t="shared" si="70"/>
        <v>0</v>
      </c>
      <c r="CF28" s="24">
        <f t="shared" si="70"/>
        <v>0</v>
      </c>
      <c r="CG28" s="24">
        <f t="shared" si="70"/>
        <v>0</v>
      </c>
      <c r="CH28" s="24">
        <f t="shared" si="70"/>
        <v>0</v>
      </c>
      <c r="CI28" s="24">
        <f t="shared" si="70"/>
        <v>0</v>
      </c>
      <c r="CJ28" s="24">
        <f t="shared" si="70"/>
        <v>0</v>
      </c>
      <c r="CK28" s="24">
        <f t="shared" si="70"/>
        <v>0</v>
      </c>
      <c r="CL28" s="24">
        <f t="shared" si="70"/>
        <v>0</v>
      </c>
      <c r="CM28" s="24">
        <f t="shared" ref="CM28:DR28" si="71">IFERROR($F$67*$E$67*CM12*(CM$4&gt;=1),0)</f>
        <v>0</v>
      </c>
      <c r="CN28" s="24">
        <f t="shared" si="71"/>
        <v>0</v>
      </c>
      <c r="CO28" s="24">
        <f t="shared" si="71"/>
        <v>0</v>
      </c>
      <c r="CP28" s="24">
        <f t="shared" si="71"/>
        <v>0</v>
      </c>
      <c r="CQ28" s="24">
        <f t="shared" si="71"/>
        <v>0</v>
      </c>
      <c r="CR28" s="24">
        <f t="shared" si="71"/>
        <v>0</v>
      </c>
      <c r="CS28" s="24">
        <f t="shared" si="71"/>
        <v>0</v>
      </c>
      <c r="CT28" s="24">
        <f t="shared" si="71"/>
        <v>0</v>
      </c>
      <c r="CU28" s="24">
        <f t="shared" si="71"/>
        <v>0</v>
      </c>
      <c r="CV28" s="24">
        <f t="shared" si="71"/>
        <v>0</v>
      </c>
      <c r="CW28" s="24">
        <f t="shared" si="71"/>
        <v>0</v>
      </c>
      <c r="CX28" s="24">
        <f t="shared" si="71"/>
        <v>0</v>
      </c>
      <c r="CY28" s="24">
        <f t="shared" si="71"/>
        <v>0</v>
      </c>
      <c r="CZ28" s="24">
        <f t="shared" si="71"/>
        <v>0</v>
      </c>
      <c r="DA28" s="24">
        <f t="shared" si="71"/>
        <v>0</v>
      </c>
      <c r="DB28" s="24">
        <f t="shared" si="71"/>
        <v>0</v>
      </c>
      <c r="DC28" s="24">
        <f t="shared" si="71"/>
        <v>0</v>
      </c>
      <c r="DD28" s="24">
        <f t="shared" si="71"/>
        <v>0</v>
      </c>
      <c r="DE28" s="24">
        <f t="shared" si="71"/>
        <v>0</v>
      </c>
      <c r="DF28" s="24">
        <f t="shared" si="71"/>
        <v>0</v>
      </c>
      <c r="DG28" s="24">
        <f t="shared" si="71"/>
        <v>0</v>
      </c>
      <c r="DH28" s="24">
        <f t="shared" si="71"/>
        <v>0</v>
      </c>
      <c r="DI28" s="24">
        <f t="shared" si="71"/>
        <v>0</v>
      </c>
      <c r="DJ28" s="24">
        <f t="shared" si="71"/>
        <v>0</v>
      </c>
      <c r="DK28" s="24">
        <f t="shared" si="71"/>
        <v>0</v>
      </c>
      <c r="DL28" s="24">
        <f t="shared" si="71"/>
        <v>0</v>
      </c>
      <c r="DM28" s="24">
        <f t="shared" si="71"/>
        <v>0</v>
      </c>
      <c r="DN28" s="24">
        <f t="shared" si="71"/>
        <v>0</v>
      </c>
      <c r="DO28" s="24">
        <f t="shared" si="71"/>
        <v>0</v>
      </c>
      <c r="DP28" s="24">
        <f t="shared" si="71"/>
        <v>0</v>
      </c>
      <c r="DQ28" s="24">
        <f t="shared" si="71"/>
        <v>0</v>
      </c>
      <c r="DR28" s="24">
        <f t="shared" si="71"/>
        <v>0</v>
      </c>
      <c r="DS28" s="24">
        <f t="shared" ref="DS28:FB28" si="72">IFERROR($F$67*$E$67*DS12*(DS$4&gt;=1),0)</f>
        <v>0</v>
      </c>
      <c r="DT28" s="24">
        <f t="shared" si="72"/>
        <v>0</v>
      </c>
      <c r="DU28" s="24">
        <f t="shared" si="72"/>
        <v>0</v>
      </c>
      <c r="DV28" s="24">
        <f t="shared" si="72"/>
        <v>0</v>
      </c>
      <c r="DW28" s="24">
        <f t="shared" si="72"/>
        <v>0</v>
      </c>
      <c r="DX28" s="24">
        <f t="shared" si="72"/>
        <v>0</v>
      </c>
      <c r="DY28" s="24">
        <f t="shared" si="72"/>
        <v>0</v>
      </c>
      <c r="DZ28" s="24">
        <f t="shared" si="72"/>
        <v>0</v>
      </c>
      <c r="EA28" s="24">
        <f t="shared" si="72"/>
        <v>0</v>
      </c>
      <c r="EB28" s="24">
        <f t="shared" si="72"/>
        <v>0</v>
      </c>
      <c r="EC28" s="24">
        <f t="shared" si="72"/>
        <v>0</v>
      </c>
      <c r="ED28" s="24">
        <f t="shared" si="72"/>
        <v>0</v>
      </c>
      <c r="EE28" s="24">
        <f t="shared" si="72"/>
        <v>0</v>
      </c>
      <c r="EF28" s="24">
        <f t="shared" si="72"/>
        <v>0</v>
      </c>
      <c r="EG28" s="24">
        <f t="shared" si="72"/>
        <v>0</v>
      </c>
      <c r="EH28" s="24">
        <f t="shared" si="72"/>
        <v>0</v>
      </c>
      <c r="EI28" s="24">
        <f t="shared" si="72"/>
        <v>0</v>
      </c>
      <c r="EJ28" s="24">
        <f t="shared" si="72"/>
        <v>0</v>
      </c>
      <c r="EK28" s="24">
        <f t="shared" si="72"/>
        <v>0</v>
      </c>
      <c r="EL28" s="24">
        <f t="shared" si="72"/>
        <v>0</v>
      </c>
      <c r="EM28" s="24">
        <f t="shared" si="72"/>
        <v>0</v>
      </c>
      <c r="EN28" s="24">
        <f t="shared" si="72"/>
        <v>0</v>
      </c>
      <c r="EO28" s="24">
        <f t="shared" si="72"/>
        <v>0</v>
      </c>
      <c r="EP28" s="24">
        <f t="shared" si="72"/>
        <v>0</v>
      </c>
      <c r="EQ28" s="24">
        <f t="shared" si="72"/>
        <v>0</v>
      </c>
      <c r="ER28" s="24">
        <f t="shared" si="72"/>
        <v>0</v>
      </c>
      <c r="ES28" s="24">
        <f t="shared" si="72"/>
        <v>0</v>
      </c>
      <c r="ET28" s="24">
        <f t="shared" si="72"/>
        <v>0</v>
      </c>
      <c r="EU28" s="24">
        <f t="shared" si="72"/>
        <v>0</v>
      </c>
      <c r="EV28" s="24">
        <f t="shared" si="72"/>
        <v>0</v>
      </c>
      <c r="EW28" s="24">
        <f t="shared" si="72"/>
        <v>0</v>
      </c>
      <c r="EX28" s="24">
        <f t="shared" si="72"/>
        <v>0</v>
      </c>
      <c r="EY28" s="24">
        <f t="shared" si="72"/>
        <v>0</v>
      </c>
      <c r="EZ28" s="24">
        <f t="shared" si="72"/>
        <v>0</v>
      </c>
      <c r="FA28" s="24">
        <f t="shared" si="72"/>
        <v>0</v>
      </c>
      <c r="FB28" s="24">
        <f t="shared" si="72"/>
        <v>0</v>
      </c>
    </row>
    <row r="29" spans="2:158">
      <c r="B29" s="17" t="s">
        <v>46</v>
      </c>
      <c r="C29" s="17"/>
      <c r="D29" s="17"/>
      <c r="E29" s="17"/>
      <c r="F29" s="17"/>
      <c r="G29" s="17"/>
      <c r="H29" s="9"/>
      <c r="I29" s="9" t="s">
        <v>47</v>
      </c>
      <c r="J29" s="46">
        <f>F68</f>
        <v>75</v>
      </c>
      <c r="K29" s="64"/>
      <c r="L29" s="142">
        <f>SUMIF($Z$4:$FB$4,"&lt;="&amp;$G$18,$Z29:$FB29)</f>
        <v>558351.61095574463</v>
      </c>
      <c r="M29" s="62"/>
      <c r="N29" s="65">
        <f t="shared" si="64"/>
        <v>0</v>
      </c>
      <c r="O29" s="65">
        <f t="shared" si="64"/>
        <v>50949.350611245631</v>
      </c>
      <c r="P29" s="65">
        <f t="shared" si="64"/>
        <v>51977.730425724527</v>
      </c>
      <c r="Q29" s="65">
        <f t="shared" si="64"/>
        <v>53026.867424154574</v>
      </c>
      <c r="R29" s="65">
        <f t="shared" si="64"/>
        <v>54097.180576919549</v>
      </c>
      <c r="S29" s="65">
        <f t="shared" si="64"/>
        <v>55189.0973110505</v>
      </c>
      <c r="T29" s="65">
        <f t="shared" si="64"/>
        <v>56303.053680917757</v>
      </c>
      <c r="U29" s="65">
        <f t="shared" si="64"/>
        <v>57439.494542368084</v>
      </c>
      <c r="V29" s="65">
        <f t="shared" si="64"/>
        <v>58598.873730376908</v>
      </c>
      <c r="W29" s="65">
        <f t="shared" si="64"/>
        <v>59781.654240286269</v>
      </c>
      <c r="X29" s="65">
        <f t="shared" si="64"/>
        <v>60988.308412700761</v>
      </c>
      <c r="Y29" s="62"/>
      <c r="Z29" s="142">
        <v>0</v>
      </c>
      <c r="AA29" s="142">
        <f t="shared" ref="AA29:BF29" si="73">IFERROR($F$68*$E$68*AA12*(AA$4&gt;=1),0)</f>
        <v>4207</v>
      </c>
      <c r="AB29" s="142">
        <f t="shared" si="73"/>
        <v>4214.0116666666672</v>
      </c>
      <c r="AC29" s="142">
        <f t="shared" si="73"/>
        <v>4221.0350194444445</v>
      </c>
      <c r="AD29" s="142">
        <f t="shared" si="73"/>
        <v>4228.0700778101864</v>
      </c>
      <c r="AE29" s="142">
        <f t="shared" si="73"/>
        <v>4235.1168612732035</v>
      </c>
      <c r="AF29" s="142">
        <f t="shared" si="73"/>
        <v>4242.1753893753257</v>
      </c>
      <c r="AG29" s="142">
        <f t="shared" si="73"/>
        <v>4249.2456816909507</v>
      </c>
      <c r="AH29" s="142">
        <f t="shared" si="73"/>
        <v>4256.3277578271027</v>
      </c>
      <c r="AI29" s="142">
        <f t="shared" si="73"/>
        <v>4263.4216374234811</v>
      </c>
      <c r="AJ29" s="142">
        <f t="shared" si="73"/>
        <v>4270.527340152521</v>
      </c>
      <c r="AK29" s="142">
        <f t="shared" si="73"/>
        <v>4277.6448857194418</v>
      </c>
      <c r="AL29" s="142">
        <f t="shared" si="73"/>
        <v>4284.7742938623078</v>
      </c>
      <c r="AM29" s="142">
        <f t="shared" si="73"/>
        <v>4291.9155843520784</v>
      </c>
      <c r="AN29" s="142">
        <f t="shared" si="73"/>
        <v>4299.0687769926644</v>
      </c>
      <c r="AO29" s="142">
        <f t="shared" si="73"/>
        <v>4306.2338916209856</v>
      </c>
      <c r="AP29" s="142">
        <f t="shared" si="73"/>
        <v>4313.4109481070209</v>
      </c>
      <c r="AQ29" s="142">
        <f t="shared" si="73"/>
        <v>4320.599966353866</v>
      </c>
      <c r="AR29" s="142">
        <f t="shared" si="73"/>
        <v>4327.8009662977893</v>
      </c>
      <c r="AS29" s="142">
        <f t="shared" si="73"/>
        <v>4335.0139679082849</v>
      </c>
      <c r="AT29" s="142">
        <f t="shared" si="73"/>
        <v>4342.2389911881319</v>
      </c>
      <c r="AU29" s="142">
        <f t="shared" si="73"/>
        <v>4349.4760561734456</v>
      </c>
      <c r="AV29" s="142">
        <f t="shared" si="73"/>
        <v>4356.7251829337347</v>
      </c>
      <c r="AW29" s="142">
        <f t="shared" si="73"/>
        <v>4363.9863915719579</v>
      </c>
      <c r="AX29" s="142">
        <f t="shared" si="73"/>
        <v>4371.2597022245782</v>
      </c>
      <c r="AY29" s="142">
        <f t="shared" si="73"/>
        <v>4378.5451350616186</v>
      </c>
      <c r="AZ29" s="142">
        <f t="shared" si="73"/>
        <v>4385.8427102867217</v>
      </c>
      <c r="BA29" s="142">
        <f t="shared" si="73"/>
        <v>4393.1524481372007</v>
      </c>
      <c r="BB29" s="142">
        <f t="shared" si="73"/>
        <v>4400.4743688840963</v>
      </c>
      <c r="BC29" s="142">
        <f t="shared" si="73"/>
        <v>4407.8084928322369</v>
      </c>
      <c r="BD29" s="142">
        <f t="shared" si="73"/>
        <v>4415.1548403202905</v>
      </c>
      <c r="BE29" s="142">
        <f t="shared" si="73"/>
        <v>4422.513431720824</v>
      </c>
      <c r="BF29" s="142">
        <f t="shared" si="73"/>
        <v>4429.8842874403581</v>
      </c>
      <c r="BG29" s="142">
        <f t="shared" ref="BG29:CL29" si="74">IFERROR($F$68*$E$68*BG12*(BG$4&gt;=1),0)</f>
        <v>4437.2674279194262</v>
      </c>
      <c r="BH29" s="142">
        <f t="shared" si="74"/>
        <v>4444.6628736326247</v>
      </c>
      <c r="BI29" s="142">
        <f t="shared" si="74"/>
        <v>4452.0706450886801</v>
      </c>
      <c r="BJ29" s="142">
        <f t="shared" si="74"/>
        <v>4459.4907628304945</v>
      </c>
      <c r="BK29" s="142">
        <f t="shared" si="74"/>
        <v>4466.923247435212</v>
      </c>
      <c r="BL29" s="142">
        <f t="shared" si="74"/>
        <v>4474.3681195142708</v>
      </c>
      <c r="BM29" s="142">
        <f t="shared" si="74"/>
        <v>4481.8253997134616</v>
      </c>
      <c r="BN29" s="142">
        <f t="shared" si="74"/>
        <v>4489.2951087129841</v>
      </c>
      <c r="BO29" s="142">
        <f t="shared" si="74"/>
        <v>4496.7772672275059</v>
      </c>
      <c r="BP29" s="142">
        <f t="shared" si="74"/>
        <v>4504.2718960062184</v>
      </c>
      <c r="BQ29" s="142">
        <f t="shared" si="74"/>
        <v>4511.7790158328962</v>
      </c>
      <c r="BR29" s="142">
        <f t="shared" si="74"/>
        <v>4519.2986475259504</v>
      </c>
      <c r="BS29" s="142">
        <f t="shared" si="74"/>
        <v>4526.8308119384938</v>
      </c>
      <c r="BT29" s="142">
        <f t="shared" si="74"/>
        <v>4534.3755299583918</v>
      </c>
      <c r="BU29" s="142">
        <f t="shared" si="74"/>
        <v>4541.9328225083227</v>
      </c>
      <c r="BV29" s="142">
        <f t="shared" si="74"/>
        <v>4549.5027105458366</v>
      </c>
      <c r="BW29" s="142">
        <f t="shared" si="74"/>
        <v>4557.0852150634137</v>
      </c>
      <c r="BX29" s="142">
        <f t="shared" si="74"/>
        <v>4564.6803570885195</v>
      </c>
      <c r="BY29" s="142">
        <f t="shared" si="74"/>
        <v>4572.2881576836671</v>
      </c>
      <c r="BZ29" s="142">
        <f t="shared" si="74"/>
        <v>4579.9086379464725</v>
      </c>
      <c r="CA29" s="142">
        <f t="shared" si="74"/>
        <v>4587.5418190097171</v>
      </c>
      <c r="CB29" s="142">
        <f t="shared" si="74"/>
        <v>4595.1877220413999</v>
      </c>
      <c r="CC29" s="142">
        <f t="shared" si="74"/>
        <v>4602.8463682448019</v>
      </c>
      <c r="CD29" s="142">
        <f t="shared" si="74"/>
        <v>4610.5177788585434</v>
      </c>
      <c r="CE29" s="142">
        <f t="shared" si="74"/>
        <v>4618.2019751566413</v>
      </c>
      <c r="CF29" s="142">
        <f t="shared" si="74"/>
        <v>4625.8989784485684</v>
      </c>
      <c r="CG29" s="142">
        <f t="shared" si="74"/>
        <v>4633.6088100793168</v>
      </c>
      <c r="CH29" s="142">
        <f t="shared" si="74"/>
        <v>4641.3314914294488</v>
      </c>
      <c r="CI29" s="142">
        <f t="shared" si="74"/>
        <v>4649.0670439151645</v>
      </c>
      <c r="CJ29" s="142">
        <f t="shared" si="74"/>
        <v>4656.8154889883563</v>
      </c>
      <c r="CK29" s="142">
        <f t="shared" si="74"/>
        <v>4664.5768481366704</v>
      </c>
      <c r="CL29" s="142">
        <f t="shared" si="74"/>
        <v>4672.3511428835654</v>
      </c>
      <c r="CM29" s="142">
        <f t="shared" ref="CM29:DR29" si="75">IFERROR($F$68*$E$68*CM12*(CM$4&gt;=1),0)</f>
        <v>4680.1383947883714</v>
      </c>
      <c r="CN29" s="142">
        <f t="shared" si="75"/>
        <v>4687.9386254463534</v>
      </c>
      <c r="CO29" s="142">
        <f t="shared" si="75"/>
        <v>4695.7518564887641</v>
      </c>
      <c r="CP29" s="142">
        <f t="shared" si="75"/>
        <v>4703.5781095829125</v>
      </c>
      <c r="CQ29" s="142">
        <f t="shared" si="75"/>
        <v>4711.4174064322169</v>
      </c>
      <c r="CR29" s="142">
        <f t="shared" si="75"/>
        <v>4719.2697687762711</v>
      </c>
      <c r="CS29" s="142">
        <f t="shared" si="75"/>
        <v>4727.1352183908984</v>
      </c>
      <c r="CT29" s="142">
        <f t="shared" si="75"/>
        <v>4735.0137770882166</v>
      </c>
      <c r="CU29" s="142">
        <f t="shared" si="75"/>
        <v>4742.9054667166965</v>
      </c>
      <c r="CV29" s="142">
        <f t="shared" si="75"/>
        <v>4750.8103091612247</v>
      </c>
      <c r="CW29" s="142">
        <f t="shared" si="75"/>
        <v>4758.72832634316</v>
      </c>
      <c r="CX29" s="142">
        <f t="shared" si="75"/>
        <v>4766.6595402203993</v>
      </c>
      <c r="CY29" s="142">
        <f t="shared" si="75"/>
        <v>4774.6039727874331</v>
      </c>
      <c r="CZ29" s="142">
        <f t="shared" si="75"/>
        <v>4782.5616460754118</v>
      </c>
      <c r="DA29" s="142">
        <f t="shared" si="75"/>
        <v>4790.5325821522047</v>
      </c>
      <c r="DB29" s="142">
        <f t="shared" si="75"/>
        <v>4798.5168031224584</v>
      </c>
      <c r="DC29" s="142">
        <f t="shared" si="75"/>
        <v>4806.5143311276624</v>
      </c>
      <c r="DD29" s="142">
        <f t="shared" si="75"/>
        <v>4814.5251883462079</v>
      </c>
      <c r="DE29" s="142">
        <f t="shared" si="75"/>
        <v>4822.5493969934523</v>
      </c>
      <c r="DF29" s="142">
        <f t="shared" si="75"/>
        <v>4830.5869793217744</v>
      </c>
      <c r="DG29" s="142">
        <f t="shared" si="75"/>
        <v>4838.6379576206446</v>
      </c>
      <c r="DH29" s="142">
        <f t="shared" si="75"/>
        <v>4846.7023542166789</v>
      </c>
      <c r="DI29" s="142">
        <f t="shared" si="75"/>
        <v>4854.7801914737074</v>
      </c>
      <c r="DJ29" s="142">
        <f t="shared" si="75"/>
        <v>4862.8714917928301</v>
      </c>
      <c r="DK29" s="142">
        <f t="shared" si="75"/>
        <v>4870.9762776124844</v>
      </c>
      <c r="DL29" s="142">
        <f t="shared" si="75"/>
        <v>4879.0945714085055</v>
      </c>
      <c r="DM29" s="142">
        <f t="shared" si="75"/>
        <v>4887.2263956941861</v>
      </c>
      <c r="DN29" s="142">
        <f t="shared" si="75"/>
        <v>4895.3717730203434</v>
      </c>
      <c r="DO29" s="142">
        <f t="shared" si="75"/>
        <v>4903.5307259753781</v>
      </c>
      <c r="DP29" s="142">
        <f t="shared" si="75"/>
        <v>4911.7032771853364</v>
      </c>
      <c r="DQ29" s="142">
        <f t="shared" si="75"/>
        <v>4919.8894493139787</v>
      </c>
      <c r="DR29" s="142">
        <f t="shared" si="75"/>
        <v>4928.0892650628357</v>
      </c>
      <c r="DS29" s="142">
        <f t="shared" ref="DS29:FB29" si="76">IFERROR($F$68*$E$68*DS12*(DS$4&gt;=1),0)</f>
        <v>4936.3027471712739</v>
      </c>
      <c r="DT29" s="142">
        <f t="shared" si="76"/>
        <v>4944.5299184165606</v>
      </c>
      <c r="DU29" s="142">
        <f t="shared" si="76"/>
        <v>4952.7708016139222</v>
      </c>
      <c r="DV29" s="142">
        <f t="shared" si="76"/>
        <v>4961.0254196166125</v>
      </c>
      <c r="DW29" s="142">
        <f t="shared" si="76"/>
        <v>4969.2937953159735</v>
      </c>
      <c r="DX29" s="142">
        <f t="shared" si="76"/>
        <v>4977.575951641501</v>
      </c>
      <c r="DY29" s="142">
        <f t="shared" si="76"/>
        <v>4985.8719115609028</v>
      </c>
      <c r="DZ29" s="142">
        <f t="shared" si="76"/>
        <v>4994.1816980801714</v>
      </c>
      <c r="EA29" s="142">
        <f t="shared" si="76"/>
        <v>5002.5053342436386</v>
      </c>
      <c r="EB29" s="142">
        <f t="shared" si="76"/>
        <v>5010.8428431340444</v>
      </c>
      <c r="EC29" s="142">
        <f t="shared" si="76"/>
        <v>5019.1942478726014</v>
      </c>
      <c r="ED29" s="142">
        <f t="shared" si="76"/>
        <v>5027.5595716190564</v>
      </c>
      <c r="EE29" s="142">
        <f t="shared" si="76"/>
        <v>5035.9388375717554</v>
      </c>
      <c r="EF29" s="142">
        <f t="shared" si="76"/>
        <v>5044.3320689677075</v>
      </c>
      <c r="EG29" s="142">
        <f t="shared" si="76"/>
        <v>5052.7392890826541</v>
      </c>
      <c r="EH29" s="142">
        <f t="shared" si="76"/>
        <v>5061.160521231126</v>
      </c>
      <c r="EI29" s="142">
        <f t="shared" si="76"/>
        <v>5069.5957887665118</v>
      </c>
      <c r="EJ29" s="142">
        <f t="shared" si="76"/>
        <v>5078.0451150811223</v>
      </c>
      <c r="EK29" s="142">
        <f t="shared" si="76"/>
        <v>5086.5085236062578</v>
      </c>
      <c r="EL29" s="142">
        <f t="shared" si="76"/>
        <v>5094.9860378122685</v>
      </c>
      <c r="EM29" s="142">
        <f t="shared" si="76"/>
        <v>5103.477681208622</v>
      </c>
      <c r="EN29" s="142">
        <f t="shared" si="76"/>
        <v>5111.9834773439698</v>
      </c>
      <c r="EO29" s="142">
        <f t="shared" si="76"/>
        <v>5120.5034498062105</v>
      </c>
      <c r="EP29" s="142">
        <f t="shared" si="76"/>
        <v>5129.0376222225541</v>
      </c>
      <c r="EQ29" s="142">
        <f t="shared" si="76"/>
        <v>5137.5860182595916</v>
      </c>
      <c r="ER29" s="142">
        <f t="shared" si="76"/>
        <v>5146.1486616233578</v>
      </c>
      <c r="ES29" s="142">
        <f t="shared" si="76"/>
        <v>5154.725576059398</v>
      </c>
      <c r="ET29" s="142">
        <f t="shared" si="76"/>
        <v>5163.3167853528303</v>
      </c>
      <c r="EU29" s="142">
        <f t="shared" si="76"/>
        <v>5171.9223133284186</v>
      </c>
      <c r="EV29" s="142">
        <f t="shared" si="76"/>
        <v>5180.5421838506336</v>
      </c>
      <c r="EW29" s="142">
        <f t="shared" si="76"/>
        <v>5189.1764208237173</v>
      </c>
      <c r="EX29" s="142">
        <f t="shared" si="76"/>
        <v>5197.8250481917576</v>
      </c>
      <c r="EY29" s="142">
        <f t="shared" si="76"/>
        <v>5206.4880899387435</v>
      </c>
      <c r="EZ29" s="142">
        <f t="shared" si="76"/>
        <v>5215.1655700886422</v>
      </c>
      <c r="FA29" s="142">
        <f t="shared" si="76"/>
        <v>5223.8575127054564</v>
      </c>
      <c r="FB29" s="142">
        <f t="shared" si="76"/>
        <v>5232.5639418932988</v>
      </c>
    </row>
    <row r="30" spans="2:158">
      <c r="B30" s="36" t="s">
        <v>48</v>
      </c>
      <c r="C30" s="45" t="s">
        <v>49</v>
      </c>
      <c r="D30" s="45" t="s">
        <v>157</v>
      </c>
      <c r="E30" s="172" t="s">
        <v>49</v>
      </c>
      <c r="F30" s="45" t="s">
        <v>30</v>
      </c>
      <c r="G30" s="172" t="s">
        <v>61</v>
      </c>
      <c r="H30" s="9"/>
      <c r="I30" s="57" t="s">
        <v>58</v>
      </c>
      <c r="J30" s="57"/>
      <c r="K30" s="58"/>
      <c r="L30" s="44">
        <f>SUMIF($Z$4:$FB$4,"&lt;="&amp;$G$18,$Z30:$FB30)</f>
        <v>702300.2397762452</v>
      </c>
      <c r="M30" s="58"/>
      <c r="N30" s="44">
        <f t="shared" si="64"/>
        <v>0</v>
      </c>
      <c r="O30" s="44">
        <f t="shared" si="64"/>
        <v>64084.602692330867</v>
      </c>
      <c r="P30" s="44">
        <f t="shared" si="64"/>
        <v>65378.109106780583</v>
      </c>
      <c r="Q30" s="44">
        <f t="shared" si="64"/>
        <v>66697.724114775861</v>
      </c>
      <c r="R30" s="44">
        <f t="shared" si="64"/>
        <v>68043.974701455169</v>
      </c>
      <c r="S30" s="44">
        <f t="shared" si="64"/>
        <v>69417.398488812425</v>
      </c>
      <c r="T30" s="44">
        <f t="shared" si="64"/>
        <v>70818.543950395164</v>
      </c>
      <c r="U30" s="44">
        <f t="shared" si="64"/>
        <v>72247.970630336</v>
      </c>
      <c r="V30" s="44">
        <f t="shared" si="64"/>
        <v>73706.249366805379</v>
      </c>
      <c r="W30" s="44">
        <f t="shared" si="64"/>
        <v>75193.962519974448</v>
      </c>
      <c r="X30" s="44">
        <f t="shared" si="64"/>
        <v>76711.704204579146</v>
      </c>
      <c r="Y30" s="58"/>
      <c r="Z30" s="44">
        <v>0</v>
      </c>
      <c r="AA30" s="44">
        <f t="shared" ref="AA30:CL30" si="77">SUM(AA27:AA29)</f>
        <v>5291.6066700000001</v>
      </c>
      <c r="AB30" s="44">
        <f t="shared" si="77"/>
        <v>5300.4260144500004</v>
      </c>
      <c r="AC30" s="44">
        <f t="shared" si="77"/>
        <v>5309.2600578074171</v>
      </c>
      <c r="AD30" s="44">
        <f t="shared" si="77"/>
        <v>5318.1088245704304</v>
      </c>
      <c r="AE30" s="44">
        <f t="shared" si="77"/>
        <v>5326.9723392780479</v>
      </c>
      <c r="AF30" s="44">
        <f t="shared" si="77"/>
        <v>5335.8506265101787</v>
      </c>
      <c r="AG30" s="44">
        <f t="shared" si="77"/>
        <v>5344.7437108876948</v>
      </c>
      <c r="AH30" s="44">
        <f t="shared" si="77"/>
        <v>5353.6516170725081</v>
      </c>
      <c r="AI30" s="44">
        <f t="shared" si="77"/>
        <v>5362.5743697676289</v>
      </c>
      <c r="AJ30" s="44">
        <f t="shared" si="77"/>
        <v>5371.5119937172421</v>
      </c>
      <c r="AK30" s="44">
        <f t="shared" si="77"/>
        <v>5380.464513706771</v>
      </c>
      <c r="AL30" s="44">
        <f t="shared" si="77"/>
        <v>5389.4319545629496</v>
      </c>
      <c r="AM30" s="44">
        <f t="shared" si="77"/>
        <v>5398.414341153888</v>
      </c>
      <c r="AN30" s="44">
        <f t="shared" si="77"/>
        <v>5407.4116983891436</v>
      </c>
      <c r="AO30" s="44">
        <f t="shared" si="77"/>
        <v>5416.4240512197921</v>
      </c>
      <c r="AP30" s="44">
        <f t="shared" si="77"/>
        <v>5425.4514246384915</v>
      </c>
      <c r="AQ30" s="44">
        <f t="shared" si="77"/>
        <v>5434.4938436795564</v>
      </c>
      <c r="AR30" s="44">
        <f t="shared" si="77"/>
        <v>5443.5513334190218</v>
      </c>
      <c r="AS30" s="44">
        <f t="shared" si="77"/>
        <v>5452.6239189747203</v>
      </c>
      <c r="AT30" s="44">
        <f t="shared" si="77"/>
        <v>5461.7116255063447</v>
      </c>
      <c r="AU30" s="44">
        <f t="shared" si="77"/>
        <v>5470.8144782155214</v>
      </c>
      <c r="AV30" s="44">
        <f t="shared" si="77"/>
        <v>5479.9325023458805</v>
      </c>
      <c r="AW30" s="44">
        <f t="shared" si="77"/>
        <v>5489.0657231831246</v>
      </c>
      <c r="AX30" s="44">
        <f t="shared" si="77"/>
        <v>5498.2141660550969</v>
      </c>
      <c r="AY30" s="44">
        <f t="shared" si="77"/>
        <v>5507.3778563318547</v>
      </c>
      <c r="AZ30" s="44">
        <f t="shared" si="77"/>
        <v>5516.5568194257412</v>
      </c>
      <c r="BA30" s="44">
        <f t="shared" si="77"/>
        <v>5525.7510807914523</v>
      </c>
      <c r="BB30" s="44">
        <f t="shared" si="77"/>
        <v>5534.9606659261053</v>
      </c>
      <c r="BC30" s="44">
        <f t="shared" si="77"/>
        <v>5544.1856003693156</v>
      </c>
      <c r="BD30" s="44">
        <f t="shared" si="77"/>
        <v>5553.4259097032646</v>
      </c>
      <c r="BE30" s="44">
        <f t="shared" si="77"/>
        <v>5562.6816195527699</v>
      </c>
      <c r="BF30" s="44">
        <f t="shared" si="77"/>
        <v>5571.9527555853565</v>
      </c>
      <c r="BG30" s="44">
        <f t="shared" si="77"/>
        <v>5581.2393435113336</v>
      </c>
      <c r="BH30" s="44">
        <f t="shared" si="77"/>
        <v>5590.5414090838522</v>
      </c>
      <c r="BI30" s="44">
        <f t="shared" si="77"/>
        <v>5599.8589780989923</v>
      </c>
      <c r="BJ30" s="44">
        <f t="shared" si="77"/>
        <v>5609.1920763958242</v>
      </c>
      <c r="BK30" s="44">
        <f t="shared" si="77"/>
        <v>5618.5407298564842</v>
      </c>
      <c r="BL30" s="44">
        <f t="shared" si="77"/>
        <v>5627.9049644062452</v>
      </c>
      <c r="BM30" s="44">
        <f t="shared" si="77"/>
        <v>5637.2848060135893</v>
      </c>
      <c r="BN30" s="44">
        <f t="shared" si="77"/>
        <v>5646.6802806902779</v>
      </c>
      <c r="BO30" s="44">
        <f t="shared" si="77"/>
        <v>5656.0914144914295</v>
      </c>
      <c r="BP30" s="44">
        <f t="shared" si="77"/>
        <v>5665.5182335155814</v>
      </c>
      <c r="BQ30" s="44">
        <f t="shared" si="77"/>
        <v>5674.9607639047754</v>
      </c>
      <c r="BR30" s="44">
        <f t="shared" si="77"/>
        <v>5684.4190318446163</v>
      </c>
      <c r="BS30" s="44">
        <f t="shared" si="77"/>
        <v>5693.8930635643574</v>
      </c>
      <c r="BT30" s="44">
        <f t="shared" si="77"/>
        <v>5703.382885336965</v>
      </c>
      <c r="BU30" s="44">
        <f t="shared" si="77"/>
        <v>5712.8885234791933</v>
      </c>
      <c r="BV30" s="44">
        <f t="shared" si="77"/>
        <v>5722.4100043516592</v>
      </c>
      <c r="BW30" s="44">
        <f t="shared" si="77"/>
        <v>5731.947354358912</v>
      </c>
      <c r="BX30" s="44">
        <f t="shared" si="77"/>
        <v>5741.5005999495106</v>
      </c>
      <c r="BY30" s="44">
        <f t="shared" si="77"/>
        <v>5751.0697676160935</v>
      </c>
      <c r="BZ30" s="44">
        <f t="shared" si="77"/>
        <v>5760.6548838954523</v>
      </c>
      <c r="CA30" s="44">
        <f t="shared" si="77"/>
        <v>5770.2559753686119</v>
      </c>
      <c r="CB30" s="44">
        <f t="shared" si="77"/>
        <v>5779.8730686608933</v>
      </c>
      <c r="CC30" s="44">
        <f t="shared" si="77"/>
        <v>5789.5061904419945</v>
      </c>
      <c r="CD30" s="44">
        <f t="shared" si="77"/>
        <v>5799.1553674260649</v>
      </c>
      <c r="CE30" s="44">
        <f t="shared" si="77"/>
        <v>5808.8206263717748</v>
      </c>
      <c r="CF30" s="44">
        <f t="shared" si="77"/>
        <v>5818.501994082394</v>
      </c>
      <c r="CG30" s="44">
        <f t="shared" si="77"/>
        <v>5828.1994974058653</v>
      </c>
      <c r="CH30" s="44">
        <f t="shared" si="77"/>
        <v>5837.9131632348744</v>
      </c>
      <c r="CI30" s="44">
        <f t="shared" si="77"/>
        <v>5847.643018506933</v>
      </c>
      <c r="CJ30" s="44">
        <f t="shared" si="77"/>
        <v>5857.3890902044441</v>
      </c>
      <c r="CK30" s="44">
        <f t="shared" si="77"/>
        <v>5867.1514053547853</v>
      </c>
      <c r="CL30" s="44">
        <f t="shared" si="77"/>
        <v>5876.9299910303771</v>
      </c>
      <c r="CM30" s="44">
        <f t="shared" ref="CM30:EX30" si="78">SUM(CM27:CM29)</f>
        <v>5886.7248743487617</v>
      </c>
      <c r="CN30" s="44">
        <f t="shared" si="78"/>
        <v>5896.5360824726777</v>
      </c>
      <c r="CO30" s="44">
        <f t="shared" si="78"/>
        <v>5906.363642610133</v>
      </c>
      <c r="CP30" s="44">
        <f t="shared" si="78"/>
        <v>5916.2075820144837</v>
      </c>
      <c r="CQ30" s="44">
        <f t="shared" si="78"/>
        <v>5926.0679279845072</v>
      </c>
      <c r="CR30" s="44">
        <f t="shared" si="78"/>
        <v>5935.9447078644816</v>
      </c>
      <c r="CS30" s="44">
        <f t="shared" si="78"/>
        <v>5945.8379490442558</v>
      </c>
      <c r="CT30" s="44">
        <f t="shared" si="78"/>
        <v>5955.7476789593293</v>
      </c>
      <c r="CU30" s="44">
        <f t="shared" si="78"/>
        <v>5965.6739250909286</v>
      </c>
      <c r="CV30" s="44">
        <f t="shared" si="78"/>
        <v>5975.6167149660796</v>
      </c>
      <c r="CW30" s="44">
        <f t="shared" si="78"/>
        <v>5985.5760761576903</v>
      </c>
      <c r="CX30" s="44">
        <f t="shared" si="78"/>
        <v>5995.55203628462</v>
      </c>
      <c r="CY30" s="44">
        <f t="shared" si="78"/>
        <v>6005.5446230117614</v>
      </c>
      <c r="CZ30" s="44">
        <f t="shared" si="78"/>
        <v>6015.5538640501136</v>
      </c>
      <c r="DA30" s="44">
        <f t="shared" si="78"/>
        <v>6025.5797871568648</v>
      </c>
      <c r="DB30" s="44">
        <f t="shared" si="78"/>
        <v>6035.6224201354598</v>
      </c>
      <c r="DC30" s="44">
        <f t="shared" si="78"/>
        <v>6045.6817908356852</v>
      </c>
      <c r="DD30" s="44">
        <f t="shared" si="78"/>
        <v>6055.7579271537434</v>
      </c>
      <c r="DE30" s="44">
        <f t="shared" si="78"/>
        <v>6065.8508570323338</v>
      </c>
      <c r="DF30" s="44">
        <f t="shared" si="78"/>
        <v>6075.9606084607212</v>
      </c>
      <c r="DG30" s="44">
        <f t="shared" si="78"/>
        <v>6086.0872094748229</v>
      </c>
      <c r="DH30" s="44">
        <f t="shared" si="78"/>
        <v>6096.2306881572813</v>
      </c>
      <c r="DI30" s="44">
        <f t="shared" si="78"/>
        <v>6106.3910726375434</v>
      </c>
      <c r="DJ30" s="44">
        <f t="shared" si="78"/>
        <v>6116.5683910919397</v>
      </c>
      <c r="DK30" s="44">
        <f t="shared" si="78"/>
        <v>6126.7626717437597</v>
      </c>
      <c r="DL30" s="44">
        <f t="shared" si="78"/>
        <v>6136.9739428633329</v>
      </c>
      <c r="DM30" s="44">
        <f t="shared" si="78"/>
        <v>6147.2022327681043</v>
      </c>
      <c r="DN30" s="44">
        <f t="shared" si="78"/>
        <v>6157.4475698227179</v>
      </c>
      <c r="DO30" s="44">
        <f t="shared" si="78"/>
        <v>6167.7099824390898</v>
      </c>
      <c r="DP30" s="44">
        <f t="shared" si="78"/>
        <v>6177.9894990764878</v>
      </c>
      <c r="DQ30" s="44">
        <f t="shared" si="78"/>
        <v>6188.2861482416156</v>
      </c>
      <c r="DR30" s="44">
        <f t="shared" si="78"/>
        <v>6198.5999584886849</v>
      </c>
      <c r="DS30" s="44">
        <f t="shared" si="78"/>
        <v>6208.9309584194998</v>
      </c>
      <c r="DT30" s="44">
        <f t="shared" si="78"/>
        <v>6219.2791766835344</v>
      </c>
      <c r="DU30" s="44">
        <f t="shared" si="78"/>
        <v>6229.6446419780077</v>
      </c>
      <c r="DV30" s="44">
        <f t="shared" si="78"/>
        <v>6240.0273830479709</v>
      </c>
      <c r="DW30" s="44">
        <f t="shared" si="78"/>
        <v>6250.4274286863847</v>
      </c>
      <c r="DX30" s="44">
        <f t="shared" si="78"/>
        <v>6260.8448077341964</v>
      </c>
      <c r="DY30" s="44">
        <f t="shared" si="78"/>
        <v>6271.2795490804192</v>
      </c>
      <c r="DZ30" s="44">
        <f t="shared" si="78"/>
        <v>6281.7316816622206</v>
      </c>
      <c r="EA30" s="44">
        <f t="shared" si="78"/>
        <v>6292.2012344649911</v>
      </c>
      <c r="EB30" s="44">
        <f t="shared" si="78"/>
        <v>6302.6882365224319</v>
      </c>
      <c r="EC30" s="44">
        <f t="shared" si="78"/>
        <v>6313.1927169166365</v>
      </c>
      <c r="ED30" s="44">
        <f t="shared" si="78"/>
        <v>6323.7147047781655</v>
      </c>
      <c r="EE30" s="44">
        <f t="shared" si="78"/>
        <v>6334.254229286129</v>
      </c>
      <c r="EF30" s="44">
        <f t="shared" si="78"/>
        <v>6344.8113196682725</v>
      </c>
      <c r="EG30" s="44">
        <f t="shared" si="78"/>
        <v>6355.3860052010532</v>
      </c>
      <c r="EH30" s="44">
        <f t="shared" si="78"/>
        <v>6365.9783152097225</v>
      </c>
      <c r="EI30" s="44">
        <f t="shared" si="78"/>
        <v>6376.5882790684063</v>
      </c>
      <c r="EJ30" s="44">
        <f t="shared" si="78"/>
        <v>6387.215926200186</v>
      </c>
      <c r="EK30" s="44">
        <f t="shared" si="78"/>
        <v>6397.8612860771873</v>
      </c>
      <c r="EL30" s="44">
        <f t="shared" si="78"/>
        <v>6408.5243882206496</v>
      </c>
      <c r="EM30" s="44">
        <f t="shared" si="78"/>
        <v>6419.2052622010169</v>
      </c>
      <c r="EN30" s="44">
        <f t="shared" si="78"/>
        <v>6429.9039376380188</v>
      </c>
      <c r="EO30" s="44">
        <f t="shared" si="78"/>
        <v>6440.6204442007493</v>
      </c>
      <c r="EP30" s="44">
        <f t="shared" si="78"/>
        <v>6451.3548116077509</v>
      </c>
      <c r="EQ30" s="44">
        <f t="shared" si="78"/>
        <v>6462.1070696270972</v>
      </c>
      <c r="ER30" s="44">
        <f t="shared" si="78"/>
        <v>6472.8772480764756</v>
      </c>
      <c r="ES30" s="44">
        <f t="shared" si="78"/>
        <v>6483.6653768232718</v>
      </c>
      <c r="ET30" s="44">
        <f t="shared" si="78"/>
        <v>6494.4714857846429</v>
      </c>
      <c r="EU30" s="44">
        <f t="shared" si="78"/>
        <v>6505.2956049276181</v>
      </c>
      <c r="EV30" s="44">
        <f t="shared" si="78"/>
        <v>6516.1377642691659</v>
      </c>
      <c r="EW30" s="44">
        <f t="shared" si="78"/>
        <v>6526.9979938762799</v>
      </c>
      <c r="EX30" s="44">
        <f t="shared" si="78"/>
        <v>6537.876323866074</v>
      </c>
      <c r="EY30" s="44">
        <f t="shared" ref="EY30:FB30" si="79">SUM(EY27:EY29)</f>
        <v>6548.7727844058518</v>
      </c>
      <c r="EZ30" s="44">
        <f t="shared" si="79"/>
        <v>6559.6874057131954</v>
      </c>
      <c r="FA30" s="44">
        <f t="shared" si="79"/>
        <v>6570.6202180560504</v>
      </c>
      <c r="FB30" s="44">
        <f t="shared" si="79"/>
        <v>6581.57125175281</v>
      </c>
    </row>
    <row r="31" spans="2:158">
      <c r="B31" s="9" t="s">
        <v>52</v>
      </c>
      <c r="C31" s="154">
        <f>D31/$D$34</f>
        <v>5.332775473229534E-2</v>
      </c>
      <c r="D31" s="104">
        <f>(D41-D46)*G7</f>
        <v>388902.38850000047</v>
      </c>
      <c r="E31" s="173">
        <f ca="1">F31/$F$34</f>
        <v>4.0371748664394601E-2</v>
      </c>
      <c r="F31" s="104">
        <f ca="1">(F34-F33)*G7</f>
        <v>319934.73284344253</v>
      </c>
      <c r="G31" s="176">
        <f ca="1">(G34-G33)*G7</f>
        <v>633389.16707527591</v>
      </c>
      <c r="H31" s="9"/>
    </row>
    <row r="32" spans="2:158">
      <c r="B32" s="9" t="s">
        <v>55</v>
      </c>
      <c r="C32" s="155">
        <f>D32/$D$34</f>
        <v>0.30219061014967352</v>
      </c>
      <c r="D32" s="48">
        <f>(D41-D46)*F7</f>
        <v>2203780.2015000023</v>
      </c>
      <c r="E32" s="174">
        <f ca="1">F32/$F$34</f>
        <v>0.22877324243156935</v>
      </c>
      <c r="F32" s="48">
        <f ca="1">(F34-F33)*F7</f>
        <v>1812963.4861128407</v>
      </c>
      <c r="G32" s="177">
        <f ca="1">(G34-G33)*F7</f>
        <v>3589205.2800932298</v>
      </c>
      <c r="H32" s="9"/>
      <c r="I32" s="9" t="s">
        <v>59</v>
      </c>
      <c r="L32" s="24">
        <f>SUMIF($Z$4:$FB$4,"&lt;="&amp;$G$18,$Z32:$FB32)</f>
        <v>-606396.12008682708</v>
      </c>
      <c r="M32" s="69"/>
      <c r="N32" s="68">
        <f>SUMIF($Z$3:$FB$3,N$7,$Z32:$FB32)</f>
        <v>0</v>
      </c>
      <c r="O32" s="68">
        <f t="shared" ref="O32:X36" si="80">SUMIF($Z$3:$FB$3,O$7,$Z32:$FB32)</f>
        <v>-67675.783571799097</v>
      </c>
      <c r="P32" s="68">
        <f t="shared" si="80"/>
        <v>-59934.447500510396</v>
      </c>
      <c r="Q32" s="68">
        <f t="shared" si="80"/>
        <v>-55746.922252643897</v>
      </c>
      <c r="R32" s="68">
        <f t="shared" si="80"/>
        <v>-56872.13795954029</v>
      </c>
      <c r="S32" s="68">
        <f t="shared" si="80"/>
        <v>-58020.065420483086</v>
      </c>
      <c r="T32" s="68">
        <f t="shared" si="80"/>
        <v>-59191.163057594124</v>
      </c>
      <c r="U32" s="68">
        <f t="shared" si="80"/>
        <v>-60385.898545950353</v>
      </c>
      <c r="V32" s="68">
        <f t="shared" si="80"/>
        <v>-61604.749000348893</v>
      </c>
      <c r="W32" s="68">
        <f t="shared" si="80"/>
        <v>-62848.201165841594</v>
      </c>
      <c r="X32" s="68">
        <f t="shared" si="80"/>
        <v>-64116.751612115528</v>
      </c>
      <c r="Y32" s="69"/>
      <c r="Z32" s="187">
        <v>0</v>
      </c>
      <c r="AA32" s="187">
        <f t="shared" ref="AA32:BF32" si="81">-IFERROR(INDEX($C73:$G73,MATCH(YEAR(AA$6),$C$71:$G$71,0)),$G$73)*(SUM(AA$24,AA$30))</f>
        <v>-5897.068494000001</v>
      </c>
      <c r="AB32" s="187">
        <f t="shared" si="81"/>
        <v>-5906.8969414900012</v>
      </c>
      <c r="AC32" s="187">
        <f t="shared" si="81"/>
        <v>-5916.7417697258179</v>
      </c>
      <c r="AD32" s="187">
        <f t="shared" si="81"/>
        <v>-5926.603006008695</v>
      </c>
      <c r="AE32" s="187">
        <f t="shared" si="81"/>
        <v>-5936.4806776853757</v>
      </c>
      <c r="AF32" s="187">
        <f t="shared" si="81"/>
        <v>-5946.3748121481858</v>
      </c>
      <c r="AG32" s="187">
        <f t="shared" si="81"/>
        <v>-5956.2854368350991</v>
      </c>
      <c r="AH32" s="187">
        <f t="shared" si="81"/>
        <v>-5220.4360068260958</v>
      </c>
      <c r="AI32" s="187">
        <f t="shared" si="81"/>
        <v>-5229.1367335041386</v>
      </c>
      <c r="AJ32" s="187">
        <f t="shared" si="81"/>
        <v>-5237.8519613933149</v>
      </c>
      <c r="AK32" s="187">
        <f t="shared" si="81"/>
        <v>-5246.5817146623031</v>
      </c>
      <c r="AL32" s="187">
        <f t="shared" si="81"/>
        <v>-5255.3260175200749</v>
      </c>
      <c r="AM32" s="187">
        <f t="shared" si="81"/>
        <v>-5264.0848942159409</v>
      </c>
      <c r="AN32" s="187">
        <f t="shared" si="81"/>
        <v>-5272.8583690396335</v>
      </c>
      <c r="AO32" s="187">
        <f t="shared" si="81"/>
        <v>-5281.6464663213665</v>
      </c>
      <c r="AP32" s="187">
        <f t="shared" si="81"/>
        <v>-5290.4492104319024</v>
      </c>
      <c r="AQ32" s="187">
        <f t="shared" si="81"/>
        <v>-5299.266625782624</v>
      </c>
      <c r="AR32" s="187">
        <f t="shared" si="81"/>
        <v>-5308.0987368255946</v>
      </c>
      <c r="AS32" s="187">
        <f t="shared" si="81"/>
        <v>-5316.9455680536375</v>
      </c>
      <c r="AT32" s="187">
        <f t="shared" si="81"/>
        <v>-4564.9775520003377</v>
      </c>
      <c r="AU32" s="187">
        <f t="shared" si="81"/>
        <v>-4572.5858479203389</v>
      </c>
      <c r="AV32" s="187">
        <f t="shared" si="81"/>
        <v>-4580.2068243335398</v>
      </c>
      <c r="AW32" s="187">
        <f t="shared" si="81"/>
        <v>-4587.8405023740961</v>
      </c>
      <c r="AX32" s="187">
        <f t="shared" si="81"/>
        <v>-4595.4869032113866</v>
      </c>
      <c r="AY32" s="187">
        <f t="shared" si="81"/>
        <v>-4603.1460480500709</v>
      </c>
      <c r="AZ32" s="187">
        <f t="shared" si="81"/>
        <v>-4610.8179581301556</v>
      </c>
      <c r="BA32" s="187">
        <f t="shared" si="81"/>
        <v>-4618.50265472704</v>
      </c>
      <c r="BB32" s="187">
        <f t="shared" si="81"/>
        <v>-4626.2001591515855</v>
      </c>
      <c r="BC32" s="187">
        <f t="shared" si="81"/>
        <v>-4633.9104927501712</v>
      </c>
      <c r="BD32" s="187">
        <f t="shared" si="81"/>
        <v>-4641.6336769047557</v>
      </c>
      <c r="BE32" s="187">
        <f t="shared" si="81"/>
        <v>-4649.3697330329296</v>
      </c>
      <c r="BF32" s="187">
        <f t="shared" si="81"/>
        <v>-4657.1186825879849</v>
      </c>
      <c r="BG32" s="187">
        <f t="shared" ref="BG32:CL32" si="82">-IFERROR(INDEX($C73:$G73,MATCH(YEAR(BG$6),$C$71:$G$71,0)),$G$73)*(SUM(BG$24,BG$30))</f>
        <v>-4664.8805470589659</v>
      </c>
      <c r="BH32" s="187">
        <f t="shared" si="82"/>
        <v>-4672.6553479707309</v>
      </c>
      <c r="BI32" s="187">
        <f t="shared" si="82"/>
        <v>-4680.4431068840158</v>
      </c>
      <c r="BJ32" s="187">
        <f t="shared" si="82"/>
        <v>-4688.2438453954883</v>
      </c>
      <c r="BK32" s="187">
        <f t="shared" si="82"/>
        <v>-4696.0575851378153</v>
      </c>
      <c r="BL32" s="187">
        <f t="shared" si="82"/>
        <v>-4703.8843477797109</v>
      </c>
      <c r="BM32" s="187">
        <f t="shared" si="82"/>
        <v>-4711.7241550260114</v>
      </c>
      <c r="BN32" s="187">
        <f t="shared" si="82"/>
        <v>-4719.5770286177203</v>
      </c>
      <c r="BO32" s="187">
        <f t="shared" si="82"/>
        <v>-4727.4429903320852</v>
      </c>
      <c r="BP32" s="187">
        <f t="shared" si="82"/>
        <v>-4735.3220619826379</v>
      </c>
      <c r="BQ32" s="187">
        <f t="shared" si="82"/>
        <v>-4743.2142654192767</v>
      </c>
      <c r="BR32" s="187">
        <f t="shared" si="82"/>
        <v>-4751.1196225283084</v>
      </c>
      <c r="BS32" s="187">
        <f t="shared" si="82"/>
        <v>-4759.0381552325225</v>
      </c>
      <c r="BT32" s="187">
        <f t="shared" si="82"/>
        <v>-4766.9698854912431</v>
      </c>
      <c r="BU32" s="187">
        <f t="shared" si="82"/>
        <v>-4774.9148353003966</v>
      </c>
      <c r="BV32" s="187">
        <f t="shared" si="82"/>
        <v>-4782.8730266925622</v>
      </c>
      <c r="BW32" s="187">
        <f t="shared" si="82"/>
        <v>-4790.844481737051</v>
      </c>
      <c r="BX32" s="187">
        <f t="shared" si="82"/>
        <v>-4798.8292225399464</v>
      </c>
      <c r="BY32" s="187">
        <f t="shared" si="82"/>
        <v>-4806.8272712441803</v>
      </c>
      <c r="BZ32" s="187">
        <f t="shared" si="82"/>
        <v>-4814.8386500295874</v>
      </c>
      <c r="CA32" s="187">
        <f t="shared" si="82"/>
        <v>-4822.8633811129694</v>
      </c>
      <c r="CB32" s="187">
        <f t="shared" si="82"/>
        <v>-4830.9014867481583</v>
      </c>
      <c r="CC32" s="187">
        <f t="shared" si="82"/>
        <v>-4838.9529892260725</v>
      </c>
      <c r="CD32" s="187">
        <f t="shared" si="82"/>
        <v>-4847.0179108747825</v>
      </c>
      <c r="CE32" s="187">
        <f t="shared" si="82"/>
        <v>-4855.0962740595742</v>
      </c>
      <c r="CF32" s="187">
        <f t="shared" si="82"/>
        <v>-4863.1881011830073</v>
      </c>
      <c r="CG32" s="187">
        <f t="shared" si="82"/>
        <v>-4871.2934146849775</v>
      </c>
      <c r="CH32" s="187">
        <f t="shared" si="82"/>
        <v>-4879.4122370427858</v>
      </c>
      <c r="CI32" s="187">
        <f t="shared" si="82"/>
        <v>-4887.544590771191</v>
      </c>
      <c r="CJ32" s="187">
        <f t="shared" si="82"/>
        <v>-4895.6904984224775</v>
      </c>
      <c r="CK32" s="187">
        <f t="shared" si="82"/>
        <v>-4903.8499825865138</v>
      </c>
      <c r="CL32" s="187">
        <f t="shared" si="82"/>
        <v>-4912.0230658908258</v>
      </c>
      <c r="CM32" s="187">
        <f t="shared" ref="CM32:DR32" si="83">-IFERROR(INDEX($C73:$G73,MATCH(YEAR(CM$6),$C$71:$G$71,0)),$G$73)*(SUM(CM$24,CM$30))</f>
        <v>-4920.2097710006437</v>
      </c>
      <c r="CN32" s="187">
        <f t="shared" si="83"/>
        <v>-4928.410120618978</v>
      </c>
      <c r="CO32" s="187">
        <f t="shared" si="83"/>
        <v>-4936.6241374866768</v>
      </c>
      <c r="CP32" s="187">
        <f t="shared" si="83"/>
        <v>-4944.8518443824878</v>
      </c>
      <c r="CQ32" s="187">
        <f t="shared" si="83"/>
        <v>-4953.0932641231257</v>
      </c>
      <c r="CR32" s="187">
        <f t="shared" si="83"/>
        <v>-4961.3484195633309</v>
      </c>
      <c r="CS32" s="187">
        <f t="shared" si="83"/>
        <v>-4969.6173335959365</v>
      </c>
      <c r="CT32" s="187">
        <f t="shared" si="83"/>
        <v>-4977.9000291519296</v>
      </c>
      <c r="CU32" s="187">
        <f t="shared" si="83"/>
        <v>-4986.1965292005161</v>
      </c>
      <c r="CV32" s="187">
        <f t="shared" si="83"/>
        <v>-4994.5068567491835</v>
      </c>
      <c r="CW32" s="187">
        <f t="shared" si="83"/>
        <v>-5002.8310348437662</v>
      </c>
      <c r="CX32" s="187">
        <f t="shared" si="83"/>
        <v>-5011.1690865685059</v>
      </c>
      <c r="CY32" s="187">
        <f t="shared" si="83"/>
        <v>-5019.5210350461211</v>
      </c>
      <c r="CZ32" s="187">
        <f t="shared" si="83"/>
        <v>-5027.886903437864</v>
      </c>
      <c r="DA32" s="187">
        <f t="shared" si="83"/>
        <v>-5036.2667149435938</v>
      </c>
      <c r="DB32" s="187">
        <f t="shared" si="83"/>
        <v>-5044.6604928018332</v>
      </c>
      <c r="DC32" s="187">
        <f t="shared" si="83"/>
        <v>-5053.0682602898369</v>
      </c>
      <c r="DD32" s="187">
        <f t="shared" si="83"/>
        <v>-5061.4900407236519</v>
      </c>
      <c r="DE32" s="187">
        <f t="shared" si="83"/>
        <v>-5069.9258574581927</v>
      </c>
      <c r="DF32" s="187">
        <f t="shared" si="83"/>
        <v>-5078.3757338872892</v>
      </c>
      <c r="DG32" s="187">
        <f t="shared" si="83"/>
        <v>-5086.8396934437687</v>
      </c>
      <c r="DH32" s="187">
        <f t="shared" si="83"/>
        <v>-5095.3177595995094</v>
      </c>
      <c r="DI32" s="187">
        <f t="shared" si="83"/>
        <v>-5103.8099558655076</v>
      </c>
      <c r="DJ32" s="187">
        <f t="shared" si="83"/>
        <v>-5112.316305791951</v>
      </c>
      <c r="DK32" s="187">
        <f t="shared" si="83"/>
        <v>-5120.8368329682708</v>
      </c>
      <c r="DL32" s="187">
        <f t="shared" si="83"/>
        <v>-5129.3715610232166</v>
      </c>
      <c r="DM32" s="187">
        <f t="shared" si="83"/>
        <v>-5137.9205136249229</v>
      </c>
      <c r="DN32" s="187">
        <f t="shared" si="83"/>
        <v>-5146.4837144809653</v>
      </c>
      <c r="DO32" s="187">
        <f t="shared" si="83"/>
        <v>-5155.0611873384332</v>
      </c>
      <c r="DP32" s="187">
        <f t="shared" si="83"/>
        <v>-5163.6529559839983</v>
      </c>
      <c r="DQ32" s="187">
        <f t="shared" si="83"/>
        <v>-5172.2590442439714</v>
      </c>
      <c r="DR32" s="187">
        <f t="shared" si="83"/>
        <v>-5180.8794759843795</v>
      </c>
      <c r="DS32" s="187">
        <f t="shared" ref="DS32:FB32" si="84">-IFERROR(INDEX($C73:$G73,MATCH(YEAR(DS$6),$C$71:$G$71,0)),$G$73)*(SUM(DS$24,DS$30))</f>
        <v>-5189.5142751110197</v>
      </c>
      <c r="DT32" s="187">
        <f t="shared" si="84"/>
        <v>-5198.1634655695379</v>
      </c>
      <c r="DU32" s="187">
        <f t="shared" si="84"/>
        <v>-5206.8270713454885</v>
      </c>
      <c r="DV32" s="187">
        <f t="shared" si="84"/>
        <v>-5215.5051164643974</v>
      </c>
      <c r="DW32" s="187">
        <f t="shared" si="84"/>
        <v>-5224.197624991838</v>
      </c>
      <c r="DX32" s="187">
        <f t="shared" si="84"/>
        <v>-5232.9046210334918</v>
      </c>
      <c r="DY32" s="187">
        <f t="shared" si="84"/>
        <v>-5241.6261287352145</v>
      </c>
      <c r="DZ32" s="187">
        <f t="shared" si="84"/>
        <v>-5250.3621722831076</v>
      </c>
      <c r="EA32" s="187">
        <f t="shared" si="84"/>
        <v>-5259.1127759035789</v>
      </c>
      <c r="EB32" s="187">
        <f t="shared" si="84"/>
        <v>-5267.8779638634187</v>
      </c>
      <c r="EC32" s="187">
        <f t="shared" si="84"/>
        <v>-5276.6577604698577</v>
      </c>
      <c r="ED32" s="187">
        <f t="shared" si="84"/>
        <v>-5285.4521900706413</v>
      </c>
      <c r="EE32" s="187">
        <f t="shared" si="84"/>
        <v>-5294.2612770540927</v>
      </c>
      <c r="EF32" s="187">
        <f t="shared" si="84"/>
        <v>-5303.0850458491832</v>
      </c>
      <c r="EG32" s="187">
        <f t="shared" si="84"/>
        <v>-5311.9235209255985</v>
      </c>
      <c r="EH32" s="187">
        <f t="shared" si="84"/>
        <v>-5320.7767267938079</v>
      </c>
      <c r="EI32" s="187">
        <f t="shared" si="84"/>
        <v>-5329.6446880051326</v>
      </c>
      <c r="EJ32" s="187">
        <f t="shared" si="84"/>
        <v>-5338.5274291518072</v>
      </c>
      <c r="EK32" s="187">
        <f t="shared" si="84"/>
        <v>-5347.4249748670609</v>
      </c>
      <c r="EL32" s="187">
        <f t="shared" si="84"/>
        <v>-5356.337349825174</v>
      </c>
      <c r="EM32" s="187">
        <f t="shared" si="84"/>
        <v>-5365.2645787415486</v>
      </c>
      <c r="EN32" s="187">
        <f t="shared" si="84"/>
        <v>-5374.206686372785</v>
      </c>
      <c r="EO32" s="187">
        <f t="shared" si="84"/>
        <v>-5383.1636975167394</v>
      </c>
      <c r="EP32" s="187">
        <f t="shared" si="84"/>
        <v>-5392.1356370126014</v>
      </c>
      <c r="EQ32" s="187">
        <f t="shared" si="84"/>
        <v>-5401.1225297409555</v>
      </c>
      <c r="ER32" s="187">
        <f t="shared" si="84"/>
        <v>-5410.1244006238576</v>
      </c>
      <c r="ES32" s="187">
        <f t="shared" si="84"/>
        <v>-5419.1412746248989</v>
      </c>
      <c r="ET32" s="187">
        <f t="shared" si="84"/>
        <v>-5428.1731767492729</v>
      </c>
      <c r="EU32" s="187">
        <f t="shared" si="84"/>
        <v>-5437.2201320438544</v>
      </c>
      <c r="EV32" s="187">
        <f t="shared" si="84"/>
        <v>-5446.2821655972612</v>
      </c>
      <c r="EW32" s="187">
        <f t="shared" si="84"/>
        <v>-5455.3593025399241</v>
      </c>
      <c r="EX32" s="187">
        <f t="shared" si="84"/>
        <v>-5464.4515680441573</v>
      </c>
      <c r="EY32" s="187">
        <f t="shared" si="84"/>
        <v>-5473.5589873242307</v>
      </c>
      <c r="EZ32" s="187">
        <f t="shared" si="84"/>
        <v>-5482.6815856364383</v>
      </c>
      <c r="FA32" s="187">
        <f t="shared" si="84"/>
        <v>-5491.8193882791657</v>
      </c>
      <c r="FB32" s="187">
        <f t="shared" si="84"/>
        <v>-5500.9724205929642</v>
      </c>
    </row>
    <row r="33" spans="2:158">
      <c r="B33" s="9" t="s">
        <v>56</v>
      </c>
      <c r="C33" s="154">
        <f>D33/$D$34</f>
        <v>0.64448163511803114</v>
      </c>
      <c r="D33" s="46">
        <f>D46</f>
        <v>4700000</v>
      </c>
      <c r="E33" s="173">
        <f ca="1">F33/$F$34</f>
        <v>0.73085500890403599</v>
      </c>
      <c r="F33" s="46">
        <f ca="1">G46</f>
        <v>5791820.0166351637</v>
      </c>
      <c r="G33" s="178">
        <f ca="1">INDEX($Z$152:$FB$152,MATCH(G18,$Z$4:$FB$4,0))</f>
        <v>5321182.0134221176</v>
      </c>
      <c r="I33" s="9" t="s">
        <v>60</v>
      </c>
      <c r="J33" s="71">
        <f>C74</f>
        <v>0.01</v>
      </c>
      <c r="K33" s="196"/>
      <c r="L33" s="24">
        <f>SUMIF($Z$4:$FB$4,"&lt;="&amp;$G$18,$Z33:$FB33)</f>
        <v>-97832.115924092897</v>
      </c>
      <c r="M33" s="62"/>
      <c r="N33" s="61">
        <f>SUMIF($Z$3:$FB$3,N$7,$Z33:$FB33)</f>
        <v>0</v>
      </c>
      <c r="O33" s="61">
        <f t="shared" si="80"/>
        <v>-8927.1395970803496</v>
      </c>
      <c r="P33" s="61">
        <f t="shared" si="80"/>
        <v>-9107.3281579262402</v>
      </c>
      <c r="Q33" s="61">
        <f t="shared" si="80"/>
        <v>-9291.1537087739835</v>
      </c>
      <c r="R33" s="61">
        <f t="shared" si="80"/>
        <v>-9478.6896599233824</v>
      </c>
      <c r="S33" s="61">
        <f t="shared" si="80"/>
        <v>-9670.0109034138513</v>
      </c>
      <c r="T33" s="61">
        <f t="shared" si="80"/>
        <v>-9865.1938429323545</v>
      </c>
      <c r="U33" s="61">
        <f t="shared" si="80"/>
        <v>-10064.316424325059</v>
      </c>
      <c r="V33" s="61">
        <f t="shared" si="80"/>
        <v>-10267.458166724817</v>
      </c>
      <c r="W33" s="61">
        <f t="shared" si="80"/>
        <v>-10474.700194306932</v>
      </c>
      <c r="X33" s="61">
        <f t="shared" si="80"/>
        <v>-10686.125268685922</v>
      </c>
      <c r="Y33" s="62"/>
      <c r="Z33" s="24">
        <v>0</v>
      </c>
      <c r="AA33" s="187">
        <f t="shared" ref="AA33:BF33" si="85">-IFERROR(INDEX($C74:$G74,MATCH(YEAR(AA$6),$C$71:$G$71,0)),$G$74)*(SUM(AA$24,AA$30))</f>
        <v>-737.13356175000013</v>
      </c>
      <c r="AB33" s="187">
        <f t="shared" si="85"/>
        <v>-738.36211768625014</v>
      </c>
      <c r="AC33" s="187">
        <f t="shared" si="85"/>
        <v>-739.59272121572724</v>
      </c>
      <c r="AD33" s="187">
        <f t="shared" si="85"/>
        <v>-740.82537575108688</v>
      </c>
      <c r="AE33" s="187">
        <f t="shared" si="85"/>
        <v>-742.06008471067196</v>
      </c>
      <c r="AF33" s="187">
        <f t="shared" si="85"/>
        <v>-743.29685151852323</v>
      </c>
      <c r="AG33" s="187">
        <f t="shared" si="85"/>
        <v>-744.53567960438738</v>
      </c>
      <c r="AH33" s="187">
        <f t="shared" si="85"/>
        <v>-745.77657240372798</v>
      </c>
      <c r="AI33" s="187">
        <f t="shared" si="85"/>
        <v>-747.01953335773408</v>
      </c>
      <c r="AJ33" s="187">
        <f t="shared" si="85"/>
        <v>-748.26456591333056</v>
      </c>
      <c r="AK33" s="187">
        <f t="shared" si="85"/>
        <v>-749.511673523186</v>
      </c>
      <c r="AL33" s="187">
        <f t="shared" si="85"/>
        <v>-750.76085964572485</v>
      </c>
      <c r="AM33" s="187">
        <f t="shared" si="85"/>
        <v>-752.01212774513431</v>
      </c>
      <c r="AN33" s="187">
        <f t="shared" si="85"/>
        <v>-753.2654812913762</v>
      </c>
      <c r="AO33" s="187">
        <f t="shared" si="85"/>
        <v>-754.52092376019516</v>
      </c>
      <c r="AP33" s="187">
        <f t="shared" si="85"/>
        <v>-755.77845863312893</v>
      </c>
      <c r="AQ33" s="187">
        <f t="shared" si="85"/>
        <v>-757.03808939751764</v>
      </c>
      <c r="AR33" s="187">
        <f t="shared" si="85"/>
        <v>-758.2998195465135</v>
      </c>
      <c r="AS33" s="187">
        <f t="shared" si="85"/>
        <v>-759.56365257909101</v>
      </c>
      <c r="AT33" s="187">
        <f t="shared" si="85"/>
        <v>-760.82959200005632</v>
      </c>
      <c r="AU33" s="187">
        <f t="shared" si="85"/>
        <v>-762.0976413200566</v>
      </c>
      <c r="AV33" s="187">
        <f t="shared" si="85"/>
        <v>-763.36780405559</v>
      </c>
      <c r="AW33" s="187">
        <f t="shared" si="85"/>
        <v>-764.64008372901606</v>
      </c>
      <c r="AX33" s="187">
        <f t="shared" si="85"/>
        <v>-765.91448386856439</v>
      </c>
      <c r="AY33" s="187">
        <f t="shared" si="85"/>
        <v>-767.19100800834531</v>
      </c>
      <c r="AZ33" s="187">
        <f t="shared" si="85"/>
        <v>-768.46965968835923</v>
      </c>
      <c r="BA33" s="187">
        <f t="shared" si="85"/>
        <v>-769.7504424545067</v>
      </c>
      <c r="BB33" s="187">
        <f t="shared" si="85"/>
        <v>-771.03335985859758</v>
      </c>
      <c r="BC33" s="187">
        <f t="shared" si="85"/>
        <v>-772.31841545836187</v>
      </c>
      <c r="BD33" s="187">
        <f t="shared" si="85"/>
        <v>-773.60561281745936</v>
      </c>
      <c r="BE33" s="187">
        <f t="shared" si="85"/>
        <v>-774.89495550548838</v>
      </c>
      <c r="BF33" s="187">
        <f t="shared" si="85"/>
        <v>-776.18644709799764</v>
      </c>
      <c r="BG33" s="187">
        <f t="shared" ref="BG33:CL33" si="86">-IFERROR(INDEX($C74:$G74,MATCH(YEAR(BG$6),$C$71:$G$71,0)),$G$74)*(SUM(BG$24,BG$30))</f>
        <v>-777.48009117649428</v>
      </c>
      <c r="BH33" s="187">
        <f t="shared" si="86"/>
        <v>-778.77589132845515</v>
      </c>
      <c r="BI33" s="187">
        <f t="shared" si="86"/>
        <v>-780.07385114733597</v>
      </c>
      <c r="BJ33" s="187">
        <f t="shared" si="86"/>
        <v>-781.37397423258142</v>
      </c>
      <c r="BK33" s="187">
        <f t="shared" si="86"/>
        <v>-782.67626418963584</v>
      </c>
      <c r="BL33" s="187">
        <f t="shared" si="86"/>
        <v>-783.98072462995185</v>
      </c>
      <c r="BM33" s="187">
        <f t="shared" si="86"/>
        <v>-785.28735917100187</v>
      </c>
      <c r="BN33" s="187">
        <f t="shared" si="86"/>
        <v>-786.5961714362868</v>
      </c>
      <c r="BO33" s="187">
        <f t="shared" si="86"/>
        <v>-787.9071650553476</v>
      </c>
      <c r="BP33" s="187">
        <f t="shared" si="86"/>
        <v>-789.22034366377306</v>
      </c>
      <c r="BQ33" s="187">
        <f t="shared" si="86"/>
        <v>-790.53571090321282</v>
      </c>
      <c r="BR33" s="187">
        <f t="shared" si="86"/>
        <v>-791.85327042138488</v>
      </c>
      <c r="BS33" s="187">
        <f t="shared" si="86"/>
        <v>-793.17302587208724</v>
      </c>
      <c r="BT33" s="187">
        <f t="shared" si="86"/>
        <v>-794.49498091520729</v>
      </c>
      <c r="BU33" s="187">
        <f t="shared" si="86"/>
        <v>-795.81913921673276</v>
      </c>
      <c r="BV33" s="187">
        <f t="shared" si="86"/>
        <v>-797.14550444876045</v>
      </c>
      <c r="BW33" s="187">
        <f t="shared" si="86"/>
        <v>-798.47408028950861</v>
      </c>
      <c r="BX33" s="187">
        <f t="shared" si="86"/>
        <v>-799.80487042332447</v>
      </c>
      <c r="BY33" s="187">
        <f t="shared" si="86"/>
        <v>-801.13787854069676</v>
      </c>
      <c r="BZ33" s="187">
        <f t="shared" si="86"/>
        <v>-802.47310833826464</v>
      </c>
      <c r="CA33" s="187">
        <f t="shared" si="86"/>
        <v>-803.8105635188283</v>
      </c>
      <c r="CB33" s="187">
        <f t="shared" si="86"/>
        <v>-805.15024779135979</v>
      </c>
      <c r="CC33" s="187">
        <f t="shared" si="86"/>
        <v>-806.49216487101205</v>
      </c>
      <c r="CD33" s="187">
        <f t="shared" si="86"/>
        <v>-807.83631847913045</v>
      </c>
      <c r="CE33" s="187">
        <f t="shared" si="86"/>
        <v>-809.18271234326244</v>
      </c>
      <c r="CF33" s="187">
        <f t="shared" si="86"/>
        <v>-810.53135019716797</v>
      </c>
      <c r="CG33" s="187">
        <f t="shared" si="86"/>
        <v>-811.88223578082966</v>
      </c>
      <c r="CH33" s="187">
        <f t="shared" si="86"/>
        <v>-813.23537284046438</v>
      </c>
      <c r="CI33" s="187">
        <f t="shared" si="86"/>
        <v>-814.59076512853198</v>
      </c>
      <c r="CJ33" s="187">
        <f t="shared" si="86"/>
        <v>-815.94841640374625</v>
      </c>
      <c r="CK33" s="187">
        <f t="shared" si="86"/>
        <v>-817.30833043108566</v>
      </c>
      <c r="CL33" s="187">
        <f t="shared" si="86"/>
        <v>-818.67051098180445</v>
      </c>
      <c r="CM33" s="187">
        <f t="shared" ref="CM33:DR33" si="87">-IFERROR(INDEX($C74:$G74,MATCH(YEAR(CM$6),$C$71:$G$71,0)),$G$74)*(SUM(CM$24,CM$30))</f>
        <v>-820.03496183344066</v>
      </c>
      <c r="CN33" s="187">
        <f t="shared" si="87"/>
        <v>-821.40168676982967</v>
      </c>
      <c r="CO33" s="187">
        <f t="shared" si="87"/>
        <v>-822.77068958111283</v>
      </c>
      <c r="CP33" s="187">
        <f t="shared" si="87"/>
        <v>-824.14197406374808</v>
      </c>
      <c r="CQ33" s="187">
        <f t="shared" si="87"/>
        <v>-825.51554402052091</v>
      </c>
      <c r="CR33" s="187">
        <f t="shared" si="87"/>
        <v>-826.89140326055531</v>
      </c>
      <c r="CS33" s="187">
        <f t="shared" si="87"/>
        <v>-828.26955559932276</v>
      </c>
      <c r="CT33" s="187">
        <f t="shared" si="87"/>
        <v>-829.65000485865505</v>
      </c>
      <c r="CU33" s="187">
        <f t="shared" si="87"/>
        <v>-831.03275486675273</v>
      </c>
      <c r="CV33" s="187">
        <f t="shared" si="87"/>
        <v>-832.41780945819733</v>
      </c>
      <c r="CW33" s="187">
        <f t="shared" si="87"/>
        <v>-833.80517247396119</v>
      </c>
      <c r="CX33" s="187">
        <f t="shared" si="87"/>
        <v>-835.19484776141769</v>
      </c>
      <c r="CY33" s="187">
        <f t="shared" si="87"/>
        <v>-836.58683917435349</v>
      </c>
      <c r="CZ33" s="187">
        <f t="shared" si="87"/>
        <v>-837.98115057297741</v>
      </c>
      <c r="DA33" s="187">
        <f t="shared" si="87"/>
        <v>-839.37778582393241</v>
      </c>
      <c r="DB33" s="187">
        <f t="shared" si="87"/>
        <v>-840.77674880030554</v>
      </c>
      <c r="DC33" s="187">
        <f t="shared" si="87"/>
        <v>-842.17804338163944</v>
      </c>
      <c r="DD33" s="187">
        <f t="shared" si="87"/>
        <v>-843.58167345394213</v>
      </c>
      <c r="DE33" s="187">
        <f t="shared" si="87"/>
        <v>-844.98764290969882</v>
      </c>
      <c r="DF33" s="187">
        <f t="shared" si="87"/>
        <v>-846.39595564788169</v>
      </c>
      <c r="DG33" s="187">
        <f t="shared" si="87"/>
        <v>-847.80661557396149</v>
      </c>
      <c r="DH33" s="187">
        <f t="shared" si="87"/>
        <v>-849.21962659991823</v>
      </c>
      <c r="DI33" s="187">
        <f t="shared" si="87"/>
        <v>-850.63499264425138</v>
      </c>
      <c r="DJ33" s="187">
        <f t="shared" si="87"/>
        <v>-852.05271763199187</v>
      </c>
      <c r="DK33" s="187">
        <f t="shared" si="87"/>
        <v>-853.47280549471179</v>
      </c>
      <c r="DL33" s="187">
        <f t="shared" si="87"/>
        <v>-854.89526017053618</v>
      </c>
      <c r="DM33" s="187">
        <f t="shared" si="87"/>
        <v>-856.32008560415386</v>
      </c>
      <c r="DN33" s="187">
        <f t="shared" si="87"/>
        <v>-857.74728574682752</v>
      </c>
      <c r="DO33" s="187">
        <f t="shared" si="87"/>
        <v>-859.17686455640569</v>
      </c>
      <c r="DP33" s="187">
        <f t="shared" si="87"/>
        <v>-860.60882599733304</v>
      </c>
      <c r="DQ33" s="187">
        <f t="shared" si="87"/>
        <v>-862.04317404066205</v>
      </c>
      <c r="DR33" s="187">
        <f t="shared" si="87"/>
        <v>-863.47991266406336</v>
      </c>
      <c r="DS33" s="187">
        <f t="shared" ref="DS33:FB33" si="88">-IFERROR(INDEX($C74:$G74,MATCH(YEAR(DS$6),$C$71:$G$71,0)),$G$74)*(SUM(DS$24,DS$30))</f>
        <v>-864.9190458518367</v>
      </c>
      <c r="DT33" s="187">
        <f t="shared" si="88"/>
        <v>-866.36057759492314</v>
      </c>
      <c r="DU33" s="187">
        <f t="shared" si="88"/>
        <v>-867.8045118909148</v>
      </c>
      <c r="DV33" s="187">
        <f t="shared" si="88"/>
        <v>-869.25085274406626</v>
      </c>
      <c r="DW33" s="187">
        <f t="shared" si="88"/>
        <v>-870.69960416530637</v>
      </c>
      <c r="DX33" s="187">
        <f t="shared" si="88"/>
        <v>-872.1507701722486</v>
      </c>
      <c r="DY33" s="187">
        <f t="shared" si="88"/>
        <v>-873.60435478920249</v>
      </c>
      <c r="DZ33" s="187">
        <f t="shared" si="88"/>
        <v>-875.06036204718464</v>
      </c>
      <c r="EA33" s="187">
        <f t="shared" si="88"/>
        <v>-876.51879598392986</v>
      </c>
      <c r="EB33" s="187">
        <f t="shared" si="88"/>
        <v>-877.97966064390323</v>
      </c>
      <c r="EC33" s="187">
        <f t="shared" si="88"/>
        <v>-879.44296007830974</v>
      </c>
      <c r="ED33" s="187">
        <f t="shared" si="88"/>
        <v>-880.90869834510704</v>
      </c>
      <c r="EE33" s="187">
        <f t="shared" si="88"/>
        <v>-882.37687950901545</v>
      </c>
      <c r="EF33" s="187">
        <f t="shared" si="88"/>
        <v>-883.84750764153057</v>
      </c>
      <c r="EG33" s="187">
        <f t="shared" si="88"/>
        <v>-885.32058682093316</v>
      </c>
      <c r="EH33" s="187">
        <f t="shared" si="88"/>
        <v>-886.79612113230132</v>
      </c>
      <c r="EI33" s="187">
        <f t="shared" si="88"/>
        <v>-888.2741146675221</v>
      </c>
      <c r="EJ33" s="187">
        <f t="shared" si="88"/>
        <v>-889.75457152530134</v>
      </c>
      <c r="EK33" s="187">
        <f t="shared" si="88"/>
        <v>-891.23749581117681</v>
      </c>
      <c r="EL33" s="187">
        <f t="shared" si="88"/>
        <v>-892.72289163752896</v>
      </c>
      <c r="EM33" s="187">
        <f t="shared" si="88"/>
        <v>-894.21076312359151</v>
      </c>
      <c r="EN33" s="187">
        <f t="shared" si="88"/>
        <v>-895.70111439546429</v>
      </c>
      <c r="EO33" s="187">
        <f t="shared" si="88"/>
        <v>-897.19394958612327</v>
      </c>
      <c r="EP33" s="187">
        <f t="shared" si="88"/>
        <v>-898.68927283543371</v>
      </c>
      <c r="EQ33" s="187">
        <f t="shared" si="88"/>
        <v>-900.18708829015929</v>
      </c>
      <c r="ER33" s="187">
        <f t="shared" si="88"/>
        <v>-901.6874001039763</v>
      </c>
      <c r="ES33" s="187">
        <f t="shared" si="88"/>
        <v>-903.19021243748318</v>
      </c>
      <c r="ET33" s="187">
        <f t="shared" si="88"/>
        <v>-904.69552945821215</v>
      </c>
      <c r="EU33" s="187">
        <f t="shared" si="88"/>
        <v>-906.20335534064247</v>
      </c>
      <c r="EV33" s="187">
        <f t="shared" si="88"/>
        <v>-907.71369426621027</v>
      </c>
      <c r="EW33" s="187">
        <f t="shared" si="88"/>
        <v>-909.22655042332076</v>
      </c>
      <c r="EX33" s="187">
        <f t="shared" si="88"/>
        <v>-910.74192800735955</v>
      </c>
      <c r="EY33" s="187">
        <f t="shared" si="88"/>
        <v>-912.25983122070511</v>
      </c>
      <c r="EZ33" s="187">
        <f t="shared" si="88"/>
        <v>-913.78026427273971</v>
      </c>
      <c r="FA33" s="187">
        <f t="shared" si="88"/>
        <v>-915.30323137986102</v>
      </c>
      <c r="FB33" s="187">
        <f t="shared" si="88"/>
        <v>-916.82873676549411</v>
      </c>
    </row>
    <row r="34" spans="2:158">
      <c r="B34" s="126" t="s">
        <v>15</v>
      </c>
      <c r="C34" s="156">
        <f>D34/$D$34</f>
        <v>1</v>
      </c>
      <c r="D34" s="57">
        <f>SUM(D31:D33)</f>
        <v>7292682.5900000026</v>
      </c>
      <c r="E34" s="175">
        <f ca="1">F34/$F$34</f>
        <v>1</v>
      </c>
      <c r="F34" s="57">
        <f ca="1">F24</f>
        <v>7924718.235591447</v>
      </c>
      <c r="G34" s="179">
        <f ca="1">G24</f>
        <v>9543776.4605906233</v>
      </c>
      <c r="I34" s="9" t="s">
        <v>62</v>
      </c>
      <c r="J34" s="71">
        <f>C75</f>
        <v>0.02</v>
      </c>
      <c r="K34" s="196"/>
      <c r="L34" s="24">
        <f>SUMIF($Z$4:$FB$4,"&lt;="&amp;$G$18,$Z34:$FB34)</f>
        <v>-28617.537601034353</v>
      </c>
      <c r="M34" s="62"/>
      <c r="N34" s="61">
        <f>SUMIF($Z$3:$FB$3,N$7,$Z34:$FB34)</f>
        <v>0</v>
      </c>
      <c r="O34" s="61">
        <f t="shared" si="80"/>
        <v>-14112.945989316995</v>
      </c>
      <c r="P34" s="61">
        <f t="shared" si="80"/>
        <v>-9107.3281579262402</v>
      </c>
      <c r="Q34" s="61">
        <f t="shared" si="80"/>
        <v>-5397.263453791119</v>
      </c>
      <c r="R34" s="61">
        <f t="shared" si="80"/>
        <v>0</v>
      </c>
      <c r="S34" s="61">
        <f t="shared" si="80"/>
        <v>0</v>
      </c>
      <c r="T34" s="61">
        <f t="shared" si="80"/>
        <v>0</v>
      </c>
      <c r="U34" s="61">
        <f t="shared" si="80"/>
        <v>0</v>
      </c>
      <c r="V34" s="61">
        <f t="shared" si="80"/>
        <v>0</v>
      </c>
      <c r="W34" s="61">
        <f t="shared" si="80"/>
        <v>0</v>
      </c>
      <c r="X34" s="61">
        <f t="shared" si="80"/>
        <v>0</v>
      </c>
      <c r="Y34" s="62"/>
      <c r="Z34" s="24">
        <v>0</v>
      </c>
      <c r="AA34" s="187">
        <f t="shared" ref="AA34:BF34" si="89">-IFERROR(INDEX($C75:$G75,MATCH(YEAR(AA$6),$C$71:$G$71,0)),$G$75)*(SUM(AA$24,AA$30))</f>
        <v>-1474.2671235000003</v>
      </c>
      <c r="AB34" s="187">
        <f t="shared" si="89"/>
        <v>-1476.7242353725003</v>
      </c>
      <c r="AC34" s="187">
        <f t="shared" si="89"/>
        <v>-1479.1854424314545</v>
      </c>
      <c r="AD34" s="187">
        <f t="shared" si="89"/>
        <v>-1481.6507515021738</v>
      </c>
      <c r="AE34" s="187">
        <f t="shared" si="89"/>
        <v>-1484.1201694213439</v>
      </c>
      <c r="AF34" s="187">
        <f t="shared" si="89"/>
        <v>-1486.5937030370465</v>
      </c>
      <c r="AG34" s="187">
        <f t="shared" si="89"/>
        <v>-1489.0713592087748</v>
      </c>
      <c r="AH34" s="187">
        <f t="shared" si="89"/>
        <v>-745.77657240372798</v>
      </c>
      <c r="AI34" s="187">
        <f t="shared" si="89"/>
        <v>-747.01953335773408</v>
      </c>
      <c r="AJ34" s="187">
        <f t="shared" si="89"/>
        <v>-748.26456591333056</v>
      </c>
      <c r="AK34" s="187">
        <f t="shared" si="89"/>
        <v>-749.511673523186</v>
      </c>
      <c r="AL34" s="187">
        <f t="shared" si="89"/>
        <v>-750.76085964572485</v>
      </c>
      <c r="AM34" s="187">
        <f t="shared" si="89"/>
        <v>-752.01212774513431</v>
      </c>
      <c r="AN34" s="187">
        <f t="shared" si="89"/>
        <v>-753.2654812913762</v>
      </c>
      <c r="AO34" s="187">
        <f t="shared" si="89"/>
        <v>-754.52092376019516</v>
      </c>
      <c r="AP34" s="187">
        <f t="shared" si="89"/>
        <v>-755.77845863312893</v>
      </c>
      <c r="AQ34" s="187">
        <f t="shared" si="89"/>
        <v>-757.03808939751764</v>
      </c>
      <c r="AR34" s="187">
        <f t="shared" si="89"/>
        <v>-758.2998195465135</v>
      </c>
      <c r="AS34" s="187">
        <f t="shared" si="89"/>
        <v>-759.56365257909101</v>
      </c>
      <c r="AT34" s="187">
        <f t="shared" si="89"/>
        <v>-760.82959200005632</v>
      </c>
      <c r="AU34" s="187">
        <f t="shared" si="89"/>
        <v>-762.0976413200566</v>
      </c>
      <c r="AV34" s="187">
        <f t="shared" si="89"/>
        <v>-763.36780405559</v>
      </c>
      <c r="AW34" s="187">
        <f t="shared" si="89"/>
        <v>-764.64008372901606</v>
      </c>
      <c r="AX34" s="187">
        <f t="shared" si="89"/>
        <v>-765.91448386856439</v>
      </c>
      <c r="AY34" s="187">
        <f t="shared" si="89"/>
        <v>-767.19100800834531</v>
      </c>
      <c r="AZ34" s="187">
        <f t="shared" si="89"/>
        <v>-768.46965968835923</v>
      </c>
      <c r="BA34" s="187">
        <f t="shared" si="89"/>
        <v>-769.7504424545067</v>
      </c>
      <c r="BB34" s="187">
        <f t="shared" si="89"/>
        <v>-771.03335985859758</v>
      </c>
      <c r="BC34" s="187">
        <f t="shared" si="89"/>
        <v>-772.31841545836187</v>
      </c>
      <c r="BD34" s="187">
        <f t="shared" si="89"/>
        <v>-773.60561281745936</v>
      </c>
      <c r="BE34" s="187">
        <f t="shared" si="89"/>
        <v>-774.89495550548838</v>
      </c>
      <c r="BF34" s="187">
        <f t="shared" si="89"/>
        <v>0</v>
      </c>
      <c r="BG34" s="187">
        <f t="shared" ref="BG34:CL34" si="90">-IFERROR(INDEX($C75:$G75,MATCH(YEAR(BG$6),$C$71:$G$71,0)),$G$75)*(SUM(BG$24,BG$30))</f>
        <v>0</v>
      </c>
      <c r="BH34" s="187">
        <f t="shared" si="90"/>
        <v>0</v>
      </c>
      <c r="BI34" s="187">
        <f t="shared" si="90"/>
        <v>0</v>
      </c>
      <c r="BJ34" s="187">
        <f t="shared" si="90"/>
        <v>0</v>
      </c>
      <c r="BK34" s="187">
        <f t="shared" si="90"/>
        <v>0</v>
      </c>
      <c r="BL34" s="187">
        <f t="shared" si="90"/>
        <v>0</v>
      </c>
      <c r="BM34" s="187">
        <f t="shared" si="90"/>
        <v>0</v>
      </c>
      <c r="BN34" s="187">
        <f t="shared" si="90"/>
        <v>0</v>
      </c>
      <c r="BO34" s="187">
        <f t="shared" si="90"/>
        <v>0</v>
      </c>
      <c r="BP34" s="187">
        <f t="shared" si="90"/>
        <v>0</v>
      </c>
      <c r="BQ34" s="187">
        <f t="shared" si="90"/>
        <v>0</v>
      </c>
      <c r="BR34" s="187">
        <f t="shared" si="90"/>
        <v>0</v>
      </c>
      <c r="BS34" s="187">
        <f t="shared" si="90"/>
        <v>0</v>
      </c>
      <c r="BT34" s="187">
        <f t="shared" si="90"/>
        <v>0</v>
      </c>
      <c r="BU34" s="187">
        <f t="shared" si="90"/>
        <v>0</v>
      </c>
      <c r="BV34" s="187">
        <f t="shared" si="90"/>
        <v>0</v>
      </c>
      <c r="BW34" s="187">
        <f t="shared" si="90"/>
        <v>0</v>
      </c>
      <c r="BX34" s="187">
        <f t="shared" si="90"/>
        <v>0</v>
      </c>
      <c r="BY34" s="187">
        <f t="shared" si="90"/>
        <v>0</v>
      </c>
      <c r="BZ34" s="187">
        <f t="shared" si="90"/>
        <v>0</v>
      </c>
      <c r="CA34" s="187">
        <f t="shared" si="90"/>
        <v>0</v>
      </c>
      <c r="CB34" s="187">
        <f t="shared" si="90"/>
        <v>0</v>
      </c>
      <c r="CC34" s="187">
        <f t="shared" si="90"/>
        <v>0</v>
      </c>
      <c r="CD34" s="187">
        <f t="shared" si="90"/>
        <v>0</v>
      </c>
      <c r="CE34" s="187">
        <f t="shared" si="90"/>
        <v>0</v>
      </c>
      <c r="CF34" s="187">
        <f t="shared" si="90"/>
        <v>0</v>
      </c>
      <c r="CG34" s="187">
        <f t="shared" si="90"/>
        <v>0</v>
      </c>
      <c r="CH34" s="187">
        <f t="shared" si="90"/>
        <v>0</v>
      </c>
      <c r="CI34" s="187">
        <f t="shared" si="90"/>
        <v>0</v>
      </c>
      <c r="CJ34" s="187">
        <f t="shared" si="90"/>
        <v>0</v>
      </c>
      <c r="CK34" s="187">
        <f t="shared" si="90"/>
        <v>0</v>
      </c>
      <c r="CL34" s="187">
        <f t="shared" si="90"/>
        <v>0</v>
      </c>
      <c r="CM34" s="187">
        <f t="shared" ref="CM34:DR34" si="91">-IFERROR(INDEX($C75:$G75,MATCH(YEAR(CM$6),$C$71:$G$71,0)),$G$75)*(SUM(CM$24,CM$30))</f>
        <v>0</v>
      </c>
      <c r="CN34" s="187">
        <f t="shared" si="91"/>
        <v>0</v>
      </c>
      <c r="CO34" s="187">
        <f t="shared" si="91"/>
        <v>0</v>
      </c>
      <c r="CP34" s="187">
        <f t="shared" si="91"/>
        <v>0</v>
      </c>
      <c r="CQ34" s="187">
        <f t="shared" si="91"/>
        <v>0</v>
      </c>
      <c r="CR34" s="187">
        <f t="shared" si="91"/>
        <v>0</v>
      </c>
      <c r="CS34" s="187">
        <f t="shared" si="91"/>
        <v>0</v>
      </c>
      <c r="CT34" s="187">
        <f t="shared" si="91"/>
        <v>0</v>
      </c>
      <c r="CU34" s="187">
        <f t="shared" si="91"/>
        <v>0</v>
      </c>
      <c r="CV34" s="187">
        <f t="shared" si="91"/>
        <v>0</v>
      </c>
      <c r="CW34" s="187">
        <f t="shared" si="91"/>
        <v>0</v>
      </c>
      <c r="CX34" s="187">
        <f t="shared" si="91"/>
        <v>0</v>
      </c>
      <c r="CY34" s="187">
        <f t="shared" si="91"/>
        <v>0</v>
      </c>
      <c r="CZ34" s="187">
        <f t="shared" si="91"/>
        <v>0</v>
      </c>
      <c r="DA34" s="187">
        <f t="shared" si="91"/>
        <v>0</v>
      </c>
      <c r="DB34" s="187">
        <f t="shared" si="91"/>
        <v>0</v>
      </c>
      <c r="DC34" s="187">
        <f t="shared" si="91"/>
        <v>0</v>
      </c>
      <c r="DD34" s="187">
        <f t="shared" si="91"/>
        <v>0</v>
      </c>
      <c r="DE34" s="187">
        <f t="shared" si="91"/>
        <v>0</v>
      </c>
      <c r="DF34" s="187">
        <f t="shared" si="91"/>
        <v>0</v>
      </c>
      <c r="DG34" s="187">
        <f t="shared" si="91"/>
        <v>0</v>
      </c>
      <c r="DH34" s="187">
        <f t="shared" si="91"/>
        <v>0</v>
      </c>
      <c r="DI34" s="187">
        <f t="shared" si="91"/>
        <v>0</v>
      </c>
      <c r="DJ34" s="187">
        <f t="shared" si="91"/>
        <v>0</v>
      </c>
      <c r="DK34" s="187">
        <f t="shared" si="91"/>
        <v>0</v>
      </c>
      <c r="DL34" s="187">
        <f t="shared" si="91"/>
        <v>0</v>
      </c>
      <c r="DM34" s="187">
        <f t="shared" si="91"/>
        <v>0</v>
      </c>
      <c r="DN34" s="187">
        <f t="shared" si="91"/>
        <v>0</v>
      </c>
      <c r="DO34" s="187">
        <f t="shared" si="91"/>
        <v>0</v>
      </c>
      <c r="DP34" s="187">
        <f t="shared" si="91"/>
        <v>0</v>
      </c>
      <c r="DQ34" s="187">
        <f t="shared" si="91"/>
        <v>0</v>
      </c>
      <c r="DR34" s="187">
        <f t="shared" si="91"/>
        <v>0</v>
      </c>
      <c r="DS34" s="187">
        <f t="shared" ref="DS34:FB34" si="92">-IFERROR(INDEX($C75:$G75,MATCH(YEAR(DS$6),$C$71:$G$71,0)),$G$75)*(SUM(DS$24,DS$30))</f>
        <v>0</v>
      </c>
      <c r="DT34" s="187">
        <f t="shared" si="92"/>
        <v>0</v>
      </c>
      <c r="DU34" s="187">
        <f t="shared" si="92"/>
        <v>0</v>
      </c>
      <c r="DV34" s="187">
        <f t="shared" si="92"/>
        <v>0</v>
      </c>
      <c r="DW34" s="187">
        <f t="shared" si="92"/>
        <v>0</v>
      </c>
      <c r="DX34" s="187">
        <f t="shared" si="92"/>
        <v>0</v>
      </c>
      <c r="DY34" s="187">
        <f t="shared" si="92"/>
        <v>0</v>
      </c>
      <c r="DZ34" s="187">
        <f t="shared" si="92"/>
        <v>0</v>
      </c>
      <c r="EA34" s="187">
        <f t="shared" si="92"/>
        <v>0</v>
      </c>
      <c r="EB34" s="187">
        <f t="shared" si="92"/>
        <v>0</v>
      </c>
      <c r="EC34" s="187">
        <f t="shared" si="92"/>
        <v>0</v>
      </c>
      <c r="ED34" s="187">
        <f t="shared" si="92"/>
        <v>0</v>
      </c>
      <c r="EE34" s="187">
        <f t="shared" si="92"/>
        <v>0</v>
      </c>
      <c r="EF34" s="187">
        <f t="shared" si="92"/>
        <v>0</v>
      </c>
      <c r="EG34" s="187">
        <f t="shared" si="92"/>
        <v>0</v>
      </c>
      <c r="EH34" s="187">
        <f t="shared" si="92"/>
        <v>0</v>
      </c>
      <c r="EI34" s="187">
        <f t="shared" si="92"/>
        <v>0</v>
      </c>
      <c r="EJ34" s="187">
        <f t="shared" si="92"/>
        <v>0</v>
      </c>
      <c r="EK34" s="187">
        <f t="shared" si="92"/>
        <v>0</v>
      </c>
      <c r="EL34" s="187">
        <f t="shared" si="92"/>
        <v>0</v>
      </c>
      <c r="EM34" s="187">
        <f t="shared" si="92"/>
        <v>0</v>
      </c>
      <c r="EN34" s="187">
        <f t="shared" si="92"/>
        <v>0</v>
      </c>
      <c r="EO34" s="187">
        <f t="shared" si="92"/>
        <v>0</v>
      </c>
      <c r="EP34" s="187">
        <f t="shared" si="92"/>
        <v>0</v>
      </c>
      <c r="EQ34" s="187">
        <f t="shared" si="92"/>
        <v>0</v>
      </c>
      <c r="ER34" s="187">
        <f t="shared" si="92"/>
        <v>0</v>
      </c>
      <c r="ES34" s="187">
        <f t="shared" si="92"/>
        <v>0</v>
      </c>
      <c r="ET34" s="187">
        <f t="shared" si="92"/>
        <v>0</v>
      </c>
      <c r="EU34" s="187">
        <f t="shared" si="92"/>
        <v>0</v>
      </c>
      <c r="EV34" s="187">
        <f t="shared" si="92"/>
        <v>0</v>
      </c>
      <c r="EW34" s="187">
        <f t="shared" si="92"/>
        <v>0</v>
      </c>
      <c r="EX34" s="187">
        <f t="shared" si="92"/>
        <v>0</v>
      </c>
      <c r="EY34" s="187">
        <f t="shared" si="92"/>
        <v>0</v>
      </c>
      <c r="EZ34" s="187">
        <f t="shared" si="92"/>
        <v>0</v>
      </c>
      <c r="FA34" s="187">
        <f t="shared" si="92"/>
        <v>0</v>
      </c>
      <c r="FB34" s="187">
        <f t="shared" si="92"/>
        <v>0</v>
      </c>
    </row>
    <row r="35" spans="2:158">
      <c r="B35" s="15"/>
      <c r="C35" s="15"/>
      <c r="D35" s="15"/>
      <c r="E35" s="44"/>
      <c r="F35" s="15"/>
      <c r="I35" s="9" t="s">
        <v>63</v>
      </c>
      <c r="L35" s="142">
        <f>SUMIF($Z$4:$FB$4,"&lt;="&amp;$G$18,$Z35:$FB35)</f>
        <v>0</v>
      </c>
      <c r="M35" s="62"/>
      <c r="N35" s="65">
        <f>SUMIF($Z$3:$FB$3,N$7,$Z35:$FB35)</f>
        <v>0</v>
      </c>
      <c r="O35" s="65">
        <f t="shared" si="80"/>
        <v>0</v>
      </c>
      <c r="P35" s="65">
        <f t="shared" si="80"/>
        <v>0</v>
      </c>
      <c r="Q35" s="65">
        <f t="shared" si="80"/>
        <v>0</v>
      </c>
      <c r="R35" s="65">
        <f t="shared" si="80"/>
        <v>0</v>
      </c>
      <c r="S35" s="65">
        <f t="shared" si="80"/>
        <v>0</v>
      </c>
      <c r="T35" s="65">
        <f t="shared" si="80"/>
        <v>0</v>
      </c>
      <c r="U35" s="65">
        <f t="shared" si="80"/>
        <v>0</v>
      </c>
      <c r="V35" s="65">
        <f t="shared" si="80"/>
        <v>0</v>
      </c>
      <c r="W35" s="65">
        <f t="shared" si="80"/>
        <v>0</v>
      </c>
      <c r="X35" s="65">
        <f t="shared" si="80"/>
        <v>0</v>
      </c>
      <c r="Y35" s="62"/>
      <c r="Z35" s="142">
        <f t="shared" ref="Z35:BE35" si="93">(-IFERROR(INDEX($C76:$G76,MATCH(YEAR(Z$6),$C$71:$G$71,0)),$G$76)*Z19)*(Z4&gt;=1)</f>
        <v>0</v>
      </c>
      <c r="AA35" s="142">
        <f t="shared" si="93"/>
        <v>0</v>
      </c>
      <c r="AB35" s="142">
        <f t="shared" si="93"/>
        <v>0</v>
      </c>
      <c r="AC35" s="142">
        <f t="shared" si="93"/>
        <v>0</v>
      </c>
      <c r="AD35" s="142">
        <f t="shared" si="93"/>
        <v>0</v>
      </c>
      <c r="AE35" s="142">
        <f t="shared" si="93"/>
        <v>0</v>
      </c>
      <c r="AF35" s="142">
        <f t="shared" si="93"/>
        <v>0</v>
      </c>
      <c r="AG35" s="142">
        <f t="shared" si="93"/>
        <v>0</v>
      </c>
      <c r="AH35" s="142">
        <f t="shared" si="93"/>
        <v>0</v>
      </c>
      <c r="AI35" s="142">
        <f t="shared" si="93"/>
        <v>0</v>
      </c>
      <c r="AJ35" s="142">
        <f t="shared" si="93"/>
        <v>0</v>
      </c>
      <c r="AK35" s="142">
        <f t="shared" si="93"/>
        <v>0</v>
      </c>
      <c r="AL35" s="142">
        <f t="shared" si="93"/>
        <v>0</v>
      </c>
      <c r="AM35" s="142">
        <f t="shared" si="93"/>
        <v>0</v>
      </c>
      <c r="AN35" s="142">
        <f t="shared" si="93"/>
        <v>0</v>
      </c>
      <c r="AO35" s="142">
        <f t="shared" si="93"/>
        <v>0</v>
      </c>
      <c r="AP35" s="142">
        <f t="shared" si="93"/>
        <v>0</v>
      </c>
      <c r="AQ35" s="142">
        <f t="shared" si="93"/>
        <v>0</v>
      </c>
      <c r="AR35" s="142">
        <f t="shared" si="93"/>
        <v>0</v>
      </c>
      <c r="AS35" s="142">
        <f t="shared" si="93"/>
        <v>0</v>
      </c>
      <c r="AT35" s="142">
        <f t="shared" si="93"/>
        <v>0</v>
      </c>
      <c r="AU35" s="142">
        <f t="shared" si="93"/>
        <v>0</v>
      </c>
      <c r="AV35" s="142">
        <f t="shared" si="93"/>
        <v>0</v>
      </c>
      <c r="AW35" s="142">
        <f t="shared" si="93"/>
        <v>0</v>
      </c>
      <c r="AX35" s="142">
        <f t="shared" si="93"/>
        <v>0</v>
      </c>
      <c r="AY35" s="142">
        <f t="shared" si="93"/>
        <v>0</v>
      </c>
      <c r="AZ35" s="142">
        <f t="shared" si="93"/>
        <v>0</v>
      </c>
      <c r="BA35" s="142">
        <f t="shared" si="93"/>
        <v>0</v>
      </c>
      <c r="BB35" s="142">
        <f t="shared" si="93"/>
        <v>0</v>
      </c>
      <c r="BC35" s="142">
        <f t="shared" si="93"/>
        <v>0</v>
      </c>
      <c r="BD35" s="142">
        <f t="shared" si="93"/>
        <v>0</v>
      </c>
      <c r="BE35" s="142">
        <f t="shared" si="93"/>
        <v>0</v>
      </c>
      <c r="BF35" s="142">
        <f t="shared" ref="BF35:CK35" si="94">(-IFERROR(INDEX($C76:$G76,MATCH(YEAR(BF$6),$C$71:$G$71,0)),$G$76)*BF19)*(BF4&gt;=1)</f>
        <v>0</v>
      </c>
      <c r="BG35" s="142">
        <f t="shared" si="94"/>
        <v>0</v>
      </c>
      <c r="BH35" s="142">
        <f t="shared" si="94"/>
        <v>0</v>
      </c>
      <c r="BI35" s="142">
        <f t="shared" si="94"/>
        <v>0</v>
      </c>
      <c r="BJ35" s="142">
        <f t="shared" si="94"/>
        <v>0</v>
      </c>
      <c r="BK35" s="142">
        <f t="shared" si="94"/>
        <v>0</v>
      </c>
      <c r="BL35" s="142">
        <f t="shared" si="94"/>
        <v>0</v>
      </c>
      <c r="BM35" s="142">
        <f t="shared" si="94"/>
        <v>0</v>
      </c>
      <c r="BN35" s="142">
        <f t="shared" si="94"/>
        <v>0</v>
      </c>
      <c r="BO35" s="142">
        <f t="shared" si="94"/>
        <v>0</v>
      </c>
      <c r="BP35" s="142">
        <f t="shared" si="94"/>
        <v>0</v>
      </c>
      <c r="BQ35" s="142">
        <f t="shared" si="94"/>
        <v>0</v>
      </c>
      <c r="BR35" s="142">
        <f t="shared" si="94"/>
        <v>0</v>
      </c>
      <c r="BS35" s="142">
        <f t="shared" si="94"/>
        <v>0</v>
      </c>
      <c r="BT35" s="142">
        <f t="shared" si="94"/>
        <v>0</v>
      </c>
      <c r="BU35" s="142">
        <f t="shared" si="94"/>
        <v>0</v>
      </c>
      <c r="BV35" s="142">
        <f t="shared" si="94"/>
        <v>0</v>
      </c>
      <c r="BW35" s="142">
        <f t="shared" si="94"/>
        <v>0</v>
      </c>
      <c r="BX35" s="142">
        <f t="shared" si="94"/>
        <v>0</v>
      </c>
      <c r="BY35" s="142">
        <f t="shared" si="94"/>
        <v>0</v>
      </c>
      <c r="BZ35" s="142">
        <f t="shared" si="94"/>
        <v>0</v>
      </c>
      <c r="CA35" s="142">
        <f t="shared" si="94"/>
        <v>0</v>
      </c>
      <c r="CB35" s="142">
        <f t="shared" si="94"/>
        <v>0</v>
      </c>
      <c r="CC35" s="142">
        <f t="shared" si="94"/>
        <v>0</v>
      </c>
      <c r="CD35" s="142">
        <f t="shared" si="94"/>
        <v>0</v>
      </c>
      <c r="CE35" s="142">
        <f t="shared" si="94"/>
        <v>0</v>
      </c>
      <c r="CF35" s="142">
        <f t="shared" si="94"/>
        <v>0</v>
      </c>
      <c r="CG35" s="142">
        <f t="shared" si="94"/>
        <v>0</v>
      </c>
      <c r="CH35" s="142">
        <f t="shared" si="94"/>
        <v>0</v>
      </c>
      <c r="CI35" s="142">
        <f t="shared" si="94"/>
        <v>0</v>
      </c>
      <c r="CJ35" s="142">
        <f t="shared" si="94"/>
        <v>0</v>
      </c>
      <c r="CK35" s="142">
        <f t="shared" si="94"/>
        <v>0</v>
      </c>
      <c r="CL35" s="142">
        <f t="shared" ref="CL35:DQ35" si="95">(-IFERROR(INDEX($C76:$G76,MATCH(YEAR(CL$6),$C$71:$G$71,0)),$G$76)*CL19)*(CL4&gt;=1)</f>
        <v>0</v>
      </c>
      <c r="CM35" s="142">
        <f t="shared" si="95"/>
        <v>0</v>
      </c>
      <c r="CN35" s="142">
        <f t="shared" si="95"/>
        <v>0</v>
      </c>
      <c r="CO35" s="142">
        <f t="shared" si="95"/>
        <v>0</v>
      </c>
      <c r="CP35" s="142">
        <f t="shared" si="95"/>
        <v>0</v>
      </c>
      <c r="CQ35" s="142">
        <f t="shared" si="95"/>
        <v>0</v>
      </c>
      <c r="CR35" s="142">
        <f t="shared" si="95"/>
        <v>0</v>
      </c>
      <c r="CS35" s="142">
        <f t="shared" si="95"/>
        <v>0</v>
      </c>
      <c r="CT35" s="142">
        <f t="shared" si="95"/>
        <v>0</v>
      </c>
      <c r="CU35" s="142">
        <f t="shared" si="95"/>
        <v>0</v>
      </c>
      <c r="CV35" s="142">
        <f t="shared" si="95"/>
        <v>0</v>
      </c>
      <c r="CW35" s="142">
        <f t="shared" si="95"/>
        <v>0</v>
      </c>
      <c r="CX35" s="142">
        <f t="shared" si="95"/>
        <v>0</v>
      </c>
      <c r="CY35" s="142">
        <f t="shared" si="95"/>
        <v>0</v>
      </c>
      <c r="CZ35" s="142">
        <f t="shared" si="95"/>
        <v>0</v>
      </c>
      <c r="DA35" s="142">
        <f t="shared" si="95"/>
        <v>0</v>
      </c>
      <c r="DB35" s="142">
        <f t="shared" si="95"/>
        <v>0</v>
      </c>
      <c r="DC35" s="142">
        <f t="shared" si="95"/>
        <v>0</v>
      </c>
      <c r="DD35" s="142">
        <f t="shared" si="95"/>
        <v>0</v>
      </c>
      <c r="DE35" s="142">
        <f t="shared" si="95"/>
        <v>0</v>
      </c>
      <c r="DF35" s="142">
        <f t="shared" si="95"/>
        <v>0</v>
      </c>
      <c r="DG35" s="142">
        <f t="shared" si="95"/>
        <v>0</v>
      </c>
      <c r="DH35" s="142">
        <f t="shared" si="95"/>
        <v>0</v>
      </c>
      <c r="DI35" s="142">
        <f t="shared" si="95"/>
        <v>0</v>
      </c>
      <c r="DJ35" s="142">
        <f t="shared" si="95"/>
        <v>0</v>
      </c>
      <c r="DK35" s="142">
        <f t="shared" si="95"/>
        <v>0</v>
      </c>
      <c r="DL35" s="142">
        <f t="shared" si="95"/>
        <v>0</v>
      </c>
      <c r="DM35" s="142">
        <f t="shared" si="95"/>
        <v>0</v>
      </c>
      <c r="DN35" s="142">
        <f t="shared" si="95"/>
        <v>0</v>
      </c>
      <c r="DO35" s="142">
        <f t="shared" si="95"/>
        <v>0</v>
      </c>
      <c r="DP35" s="142">
        <f t="shared" si="95"/>
        <v>0</v>
      </c>
      <c r="DQ35" s="142">
        <f t="shared" si="95"/>
        <v>0</v>
      </c>
      <c r="DR35" s="142">
        <f t="shared" ref="DR35:FB35" si="96">(-IFERROR(INDEX($C76:$G76,MATCH(YEAR(DR$6),$C$71:$G$71,0)),$G$76)*DR19)*(DR4&gt;=1)</f>
        <v>0</v>
      </c>
      <c r="DS35" s="142">
        <f t="shared" si="96"/>
        <v>0</v>
      </c>
      <c r="DT35" s="142">
        <f t="shared" si="96"/>
        <v>0</v>
      </c>
      <c r="DU35" s="142">
        <f t="shared" si="96"/>
        <v>0</v>
      </c>
      <c r="DV35" s="142">
        <f t="shared" si="96"/>
        <v>0</v>
      </c>
      <c r="DW35" s="142">
        <f t="shared" si="96"/>
        <v>0</v>
      </c>
      <c r="DX35" s="142">
        <f t="shared" si="96"/>
        <v>0</v>
      </c>
      <c r="DY35" s="142">
        <f t="shared" si="96"/>
        <v>0</v>
      </c>
      <c r="DZ35" s="142">
        <f t="shared" si="96"/>
        <v>0</v>
      </c>
      <c r="EA35" s="142">
        <f t="shared" si="96"/>
        <v>0</v>
      </c>
      <c r="EB35" s="142">
        <f t="shared" si="96"/>
        <v>0</v>
      </c>
      <c r="EC35" s="142">
        <f t="shared" si="96"/>
        <v>0</v>
      </c>
      <c r="ED35" s="142">
        <f t="shared" si="96"/>
        <v>0</v>
      </c>
      <c r="EE35" s="142">
        <f t="shared" si="96"/>
        <v>0</v>
      </c>
      <c r="EF35" s="142">
        <f t="shared" si="96"/>
        <v>0</v>
      </c>
      <c r="EG35" s="142">
        <f t="shared" si="96"/>
        <v>0</v>
      </c>
      <c r="EH35" s="142">
        <f t="shared" si="96"/>
        <v>0</v>
      </c>
      <c r="EI35" s="142">
        <f t="shared" si="96"/>
        <v>0</v>
      </c>
      <c r="EJ35" s="142">
        <f t="shared" si="96"/>
        <v>0</v>
      </c>
      <c r="EK35" s="142">
        <f t="shared" si="96"/>
        <v>0</v>
      </c>
      <c r="EL35" s="142">
        <f t="shared" si="96"/>
        <v>0</v>
      </c>
      <c r="EM35" s="142">
        <f t="shared" si="96"/>
        <v>0</v>
      </c>
      <c r="EN35" s="142">
        <f t="shared" si="96"/>
        <v>0</v>
      </c>
      <c r="EO35" s="142">
        <f t="shared" si="96"/>
        <v>0</v>
      </c>
      <c r="EP35" s="142">
        <f t="shared" si="96"/>
        <v>0</v>
      </c>
      <c r="EQ35" s="142">
        <f t="shared" si="96"/>
        <v>0</v>
      </c>
      <c r="ER35" s="142">
        <f t="shared" si="96"/>
        <v>0</v>
      </c>
      <c r="ES35" s="142">
        <f t="shared" si="96"/>
        <v>0</v>
      </c>
      <c r="ET35" s="142">
        <f t="shared" si="96"/>
        <v>0</v>
      </c>
      <c r="EU35" s="142">
        <f t="shared" si="96"/>
        <v>0</v>
      </c>
      <c r="EV35" s="142">
        <f t="shared" si="96"/>
        <v>0</v>
      </c>
      <c r="EW35" s="142">
        <f t="shared" si="96"/>
        <v>0</v>
      </c>
      <c r="EX35" s="142">
        <f t="shared" si="96"/>
        <v>0</v>
      </c>
      <c r="EY35" s="142">
        <f t="shared" si="96"/>
        <v>0</v>
      </c>
      <c r="EZ35" s="142">
        <f t="shared" si="96"/>
        <v>0</v>
      </c>
      <c r="FA35" s="142">
        <f t="shared" si="96"/>
        <v>0</v>
      </c>
      <c r="FB35" s="142">
        <f t="shared" si="96"/>
        <v>0</v>
      </c>
    </row>
    <row r="36" spans="2:158">
      <c r="B36" s="36" t="s">
        <v>50</v>
      </c>
      <c r="C36" s="45" t="s">
        <v>18</v>
      </c>
      <c r="D36" s="45" t="s">
        <v>15</v>
      </c>
      <c r="E36" s="172" t="s">
        <v>160</v>
      </c>
      <c r="F36" s="45" t="s">
        <v>159</v>
      </c>
      <c r="G36" s="45" t="s">
        <v>25</v>
      </c>
      <c r="I36" s="57" t="s">
        <v>64</v>
      </c>
      <c r="J36" s="57"/>
      <c r="K36" s="58"/>
      <c r="L36" s="44">
        <f>SUMIF($Z$4:$FB$4,"&lt;="&amp;$G$18,$Z36:$FB36)</f>
        <v>-732845.77361195453</v>
      </c>
      <c r="M36" s="58"/>
      <c r="N36" s="44">
        <f>SUMIF($Z$3:$FB$3,N$7,$Z36:$FB36)</f>
        <v>0</v>
      </c>
      <c r="O36" s="44">
        <f t="shared" si="80"/>
        <v>-90715.869158196438</v>
      </c>
      <c r="P36" s="44">
        <f t="shared" si="80"/>
        <v>-78149.103816362884</v>
      </c>
      <c r="Q36" s="44">
        <f t="shared" si="80"/>
        <v>-70435.339415209004</v>
      </c>
      <c r="R36" s="44">
        <f t="shared" si="80"/>
        <v>-66350.827619463671</v>
      </c>
      <c r="S36" s="44">
        <f t="shared" si="80"/>
        <v>-67690.076323896938</v>
      </c>
      <c r="T36" s="44">
        <f t="shared" si="80"/>
        <v>-69056.356900526473</v>
      </c>
      <c r="U36" s="44">
        <f t="shared" si="80"/>
        <v>-70450.21497027541</v>
      </c>
      <c r="V36" s="44">
        <f t="shared" si="80"/>
        <v>-71872.20716707372</v>
      </c>
      <c r="W36" s="44">
        <f t="shared" si="80"/>
        <v>-73322.90136014852</v>
      </c>
      <c r="X36" s="44">
        <f t="shared" si="80"/>
        <v>-74802.876880801443</v>
      </c>
      <c r="Y36" s="58"/>
      <c r="Z36" s="44">
        <f>SUM(Z32:Z35)</f>
        <v>0</v>
      </c>
      <c r="AA36" s="44">
        <f t="shared" ref="AA36:CL36" si="97">SUM(AA32:AA35)</f>
        <v>-8108.4691792500016</v>
      </c>
      <c r="AB36" s="44">
        <f t="shared" si="97"/>
        <v>-8121.9832945487515</v>
      </c>
      <c r="AC36" s="44">
        <f t="shared" si="97"/>
        <v>-8135.5199333729997</v>
      </c>
      <c r="AD36" s="44">
        <f t="shared" si="97"/>
        <v>-8149.0791332619556</v>
      </c>
      <c r="AE36" s="44">
        <f t="shared" si="97"/>
        <v>-8162.6609318173914</v>
      </c>
      <c r="AF36" s="44">
        <f t="shared" si="97"/>
        <v>-8176.2653667037557</v>
      </c>
      <c r="AG36" s="44">
        <f t="shared" si="97"/>
        <v>-8189.8924756482611</v>
      </c>
      <c r="AH36" s="44">
        <f t="shared" si="97"/>
        <v>-6711.989151633552</v>
      </c>
      <c r="AI36" s="44">
        <f t="shared" si="97"/>
        <v>-6723.1758002196066</v>
      </c>
      <c r="AJ36" s="44">
        <f t="shared" si="97"/>
        <v>-6734.3810932199758</v>
      </c>
      <c r="AK36" s="44">
        <f t="shared" si="97"/>
        <v>-6745.6050617086748</v>
      </c>
      <c r="AL36" s="44">
        <f t="shared" si="97"/>
        <v>-6756.8477368115246</v>
      </c>
      <c r="AM36" s="44">
        <f t="shared" si="97"/>
        <v>-6768.1091497062098</v>
      </c>
      <c r="AN36" s="44">
        <f t="shared" si="97"/>
        <v>-6779.3893316223857</v>
      </c>
      <c r="AO36" s="44">
        <f t="shared" si="97"/>
        <v>-6790.6883138417561</v>
      </c>
      <c r="AP36" s="44">
        <f t="shared" si="97"/>
        <v>-6802.0061276981605</v>
      </c>
      <c r="AQ36" s="44">
        <f t="shared" si="97"/>
        <v>-6813.34280457766</v>
      </c>
      <c r="AR36" s="44">
        <f t="shared" si="97"/>
        <v>-6824.6983759186214</v>
      </c>
      <c r="AS36" s="44">
        <f t="shared" si="97"/>
        <v>-6836.0728732118187</v>
      </c>
      <c r="AT36" s="44">
        <f t="shared" si="97"/>
        <v>-6086.6367360004506</v>
      </c>
      <c r="AU36" s="44">
        <f t="shared" si="97"/>
        <v>-6096.7811305604528</v>
      </c>
      <c r="AV36" s="44">
        <f t="shared" si="97"/>
        <v>-6106.9424324447191</v>
      </c>
      <c r="AW36" s="44">
        <f t="shared" si="97"/>
        <v>-6117.1206698321275</v>
      </c>
      <c r="AX36" s="44">
        <f t="shared" si="97"/>
        <v>-6127.3158709485151</v>
      </c>
      <c r="AY36" s="44">
        <f t="shared" si="97"/>
        <v>-6137.5280640667615</v>
      </c>
      <c r="AZ36" s="44">
        <f t="shared" si="97"/>
        <v>-6147.7572775068747</v>
      </c>
      <c r="BA36" s="44">
        <f t="shared" si="97"/>
        <v>-6158.0035396360536</v>
      </c>
      <c r="BB36" s="44">
        <f t="shared" si="97"/>
        <v>-6168.2668788687806</v>
      </c>
      <c r="BC36" s="44">
        <f t="shared" si="97"/>
        <v>-6178.547323666895</v>
      </c>
      <c r="BD36" s="44">
        <f t="shared" si="97"/>
        <v>-6188.8449025396749</v>
      </c>
      <c r="BE36" s="44">
        <f t="shared" si="97"/>
        <v>-6199.1596440439071</v>
      </c>
      <c r="BF36" s="44">
        <f t="shared" si="97"/>
        <v>-5433.305129685983</v>
      </c>
      <c r="BG36" s="44">
        <f t="shared" si="97"/>
        <v>-5442.3606382354601</v>
      </c>
      <c r="BH36" s="44">
        <f t="shared" si="97"/>
        <v>-5451.431239299186</v>
      </c>
      <c r="BI36" s="44">
        <f t="shared" si="97"/>
        <v>-5460.5169580313523</v>
      </c>
      <c r="BJ36" s="44">
        <f t="shared" si="97"/>
        <v>-5469.6178196280698</v>
      </c>
      <c r="BK36" s="44">
        <f t="shared" si="97"/>
        <v>-5478.733849327451</v>
      </c>
      <c r="BL36" s="44">
        <f t="shared" si="97"/>
        <v>-5487.8650724096624</v>
      </c>
      <c r="BM36" s="44">
        <f t="shared" si="97"/>
        <v>-5497.0115141970136</v>
      </c>
      <c r="BN36" s="44">
        <f t="shared" si="97"/>
        <v>-5506.1732000540069</v>
      </c>
      <c r="BO36" s="44">
        <f t="shared" si="97"/>
        <v>-5515.350155387433</v>
      </c>
      <c r="BP36" s="44">
        <f t="shared" si="97"/>
        <v>-5524.5424056464108</v>
      </c>
      <c r="BQ36" s="44">
        <f t="shared" si="97"/>
        <v>-5533.7499763224896</v>
      </c>
      <c r="BR36" s="44">
        <f t="shared" si="97"/>
        <v>-5542.9728929496932</v>
      </c>
      <c r="BS36" s="44">
        <f t="shared" si="97"/>
        <v>-5552.2111811046098</v>
      </c>
      <c r="BT36" s="44">
        <f t="shared" si="97"/>
        <v>-5561.4648664064507</v>
      </c>
      <c r="BU36" s="44">
        <f t="shared" si="97"/>
        <v>-5570.7339745171294</v>
      </c>
      <c r="BV36" s="44">
        <f t="shared" si="97"/>
        <v>-5580.0185311413225</v>
      </c>
      <c r="BW36" s="44">
        <f t="shared" si="97"/>
        <v>-5589.3185620265594</v>
      </c>
      <c r="BX36" s="44">
        <f t="shared" si="97"/>
        <v>-5598.6340929632706</v>
      </c>
      <c r="BY36" s="44">
        <f t="shared" si="97"/>
        <v>-5607.9651497848772</v>
      </c>
      <c r="BZ36" s="44">
        <f t="shared" si="97"/>
        <v>-5617.3117583678522</v>
      </c>
      <c r="CA36" s="44">
        <f t="shared" si="97"/>
        <v>-5626.6739446317979</v>
      </c>
      <c r="CB36" s="44">
        <f t="shared" si="97"/>
        <v>-5636.0517345395183</v>
      </c>
      <c r="CC36" s="44">
        <f t="shared" si="97"/>
        <v>-5645.4451540970849</v>
      </c>
      <c r="CD36" s="44">
        <f t="shared" si="97"/>
        <v>-5654.8542293539131</v>
      </c>
      <c r="CE36" s="44">
        <f t="shared" si="97"/>
        <v>-5664.2789864028364</v>
      </c>
      <c r="CF36" s="44">
        <f t="shared" si="97"/>
        <v>-5673.7194513801751</v>
      </c>
      <c r="CG36" s="44">
        <f t="shared" si="97"/>
        <v>-5683.1756504658069</v>
      </c>
      <c r="CH36" s="44">
        <f t="shared" si="97"/>
        <v>-5692.64760988325</v>
      </c>
      <c r="CI36" s="44">
        <f t="shared" si="97"/>
        <v>-5702.1353558997234</v>
      </c>
      <c r="CJ36" s="44">
        <f t="shared" si="97"/>
        <v>-5711.6389148262242</v>
      </c>
      <c r="CK36" s="44">
        <f t="shared" si="97"/>
        <v>-5721.1583130175995</v>
      </c>
      <c r="CL36" s="44">
        <f t="shared" si="97"/>
        <v>-5730.6935768726307</v>
      </c>
      <c r="CM36" s="44">
        <f t="shared" ref="CM36:EX36" si="98">SUM(CM32:CM35)</f>
        <v>-5740.2447328340841</v>
      </c>
      <c r="CN36" s="44">
        <f t="shared" si="98"/>
        <v>-5749.8118073888072</v>
      </c>
      <c r="CO36" s="44">
        <f t="shared" si="98"/>
        <v>-5759.3948270677893</v>
      </c>
      <c r="CP36" s="44">
        <f t="shared" si="98"/>
        <v>-5768.9938184462362</v>
      </c>
      <c r="CQ36" s="44">
        <f t="shared" si="98"/>
        <v>-5778.6088081436465</v>
      </c>
      <c r="CR36" s="44">
        <f t="shared" si="98"/>
        <v>-5788.2398228238862</v>
      </c>
      <c r="CS36" s="44">
        <f t="shared" si="98"/>
        <v>-5797.8868891952588</v>
      </c>
      <c r="CT36" s="44">
        <f t="shared" si="98"/>
        <v>-5807.5500340105846</v>
      </c>
      <c r="CU36" s="44">
        <f t="shared" si="98"/>
        <v>-5817.229284067269</v>
      </c>
      <c r="CV36" s="44">
        <f t="shared" si="98"/>
        <v>-5826.9246662073811</v>
      </c>
      <c r="CW36" s="44">
        <f t="shared" si="98"/>
        <v>-5836.6362073177279</v>
      </c>
      <c r="CX36" s="44">
        <f t="shared" si="98"/>
        <v>-5846.3639343299237</v>
      </c>
      <c r="CY36" s="44">
        <f t="shared" si="98"/>
        <v>-5856.1078742204745</v>
      </c>
      <c r="CZ36" s="44">
        <f t="shared" si="98"/>
        <v>-5865.8680540108417</v>
      </c>
      <c r="DA36" s="44">
        <f t="shared" si="98"/>
        <v>-5875.6445007675266</v>
      </c>
      <c r="DB36" s="44">
        <f t="shared" si="98"/>
        <v>-5885.4372416021388</v>
      </c>
      <c r="DC36" s="44">
        <f t="shared" si="98"/>
        <v>-5895.2463036714762</v>
      </c>
      <c r="DD36" s="44">
        <f t="shared" si="98"/>
        <v>-5905.071714177594</v>
      </c>
      <c r="DE36" s="44">
        <f t="shared" si="98"/>
        <v>-5914.9135003678912</v>
      </c>
      <c r="DF36" s="44">
        <f t="shared" si="98"/>
        <v>-5924.7716895351714</v>
      </c>
      <c r="DG36" s="44">
        <f t="shared" si="98"/>
        <v>-5934.6463090177303</v>
      </c>
      <c r="DH36" s="44">
        <f t="shared" si="98"/>
        <v>-5944.5373861994276</v>
      </c>
      <c r="DI36" s="44">
        <f t="shared" si="98"/>
        <v>-5954.4449485097593</v>
      </c>
      <c r="DJ36" s="44">
        <f t="shared" si="98"/>
        <v>-5964.369023423943</v>
      </c>
      <c r="DK36" s="44">
        <f t="shared" si="98"/>
        <v>-5974.3096384629825</v>
      </c>
      <c r="DL36" s="44">
        <f t="shared" si="98"/>
        <v>-5984.2668211937525</v>
      </c>
      <c r="DM36" s="44">
        <f t="shared" si="98"/>
        <v>-5994.2405992290769</v>
      </c>
      <c r="DN36" s="44">
        <f t="shared" si="98"/>
        <v>-6004.2310002277927</v>
      </c>
      <c r="DO36" s="44">
        <f t="shared" si="98"/>
        <v>-6014.2380518948394</v>
      </c>
      <c r="DP36" s="44">
        <f t="shared" si="98"/>
        <v>-6024.2617819813313</v>
      </c>
      <c r="DQ36" s="44">
        <f t="shared" si="98"/>
        <v>-6034.3022182846335</v>
      </c>
      <c r="DR36" s="44">
        <f t="shared" si="98"/>
        <v>-6044.3593886484432</v>
      </c>
      <c r="DS36" s="44">
        <f t="shared" si="98"/>
        <v>-6054.4333209628567</v>
      </c>
      <c r="DT36" s="44">
        <f t="shared" si="98"/>
        <v>-6064.5240431644615</v>
      </c>
      <c r="DU36" s="44">
        <f t="shared" si="98"/>
        <v>-6074.6315832364035</v>
      </c>
      <c r="DV36" s="44">
        <f t="shared" si="98"/>
        <v>-6084.7559692084633</v>
      </c>
      <c r="DW36" s="44">
        <f t="shared" si="98"/>
        <v>-6094.8972291571445</v>
      </c>
      <c r="DX36" s="44">
        <f t="shared" si="98"/>
        <v>-6105.0553912057403</v>
      </c>
      <c r="DY36" s="44">
        <f t="shared" si="98"/>
        <v>-6115.2304835244167</v>
      </c>
      <c r="DZ36" s="44">
        <f t="shared" si="98"/>
        <v>-6125.4225343302924</v>
      </c>
      <c r="EA36" s="44">
        <f t="shared" si="98"/>
        <v>-6135.6315718875085</v>
      </c>
      <c r="EB36" s="44">
        <f t="shared" si="98"/>
        <v>-6145.8576245073218</v>
      </c>
      <c r="EC36" s="44">
        <f t="shared" si="98"/>
        <v>-6156.1007205481674</v>
      </c>
      <c r="ED36" s="44">
        <f t="shared" si="98"/>
        <v>-6166.3608884157484</v>
      </c>
      <c r="EE36" s="44">
        <f t="shared" si="98"/>
        <v>-6176.6381565631082</v>
      </c>
      <c r="EF36" s="44">
        <f t="shared" si="98"/>
        <v>-6186.9325534907139</v>
      </c>
      <c r="EG36" s="44">
        <f t="shared" si="98"/>
        <v>-6197.2441077465319</v>
      </c>
      <c r="EH36" s="44">
        <f t="shared" si="98"/>
        <v>-6207.5728479261088</v>
      </c>
      <c r="EI36" s="44">
        <f t="shared" si="98"/>
        <v>-6217.9188026726551</v>
      </c>
      <c r="EJ36" s="44">
        <f t="shared" si="98"/>
        <v>-6228.282000677109</v>
      </c>
      <c r="EK36" s="44">
        <f t="shared" si="98"/>
        <v>-6238.6624706782377</v>
      </c>
      <c r="EL36" s="44">
        <f t="shared" si="98"/>
        <v>-6249.0602414627028</v>
      </c>
      <c r="EM36" s="44">
        <f t="shared" si="98"/>
        <v>-6259.4753418651399</v>
      </c>
      <c r="EN36" s="44">
        <f t="shared" si="98"/>
        <v>-6269.9078007682492</v>
      </c>
      <c r="EO36" s="44">
        <f t="shared" si="98"/>
        <v>-6280.3576471028628</v>
      </c>
      <c r="EP36" s="44">
        <f t="shared" si="98"/>
        <v>-6290.8249098480355</v>
      </c>
      <c r="EQ36" s="44">
        <f t="shared" si="98"/>
        <v>-6301.309618031115</v>
      </c>
      <c r="ER36" s="44">
        <f t="shared" si="98"/>
        <v>-6311.8118007278335</v>
      </c>
      <c r="ES36" s="44">
        <f t="shared" si="98"/>
        <v>-6322.3314870623817</v>
      </c>
      <c r="ET36" s="44">
        <f t="shared" si="98"/>
        <v>-6332.868706207485</v>
      </c>
      <c r="EU36" s="44">
        <f t="shared" si="98"/>
        <v>-6343.4234873844971</v>
      </c>
      <c r="EV36" s="44">
        <f t="shared" si="98"/>
        <v>-6353.9958598634712</v>
      </c>
      <c r="EW36" s="44">
        <f t="shared" si="98"/>
        <v>-6364.5858529632451</v>
      </c>
      <c r="EX36" s="44">
        <f t="shared" si="98"/>
        <v>-6375.1934960515173</v>
      </c>
      <c r="EY36" s="44">
        <f t="shared" ref="EY36:FB36" si="99">SUM(EY32:EY35)</f>
        <v>-6385.8188185449362</v>
      </c>
      <c r="EZ36" s="44">
        <f t="shared" si="99"/>
        <v>-6396.4618499091775</v>
      </c>
      <c r="FA36" s="44">
        <f t="shared" si="99"/>
        <v>-6407.1226196590269</v>
      </c>
      <c r="FB36" s="44">
        <f t="shared" si="99"/>
        <v>-6417.8011573584581</v>
      </c>
    </row>
    <row r="37" spans="2:158">
      <c r="B37" s="9" t="s">
        <v>53</v>
      </c>
      <c r="C37" s="46">
        <f>D37/$C$63</f>
        <v>119642.85714285719</v>
      </c>
      <c r="D37" s="46">
        <f>D24</f>
        <v>6700000.0000000028</v>
      </c>
      <c r="E37" s="180">
        <v>1</v>
      </c>
      <c r="F37" s="129">
        <v>1</v>
      </c>
      <c r="G37" s="271">
        <v>1</v>
      </c>
    </row>
    <row r="38" spans="2:158">
      <c r="B38" s="267">
        <v>7.4999999999999997E-3</v>
      </c>
      <c r="C38" s="46">
        <f>D38/$C$63</f>
        <v>897.32142857142901</v>
      </c>
      <c r="D38" s="46">
        <f>B38*D37</f>
        <v>50250.000000000022</v>
      </c>
      <c r="E38" s="180">
        <v>1</v>
      </c>
      <c r="F38" s="129">
        <v>1</v>
      </c>
      <c r="G38" s="271">
        <v>1</v>
      </c>
      <c r="I38" s="72" t="s">
        <v>65</v>
      </c>
      <c r="J38" s="73"/>
      <c r="K38" s="64"/>
      <c r="L38" s="72">
        <f>SUMIF($Z$4:$FB$4,"&lt;="&amp;$G$18,$Z38:$FB38)</f>
        <v>9050365.818797335</v>
      </c>
      <c r="M38" s="58"/>
      <c r="N38" s="72">
        <f>SUMIF($Z$3:$FB$3,N$7,$Z38:$FB38)</f>
        <v>0</v>
      </c>
      <c r="O38" s="72">
        <f t="shared" ref="O38:X38" si="100">SUMIF($Z$3:$FB$3,O$7,$Z38:$FB38)</f>
        <v>801998.09054983861</v>
      </c>
      <c r="P38" s="72">
        <f t="shared" si="100"/>
        <v>832583.71197626111</v>
      </c>
      <c r="Q38" s="72">
        <f t="shared" si="100"/>
        <v>858680.03146218928</v>
      </c>
      <c r="R38" s="72">
        <f t="shared" si="100"/>
        <v>881518.13837287447</v>
      </c>
      <c r="S38" s="72">
        <f t="shared" si="100"/>
        <v>899311.01401748811</v>
      </c>
      <c r="T38" s="72">
        <f t="shared" si="100"/>
        <v>917463.02739270893</v>
      </c>
      <c r="U38" s="72">
        <f t="shared" si="100"/>
        <v>935981.42746223055</v>
      </c>
      <c r="V38" s="72">
        <f t="shared" si="100"/>
        <v>954873.60950540798</v>
      </c>
      <c r="W38" s="72">
        <f t="shared" si="100"/>
        <v>974147.11807054467</v>
      </c>
      <c r="X38" s="72">
        <f t="shared" si="100"/>
        <v>993809.64998779073</v>
      </c>
      <c r="Y38" s="58"/>
      <c r="Z38" s="72">
        <f t="shared" ref="Z38:CK38" si="101">SUM(Z24,Z30,Z36)</f>
        <v>0</v>
      </c>
      <c r="AA38" s="72">
        <f t="shared" si="101"/>
        <v>65604.886995750014</v>
      </c>
      <c r="AB38" s="72">
        <f t="shared" si="101"/>
        <v>65714.228474076255</v>
      </c>
      <c r="AC38" s="72">
        <f t="shared" si="101"/>
        <v>65823.752188199724</v>
      </c>
      <c r="AD38" s="72">
        <f t="shared" si="101"/>
        <v>65933.458441846728</v>
      </c>
      <c r="AE38" s="72">
        <f t="shared" si="101"/>
        <v>66043.347539249808</v>
      </c>
      <c r="AF38" s="72">
        <f t="shared" si="101"/>
        <v>66153.419785148566</v>
      </c>
      <c r="AG38" s="72">
        <f t="shared" si="101"/>
        <v>66263.675484790481</v>
      </c>
      <c r="AH38" s="72">
        <f t="shared" si="101"/>
        <v>67865.668088739243</v>
      </c>
      <c r="AI38" s="72">
        <f t="shared" si="101"/>
        <v>67978.777535553803</v>
      </c>
      <c r="AJ38" s="72">
        <f t="shared" si="101"/>
        <v>68092.075498113089</v>
      </c>
      <c r="AK38" s="72">
        <f t="shared" si="101"/>
        <v>68205.562290609931</v>
      </c>
      <c r="AL38" s="72">
        <f t="shared" si="101"/>
        <v>68319.238227760958</v>
      </c>
      <c r="AM38" s="72">
        <f t="shared" si="101"/>
        <v>68433.10362480722</v>
      </c>
      <c r="AN38" s="72">
        <f t="shared" si="101"/>
        <v>68547.158797515236</v>
      </c>
      <c r="AO38" s="72">
        <f t="shared" si="101"/>
        <v>68661.404062177753</v>
      </c>
      <c r="AP38" s="72">
        <f t="shared" si="101"/>
        <v>68775.839735614732</v>
      </c>
      <c r="AQ38" s="72">
        <f t="shared" si="101"/>
        <v>68890.466135174094</v>
      </c>
      <c r="AR38" s="72">
        <f t="shared" si="101"/>
        <v>69005.28357873272</v>
      </c>
      <c r="AS38" s="72">
        <f t="shared" si="101"/>
        <v>69120.292384697284</v>
      </c>
      <c r="AT38" s="72">
        <f t="shared" si="101"/>
        <v>69996.322464005178</v>
      </c>
      <c r="AU38" s="72">
        <f t="shared" si="101"/>
        <v>70112.983001445202</v>
      </c>
      <c r="AV38" s="72">
        <f t="shared" si="101"/>
        <v>70229.837973114278</v>
      </c>
      <c r="AW38" s="72">
        <f t="shared" si="101"/>
        <v>70346.887703069471</v>
      </c>
      <c r="AX38" s="72">
        <f t="shared" si="101"/>
        <v>70464.132515907928</v>
      </c>
      <c r="AY38" s="72">
        <f t="shared" si="101"/>
        <v>70581.572736767761</v>
      </c>
      <c r="AZ38" s="72">
        <f t="shared" si="101"/>
        <v>70699.208691329055</v>
      </c>
      <c r="BA38" s="72">
        <f t="shared" si="101"/>
        <v>70817.040705814623</v>
      </c>
      <c r="BB38" s="72">
        <f t="shared" si="101"/>
        <v>70935.069106990966</v>
      </c>
      <c r="BC38" s="72">
        <f t="shared" si="101"/>
        <v>71053.294222169294</v>
      </c>
      <c r="BD38" s="72">
        <f t="shared" si="101"/>
        <v>71171.716379206264</v>
      </c>
      <c r="BE38" s="72">
        <f t="shared" si="101"/>
        <v>71290.33590650493</v>
      </c>
      <c r="BF38" s="72">
        <f t="shared" si="101"/>
        <v>72185.339580113781</v>
      </c>
      <c r="BG38" s="72">
        <f t="shared" si="101"/>
        <v>72305.648479413969</v>
      </c>
      <c r="BH38" s="72">
        <f t="shared" si="101"/>
        <v>72426.157893546333</v>
      </c>
      <c r="BI38" s="72">
        <f t="shared" si="101"/>
        <v>72546.868156702243</v>
      </c>
      <c r="BJ38" s="72">
        <f t="shared" si="101"/>
        <v>72667.779603630072</v>
      </c>
      <c r="BK38" s="72">
        <f t="shared" si="101"/>
        <v>72788.89256963614</v>
      </c>
      <c r="BL38" s="72">
        <f t="shared" si="101"/>
        <v>72910.207390585521</v>
      </c>
      <c r="BM38" s="72">
        <f t="shared" si="101"/>
        <v>73031.724402903172</v>
      </c>
      <c r="BN38" s="72">
        <f t="shared" si="101"/>
        <v>73153.443943574675</v>
      </c>
      <c r="BO38" s="72">
        <f t="shared" si="101"/>
        <v>73275.36635014732</v>
      </c>
      <c r="BP38" s="72">
        <f t="shared" si="101"/>
        <v>73397.491960730898</v>
      </c>
      <c r="BQ38" s="72">
        <f t="shared" si="101"/>
        <v>73519.821113998783</v>
      </c>
      <c r="BR38" s="72">
        <f t="shared" si="101"/>
        <v>73642.354149188788</v>
      </c>
      <c r="BS38" s="72">
        <f t="shared" si="101"/>
        <v>73765.091406104111</v>
      </c>
      <c r="BT38" s="72">
        <f t="shared" si="101"/>
        <v>73888.033225114283</v>
      </c>
      <c r="BU38" s="72">
        <f t="shared" si="101"/>
        <v>74011.179947156139</v>
      </c>
      <c r="BV38" s="72">
        <f t="shared" si="101"/>
        <v>74134.531913734725</v>
      </c>
      <c r="BW38" s="72">
        <f t="shared" si="101"/>
        <v>74258.089466924299</v>
      </c>
      <c r="BX38" s="72">
        <f t="shared" si="101"/>
        <v>74381.852949369175</v>
      </c>
      <c r="BY38" s="72">
        <f t="shared" si="101"/>
        <v>74505.822704284787</v>
      </c>
      <c r="BZ38" s="72">
        <f t="shared" si="101"/>
        <v>74629.999075458603</v>
      </c>
      <c r="CA38" s="72">
        <f t="shared" si="101"/>
        <v>74754.382407251032</v>
      </c>
      <c r="CB38" s="72">
        <f t="shared" si="101"/>
        <v>74878.973044596452</v>
      </c>
      <c r="CC38" s="72">
        <f t="shared" si="101"/>
        <v>75003.771333004115</v>
      </c>
      <c r="CD38" s="72">
        <f t="shared" si="101"/>
        <v>75128.777618559136</v>
      </c>
      <c r="CE38" s="72">
        <f t="shared" si="101"/>
        <v>75253.992247923408</v>
      </c>
      <c r="CF38" s="72">
        <f t="shared" si="101"/>
        <v>75379.415568336612</v>
      </c>
      <c r="CG38" s="72">
        <f t="shared" si="101"/>
        <v>75505.047927617154</v>
      </c>
      <c r="CH38" s="72">
        <f t="shared" si="101"/>
        <v>75630.889674163191</v>
      </c>
      <c r="CI38" s="72">
        <f t="shared" si="101"/>
        <v>75756.941156953471</v>
      </c>
      <c r="CJ38" s="72">
        <f t="shared" si="101"/>
        <v>75883.202725548399</v>
      </c>
      <c r="CK38" s="72">
        <f t="shared" si="101"/>
        <v>76009.674730090963</v>
      </c>
      <c r="CL38" s="72">
        <f t="shared" ref="CL38:EW38" si="102">SUM(CL24,CL30,CL36)</f>
        <v>76136.357521307815</v>
      </c>
      <c r="CM38" s="72">
        <f t="shared" si="102"/>
        <v>76263.251450509983</v>
      </c>
      <c r="CN38" s="72">
        <f t="shared" si="102"/>
        <v>76390.356869594165</v>
      </c>
      <c r="CO38" s="72">
        <f t="shared" si="102"/>
        <v>76517.674131043488</v>
      </c>
      <c r="CP38" s="72">
        <f t="shared" si="102"/>
        <v>76645.203587928569</v>
      </c>
      <c r="CQ38" s="72">
        <f t="shared" si="102"/>
        <v>76772.945593908444</v>
      </c>
      <c r="CR38" s="72">
        <f t="shared" si="102"/>
        <v>76900.900503231635</v>
      </c>
      <c r="CS38" s="72">
        <f t="shared" si="102"/>
        <v>77029.068670737019</v>
      </c>
      <c r="CT38" s="72">
        <f t="shared" si="102"/>
        <v>77157.450451854922</v>
      </c>
      <c r="CU38" s="72">
        <f t="shared" si="102"/>
        <v>77286.046202607991</v>
      </c>
      <c r="CV38" s="72">
        <f t="shared" si="102"/>
        <v>77414.856279612344</v>
      </c>
      <c r="CW38" s="72">
        <f t="shared" si="102"/>
        <v>77543.881040078384</v>
      </c>
      <c r="CX38" s="72">
        <f t="shared" si="102"/>
        <v>77673.120841811833</v>
      </c>
      <c r="CY38" s="72">
        <f t="shared" si="102"/>
        <v>77802.576043214882</v>
      </c>
      <c r="CZ38" s="72">
        <f t="shared" si="102"/>
        <v>77932.247003286888</v>
      </c>
      <c r="DA38" s="72">
        <f t="shared" si="102"/>
        <v>78062.134081625714</v>
      </c>
      <c r="DB38" s="72">
        <f t="shared" si="102"/>
        <v>78192.237638428414</v>
      </c>
      <c r="DC38" s="72">
        <f t="shared" si="102"/>
        <v>78322.558034492467</v>
      </c>
      <c r="DD38" s="72">
        <f t="shared" si="102"/>
        <v>78453.095631216609</v>
      </c>
      <c r="DE38" s="72">
        <f t="shared" si="102"/>
        <v>78583.85079060198</v>
      </c>
      <c r="DF38" s="72">
        <f t="shared" si="102"/>
        <v>78714.823875252987</v>
      </c>
      <c r="DG38" s="72">
        <f t="shared" si="102"/>
        <v>78846.015248378419</v>
      </c>
      <c r="DH38" s="72">
        <f t="shared" si="102"/>
        <v>78977.425273792396</v>
      </c>
      <c r="DI38" s="72">
        <f t="shared" si="102"/>
        <v>79109.054315915375</v>
      </c>
      <c r="DJ38" s="72">
        <f t="shared" si="102"/>
        <v>79240.902739775236</v>
      </c>
      <c r="DK38" s="72">
        <f t="shared" si="102"/>
        <v>79372.970911008189</v>
      </c>
      <c r="DL38" s="72">
        <f t="shared" si="102"/>
        <v>79505.259195859864</v>
      </c>
      <c r="DM38" s="72">
        <f t="shared" si="102"/>
        <v>79637.767961186313</v>
      </c>
      <c r="DN38" s="72">
        <f t="shared" si="102"/>
        <v>79770.497574454959</v>
      </c>
      <c r="DO38" s="72">
        <f t="shared" si="102"/>
        <v>79903.44840374573</v>
      </c>
      <c r="DP38" s="72">
        <f t="shared" si="102"/>
        <v>80036.620817751973</v>
      </c>
      <c r="DQ38" s="72">
        <f t="shared" si="102"/>
        <v>80170.015185781565</v>
      </c>
      <c r="DR38" s="72">
        <f t="shared" si="102"/>
        <v>80303.631877757885</v>
      </c>
      <c r="DS38" s="72">
        <f t="shared" si="102"/>
        <v>80437.471264220818</v>
      </c>
      <c r="DT38" s="72">
        <f t="shared" si="102"/>
        <v>80571.533716327845</v>
      </c>
      <c r="DU38" s="72">
        <f t="shared" si="102"/>
        <v>80705.819605855067</v>
      </c>
      <c r="DV38" s="72">
        <f t="shared" si="102"/>
        <v>80840.32930519816</v>
      </c>
      <c r="DW38" s="72">
        <f t="shared" si="102"/>
        <v>80975.063187373496</v>
      </c>
      <c r="DX38" s="72">
        <f t="shared" si="102"/>
        <v>81110.021626019123</v>
      </c>
      <c r="DY38" s="72">
        <f t="shared" si="102"/>
        <v>81245.204995395834</v>
      </c>
      <c r="DZ38" s="72">
        <f t="shared" si="102"/>
        <v>81380.613670388164</v>
      </c>
      <c r="EA38" s="72">
        <f t="shared" si="102"/>
        <v>81516.248026505476</v>
      </c>
      <c r="EB38" s="72">
        <f t="shared" si="102"/>
        <v>81652.108439882999</v>
      </c>
      <c r="EC38" s="72">
        <f t="shared" si="102"/>
        <v>81788.195287282797</v>
      </c>
      <c r="ED38" s="72">
        <f t="shared" si="102"/>
        <v>81924.508946094953</v>
      </c>
      <c r="EE38" s="72">
        <f t="shared" si="102"/>
        <v>82061.04979433844</v>
      </c>
      <c r="EF38" s="72">
        <f t="shared" si="102"/>
        <v>82197.818210662343</v>
      </c>
      <c r="EG38" s="72">
        <f t="shared" si="102"/>
        <v>82334.814574346776</v>
      </c>
      <c r="EH38" s="72">
        <f t="shared" si="102"/>
        <v>82472.039265304018</v>
      </c>
      <c r="EI38" s="72">
        <f t="shared" si="102"/>
        <v>82609.49266407956</v>
      </c>
      <c r="EJ38" s="72">
        <f t="shared" si="102"/>
        <v>82747.175151853022</v>
      </c>
      <c r="EK38" s="72">
        <f t="shared" si="102"/>
        <v>82885.087110439446</v>
      </c>
      <c r="EL38" s="72">
        <f t="shared" si="102"/>
        <v>83023.228922290189</v>
      </c>
      <c r="EM38" s="72">
        <f t="shared" si="102"/>
        <v>83161.600970494008</v>
      </c>
      <c r="EN38" s="72">
        <f t="shared" si="102"/>
        <v>83300.20363877817</v>
      </c>
      <c r="EO38" s="72">
        <f t="shared" si="102"/>
        <v>83439.037311509455</v>
      </c>
      <c r="EP38" s="72">
        <f t="shared" si="102"/>
        <v>83578.102373695336</v>
      </c>
      <c r="EQ38" s="72">
        <f t="shared" si="102"/>
        <v>83717.399210984819</v>
      </c>
      <c r="ER38" s="72">
        <f t="shared" si="102"/>
        <v>83856.928209669786</v>
      </c>
      <c r="ES38" s="72">
        <f t="shared" si="102"/>
        <v>83996.689756685926</v>
      </c>
      <c r="ET38" s="72">
        <f t="shared" si="102"/>
        <v>84136.684239613722</v>
      </c>
      <c r="EU38" s="72">
        <f t="shared" si="102"/>
        <v>84276.912046679747</v>
      </c>
      <c r="EV38" s="72">
        <f t="shared" si="102"/>
        <v>84417.373566757553</v>
      </c>
      <c r="EW38" s="72">
        <f t="shared" si="102"/>
        <v>84558.069189368834</v>
      </c>
      <c r="EX38" s="72">
        <f t="shared" ref="EX38:FB38" si="103">SUM(EX24,EX30,EX36)</f>
        <v>84698.999304684432</v>
      </c>
      <c r="EY38" s="72">
        <f t="shared" si="103"/>
        <v>84840.164303525569</v>
      </c>
      <c r="EZ38" s="72">
        <f t="shared" si="103"/>
        <v>84981.564577364799</v>
      </c>
      <c r="FA38" s="72">
        <f t="shared" si="103"/>
        <v>85123.200518327067</v>
      </c>
      <c r="FB38" s="72">
        <f t="shared" si="103"/>
        <v>85265.072519190959</v>
      </c>
    </row>
    <row r="39" spans="2:158">
      <c r="B39" s="153" t="s">
        <v>184</v>
      </c>
      <c r="C39" s="46">
        <f>D39/$C$63</f>
        <v>8847.0105357142857</v>
      </c>
      <c r="D39" s="46">
        <v>495432.59</v>
      </c>
      <c r="E39" s="180">
        <v>1</v>
      </c>
      <c r="F39" s="129">
        <v>1</v>
      </c>
      <c r="G39" s="271">
        <v>1</v>
      </c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0"/>
      <c r="BD39" s="70"/>
      <c r="BE39" s="70"/>
      <c r="BF39" s="70"/>
      <c r="BG39" s="70"/>
      <c r="BH39" s="70"/>
      <c r="BI39" s="70"/>
      <c r="BJ39" s="70"/>
      <c r="BK39" s="70"/>
      <c r="BL39" s="70"/>
      <c r="BM39" s="70"/>
      <c r="BN39" s="70"/>
      <c r="BO39" s="70"/>
      <c r="BP39" s="70"/>
      <c r="BQ39" s="70"/>
      <c r="BR39" s="70"/>
      <c r="BS39" s="70"/>
      <c r="BT39" s="70"/>
      <c r="BU39" s="70"/>
      <c r="BV39" s="70"/>
      <c r="BW39" s="70"/>
      <c r="BX39" s="70"/>
      <c r="BY39" s="70"/>
      <c r="BZ39" s="70"/>
      <c r="CA39" s="70"/>
      <c r="CB39" s="70"/>
      <c r="CC39" s="70"/>
      <c r="CD39" s="70"/>
      <c r="CE39" s="70"/>
      <c r="CF39" s="70"/>
      <c r="CG39" s="70"/>
      <c r="CH39" s="70"/>
      <c r="CI39" s="70"/>
      <c r="CJ39" s="70"/>
      <c r="CK39" s="70"/>
      <c r="CL39" s="70"/>
      <c r="CM39" s="70"/>
      <c r="CN39" s="70"/>
      <c r="CO39" s="70"/>
      <c r="CP39" s="70"/>
      <c r="CQ39" s="70"/>
      <c r="CR39" s="70"/>
      <c r="CS39" s="70"/>
      <c r="CT39" s="70"/>
      <c r="CU39" s="70"/>
      <c r="CV39" s="70"/>
      <c r="CW39" s="70"/>
      <c r="CX39" s="70"/>
      <c r="CY39" s="70"/>
      <c r="CZ39" s="70"/>
      <c r="DA39" s="70"/>
      <c r="DB39" s="70"/>
      <c r="DC39" s="70"/>
      <c r="DD39" s="70"/>
      <c r="DE39" s="70"/>
      <c r="DF39" s="70"/>
      <c r="DG39" s="70"/>
      <c r="DH39" s="70"/>
      <c r="DI39" s="70"/>
      <c r="DJ39" s="70"/>
      <c r="DK39" s="70"/>
      <c r="DL39" s="70"/>
      <c r="DM39" s="70"/>
      <c r="DN39" s="70"/>
      <c r="DO39" s="70"/>
      <c r="DP39" s="70"/>
      <c r="DQ39" s="70"/>
      <c r="DR39" s="70"/>
      <c r="DS39" s="70"/>
      <c r="DT39" s="70"/>
      <c r="DU39" s="70"/>
      <c r="DV39" s="70"/>
      <c r="DW39" s="70"/>
      <c r="DX39" s="70"/>
      <c r="DY39" s="70"/>
      <c r="DZ39" s="70"/>
      <c r="EA39" s="70"/>
      <c r="EB39" s="70"/>
      <c r="EC39" s="70"/>
      <c r="ED39" s="70"/>
      <c r="EE39" s="70"/>
      <c r="EF39" s="70"/>
      <c r="EG39" s="70"/>
      <c r="EH39" s="70"/>
      <c r="EI39" s="70"/>
      <c r="EJ39" s="70"/>
      <c r="EK39" s="70"/>
      <c r="EL39" s="70"/>
      <c r="EM39" s="70"/>
      <c r="EN39" s="70"/>
      <c r="EO39" s="70"/>
      <c r="EP39" s="70"/>
      <c r="EQ39" s="70"/>
      <c r="ER39" s="70"/>
      <c r="ES39" s="70"/>
      <c r="ET39" s="70"/>
      <c r="EU39" s="70"/>
      <c r="EV39" s="70"/>
      <c r="EW39" s="70"/>
      <c r="EX39" s="70"/>
      <c r="EY39" s="70"/>
      <c r="EZ39" s="70"/>
      <c r="FA39" s="70"/>
      <c r="FB39" s="70"/>
    </row>
    <row r="40" spans="2:158">
      <c r="B40" s="66" t="s">
        <v>57</v>
      </c>
      <c r="C40" s="67">
        <f>D40/$C$63</f>
        <v>839.28571428571433</v>
      </c>
      <c r="D40" s="67">
        <f>D49</f>
        <v>47000</v>
      </c>
      <c r="E40" s="180">
        <v>1</v>
      </c>
      <c r="F40" s="129">
        <v>1</v>
      </c>
      <c r="G40" s="271">
        <v>1</v>
      </c>
      <c r="I40" s="53" t="s">
        <v>66</v>
      </c>
      <c r="J40" s="53"/>
      <c r="K40" s="197"/>
    </row>
    <row r="41" spans="2:158">
      <c r="B41" s="15" t="s">
        <v>15</v>
      </c>
      <c r="C41" s="44">
        <f>D41/$C$63</f>
        <v>130226.47482142862</v>
      </c>
      <c r="D41" s="44">
        <f>SUM(D37:D40)</f>
        <v>7292682.5900000026</v>
      </c>
      <c r="E41" s="181"/>
      <c r="I41" s="15" t="s">
        <v>67</v>
      </c>
      <c r="J41" s="74" t="s">
        <v>68</v>
      </c>
      <c r="K41" s="75"/>
      <c r="L41" s="144" t="s">
        <v>15</v>
      </c>
      <c r="M41" s="75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5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4"/>
      <c r="ED41" s="24"/>
      <c r="EE41" s="24"/>
      <c r="EF41" s="24"/>
      <c r="EG41" s="24"/>
      <c r="EH41" s="24"/>
      <c r="EI41" s="24"/>
      <c r="EJ41" s="24"/>
      <c r="EK41" s="24"/>
      <c r="EL41" s="24"/>
      <c r="EM41" s="24"/>
      <c r="EN41" s="24"/>
      <c r="EO41" s="24"/>
      <c r="EP41" s="24"/>
      <c r="EQ41" s="24"/>
      <c r="ER41" s="24"/>
      <c r="ES41" s="24"/>
      <c r="ET41" s="24"/>
      <c r="EU41" s="24"/>
      <c r="EV41" s="24"/>
      <c r="EW41" s="24"/>
      <c r="EX41" s="24"/>
      <c r="EY41" s="24"/>
      <c r="EZ41" s="24"/>
      <c r="FA41" s="24"/>
      <c r="FB41" s="24"/>
    </row>
    <row r="42" spans="2:158">
      <c r="B42" s="15"/>
      <c r="C42" s="15"/>
      <c r="D42" s="190"/>
      <c r="E42" s="44"/>
      <c r="F42" s="15"/>
      <c r="I42" s="9" t="s">
        <v>69</v>
      </c>
      <c r="J42" s="101">
        <v>0</v>
      </c>
      <c r="K42" s="62"/>
      <c r="L42" s="24">
        <f t="shared" ref="L42:L49" si="104">SUMIF($Z$4:$FB$4,"&lt;="&amp;$G$18,$Z42:$FB42)</f>
        <v>0</v>
      </c>
      <c r="M42" s="62"/>
      <c r="N42" s="61">
        <f t="shared" ref="N42:N49" si="105">SUMIF($Z$3:$FB$3,N$7,$Z42:$FB42)</f>
        <v>0</v>
      </c>
      <c r="O42" s="61">
        <f t="shared" ref="O42:X49" si="106">SUMIF($Z$3:$FB$3,O$7,$Z42:$FB42)</f>
        <v>0</v>
      </c>
      <c r="P42" s="61">
        <f t="shared" si="106"/>
        <v>0</v>
      </c>
      <c r="Q42" s="61">
        <f t="shared" si="106"/>
        <v>0</v>
      </c>
      <c r="R42" s="61">
        <f t="shared" si="106"/>
        <v>0</v>
      </c>
      <c r="S42" s="61">
        <f t="shared" si="106"/>
        <v>0</v>
      </c>
      <c r="T42" s="61">
        <f t="shared" si="106"/>
        <v>0</v>
      </c>
      <c r="U42" s="61">
        <f t="shared" si="106"/>
        <v>0</v>
      </c>
      <c r="V42" s="61">
        <f t="shared" si="106"/>
        <v>0</v>
      </c>
      <c r="W42" s="61">
        <f t="shared" si="106"/>
        <v>0</v>
      </c>
      <c r="X42" s="61">
        <f t="shared" si="106"/>
        <v>0</v>
      </c>
      <c r="Y42" s="62"/>
      <c r="Z42" s="24">
        <v>0</v>
      </c>
      <c r="AA42" s="24">
        <f t="shared" ref="AA42:AJ48" si="107">$J42/12*AA$14*$C$63</f>
        <v>0</v>
      </c>
      <c r="AB42" s="24">
        <f t="shared" si="107"/>
        <v>0</v>
      </c>
      <c r="AC42" s="24">
        <f t="shared" si="107"/>
        <v>0</v>
      </c>
      <c r="AD42" s="24">
        <f t="shared" si="107"/>
        <v>0</v>
      </c>
      <c r="AE42" s="24">
        <f t="shared" si="107"/>
        <v>0</v>
      </c>
      <c r="AF42" s="24">
        <f t="shared" si="107"/>
        <v>0</v>
      </c>
      <c r="AG42" s="24">
        <f t="shared" si="107"/>
        <v>0</v>
      </c>
      <c r="AH42" s="24">
        <f t="shared" si="107"/>
        <v>0</v>
      </c>
      <c r="AI42" s="24">
        <f t="shared" si="107"/>
        <v>0</v>
      </c>
      <c r="AJ42" s="24">
        <f t="shared" si="107"/>
        <v>0</v>
      </c>
      <c r="AK42" s="24">
        <f t="shared" ref="AK42:AT48" si="108">$J42/12*AK$14*$C$63</f>
        <v>0</v>
      </c>
      <c r="AL42" s="24">
        <f t="shared" si="108"/>
        <v>0</v>
      </c>
      <c r="AM42" s="24">
        <f t="shared" si="108"/>
        <v>0</v>
      </c>
      <c r="AN42" s="24">
        <f t="shared" si="108"/>
        <v>0</v>
      </c>
      <c r="AO42" s="24">
        <f t="shared" si="108"/>
        <v>0</v>
      </c>
      <c r="AP42" s="24">
        <f t="shared" si="108"/>
        <v>0</v>
      </c>
      <c r="AQ42" s="24">
        <f t="shared" si="108"/>
        <v>0</v>
      </c>
      <c r="AR42" s="24">
        <f t="shared" si="108"/>
        <v>0</v>
      </c>
      <c r="AS42" s="24">
        <f t="shared" si="108"/>
        <v>0</v>
      </c>
      <c r="AT42" s="24">
        <f t="shared" si="108"/>
        <v>0</v>
      </c>
      <c r="AU42" s="24">
        <f t="shared" ref="AU42:BD48" si="109">$J42/12*AU$14*$C$63</f>
        <v>0</v>
      </c>
      <c r="AV42" s="24">
        <f t="shared" si="109"/>
        <v>0</v>
      </c>
      <c r="AW42" s="24">
        <f t="shared" si="109"/>
        <v>0</v>
      </c>
      <c r="AX42" s="24">
        <f t="shared" si="109"/>
        <v>0</v>
      </c>
      <c r="AY42" s="24">
        <f t="shared" si="109"/>
        <v>0</v>
      </c>
      <c r="AZ42" s="24">
        <f t="shared" si="109"/>
        <v>0</v>
      </c>
      <c r="BA42" s="24">
        <f t="shared" si="109"/>
        <v>0</v>
      </c>
      <c r="BB42" s="24">
        <f t="shared" si="109"/>
        <v>0</v>
      </c>
      <c r="BC42" s="24">
        <f t="shared" si="109"/>
        <v>0</v>
      </c>
      <c r="BD42" s="24">
        <f t="shared" si="109"/>
        <v>0</v>
      </c>
      <c r="BE42" s="24">
        <f t="shared" ref="BE42:BN48" si="110">$J42/12*BE$14*$C$63</f>
        <v>0</v>
      </c>
      <c r="BF42" s="24">
        <f t="shared" si="110"/>
        <v>0</v>
      </c>
      <c r="BG42" s="24">
        <f t="shared" si="110"/>
        <v>0</v>
      </c>
      <c r="BH42" s="24">
        <f t="shared" si="110"/>
        <v>0</v>
      </c>
      <c r="BI42" s="24">
        <f t="shared" si="110"/>
        <v>0</v>
      </c>
      <c r="BJ42" s="24">
        <f t="shared" si="110"/>
        <v>0</v>
      </c>
      <c r="BK42" s="24">
        <f t="shared" si="110"/>
        <v>0</v>
      </c>
      <c r="BL42" s="24">
        <f t="shared" si="110"/>
        <v>0</v>
      </c>
      <c r="BM42" s="24">
        <f t="shared" si="110"/>
        <v>0</v>
      </c>
      <c r="BN42" s="24">
        <f t="shared" si="110"/>
        <v>0</v>
      </c>
      <c r="BO42" s="24">
        <f t="shared" ref="BO42:BX48" si="111">$J42/12*BO$14*$C$63</f>
        <v>0</v>
      </c>
      <c r="BP42" s="24">
        <f t="shared" si="111"/>
        <v>0</v>
      </c>
      <c r="BQ42" s="24">
        <f t="shared" si="111"/>
        <v>0</v>
      </c>
      <c r="BR42" s="24">
        <f t="shared" si="111"/>
        <v>0</v>
      </c>
      <c r="BS42" s="24">
        <f t="shared" si="111"/>
        <v>0</v>
      </c>
      <c r="BT42" s="24">
        <f t="shared" si="111"/>
        <v>0</v>
      </c>
      <c r="BU42" s="24">
        <f t="shared" si="111"/>
        <v>0</v>
      </c>
      <c r="BV42" s="24">
        <f t="shared" si="111"/>
        <v>0</v>
      </c>
      <c r="BW42" s="24">
        <f t="shared" si="111"/>
        <v>0</v>
      </c>
      <c r="BX42" s="24">
        <f t="shared" si="111"/>
        <v>0</v>
      </c>
      <c r="BY42" s="24">
        <f t="shared" ref="BY42:CH48" si="112">$J42/12*BY$14*$C$63</f>
        <v>0</v>
      </c>
      <c r="BZ42" s="24">
        <f t="shared" si="112"/>
        <v>0</v>
      </c>
      <c r="CA42" s="24">
        <f t="shared" si="112"/>
        <v>0</v>
      </c>
      <c r="CB42" s="24">
        <f t="shared" si="112"/>
        <v>0</v>
      </c>
      <c r="CC42" s="24">
        <f t="shared" si="112"/>
        <v>0</v>
      </c>
      <c r="CD42" s="24">
        <f t="shared" si="112"/>
        <v>0</v>
      </c>
      <c r="CE42" s="24">
        <f t="shared" si="112"/>
        <v>0</v>
      </c>
      <c r="CF42" s="24">
        <f t="shared" si="112"/>
        <v>0</v>
      </c>
      <c r="CG42" s="24">
        <f t="shared" si="112"/>
        <v>0</v>
      </c>
      <c r="CH42" s="24">
        <f t="shared" si="112"/>
        <v>0</v>
      </c>
      <c r="CI42" s="24">
        <f t="shared" ref="CI42:CR48" si="113">$J42/12*CI$14*$C$63</f>
        <v>0</v>
      </c>
      <c r="CJ42" s="24">
        <f t="shared" si="113"/>
        <v>0</v>
      </c>
      <c r="CK42" s="24">
        <f t="shared" si="113"/>
        <v>0</v>
      </c>
      <c r="CL42" s="24">
        <f t="shared" si="113"/>
        <v>0</v>
      </c>
      <c r="CM42" s="24">
        <f t="shared" si="113"/>
        <v>0</v>
      </c>
      <c r="CN42" s="24">
        <f t="shared" si="113"/>
        <v>0</v>
      </c>
      <c r="CO42" s="24">
        <f t="shared" si="113"/>
        <v>0</v>
      </c>
      <c r="CP42" s="24">
        <f t="shared" si="113"/>
        <v>0</v>
      </c>
      <c r="CQ42" s="24">
        <f t="shared" si="113"/>
        <v>0</v>
      </c>
      <c r="CR42" s="24">
        <f t="shared" si="113"/>
        <v>0</v>
      </c>
      <c r="CS42" s="24">
        <f t="shared" ref="CS42:DB48" si="114">$J42/12*CS$14*$C$63</f>
        <v>0</v>
      </c>
      <c r="CT42" s="24">
        <f t="shared" si="114"/>
        <v>0</v>
      </c>
      <c r="CU42" s="24">
        <f t="shared" si="114"/>
        <v>0</v>
      </c>
      <c r="CV42" s="24">
        <f t="shared" si="114"/>
        <v>0</v>
      </c>
      <c r="CW42" s="24">
        <f t="shared" si="114"/>
        <v>0</v>
      </c>
      <c r="CX42" s="24">
        <f t="shared" si="114"/>
        <v>0</v>
      </c>
      <c r="CY42" s="24">
        <f t="shared" si="114"/>
        <v>0</v>
      </c>
      <c r="CZ42" s="24">
        <f t="shared" si="114"/>
        <v>0</v>
      </c>
      <c r="DA42" s="24">
        <f t="shared" si="114"/>
        <v>0</v>
      </c>
      <c r="DB42" s="24">
        <f t="shared" si="114"/>
        <v>0</v>
      </c>
      <c r="DC42" s="24">
        <f t="shared" ref="DC42:DL48" si="115">$J42/12*DC$14*$C$63</f>
        <v>0</v>
      </c>
      <c r="DD42" s="24">
        <f t="shared" si="115"/>
        <v>0</v>
      </c>
      <c r="DE42" s="24">
        <f t="shared" si="115"/>
        <v>0</v>
      </c>
      <c r="DF42" s="24">
        <f t="shared" si="115"/>
        <v>0</v>
      </c>
      <c r="DG42" s="24">
        <f t="shared" si="115"/>
        <v>0</v>
      </c>
      <c r="DH42" s="24">
        <f t="shared" si="115"/>
        <v>0</v>
      </c>
      <c r="DI42" s="24">
        <f t="shared" si="115"/>
        <v>0</v>
      </c>
      <c r="DJ42" s="24">
        <f t="shared" si="115"/>
        <v>0</v>
      </c>
      <c r="DK42" s="24">
        <f t="shared" si="115"/>
        <v>0</v>
      </c>
      <c r="DL42" s="24">
        <f t="shared" si="115"/>
        <v>0</v>
      </c>
      <c r="DM42" s="24">
        <f t="shared" ref="DM42:DV48" si="116">$J42/12*DM$14*$C$63</f>
        <v>0</v>
      </c>
      <c r="DN42" s="24">
        <f t="shared" si="116"/>
        <v>0</v>
      </c>
      <c r="DO42" s="24">
        <f t="shared" si="116"/>
        <v>0</v>
      </c>
      <c r="DP42" s="24">
        <f t="shared" si="116"/>
        <v>0</v>
      </c>
      <c r="DQ42" s="24">
        <f t="shared" si="116"/>
        <v>0</v>
      </c>
      <c r="DR42" s="24">
        <f t="shared" si="116"/>
        <v>0</v>
      </c>
      <c r="DS42" s="24">
        <f t="shared" si="116"/>
        <v>0</v>
      </c>
      <c r="DT42" s="24">
        <f t="shared" si="116"/>
        <v>0</v>
      </c>
      <c r="DU42" s="24">
        <f t="shared" si="116"/>
        <v>0</v>
      </c>
      <c r="DV42" s="24">
        <f t="shared" si="116"/>
        <v>0</v>
      </c>
      <c r="DW42" s="24">
        <f t="shared" ref="DW42:EF48" si="117">$J42/12*DW$14*$C$63</f>
        <v>0</v>
      </c>
      <c r="DX42" s="24">
        <f t="shared" si="117"/>
        <v>0</v>
      </c>
      <c r="DY42" s="24">
        <f t="shared" si="117"/>
        <v>0</v>
      </c>
      <c r="DZ42" s="24">
        <f t="shared" si="117"/>
        <v>0</v>
      </c>
      <c r="EA42" s="24">
        <f t="shared" si="117"/>
        <v>0</v>
      </c>
      <c r="EB42" s="24">
        <f t="shared" si="117"/>
        <v>0</v>
      </c>
      <c r="EC42" s="24">
        <f t="shared" si="117"/>
        <v>0</v>
      </c>
      <c r="ED42" s="24">
        <f t="shared" si="117"/>
        <v>0</v>
      </c>
      <c r="EE42" s="24">
        <f t="shared" si="117"/>
        <v>0</v>
      </c>
      <c r="EF42" s="24">
        <f t="shared" si="117"/>
        <v>0</v>
      </c>
      <c r="EG42" s="24">
        <f t="shared" ref="EG42:EP48" si="118">$J42/12*EG$14*$C$63</f>
        <v>0</v>
      </c>
      <c r="EH42" s="24">
        <f t="shared" si="118"/>
        <v>0</v>
      </c>
      <c r="EI42" s="24">
        <f t="shared" si="118"/>
        <v>0</v>
      </c>
      <c r="EJ42" s="24">
        <f t="shared" si="118"/>
        <v>0</v>
      </c>
      <c r="EK42" s="24">
        <f t="shared" si="118"/>
        <v>0</v>
      </c>
      <c r="EL42" s="24">
        <f t="shared" si="118"/>
        <v>0</v>
      </c>
      <c r="EM42" s="24">
        <f t="shared" si="118"/>
        <v>0</v>
      </c>
      <c r="EN42" s="24">
        <f t="shared" si="118"/>
        <v>0</v>
      </c>
      <c r="EO42" s="24">
        <f t="shared" si="118"/>
        <v>0</v>
      </c>
      <c r="EP42" s="24">
        <f t="shared" si="118"/>
        <v>0</v>
      </c>
      <c r="EQ42" s="24">
        <f t="shared" ref="EQ42:FB48" si="119">$J42/12*EQ$14*$C$63</f>
        <v>0</v>
      </c>
      <c r="ER42" s="24">
        <f t="shared" si="119"/>
        <v>0</v>
      </c>
      <c r="ES42" s="24">
        <f t="shared" si="119"/>
        <v>0</v>
      </c>
      <c r="ET42" s="24">
        <f t="shared" si="119"/>
        <v>0</v>
      </c>
      <c r="EU42" s="24">
        <f t="shared" si="119"/>
        <v>0</v>
      </c>
      <c r="EV42" s="24">
        <f t="shared" si="119"/>
        <v>0</v>
      </c>
      <c r="EW42" s="24">
        <f t="shared" si="119"/>
        <v>0</v>
      </c>
      <c r="EX42" s="24">
        <f t="shared" si="119"/>
        <v>0</v>
      </c>
      <c r="EY42" s="24">
        <f t="shared" si="119"/>
        <v>0</v>
      </c>
      <c r="EZ42" s="24">
        <f t="shared" si="119"/>
        <v>0</v>
      </c>
      <c r="FA42" s="24">
        <f t="shared" si="119"/>
        <v>0</v>
      </c>
      <c r="FB42" s="24">
        <f t="shared" si="119"/>
        <v>0</v>
      </c>
    </row>
    <row r="43" spans="2:158">
      <c r="B43" s="7" t="s">
        <v>70</v>
      </c>
      <c r="C43" s="7"/>
      <c r="D43" s="7"/>
      <c r="E43" s="7"/>
      <c r="F43" s="7"/>
      <c r="G43" s="7"/>
      <c r="I43" s="9" t="s">
        <v>71</v>
      </c>
      <c r="J43" s="101">
        <v>1183.48</v>
      </c>
      <c r="K43" s="62"/>
      <c r="L43" s="24">
        <f t="shared" si="104"/>
        <v>734219.96059322706</v>
      </c>
      <c r="M43" s="62"/>
      <c r="N43" s="61">
        <f t="shared" si="105"/>
        <v>0</v>
      </c>
      <c r="O43" s="61">
        <f t="shared" si="106"/>
        <v>66997.26384599664</v>
      </c>
      <c r="P43" s="61">
        <f t="shared" si="106"/>
        <v>68349.560449151642</v>
      </c>
      <c r="Q43" s="61">
        <f t="shared" si="106"/>
        <v>69729.152287931618</v>
      </c>
      <c r="R43" s="61">
        <f t="shared" si="106"/>
        <v>71136.590299080824</v>
      </c>
      <c r="S43" s="61">
        <f t="shared" si="106"/>
        <v>72572.436539646733</v>
      </c>
      <c r="T43" s="61">
        <f t="shared" si="106"/>
        <v>74037.264411436161</v>
      </c>
      <c r="U43" s="61">
        <f t="shared" si="106"/>
        <v>75531.658890001985</v>
      </c>
      <c r="V43" s="61">
        <f t="shared" si="106"/>
        <v>77056.216758251627</v>
      </c>
      <c r="W43" s="61">
        <f t="shared" si="106"/>
        <v>78611.546844771088</v>
      </c>
      <c r="X43" s="61">
        <f t="shared" si="106"/>
        <v>80198.270266959007</v>
      </c>
      <c r="Y43" s="62"/>
      <c r="Z43" s="24">
        <v>0</v>
      </c>
      <c r="AA43" s="24">
        <f t="shared" si="107"/>
        <v>5532.1115111111112</v>
      </c>
      <c r="AB43" s="24">
        <f t="shared" si="107"/>
        <v>5541.3316969629632</v>
      </c>
      <c r="AC43" s="24">
        <f t="shared" si="107"/>
        <v>5550.5672497912346</v>
      </c>
      <c r="AD43" s="24">
        <f t="shared" si="107"/>
        <v>5559.8181952075547</v>
      </c>
      <c r="AE43" s="24">
        <f t="shared" si="107"/>
        <v>5569.0845588662341</v>
      </c>
      <c r="AF43" s="24">
        <f t="shared" si="107"/>
        <v>5578.3663664643445</v>
      </c>
      <c r="AG43" s="24">
        <f t="shared" si="107"/>
        <v>5587.6636437417856</v>
      </c>
      <c r="AH43" s="24">
        <f t="shared" si="107"/>
        <v>5596.976416481355</v>
      </c>
      <c r="AI43" s="24">
        <f t="shared" si="107"/>
        <v>5606.3047105088235</v>
      </c>
      <c r="AJ43" s="24">
        <f t="shared" si="107"/>
        <v>5615.6485516930061</v>
      </c>
      <c r="AK43" s="24">
        <f t="shared" si="108"/>
        <v>5625.0079659458279</v>
      </c>
      <c r="AL43" s="24">
        <f t="shared" si="108"/>
        <v>5634.3829792224042</v>
      </c>
      <c r="AM43" s="24">
        <f t="shared" si="108"/>
        <v>5643.7736175211085</v>
      </c>
      <c r="AN43" s="24">
        <f t="shared" si="108"/>
        <v>5653.1799068836435</v>
      </c>
      <c r="AO43" s="24">
        <f t="shared" si="108"/>
        <v>5662.6018733951159</v>
      </c>
      <c r="AP43" s="24">
        <f t="shared" si="108"/>
        <v>5672.039543184108</v>
      </c>
      <c r="AQ43" s="24">
        <f t="shared" si="108"/>
        <v>5681.4929424227475</v>
      </c>
      <c r="AR43" s="24">
        <f t="shared" si="108"/>
        <v>5690.9620973267865</v>
      </c>
      <c r="AS43" s="24">
        <f t="shared" si="108"/>
        <v>5700.4470341556644</v>
      </c>
      <c r="AT43" s="24">
        <f t="shared" si="108"/>
        <v>5709.9477792125899</v>
      </c>
      <c r="AU43" s="24">
        <f t="shared" si="109"/>
        <v>5719.4643588446106</v>
      </c>
      <c r="AV43" s="24">
        <f t="shared" si="109"/>
        <v>5728.9967994426843</v>
      </c>
      <c r="AW43" s="24">
        <f t="shared" si="109"/>
        <v>5738.5451274417555</v>
      </c>
      <c r="AX43" s="24">
        <f t="shared" si="109"/>
        <v>5748.1093693208259</v>
      </c>
      <c r="AY43" s="24">
        <f t="shared" si="109"/>
        <v>5757.6895516030272</v>
      </c>
      <c r="AZ43" s="24">
        <f t="shared" si="109"/>
        <v>5767.2857008557003</v>
      </c>
      <c r="BA43" s="24">
        <f t="shared" si="109"/>
        <v>5776.8978436904599</v>
      </c>
      <c r="BB43" s="24">
        <f t="shared" si="109"/>
        <v>5786.526006763278</v>
      </c>
      <c r="BC43" s="24">
        <f t="shared" si="109"/>
        <v>5796.1702167745516</v>
      </c>
      <c r="BD43" s="24">
        <f t="shared" si="109"/>
        <v>5805.8305004691756</v>
      </c>
      <c r="BE43" s="24">
        <f t="shared" si="110"/>
        <v>5815.506884636623</v>
      </c>
      <c r="BF43" s="24">
        <f t="shared" si="110"/>
        <v>5825.1993961110174</v>
      </c>
      <c r="BG43" s="24">
        <f t="shared" si="110"/>
        <v>5834.9080617712025</v>
      </c>
      <c r="BH43" s="24">
        <f t="shared" si="110"/>
        <v>5844.6329085408215</v>
      </c>
      <c r="BI43" s="24">
        <f t="shared" si="110"/>
        <v>5854.3739633883897</v>
      </c>
      <c r="BJ43" s="24">
        <f t="shared" si="110"/>
        <v>5864.1312533273704</v>
      </c>
      <c r="BK43" s="24">
        <f t="shared" si="110"/>
        <v>5873.9048054162486</v>
      </c>
      <c r="BL43" s="24">
        <f t="shared" si="110"/>
        <v>5883.6946467586104</v>
      </c>
      <c r="BM43" s="24">
        <f t="shared" si="110"/>
        <v>5893.5008045032082</v>
      </c>
      <c r="BN43" s="24">
        <f t="shared" si="110"/>
        <v>5903.3233058440474</v>
      </c>
      <c r="BO43" s="24">
        <f t="shared" si="111"/>
        <v>5913.1621780204532</v>
      </c>
      <c r="BP43" s="24">
        <f t="shared" si="111"/>
        <v>5923.017448317154</v>
      </c>
      <c r="BQ43" s="24">
        <f t="shared" si="111"/>
        <v>5932.8891440643511</v>
      </c>
      <c r="BR43" s="24">
        <f t="shared" si="111"/>
        <v>5942.7772926377911</v>
      </c>
      <c r="BS43" s="24">
        <f t="shared" si="111"/>
        <v>5952.681921458854</v>
      </c>
      <c r="BT43" s="24">
        <f t="shared" si="111"/>
        <v>5962.6030579946191</v>
      </c>
      <c r="BU43" s="24">
        <f t="shared" si="111"/>
        <v>5972.5407297579441</v>
      </c>
      <c r="BV43" s="24">
        <f t="shared" si="111"/>
        <v>5982.4949643075406</v>
      </c>
      <c r="BW43" s="24">
        <f t="shared" si="111"/>
        <v>5992.4657892480536</v>
      </c>
      <c r="BX43" s="24">
        <f t="shared" si="111"/>
        <v>6002.4532322301338</v>
      </c>
      <c r="BY43" s="24">
        <f t="shared" si="112"/>
        <v>6012.4573209505179</v>
      </c>
      <c r="BZ43" s="24">
        <f t="shared" si="112"/>
        <v>6022.478083152102</v>
      </c>
      <c r="CA43" s="24">
        <f t="shared" si="112"/>
        <v>6032.5155466240212</v>
      </c>
      <c r="CB43" s="24">
        <f t="shared" si="112"/>
        <v>6042.5697392017282</v>
      </c>
      <c r="CC43" s="24">
        <f t="shared" si="112"/>
        <v>6052.6406887670646</v>
      </c>
      <c r="CD43" s="24">
        <f t="shared" si="112"/>
        <v>6062.7284232483435</v>
      </c>
      <c r="CE43" s="24">
        <f t="shared" si="112"/>
        <v>6072.832970620424</v>
      </c>
      <c r="CF43" s="24">
        <f t="shared" si="112"/>
        <v>6082.9543589047917</v>
      </c>
      <c r="CG43" s="24">
        <f t="shared" si="112"/>
        <v>6093.0926161696334</v>
      </c>
      <c r="CH43" s="24">
        <f t="shared" si="112"/>
        <v>6103.2477705299161</v>
      </c>
      <c r="CI43" s="24">
        <f t="shared" si="113"/>
        <v>6113.4198501474657</v>
      </c>
      <c r="CJ43" s="24">
        <f t="shared" si="113"/>
        <v>6123.6088832310452</v>
      </c>
      <c r="CK43" s="24">
        <f t="shared" si="113"/>
        <v>6133.8148980364303</v>
      </c>
      <c r="CL43" s="24">
        <f t="shared" si="113"/>
        <v>6144.0379228664906</v>
      </c>
      <c r="CM43" s="24">
        <f t="shared" si="113"/>
        <v>6154.2779860712699</v>
      </c>
      <c r="CN43" s="24">
        <f t="shared" si="113"/>
        <v>6164.535116048055</v>
      </c>
      <c r="CO43" s="24">
        <f t="shared" si="113"/>
        <v>6174.8093412414692</v>
      </c>
      <c r="CP43" s="24">
        <f t="shared" si="113"/>
        <v>6185.1006901435394</v>
      </c>
      <c r="CQ43" s="24">
        <f t="shared" si="113"/>
        <v>6195.4091912937783</v>
      </c>
      <c r="CR43" s="24">
        <f t="shared" si="113"/>
        <v>6205.734873279268</v>
      </c>
      <c r="CS43" s="24">
        <f t="shared" si="114"/>
        <v>6216.077764734734</v>
      </c>
      <c r="CT43" s="24">
        <f t="shared" si="114"/>
        <v>6226.4378943426254</v>
      </c>
      <c r="CU43" s="24">
        <f t="shared" si="114"/>
        <v>6236.8152908331958</v>
      </c>
      <c r="CV43" s="24">
        <f t="shared" si="114"/>
        <v>6247.2099829845856</v>
      </c>
      <c r="CW43" s="24">
        <f t="shared" si="114"/>
        <v>6257.6219996228929</v>
      </c>
      <c r="CX43" s="24">
        <f t="shared" si="114"/>
        <v>6268.0513696222642</v>
      </c>
      <c r="CY43" s="24">
        <f t="shared" si="114"/>
        <v>6278.4981219049678</v>
      </c>
      <c r="CZ43" s="24">
        <f t="shared" si="114"/>
        <v>6288.9622854414756</v>
      </c>
      <c r="DA43" s="24">
        <f t="shared" si="114"/>
        <v>6299.443889250545</v>
      </c>
      <c r="DB43" s="24">
        <f t="shared" si="114"/>
        <v>6309.9429623992964</v>
      </c>
      <c r="DC43" s="24">
        <f t="shared" si="115"/>
        <v>6320.4595340032956</v>
      </c>
      <c r="DD43" s="24">
        <f t="shared" si="115"/>
        <v>6330.9936332266343</v>
      </c>
      <c r="DE43" s="24">
        <f t="shared" si="115"/>
        <v>6341.5452892820122</v>
      </c>
      <c r="DF43" s="24">
        <f t="shared" si="115"/>
        <v>6352.1145314308151</v>
      </c>
      <c r="DG43" s="24">
        <f t="shared" si="115"/>
        <v>6362.7013889832006</v>
      </c>
      <c r="DH43" s="24">
        <f t="shared" si="115"/>
        <v>6373.3058912981724</v>
      </c>
      <c r="DI43" s="24">
        <f t="shared" si="115"/>
        <v>6383.9280677836705</v>
      </c>
      <c r="DJ43" s="24">
        <f t="shared" si="115"/>
        <v>6394.5679478966422</v>
      </c>
      <c r="DK43" s="24">
        <f t="shared" si="115"/>
        <v>6405.2255611431365</v>
      </c>
      <c r="DL43" s="24">
        <f t="shared" si="115"/>
        <v>6415.9009370783751</v>
      </c>
      <c r="DM43" s="24">
        <f t="shared" si="116"/>
        <v>6426.5941053068391</v>
      </c>
      <c r="DN43" s="24">
        <f t="shared" si="116"/>
        <v>6437.305095482352</v>
      </c>
      <c r="DO43" s="24">
        <f t="shared" si="116"/>
        <v>6448.0339373081551</v>
      </c>
      <c r="DP43" s="24">
        <f t="shared" si="116"/>
        <v>6458.7806605370024</v>
      </c>
      <c r="DQ43" s="24">
        <f t="shared" si="116"/>
        <v>6469.5452949712308</v>
      </c>
      <c r="DR43" s="24">
        <f t="shared" si="116"/>
        <v>6480.3278704628501</v>
      </c>
      <c r="DS43" s="24">
        <f t="shared" si="116"/>
        <v>6491.1284169136215</v>
      </c>
      <c r="DT43" s="24">
        <f t="shared" si="116"/>
        <v>6501.9469642751455</v>
      </c>
      <c r="DU43" s="24">
        <f t="shared" si="116"/>
        <v>6512.7835425489384</v>
      </c>
      <c r="DV43" s="24">
        <f t="shared" si="116"/>
        <v>6523.6381817865204</v>
      </c>
      <c r="DW43" s="24">
        <f t="shared" si="117"/>
        <v>6534.5109120894986</v>
      </c>
      <c r="DX43" s="24">
        <f t="shared" si="117"/>
        <v>6545.4017636096478</v>
      </c>
      <c r="DY43" s="24">
        <f t="shared" si="117"/>
        <v>6556.3107665489979</v>
      </c>
      <c r="DZ43" s="24">
        <f t="shared" si="117"/>
        <v>6567.2379511599129</v>
      </c>
      <c r="EA43" s="24">
        <f t="shared" si="117"/>
        <v>6578.1833477451792</v>
      </c>
      <c r="EB43" s="24">
        <f t="shared" si="117"/>
        <v>6589.1469866580883</v>
      </c>
      <c r="EC43" s="24">
        <f t="shared" si="117"/>
        <v>6600.1288983025188</v>
      </c>
      <c r="ED43" s="24">
        <f t="shared" si="117"/>
        <v>6611.1291131330236</v>
      </c>
      <c r="EE43" s="24">
        <f t="shared" si="117"/>
        <v>6622.1476616549116</v>
      </c>
      <c r="EF43" s="24">
        <f t="shared" si="117"/>
        <v>6633.1845744243365</v>
      </c>
      <c r="EG43" s="24">
        <f t="shared" si="118"/>
        <v>6644.2398820483777</v>
      </c>
      <c r="EH43" s="24">
        <f t="shared" si="118"/>
        <v>6655.3136151851259</v>
      </c>
      <c r="EI43" s="24">
        <f t="shared" si="118"/>
        <v>6666.4058045437687</v>
      </c>
      <c r="EJ43" s="24">
        <f t="shared" si="118"/>
        <v>6677.5164808846739</v>
      </c>
      <c r="EK43" s="24">
        <f t="shared" si="118"/>
        <v>6688.645675019482</v>
      </c>
      <c r="EL43" s="24">
        <f t="shared" si="118"/>
        <v>6699.7934178111809</v>
      </c>
      <c r="EM43" s="24">
        <f t="shared" si="118"/>
        <v>6710.9597401741994</v>
      </c>
      <c r="EN43" s="24">
        <f t="shared" si="118"/>
        <v>6722.1446730744901</v>
      </c>
      <c r="EO43" s="24">
        <f t="shared" si="118"/>
        <v>6733.348247529615</v>
      </c>
      <c r="EP43" s="24">
        <f t="shared" si="118"/>
        <v>6744.5704946088317</v>
      </c>
      <c r="EQ43" s="24">
        <f t="shared" si="119"/>
        <v>6755.8114454331799</v>
      </c>
      <c r="ER43" s="24">
        <f t="shared" si="119"/>
        <v>6767.0711311755686</v>
      </c>
      <c r="ES43" s="24">
        <f t="shared" si="119"/>
        <v>6778.3495830608617</v>
      </c>
      <c r="ET43" s="24">
        <f t="shared" si="119"/>
        <v>6789.6468323659637</v>
      </c>
      <c r="EU43" s="24">
        <f t="shared" si="119"/>
        <v>6800.9629104199075</v>
      </c>
      <c r="EV43" s="24">
        <f t="shared" si="119"/>
        <v>6812.2978486039419</v>
      </c>
      <c r="EW43" s="24">
        <f t="shared" si="119"/>
        <v>6823.6516783516145</v>
      </c>
      <c r="EX43" s="24">
        <f t="shared" si="119"/>
        <v>6835.0244311488677</v>
      </c>
      <c r="EY43" s="24">
        <f t="shared" si="119"/>
        <v>6846.4161385341158</v>
      </c>
      <c r="EZ43" s="24">
        <f t="shared" si="119"/>
        <v>6857.8268320983398</v>
      </c>
      <c r="FA43" s="24">
        <f t="shared" si="119"/>
        <v>6869.2565434851713</v>
      </c>
      <c r="FB43" s="24">
        <f t="shared" si="119"/>
        <v>6880.70530439098</v>
      </c>
    </row>
    <row r="44" spans="2:158">
      <c r="B44" s="35" t="s">
        <v>72</v>
      </c>
      <c r="C44" s="36" t="s">
        <v>72</v>
      </c>
      <c r="D44" s="36"/>
      <c r="E44" s="76"/>
      <c r="F44" s="36" t="s">
        <v>30</v>
      </c>
      <c r="G44" s="36"/>
      <c r="I44" s="9" t="s">
        <v>73</v>
      </c>
      <c r="J44" s="101">
        <v>0</v>
      </c>
      <c r="K44" s="62"/>
      <c r="L44" s="24">
        <f t="shared" si="104"/>
        <v>0</v>
      </c>
      <c r="M44" s="62"/>
      <c r="N44" s="61">
        <f t="shared" si="105"/>
        <v>0</v>
      </c>
      <c r="O44" s="61">
        <f t="shared" si="106"/>
        <v>0</v>
      </c>
      <c r="P44" s="61">
        <f t="shared" si="106"/>
        <v>0</v>
      </c>
      <c r="Q44" s="61">
        <f t="shared" si="106"/>
        <v>0</v>
      </c>
      <c r="R44" s="61">
        <f t="shared" si="106"/>
        <v>0</v>
      </c>
      <c r="S44" s="61">
        <f t="shared" si="106"/>
        <v>0</v>
      </c>
      <c r="T44" s="61">
        <f t="shared" si="106"/>
        <v>0</v>
      </c>
      <c r="U44" s="61">
        <f t="shared" si="106"/>
        <v>0</v>
      </c>
      <c r="V44" s="61">
        <f t="shared" si="106"/>
        <v>0</v>
      </c>
      <c r="W44" s="61">
        <f t="shared" si="106"/>
        <v>0</v>
      </c>
      <c r="X44" s="61">
        <f t="shared" si="106"/>
        <v>0</v>
      </c>
      <c r="Y44" s="62"/>
      <c r="Z44" s="24">
        <v>0</v>
      </c>
      <c r="AA44" s="24">
        <f t="shared" si="107"/>
        <v>0</v>
      </c>
      <c r="AB44" s="24">
        <f t="shared" si="107"/>
        <v>0</v>
      </c>
      <c r="AC44" s="24">
        <f t="shared" si="107"/>
        <v>0</v>
      </c>
      <c r="AD44" s="24">
        <f t="shared" si="107"/>
        <v>0</v>
      </c>
      <c r="AE44" s="24">
        <f t="shared" si="107"/>
        <v>0</v>
      </c>
      <c r="AF44" s="24">
        <f t="shared" si="107"/>
        <v>0</v>
      </c>
      <c r="AG44" s="24">
        <f t="shared" si="107"/>
        <v>0</v>
      </c>
      <c r="AH44" s="24">
        <f t="shared" si="107"/>
        <v>0</v>
      </c>
      <c r="AI44" s="24">
        <f t="shared" si="107"/>
        <v>0</v>
      </c>
      <c r="AJ44" s="24">
        <f t="shared" si="107"/>
        <v>0</v>
      </c>
      <c r="AK44" s="24">
        <f t="shared" si="108"/>
        <v>0</v>
      </c>
      <c r="AL44" s="24">
        <f t="shared" si="108"/>
        <v>0</v>
      </c>
      <c r="AM44" s="24">
        <f t="shared" si="108"/>
        <v>0</v>
      </c>
      <c r="AN44" s="24">
        <f t="shared" si="108"/>
        <v>0</v>
      </c>
      <c r="AO44" s="24">
        <f t="shared" si="108"/>
        <v>0</v>
      </c>
      <c r="AP44" s="24">
        <f t="shared" si="108"/>
        <v>0</v>
      </c>
      <c r="AQ44" s="24">
        <f t="shared" si="108"/>
        <v>0</v>
      </c>
      <c r="AR44" s="24">
        <f t="shared" si="108"/>
        <v>0</v>
      </c>
      <c r="AS44" s="24">
        <f t="shared" si="108"/>
        <v>0</v>
      </c>
      <c r="AT44" s="24">
        <f t="shared" si="108"/>
        <v>0</v>
      </c>
      <c r="AU44" s="24">
        <f t="shared" si="109"/>
        <v>0</v>
      </c>
      <c r="AV44" s="24">
        <f t="shared" si="109"/>
        <v>0</v>
      </c>
      <c r="AW44" s="24">
        <f t="shared" si="109"/>
        <v>0</v>
      </c>
      <c r="AX44" s="24">
        <f t="shared" si="109"/>
        <v>0</v>
      </c>
      <c r="AY44" s="24">
        <f t="shared" si="109"/>
        <v>0</v>
      </c>
      <c r="AZ44" s="24">
        <f t="shared" si="109"/>
        <v>0</v>
      </c>
      <c r="BA44" s="24">
        <f t="shared" si="109"/>
        <v>0</v>
      </c>
      <c r="BB44" s="24">
        <f t="shared" si="109"/>
        <v>0</v>
      </c>
      <c r="BC44" s="24">
        <f t="shared" si="109"/>
        <v>0</v>
      </c>
      <c r="BD44" s="24">
        <f t="shared" si="109"/>
        <v>0</v>
      </c>
      <c r="BE44" s="24">
        <f t="shared" si="110"/>
        <v>0</v>
      </c>
      <c r="BF44" s="24">
        <f t="shared" si="110"/>
        <v>0</v>
      </c>
      <c r="BG44" s="24">
        <f t="shared" si="110"/>
        <v>0</v>
      </c>
      <c r="BH44" s="24">
        <f t="shared" si="110"/>
        <v>0</v>
      </c>
      <c r="BI44" s="24">
        <f t="shared" si="110"/>
        <v>0</v>
      </c>
      <c r="BJ44" s="24">
        <f t="shared" si="110"/>
        <v>0</v>
      </c>
      <c r="BK44" s="24">
        <f t="shared" si="110"/>
        <v>0</v>
      </c>
      <c r="BL44" s="24">
        <f t="shared" si="110"/>
        <v>0</v>
      </c>
      <c r="BM44" s="24">
        <f t="shared" si="110"/>
        <v>0</v>
      </c>
      <c r="BN44" s="24">
        <f t="shared" si="110"/>
        <v>0</v>
      </c>
      <c r="BO44" s="24">
        <f t="shared" si="111"/>
        <v>0</v>
      </c>
      <c r="BP44" s="24">
        <f t="shared" si="111"/>
        <v>0</v>
      </c>
      <c r="BQ44" s="24">
        <f t="shared" si="111"/>
        <v>0</v>
      </c>
      <c r="BR44" s="24">
        <f t="shared" si="111"/>
        <v>0</v>
      </c>
      <c r="BS44" s="24">
        <f t="shared" si="111"/>
        <v>0</v>
      </c>
      <c r="BT44" s="24">
        <f t="shared" si="111"/>
        <v>0</v>
      </c>
      <c r="BU44" s="24">
        <f t="shared" si="111"/>
        <v>0</v>
      </c>
      <c r="BV44" s="24">
        <f t="shared" si="111"/>
        <v>0</v>
      </c>
      <c r="BW44" s="24">
        <f t="shared" si="111"/>
        <v>0</v>
      </c>
      <c r="BX44" s="24">
        <f t="shared" si="111"/>
        <v>0</v>
      </c>
      <c r="BY44" s="24">
        <f t="shared" si="112"/>
        <v>0</v>
      </c>
      <c r="BZ44" s="24">
        <f t="shared" si="112"/>
        <v>0</v>
      </c>
      <c r="CA44" s="24">
        <f t="shared" si="112"/>
        <v>0</v>
      </c>
      <c r="CB44" s="24">
        <f t="shared" si="112"/>
        <v>0</v>
      </c>
      <c r="CC44" s="24">
        <f t="shared" si="112"/>
        <v>0</v>
      </c>
      <c r="CD44" s="24">
        <f t="shared" si="112"/>
        <v>0</v>
      </c>
      <c r="CE44" s="24">
        <f t="shared" si="112"/>
        <v>0</v>
      </c>
      <c r="CF44" s="24">
        <f t="shared" si="112"/>
        <v>0</v>
      </c>
      <c r="CG44" s="24">
        <f t="shared" si="112"/>
        <v>0</v>
      </c>
      <c r="CH44" s="24">
        <f t="shared" si="112"/>
        <v>0</v>
      </c>
      <c r="CI44" s="24">
        <f t="shared" si="113"/>
        <v>0</v>
      </c>
      <c r="CJ44" s="24">
        <f t="shared" si="113"/>
        <v>0</v>
      </c>
      <c r="CK44" s="24">
        <f t="shared" si="113"/>
        <v>0</v>
      </c>
      <c r="CL44" s="24">
        <f t="shared" si="113"/>
        <v>0</v>
      </c>
      <c r="CM44" s="24">
        <f t="shared" si="113"/>
        <v>0</v>
      </c>
      <c r="CN44" s="24">
        <f t="shared" si="113"/>
        <v>0</v>
      </c>
      <c r="CO44" s="24">
        <f t="shared" si="113"/>
        <v>0</v>
      </c>
      <c r="CP44" s="24">
        <f t="shared" si="113"/>
        <v>0</v>
      </c>
      <c r="CQ44" s="24">
        <f t="shared" si="113"/>
        <v>0</v>
      </c>
      <c r="CR44" s="24">
        <f t="shared" si="113"/>
        <v>0</v>
      </c>
      <c r="CS44" s="24">
        <f t="shared" si="114"/>
        <v>0</v>
      </c>
      <c r="CT44" s="24">
        <f t="shared" si="114"/>
        <v>0</v>
      </c>
      <c r="CU44" s="24">
        <f t="shared" si="114"/>
        <v>0</v>
      </c>
      <c r="CV44" s="24">
        <f t="shared" si="114"/>
        <v>0</v>
      </c>
      <c r="CW44" s="24">
        <f t="shared" si="114"/>
        <v>0</v>
      </c>
      <c r="CX44" s="24">
        <f t="shared" si="114"/>
        <v>0</v>
      </c>
      <c r="CY44" s="24">
        <f t="shared" si="114"/>
        <v>0</v>
      </c>
      <c r="CZ44" s="24">
        <f t="shared" si="114"/>
        <v>0</v>
      </c>
      <c r="DA44" s="24">
        <f t="shared" si="114"/>
        <v>0</v>
      </c>
      <c r="DB44" s="24">
        <f t="shared" si="114"/>
        <v>0</v>
      </c>
      <c r="DC44" s="24">
        <f t="shared" si="115"/>
        <v>0</v>
      </c>
      <c r="DD44" s="24">
        <f t="shared" si="115"/>
        <v>0</v>
      </c>
      <c r="DE44" s="24">
        <f t="shared" si="115"/>
        <v>0</v>
      </c>
      <c r="DF44" s="24">
        <f t="shared" si="115"/>
        <v>0</v>
      </c>
      <c r="DG44" s="24">
        <f t="shared" si="115"/>
        <v>0</v>
      </c>
      <c r="DH44" s="24">
        <f t="shared" si="115"/>
        <v>0</v>
      </c>
      <c r="DI44" s="24">
        <f t="shared" si="115"/>
        <v>0</v>
      </c>
      <c r="DJ44" s="24">
        <f t="shared" si="115"/>
        <v>0</v>
      </c>
      <c r="DK44" s="24">
        <f t="shared" si="115"/>
        <v>0</v>
      </c>
      <c r="DL44" s="24">
        <f t="shared" si="115"/>
        <v>0</v>
      </c>
      <c r="DM44" s="24">
        <f t="shared" si="116"/>
        <v>0</v>
      </c>
      <c r="DN44" s="24">
        <f t="shared" si="116"/>
        <v>0</v>
      </c>
      <c r="DO44" s="24">
        <f t="shared" si="116"/>
        <v>0</v>
      </c>
      <c r="DP44" s="24">
        <f t="shared" si="116"/>
        <v>0</v>
      </c>
      <c r="DQ44" s="24">
        <f t="shared" si="116"/>
        <v>0</v>
      </c>
      <c r="DR44" s="24">
        <f t="shared" si="116"/>
        <v>0</v>
      </c>
      <c r="DS44" s="24">
        <f t="shared" si="116"/>
        <v>0</v>
      </c>
      <c r="DT44" s="24">
        <f t="shared" si="116"/>
        <v>0</v>
      </c>
      <c r="DU44" s="24">
        <f t="shared" si="116"/>
        <v>0</v>
      </c>
      <c r="DV44" s="24">
        <f t="shared" si="116"/>
        <v>0</v>
      </c>
      <c r="DW44" s="24">
        <f t="shared" si="117"/>
        <v>0</v>
      </c>
      <c r="DX44" s="24">
        <f t="shared" si="117"/>
        <v>0</v>
      </c>
      <c r="DY44" s="24">
        <f t="shared" si="117"/>
        <v>0</v>
      </c>
      <c r="DZ44" s="24">
        <f t="shared" si="117"/>
        <v>0</v>
      </c>
      <c r="EA44" s="24">
        <f t="shared" si="117"/>
        <v>0</v>
      </c>
      <c r="EB44" s="24">
        <f t="shared" si="117"/>
        <v>0</v>
      </c>
      <c r="EC44" s="24">
        <f t="shared" si="117"/>
        <v>0</v>
      </c>
      <c r="ED44" s="24">
        <f t="shared" si="117"/>
        <v>0</v>
      </c>
      <c r="EE44" s="24">
        <f t="shared" si="117"/>
        <v>0</v>
      </c>
      <c r="EF44" s="24">
        <f t="shared" si="117"/>
        <v>0</v>
      </c>
      <c r="EG44" s="24">
        <f t="shared" si="118"/>
        <v>0</v>
      </c>
      <c r="EH44" s="24">
        <f t="shared" si="118"/>
        <v>0</v>
      </c>
      <c r="EI44" s="24">
        <f t="shared" si="118"/>
        <v>0</v>
      </c>
      <c r="EJ44" s="24">
        <f t="shared" si="118"/>
        <v>0</v>
      </c>
      <c r="EK44" s="24">
        <f t="shared" si="118"/>
        <v>0</v>
      </c>
      <c r="EL44" s="24">
        <f t="shared" si="118"/>
        <v>0</v>
      </c>
      <c r="EM44" s="24">
        <f t="shared" si="118"/>
        <v>0</v>
      </c>
      <c r="EN44" s="24">
        <f t="shared" si="118"/>
        <v>0</v>
      </c>
      <c r="EO44" s="24">
        <f t="shared" si="118"/>
        <v>0</v>
      </c>
      <c r="EP44" s="24">
        <f t="shared" si="118"/>
        <v>0</v>
      </c>
      <c r="EQ44" s="24">
        <f t="shared" si="119"/>
        <v>0</v>
      </c>
      <c r="ER44" s="24">
        <f t="shared" si="119"/>
        <v>0</v>
      </c>
      <c r="ES44" s="24">
        <f t="shared" si="119"/>
        <v>0</v>
      </c>
      <c r="ET44" s="24">
        <f t="shared" si="119"/>
        <v>0</v>
      </c>
      <c r="EU44" s="24">
        <f t="shared" si="119"/>
        <v>0</v>
      </c>
      <c r="EV44" s="24">
        <f t="shared" si="119"/>
        <v>0</v>
      </c>
      <c r="EW44" s="24">
        <f t="shared" si="119"/>
        <v>0</v>
      </c>
      <c r="EX44" s="24">
        <f t="shared" si="119"/>
        <v>0</v>
      </c>
      <c r="EY44" s="24">
        <f t="shared" si="119"/>
        <v>0</v>
      </c>
      <c r="EZ44" s="24">
        <f t="shared" si="119"/>
        <v>0</v>
      </c>
      <c r="FA44" s="24">
        <f t="shared" si="119"/>
        <v>0</v>
      </c>
      <c r="FB44" s="24">
        <f t="shared" si="119"/>
        <v>0</v>
      </c>
    </row>
    <row r="45" spans="2:158">
      <c r="B45" s="77" t="s">
        <v>74</v>
      </c>
      <c r="C45" s="78"/>
      <c r="D45" s="202" t="s">
        <v>75</v>
      </c>
      <c r="E45" s="79" t="s">
        <v>74</v>
      </c>
      <c r="F45" s="203"/>
      <c r="G45" s="202" t="s">
        <v>75</v>
      </c>
      <c r="I45" s="9" t="s">
        <v>76</v>
      </c>
      <c r="J45" s="101">
        <v>440.82</v>
      </c>
      <c r="K45" s="62"/>
      <c r="L45" s="24">
        <f t="shared" si="104"/>
        <v>273480.61904612376</v>
      </c>
      <c r="M45" s="62"/>
      <c r="N45" s="61">
        <f t="shared" si="105"/>
        <v>0</v>
      </c>
      <c r="O45" s="61">
        <f t="shared" si="106"/>
        <v>24954.991929388107</v>
      </c>
      <c r="P45" s="61">
        <f t="shared" si="106"/>
        <v>25458.69236251988</v>
      </c>
      <c r="Q45" s="61">
        <f t="shared" si="106"/>
        <v>25972.559664350905</v>
      </c>
      <c r="R45" s="61">
        <f t="shared" si="106"/>
        <v>26496.79904657519</v>
      </c>
      <c r="S45" s="61">
        <f t="shared" si="106"/>
        <v>27031.619862952542</v>
      </c>
      <c r="T45" s="61">
        <f t="shared" si="106"/>
        <v>27577.23569291352</v>
      </c>
      <c r="U45" s="61">
        <f t="shared" si="106"/>
        <v>28133.864426851887</v>
      </c>
      <c r="V45" s="61">
        <f t="shared" si="106"/>
        <v>28701.728353138609</v>
      </c>
      <c r="W45" s="61">
        <f t="shared" si="106"/>
        <v>29281.05424689221</v>
      </c>
      <c r="X45" s="61">
        <f t="shared" si="106"/>
        <v>29872.073460540832</v>
      </c>
      <c r="Y45" s="62"/>
      <c r="Z45" s="24">
        <v>0</v>
      </c>
      <c r="AA45" s="24">
        <f t="shared" si="107"/>
        <v>2060.5886</v>
      </c>
      <c r="AB45" s="24">
        <f t="shared" si="107"/>
        <v>2064.0229143333336</v>
      </c>
      <c r="AC45" s="24">
        <f t="shared" si="107"/>
        <v>2067.4629525238893</v>
      </c>
      <c r="AD45" s="24">
        <f t="shared" si="107"/>
        <v>2070.9087241114289</v>
      </c>
      <c r="AE45" s="24">
        <f t="shared" si="107"/>
        <v>2074.360238651615</v>
      </c>
      <c r="AF45" s="24">
        <f t="shared" si="107"/>
        <v>2077.8175057160342</v>
      </c>
      <c r="AG45" s="24">
        <f t="shared" si="107"/>
        <v>2081.2805348922279</v>
      </c>
      <c r="AH45" s="24">
        <f t="shared" si="107"/>
        <v>2084.7493357837147</v>
      </c>
      <c r="AI45" s="24">
        <f t="shared" si="107"/>
        <v>2088.223918010021</v>
      </c>
      <c r="AJ45" s="24">
        <f t="shared" si="107"/>
        <v>2091.7042912067045</v>
      </c>
      <c r="AK45" s="24">
        <f t="shared" si="108"/>
        <v>2095.1904650253823</v>
      </c>
      <c r="AL45" s="24">
        <f t="shared" si="108"/>
        <v>2098.6824491337579</v>
      </c>
      <c r="AM45" s="24">
        <f t="shared" si="108"/>
        <v>2102.180253215648</v>
      </c>
      <c r="AN45" s="24">
        <f t="shared" si="108"/>
        <v>2105.6838869710073</v>
      </c>
      <c r="AO45" s="24">
        <f t="shared" si="108"/>
        <v>2109.193360115959</v>
      </c>
      <c r="AP45" s="24">
        <f t="shared" si="108"/>
        <v>2112.708682382819</v>
      </c>
      <c r="AQ45" s="24">
        <f t="shared" si="108"/>
        <v>2116.2298635201237</v>
      </c>
      <c r="AR45" s="24">
        <f t="shared" si="108"/>
        <v>2119.7569132926574</v>
      </c>
      <c r="AS45" s="24">
        <f t="shared" si="108"/>
        <v>2123.2898414814781</v>
      </c>
      <c r="AT45" s="24">
        <f t="shared" si="108"/>
        <v>2126.828657883947</v>
      </c>
      <c r="AU45" s="24">
        <f t="shared" si="109"/>
        <v>2130.3733723137539</v>
      </c>
      <c r="AV45" s="24">
        <f t="shared" si="109"/>
        <v>2133.9239946009429</v>
      </c>
      <c r="AW45" s="24">
        <f t="shared" si="109"/>
        <v>2137.4805345919449</v>
      </c>
      <c r="AX45" s="24">
        <f t="shared" si="109"/>
        <v>2141.0430021495981</v>
      </c>
      <c r="AY45" s="24">
        <f t="shared" si="109"/>
        <v>2144.6114071531811</v>
      </c>
      <c r="AZ45" s="24">
        <f t="shared" si="109"/>
        <v>2148.1857594984363</v>
      </c>
      <c r="BA45" s="24">
        <f t="shared" si="109"/>
        <v>2151.7660690976004</v>
      </c>
      <c r="BB45" s="24">
        <f t="shared" si="109"/>
        <v>2155.3523458794302</v>
      </c>
      <c r="BC45" s="24">
        <f t="shared" si="109"/>
        <v>2158.9445997892299</v>
      </c>
      <c r="BD45" s="24">
        <f t="shared" si="109"/>
        <v>2162.542840788878</v>
      </c>
      <c r="BE45" s="24">
        <f t="shared" si="110"/>
        <v>2166.1470788568595</v>
      </c>
      <c r="BF45" s="24">
        <f t="shared" si="110"/>
        <v>2169.7573239882877</v>
      </c>
      <c r="BG45" s="24">
        <f t="shared" si="110"/>
        <v>2173.3735861949349</v>
      </c>
      <c r="BH45" s="24">
        <f t="shared" si="110"/>
        <v>2176.9958755052594</v>
      </c>
      <c r="BI45" s="24">
        <f t="shared" si="110"/>
        <v>2180.6242019644355</v>
      </c>
      <c r="BJ45" s="24">
        <f t="shared" si="110"/>
        <v>2184.258575634376</v>
      </c>
      <c r="BK45" s="24">
        <f t="shared" si="110"/>
        <v>2187.8990065937664</v>
      </c>
      <c r="BL45" s="24">
        <f t="shared" si="110"/>
        <v>2191.5455049380898</v>
      </c>
      <c r="BM45" s="24">
        <f t="shared" si="110"/>
        <v>2195.1980807796531</v>
      </c>
      <c r="BN45" s="24">
        <f t="shared" si="110"/>
        <v>2198.8567442476196</v>
      </c>
      <c r="BO45" s="24">
        <f t="shared" si="111"/>
        <v>2202.5215054880323</v>
      </c>
      <c r="BP45" s="24">
        <f t="shared" si="111"/>
        <v>2206.1923746638458</v>
      </c>
      <c r="BQ45" s="24">
        <f t="shared" si="111"/>
        <v>2209.8693619549522</v>
      </c>
      <c r="BR45" s="24">
        <f t="shared" si="111"/>
        <v>2213.5524775582107</v>
      </c>
      <c r="BS45" s="24">
        <f t="shared" si="111"/>
        <v>2217.2417316874744</v>
      </c>
      <c r="BT45" s="24">
        <f t="shared" si="111"/>
        <v>2220.9371345736199</v>
      </c>
      <c r="BU45" s="24">
        <f t="shared" si="111"/>
        <v>2224.6386964645767</v>
      </c>
      <c r="BV45" s="24">
        <f t="shared" si="111"/>
        <v>2228.3464276253508</v>
      </c>
      <c r="BW45" s="24">
        <f t="shared" si="111"/>
        <v>2232.0603383380599</v>
      </c>
      <c r="BX45" s="24">
        <f t="shared" si="111"/>
        <v>2235.780438901957</v>
      </c>
      <c r="BY45" s="24">
        <f t="shared" si="112"/>
        <v>2239.5067396334598</v>
      </c>
      <c r="BZ45" s="24">
        <f t="shared" si="112"/>
        <v>2243.2392508661824</v>
      </c>
      <c r="CA45" s="24">
        <f t="shared" si="112"/>
        <v>2246.9779829509594</v>
      </c>
      <c r="CB45" s="24">
        <f t="shared" si="112"/>
        <v>2250.7229462558776</v>
      </c>
      <c r="CC45" s="24">
        <f t="shared" si="112"/>
        <v>2254.4741511663042</v>
      </c>
      <c r="CD45" s="24">
        <f t="shared" si="112"/>
        <v>2258.2316080849146</v>
      </c>
      <c r="CE45" s="24">
        <f t="shared" si="112"/>
        <v>2261.9953274317231</v>
      </c>
      <c r="CF45" s="24">
        <f t="shared" si="112"/>
        <v>2265.7653196441088</v>
      </c>
      <c r="CG45" s="24">
        <f t="shared" si="112"/>
        <v>2269.5415951768496</v>
      </c>
      <c r="CH45" s="24">
        <f t="shared" si="112"/>
        <v>2273.324164502144</v>
      </c>
      <c r="CI45" s="24">
        <f t="shared" si="113"/>
        <v>2277.1130381096473</v>
      </c>
      <c r="CJ45" s="24">
        <f t="shared" si="113"/>
        <v>2280.9082265064972</v>
      </c>
      <c r="CK45" s="24">
        <f t="shared" si="113"/>
        <v>2284.7097402173413</v>
      </c>
      <c r="CL45" s="24">
        <f t="shared" si="113"/>
        <v>2288.5175897843701</v>
      </c>
      <c r="CM45" s="24">
        <f t="shared" si="113"/>
        <v>2292.3317857673446</v>
      </c>
      <c r="CN45" s="24">
        <f t="shared" si="113"/>
        <v>2296.1523387436237</v>
      </c>
      <c r="CO45" s="24">
        <f t="shared" si="113"/>
        <v>2299.9792593081966</v>
      </c>
      <c r="CP45" s="24">
        <f t="shared" si="113"/>
        <v>2303.8125580737105</v>
      </c>
      <c r="CQ45" s="24">
        <f t="shared" si="113"/>
        <v>2307.6522456704997</v>
      </c>
      <c r="CR45" s="24">
        <f t="shared" si="113"/>
        <v>2311.4983327466175</v>
      </c>
      <c r="CS45" s="24">
        <f t="shared" si="114"/>
        <v>2315.350829967862</v>
      </c>
      <c r="CT45" s="24">
        <f t="shared" si="114"/>
        <v>2319.2097480178086</v>
      </c>
      <c r="CU45" s="24">
        <f t="shared" si="114"/>
        <v>2323.0750975978381</v>
      </c>
      <c r="CV45" s="24">
        <f t="shared" si="114"/>
        <v>2326.9468894271681</v>
      </c>
      <c r="CW45" s="24">
        <f t="shared" si="114"/>
        <v>2330.8251342428798</v>
      </c>
      <c r="CX45" s="24">
        <f t="shared" si="114"/>
        <v>2334.7098427999513</v>
      </c>
      <c r="CY45" s="24">
        <f t="shared" si="114"/>
        <v>2338.6010258712845</v>
      </c>
      <c r="CZ45" s="24">
        <f t="shared" si="114"/>
        <v>2342.4986942477367</v>
      </c>
      <c r="DA45" s="24">
        <f t="shared" si="114"/>
        <v>2346.4028587381495</v>
      </c>
      <c r="DB45" s="24">
        <f t="shared" si="114"/>
        <v>2350.3135301693801</v>
      </c>
      <c r="DC45" s="24">
        <f t="shared" si="115"/>
        <v>2354.2307193863285</v>
      </c>
      <c r="DD45" s="24">
        <f t="shared" si="115"/>
        <v>2358.1544372519729</v>
      </c>
      <c r="DE45" s="24">
        <f t="shared" si="115"/>
        <v>2362.0846946473926</v>
      </c>
      <c r="DF45" s="24">
        <f t="shared" si="115"/>
        <v>2366.0215024718054</v>
      </c>
      <c r="DG45" s="24">
        <f t="shared" si="115"/>
        <v>2369.9648716425918</v>
      </c>
      <c r="DH45" s="24">
        <f t="shared" si="115"/>
        <v>2373.9148130953295</v>
      </c>
      <c r="DI45" s="24">
        <f t="shared" si="115"/>
        <v>2377.8713377838217</v>
      </c>
      <c r="DJ45" s="24">
        <f t="shared" si="115"/>
        <v>2381.8344566801279</v>
      </c>
      <c r="DK45" s="24">
        <f t="shared" si="115"/>
        <v>2385.8041807745949</v>
      </c>
      <c r="DL45" s="24">
        <f t="shared" si="115"/>
        <v>2389.7805210758861</v>
      </c>
      <c r="DM45" s="24">
        <f t="shared" si="116"/>
        <v>2393.7634886110127</v>
      </c>
      <c r="DN45" s="24">
        <f t="shared" si="116"/>
        <v>2397.7530944253645</v>
      </c>
      <c r="DO45" s="24">
        <f t="shared" si="116"/>
        <v>2401.7493495827403</v>
      </c>
      <c r="DP45" s="24">
        <f t="shared" si="116"/>
        <v>2405.7522651653776</v>
      </c>
      <c r="DQ45" s="24">
        <f t="shared" si="116"/>
        <v>2409.7618522739867</v>
      </c>
      <c r="DR45" s="24">
        <f t="shared" si="116"/>
        <v>2413.778122027777</v>
      </c>
      <c r="DS45" s="24">
        <f t="shared" si="116"/>
        <v>2417.8010855644902</v>
      </c>
      <c r="DT45" s="24">
        <f t="shared" si="116"/>
        <v>2421.8307540404312</v>
      </c>
      <c r="DU45" s="24">
        <f t="shared" si="116"/>
        <v>2425.8671386304991</v>
      </c>
      <c r="DV45" s="24">
        <f t="shared" si="116"/>
        <v>2429.9102505282167</v>
      </c>
      <c r="DW45" s="24">
        <f t="shared" si="117"/>
        <v>2433.9601009457638</v>
      </c>
      <c r="DX45" s="24">
        <f t="shared" si="117"/>
        <v>2438.0167011140065</v>
      </c>
      <c r="DY45" s="24">
        <f t="shared" si="117"/>
        <v>2442.08006228253</v>
      </c>
      <c r="DZ45" s="24">
        <f t="shared" si="117"/>
        <v>2446.1501957196679</v>
      </c>
      <c r="EA45" s="24">
        <f t="shared" si="117"/>
        <v>2450.2271127125341</v>
      </c>
      <c r="EB45" s="24">
        <f t="shared" si="117"/>
        <v>2454.3108245670551</v>
      </c>
      <c r="EC45" s="24">
        <f t="shared" si="117"/>
        <v>2458.4013426080005</v>
      </c>
      <c r="ED45" s="24">
        <f t="shared" si="117"/>
        <v>2462.498678179014</v>
      </c>
      <c r="EE45" s="24">
        <f t="shared" si="117"/>
        <v>2466.6028426426456</v>
      </c>
      <c r="EF45" s="24">
        <f t="shared" si="117"/>
        <v>2470.7138473803834</v>
      </c>
      <c r="EG45" s="24">
        <f t="shared" si="118"/>
        <v>2474.831703792684</v>
      </c>
      <c r="EH45" s="24">
        <f t="shared" si="118"/>
        <v>2478.9564232990056</v>
      </c>
      <c r="EI45" s="24">
        <f t="shared" si="118"/>
        <v>2483.0880173378373</v>
      </c>
      <c r="EJ45" s="24">
        <f t="shared" si="118"/>
        <v>2487.2264973667334</v>
      </c>
      <c r="EK45" s="24">
        <f t="shared" si="118"/>
        <v>2491.3718748623451</v>
      </c>
      <c r="EL45" s="24">
        <f t="shared" si="118"/>
        <v>2495.5241613204489</v>
      </c>
      <c r="EM45" s="24">
        <f t="shared" si="118"/>
        <v>2499.6833682559827</v>
      </c>
      <c r="EN45" s="24">
        <f t="shared" si="118"/>
        <v>2503.8495072030764</v>
      </c>
      <c r="EO45" s="24">
        <f t="shared" si="118"/>
        <v>2508.0225897150817</v>
      </c>
      <c r="EP45" s="24">
        <f t="shared" si="118"/>
        <v>2512.202627364607</v>
      </c>
      <c r="EQ45" s="24">
        <f t="shared" si="119"/>
        <v>2516.3896317435483</v>
      </c>
      <c r="ER45" s="24">
        <f t="shared" si="119"/>
        <v>2520.5836144631207</v>
      </c>
      <c r="ES45" s="24">
        <f t="shared" si="119"/>
        <v>2524.784587153893</v>
      </c>
      <c r="ET45" s="24">
        <f t="shared" si="119"/>
        <v>2528.9925614658164</v>
      </c>
      <c r="EU45" s="24">
        <f t="shared" si="119"/>
        <v>2533.2075490682596</v>
      </c>
      <c r="EV45" s="24">
        <f t="shared" si="119"/>
        <v>2537.4295616500403</v>
      </c>
      <c r="EW45" s="24">
        <f t="shared" si="119"/>
        <v>2541.6586109194568</v>
      </c>
      <c r="EX45" s="24">
        <f t="shared" si="119"/>
        <v>2545.8947086043227</v>
      </c>
      <c r="EY45" s="24">
        <f t="shared" si="119"/>
        <v>2550.1378664519971</v>
      </c>
      <c r="EZ45" s="24">
        <f t="shared" si="119"/>
        <v>2554.388096229417</v>
      </c>
      <c r="FA45" s="24">
        <f t="shared" si="119"/>
        <v>2558.6454097231326</v>
      </c>
      <c r="FB45" s="24">
        <f t="shared" si="119"/>
        <v>2562.9098187393379</v>
      </c>
    </row>
    <row r="46" spans="2:158">
      <c r="B46" s="77" t="s">
        <v>77</v>
      </c>
      <c r="C46" s="204">
        <f>D46/D41</f>
        <v>0.64448163511803114</v>
      </c>
      <c r="D46" s="80">
        <v>4700000</v>
      </c>
      <c r="E46" s="79" t="s">
        <v>77</v>
      </c>
      <c r="F46" s="205" t="s">
        <v>78</v>
      </c>
      <c r="G46" s="206">
        <f ca="1">INDEX($G$52:$G$54,MATCH(F46,$E$52:$E$54,0))</f>
        <v>5791820.0166351637</v>
      </c>
      <c r="I46" s="9" t="s">
        <v>79</v>
      </c>
      <c r="J46" s="101">
        <v>227.14</v>
      </c>
      <c r="K46" s="62"/>
      <c r="L46" s="24">
        <f t="shared" si="104"/>
        <v>140915.53879165306</v>
      </c>
      <c r="M46" s="62"/>
      <c r="N46" s="61">
        <f t="shared" si="105"/>
        <v>0</v>
      </c>
      <c r="O46" s="61">
        <f t="shared" si="106"/>
        <v>12858.483886487036</v>
      </c>
      <c r="P46" s="61">
        <f t="shared" si="106"/>
        <v>13118.024098776743</v>
      </c>
      <c r="Q46" s="61">
        <f t="shared" si="106"/>
        <v>13382.802963024966</v>
      </c>
      <c r="R46" s="61">
        <f t="shared" si="106"/>
        <v>13652.926218046116</v>
      </c>
      <c r="S46" s="61">
        <f t="shared" si="106"/>
        <v>13928.501736924456</v>
      </c>
      <c r="T46" s="61">
        <f t="shared" si="106"/>
        <v>14209.639570092952</v>
      </c>
      <c r="U46" s="61">
        <f t="shared" si="106"/>
        <v>14496.45198928165</v>
      </c>
      <c r="V46" s="61">
        <f t="shared" si="106"/>
        <v>14789.053532353118</v>
      </c>
      <c r="W46" s="61">
        <f t="shared" si="106"/>
        <v>15087.56104904291</v>
      </c>
      <c r="X46" s="61">
        <f t="shared" si="106"/>
        <v>15392.093747623165</v>
      </c>
      <c r="Y46" s="62"/>
      <c r="Z46" s="24">
        <v>0</v>
      </c>
      <c r="AA46" s="24">
        <f t="shared" si="107"/>
        <v>1061.7533111111111</v>
      </c>
      <c r="AB46" s="24">
        <f t="shared" si="107"/>
        <v>1063.522899962963</v>
      </c>
      <c r="AC46" s="24">
        <f t="shared" si="107"/>
        <v>1065.2954381295679</v>
      </c>
      <c r="AD46" s="24">
        <f t="shared" si="107"/>
        <v>1067.0709305264506</v>
      </c>
      <c r="AE46" s="24">
        <f t="shared" si="107"/>
        <v>1068.8493820773281</v>
      </c>
      <c r="AF46" s="24">
        <f t="shared" si="107"/>
        <v>1070.6307977141237</v>
      </c>
      <c r="AG46" s="24">
        <f t="shared" si="107"/>
        <v>1072.4151823769805</v>
      </c>
      <c r="AH46" s="24">
        <f t="shared" si="107"/>
        <v>1074.2025410142755</v>
      </c>
      <c r="AI46" s="24">
        <f t="shared" si="107"/>
        <v>1075.9928785826328</v>
      </c>
      <c r="AJ46" s="24">
        <f t="shared" si="107"/>
        <v>1077.7862000469372</v>
      </c>
      <c r="AK46" s="24">
        <f t="shared" si="108"/>
        <v>1079.5825103803486</v>
      </c>
      <c r="AL46" s="24">
        <f t="shared" si="108"/>
        <v>1081.3818145643158</v>
      </c>
      <c r="AM46" s="24">
        <f t="shared" si="108"/>
        <v>1083.18411758859</v>
      </c>
      <c r="AN46" s="24">
        <f t="shared" si="108"/>
        <v>1084.9894244512375</v>
      </c>
      <c r="AO46" s="24">
        <f t="shared" si="108"/>
        <v>1086.7977401586563</v>
      </c>
      <c r="AP46" s="24">
        <f t="shared" si="108"/>
        <v>1088.6090697255875</v>
      </c>
      <c r="AQ46" s="24">
        <f t="shared" si="108"/>
        <v>1090.4234181751299</v>
      </c>
      <c r="AR46" s="24">
        <f t="shared" si="108"/>
        <v>1092.2407905387552</v>
      </c>
      <c r="AS46" s="24">
        <f t="shared" si="108"/>
        <v>1094.06119185632</v>
      </c>
      <c r="AT46" s="24">
        <f t="shared" si="108"/>
        <v>1095.8846271760801</v>
      </c>
      <c r="AU46" s="24">
        <f t="shared" si="109"/>
        <v>1097.7111015547071</v>
      </c>
      <c r="AV46" s="24">
        <f t="shared" si="109"/>
        <v>1099.5406200572982</v>
      </c>
      <c r="AW46" s="24">
        <f t="shared" si="109"/>
        <v>1101.3731877573937</v>
      </c>
      <c r="AX46" s="24">
        <f t="shared" si="109"/>
        <v>1103.2088097369895</v>
      </c>
      <c r="AY46" s="24">
        <f t="shared" si="109"/>
        <v>1105.047491086551</v>
      </c>
      <c r="AZ46" s="24">
        <f t="shared" si="109"/>
        <v>1106.8892369050286</v>
      </c>
      <c r="BA46" s="24">
        <f t="shared" si="109"/>
        <v>1108.7340522998707</v>
      </c>
      <c r="BB46" s="24">
        <f t="shared" si="109"/>
        <v>1110.5819423870371</v>
      </c>
      <c r="BC46" s="24">
        <f t="shared" si="109"/>
        <v>1112.4329122910158</v>
      </c>
      <c r="BD46" s="24">
        <f t="shared" si="109"/>
        <v>1114.2869671448341</v>
      </c>
      <c r="BE46" s="24">
        <f t="shared" si="110"/>
        <v>1116.1441120900754</v>
      </c>
      <c r="BF46" s="24">
        <f t="shared" si="110"/>
        <v>1118.0043522768922</v>
      </c>
      <c r="BG46" s="24">
        <f t="shared" si="110"/>
        <v>1119.8676928640202</v>
      </c>
      <c r="BH46" s="24">
        <f t="shared" si="110"/>
        <v>1121.7341390187937</v>
      </c>
      <c r="BI46" s="24">
        <f t="shared" si="110"/>
        <v>1123.6036959171586</v>
      </c>
      <c r="BJ46" s="24">
        <f t="shared" si="110"/>
        <v>1125.4763687436871</v>
      </c>
      <c r="BK46" s="24">
        <f t="shared" si="110"/>
        <v>1127.3521626915931</v>
      </c>
      <c r="BL46" s="24">
        <f t="shared" si="110"/>
        <v>1129.2310829627459</v>
      </c>
      <c r="BM46" s="24">
        <f t="shared" si="110"/>
        <v>1131.113134767684</v>
      </c>
      <c r="BN46" s="24">
        <f t="shared" si="110"/>
        <v>1132.9983233256301</v>
      </c>
      <c r="BO46" s="24">
        <f t="shared" si="111"/>
        <v>1134.8866538645061</v>
      </c>
      <c r="BP46" s="24">
        <f t="shared" si="111"/>
        <v>1136.7781316209469</v>
      </c>
      <c r="BQ46" s="24">
        <f t="shared" si="111"/>
        <v>1138.6727618403154</v>
      </c>
      <c r="BR46" s="24">
        <f t="shared" si="111"/>
        <v>1140.5705497767158</v>
      </c>
      <c r="BS46" s="24">
        <f t="shared" si="111"/>
        <v>1142.4715006930105</v>
      </c>
      <c r="BT46" s="24">
        <f t="shared" si="111"/>
        <v>1144.3756198608321</v>
      </c>
      <c r="BU46" s="24">
        <f t="shared" si="111"/>
        <v>1146.2829125606004</v>
      </c>
      <c r="BV46" s="24">
        <f t="shared" si="111"/>
        <v>1148.1933840815345</v>
      </c>
      <c r="BW46" s="24">
        <f t="shared" si="111"/>
        <v>1150.1070397216708</v>
      </c>
      <c r="BX46" s="24">
        <f t="shared" si="111"/>
        <v>1152.0238847878736</v>
      </c>
      <c r="BY46" s="24">
        <f t="shared" si="112"/>
        <v>1153.9439245958533</v>
      </c>
      <c r="BZ46" s="24">
        <f t="shared" si="112"/>
        <v>1155.8671644701797</v>
      </c>
      <c r="CA46" s="24">
        <f t="shared" si="112"/>
        <v>1157.7936097442964</v>
      </c>
      <c r="CB46" s="24">
        <f t="shared" si="112"/>
        <v>1159.7232657605373</v>
      </c>
      <c r="CC46" s="24">
        <f t="shared" si="112"/>
        <v>1161.6561378701381</v>
      </c>
      <c r="CD46" s="24">
        <f t="shared" si="112"/>
        <v>1163.5922314332552</v>
      </c>
      <c r="CE46" s="24">
        <f t="shared" si="112"/>
        <v>1165.5315518189771</v>
      </c>
      <c r="CF46" s="24">
        <f t="shared" si="112"/>
        <v>1167.4741044053419</v>
      </c>
      <c r="CG46" s="24">
        <f t="shared" si="112"/>
        <v>1169.419894579351</v>
      </c>
      <c r="CH46" s="24">
        <f t="shared" si="112"/>
        <v>1171.3689277369833</v>
      </c>
      <c r="CI46" s="24">
        <f t="shared" si="113"/>
        <v>1173.3212092832116</v>
      </c>
      <c r="CJ46" s="24">
        <f t="shared" si="113"/>
        <v>1175.276744632017</v>
      </c>
      <c r="CK46" s="24">
        <f t="shared" si="113"/>
        <v>1177.2355392064035</v>
      </c>
      <c r="CL46" s="24">
        <f t="shared" si="113"/>
        <v>1179.1975984384144</v>
      </c>
      <c r="CM46" s="24">
        <f t="shared" si="113"/>
        <v>1181.1629277691452</v>
      </c>
      <c r="CN46" s="24">
        <f t="shared" si="113"/>
        <v>1183.1315326487604</v>
      </c>
      <c r="CO46" s="24">
        <f t="shared" si="113"/>
        <v>1185.1034185365086</v>
      </c>
      <c r="CP46" s="24">
        <f t="shared" si="113"/>
        <v>1187.0785909007361</v>
      </c>
      <c r="CQ46" s="24">
        <f t="shared" si="113"/>
        <v>1189.057055218904</v>
      </c>
      <c r="CR46" s="24">
        <f t="shared" si="113"/>
        <v>1191.0388169776022</v>
      </c>
      <c r="CS46" s="24">
        <f t="shared" si="114"/>
        <v>1193.023881672565</v>
      </c>
      <c r="CT46" s="24">
        <f t="shared" si="114"/>
        <v>1195.0122548086861</v>
      </c>
      <c r="CU46" s="24">
        <f t="shared" si="114"/>
        <v>1197.0039419000339</v>
      </c>
      <c r="CV46" s="24">
        <f t="shared" si="114"/>
        <v>1198.9989484698672</v>
      </c>
      <c r="CW46" s="24">
        <f t="shared" si="114"/>
        <v>1200.9972800506503</v>
      </c>
      <c r="CX46" s="24">
        <f t="shared" si="114"/>
        <v>1202.998942184068</v>
      </c>
      <c r="CY46" s="24">
        <f t="shared" si="114"/>
        <v>1205.0039404210415</v>
      </c>
      <c r="CZ46" s="24">
        <f t="shared" si="114"/>
        <v>1207.0122803217432</v>
      </c>
      <c r="DA46" s="24">
        <f t="shared" si="114"/>
        <v>1209.0239674556128</v>
      </c>
      <c r="DB46" s="24">
        <f t="shared" si="114"/>
        <v>1211.0390074013721</v>
      </c>
      <c r="DC46" s="24">
        <f t="shared" si="115"/>
        <v>1213.0574057470412</v>
      </c>
      <c r="DD46" s="24">
        <f t="shared" si="115"/>
        <v>1215.0791680899529</v>
      </c>
      <c r="DE46" s="24">
        <f t="shared" si="115"/>
        <v>1217.1043000367695</v>
      </c>
      <c r="DF46" s="24">
        <f t="shared" si="115"/>
        <v>1219.1328072034976</v>
      </c>
      <c r="DG46" s="24">
        <f t="shared" si="115"/>
        <v>1221.1646952155033</v>
      </c>
      <c r="DH46" s="24">
        <f t="shared" si="115"/>
        <v>1223.1999697075291</v>
      </c>
      <c r="DI46" s="24">
        <f t="shared" si="115"/>
        <v>1225.2386363237085</v>
      </c>
      <c r="DJ46" s="24">
        <f t="shared" si="115"/>
        <v>1227.2807007175813</v>
      </c>
      <c r="DK46" s="24">
        <f t="shared" si="115"/>
        <v>1229.3261685521106</v>
      </c>
      <c r="DL46" s="24">
        <f t="shared" si="115"/>
        <v>1231.3750454996975</v>
      </c>
      <c r="DM46" s="24">
        <f t="shared" si="116"/>
        <v>1233.4273372421969</v>
      </c>
      <c r="DN46" s="24">
        <f t="shared" si="116"/>
        <v>1235.483049470934</v>
      </c>
      <c r="DO46" s="24">
        <f t="shared" si="116"/>
        <v>1237.5421878867189</v>
      </c>
      <c r="DP46" s="24">
        <f t="shared" si="116"/>
        <v>1239.6047581998637</v>
      </c>
      <c r="DQ46" s="24">
        <f t="shared" si="116"/>
        <v>1241.6707661301966</v>
      </c>
      <c r="DR46" s="24">
        <f t="shared" si="116"/>
        <v>1243.7402174070803</v>
      </c>
      <c r="DS46" s="24">
        <f t="shared" si="116"/>
        <v>1245.8131177694256</v>
      </c>
      <c r="DT46" s="24">
        <f t="shared" si="116"/>
        <v>1247.8894729657081</v>
      </c>
      <c r="DU46" s="24">
        <f t="shared" si="116"/>
        <v>1249.9692887539845</v>
      </c>
      <c r="DV46" s="24">
        <f t="shared" si="116"/>
        <v>1252.052570901908</v>
      </c>
      <c r="DW46" s="24">
        <f t="shared" si="117"/>
        <v>1254.1393251867446</v>
      </c>
      <c r="DX46" s="24">
        <f t="shared" si="117"/>
        <v>1256.2295573953893</v>
      </c>
      <c r="DY46" s="24">
        <f t="shared" si="117"/>
        <v>1258.3232733243815</v>
      </c>
      <c r="DZ46" s="24">
        <f t="shared" si="117"/>
        <v>1260.4204787799222</v>
      </c>
      <c r="EA46" s="24">
        <f t="shared" si="117"/>
        <v>1262.5211795778887</v>
      </c>
      <c r="EB46" s="24">
        <f t="shared" si="117"/>
        <v>1264.625381543852</v>
      </c>
      <c r="EC46" s="24">
        <f t="shared" si="117"/>
        <v>1266.7330905130918</v>
      </c>
      <c r="ED46" s="24">
        <f t="shared" si="117"/>
        <v>1268.8443123306138</v>
      </c>
      <c r="EE46" s="24">
        <f t="shared" si="117"/>
        <v>1270.9590528511646</v>
      </c>
      <c r="EF46" s="24">
        <f t="shared" si="117"/>
        <v>1273.0773179392502</v>
      </c>
      <c r="EG46" s="24">
        <f t="shared" si="118"/>
        <v>1275.1991134691489</v>
      </c>
      <c r="EH46" s="24">
        <f t="shared" si="118"/>
        <v>1277.3244453249308</v>
      </c>
      <c r="EI46" s="24">
        <f t="shared" si="118"/>
        <v>1279.4533194004725</v>
      </c>
      <c r="EJ46" s="24">
        <f t="shared" si="118"/>
        <v>1281.5857415994733</v>
      </c>
      <c r="EK46" s="24">
        <f t="shared" si="118"/>
        <v>1283.7217178354724</v>
      </c>
      <c r="EL46" s="24">
        <f t="shared" si="118"/>
        <v>1285.861254031865</v>
      </c>
      <c r="EM46" s="24">
        <f t="shared" si="118"/>
        <v>1288.0043561219179</v>
      </c>
      <c r="EN46" s="24">
        <f t="shared" si="118"/>
        <v>1290.151030048788</v>
      </c>
      <c r="EO46" s="24">
        <f t="shared" si="118"/>
        <v>1292.301281765536</v>
      </c>
      <c r="EP46" s="24">
        <f t="shared" si="118"/>
        <v>1294.4551172351453</v>
      </c>
      <c r="EQ46" s="24">
        <f t="shared" si="119"/>
        <v>1296.6125424305374</v>
      </c>
      <c r="ER46" s="24">
        <f t="shared" si="119"/>
        <v>1298.7735633345883</v>
      </c>
      <c r="ES46" s="24">
        <f t="shared" si="119"/>
        <v>1300.938185940146</v>
      </c>
      <c r="ET46" s="24">
        <f t="shared" si="119"/>
        <v>1303.1064162500463</v>
      </c>
      <c r="EU46" s="24">
        <f t="shared" si="119"/>
        <v>1305.2782602771299</v>
      </c>
      <c r="EV46" s="24">
        <f t="shared" si="119"/>
        <v>1307.4537240442585</v>
      </c>
      <c r="EW46" s="24">
        <f t="shared" si="119"/>
        <v>1309.6328135843323</v>
      </c>
      <c r="EX46" s="24">
        <f t="shared" si="119"/>
        <v>1311.8155349403064</v>
      </c>
      <c r="EY46" s="24">
        <f t="shared" si="119"/>
        <v>1314.001894165207</v>
      </c>
      <c r="EZ46" s="24">
        <f t="shared" si="119"/>
        <v>1316.1918973221489</v>
      </c>
      <c r="FA46" s="24">
        <f t="shared" si="119"/>
        <v>1318.3855504843525</v>
      </c>
      <c r="FB46" s="24">
        <f t="shared" si="119"/>
        <v>1320.5828597351599</v>
      </c>
    </row>
    <row r="47" spans="2:158">
      <c r="B47" s="77" t="s">
        <v>80</v>
      </c>
      <c r="C47" s="207">
        <f>E16</f>
        <v>24</v>
      </c>
      <c r="D47" s="81">
        <f>EOMONTH(D15,C47-1)</f>
        <v>46904</v>
      </c>
      <c r="E47" s="79" t="s">
        <v>80</v>
      </c>
      <c r="F47" s="82">
        <v>360</v>
      </c>
      <c r="G47" s="81">
        <f>EOMONTH(D47,F47-1)</f>
        <v>57830</v>
      </c>
      <c r="I47" s="9" t="s">
        <v>81</v>
      </c>
      <c r="J47" s="101">
        <v>291.07</v>
      </c>
      <c r="K47" s="62"/>
      <c r="L47" s="24">
        <f t="shared" si="104"/>
        <v>180577.11488987616</v>
      </c>
      <c r="M47" s="62"/>
      <c r="N47" s="61">
        <f t="shared" si="105"/>
        <v>0</v>
      </c>
      <c r="O47" s="61">
        <f t="shared" si="106"/>
        <v>16477.586091572517</v>
      </c>
      <c r="P47" s="61">
        <f t="shared" si="106"/>
        <v>16810.175550017379</v>
      </c>
      <c r="Q47" s="61">
        <f t="shared" si="106"/>
        <v>17149.478112387409</v>
      </c>
      <c r="R47" s="61">
        <f t="shared" si="106"/>
        <v>17495.629278359967</v>
      </c>
      <c r="S47" s="61">
        <f t="shared" si="106"/>
        <v>17848.767282586079</v>
      </c>
      <c r="T47" s="61">
        <f t="shared" si="106"/>
        <v>18209.033149894145</v>
      </c>
      <c r="U47" s="61">
        <f t="shared" si="106"/>
        <v>18576.570751607862</v>
      </c>
      <c r="V47" s="61">
        <f t="shared" si="106"/>
        <v>18951.526863000894</v>
      </c>
      <c r="W47" s="61">
        <f t="shared" si="106"/>
        <v>19334.051221911242</v>
      </c>
      <c r="X47" s="61">
        <f t="shared" si="106"/>
        <v>19724.296588538677</v>
      </c>
      <c r="Y47" s="62"/>
      <c r="Z47" s="24">
        <v>0</v>
      </c>
      <c r="AA47" s="24">
        <f t="shared" si="107"/>
        <v>1360.5905444444443</v>
      </c>
      <c r="AB47" s="24">
        <f t="shared" si="107"/>
        <v>1362.8581953518519</v>
      </c>
      <c r="AC47" s="24">
        <f t="shared" si="107"/>
        <v>1365.1296256774383</v>
      </c>
      <c r="AD47" s="24">
        <f t="shared" si="107"/>
        <v>1367.4048417202343</v>
      </c>
      <c r="AE47" s="24">
        <f t="shared" si="107"/>
        <v>1369.6838497897679</v>
      </c>
      <c r="AF47" s="24">
        <f t="shared" si="107"/>
        <v>1371.9666562060843</v>
      </c>
      <c r="AG47" s="24">
        <f t="shared" si="107"/>
        <v>1374.2532672997611</v>
      </c>
      <c r="AH47" s="24">
        <f t="shared" si="107"/>
        <v>1376.5436894119275</v>
      </c>
      <c r="AI47" s="24">
        <f t="shared" si="107"/>
        <v>1378.8379288942804</v>
      </c>
      <c r="AJ47" s="24">
        <f t="shared" si="107"/>
        <v>1381.1359921091046</v>
      </c>
      <c r="AK47" s="24">
        <f t="shared" si="108"/>
        <v>1383.4378854292863</v>
      </c>
      <c r="AL47" s="24">
        <f t="shared" si="108"/>
        <v>1385.7436152383352</v>
      </c>
      <c r="AM47" s="24">
        <f t="shared" si="108"/>
        <v>1388.0531879303992</v>
      </c>
      <c r="AN47" s="24">
        <f t="shared" si="108"/>
        <v>1390.3666099102832</v>
      </c>
      <c r="AO47" s="24">
        <f t="shared" si="108"/>
        <v>1392.683887593467</v>
      </c>
      <c r="AP47" s="24">
        <f t="shared" si="108"/>
        <v>1395.0050274061227</v>
      </c>
      <c r="AQ47" s="24">
        <f t="shared" si="108"/>
        <v>1397.3300357851328</v>
      </c>
      <c r="AR47" s="24">
        <f t="shared" si="108"/>
        <v>1399.6589191781084</v>
      </c>
      <c r="AS47" s="24">
        <f t="shared" si="108"/>
        <v>1401.991684043405</v>
      </c>
      <c r="AT47" s="24">
        <f t="shared" si="108"/>
        <v>1404.3283368501441</v>
      </c>
      <c r="AU47" s="24">
        <f t="shared" si="109"/>
        <v>1406.6688840782274</v>
      </c>
      <c r="AV47" s="24">
        <f t="shared" si="109"/>
        <v>1409.0133322183578</v>
      </c>
      <c r="AW47" s="24">
        <f t="shared" si="109"/>
        <v>1411.3616877720551</v>
      </c>
      <c r="AX47" s="24">
        <f t="shared" si="109"/>
        <v>1413.7139572516753</v>
      </c>
      <c r="AY47" s="24">
        <f t="shared" si="109"/>
        <v>1416.070147180428</v>
      </c>
      <c r="AZ47" s="24">
        <f t="shared" si="109"/>
        <v>1418.4302640923956</v>
      </c>
      <c r="BA47" s="24">
        <f t="shared" si="109"/>
        <v>1420.7943145325498</v>
      </c>
      <c r="BB47" s="24">
        <f t="shared" si="109"/>
        <v>1423.1623050567709</v>
      </c>
      <c r="BC47" s="24">
        <f t="shared" si="109"/>
        <v>1425.5342422318656</v>
      </c>
      <c r="BD47" s="24">
        <f t="shared" si="109"/>
        <v>1427.9101326355853</v>
      </c>
      <c r="BE47" s="24">
        <f t="shared" si="110"/>
        <v>1430.2899828566447</v>
      </c>
      <c r="BF47" s="24">
        <f t="shared" si="110"/>
        <v>1432.6737994947389</v>
      </c>
      <c r="BG47" s="24">
        <f t="shared" si="110"/>
        <v>1435.0615891605635</v>
      </c>
      <c r="BH47" s="24">
        <f t="shared" si="110"/>
        <v>1437.4533584758312</v>
      </c>
      <c r="BI47" s="24">
        <f t="shared" si="110"/>
        <v>1439.849114073291</v>
      </c>
      <c r="BJ47" s="24">
        <f t="shared" si="110"/>
        <v>1442.2488625967467</v>
      </c>
      <c r="BK47" s="24">
        <f t="shared" si="110"/>
        <v>1444.6526107010745</v>
      </c>
      <c r="BL47" s="24">
        <f t="shared" si="110"/>
        <v>1447.060365052243</v>
      </c>
      <c r="BM47" s="24">
        <f t="shared" si="110"/>
        <v>1449.4721323273302</v>
      </c>
      <c r="BN47" s="24">
        <f t="shared" si="110"/>
        <v>1451.8879192145423</v>
      </c>
      <c r="BO47" s="24">
        <f t="shared" si="111"/>
        <v>1454.3077324132332</v>
      </c>
      <c r="BP47" s="24">
        <f t="shared" si="111"/>
        <v>1456.731578633922</v>
      </c>
      <c r="BQ47" s="24">
        <f t="shared" si="111"/>
        <v>1459.1594645983121</v>
      </c>
      <c r="BR47" s="24">
        <f t="shared" si="111"/>
        <v>1461.5913970393092</v>
      </c>
      <c r="BS47" s="24">
        <f t="shared" si="111"/>
        <v>1464.0273827010415</v>
      </c>
      <c r="BT47" s="24">
        <f t="shared" si="111"/>
        <v>1466.4674283388765</v>
      </c>
      <c r="BU47" s="24">
        <f t="shared" si="111"/>
        <v>1468.9115407194415</v>
      </c>
      <c r="BV47" s="24">
        <f t="shared" si="111"/>
        <v>1471.3597266206407</v>
      </c>
      <c r="BW47" s="24">
        <f t="shared" si="111"/>
        <v>1473.8119928316751</v>
      </c>
      <c r="BX47" s="24">
        <f t="shared" si="111"/>
        <v>1476.2683461530612</v>
      </c>
      <c r="BY47" s="24">
        <f t="shared" si="112"/>
        <v>1478.72879339665</v>
      </c>
      <c r="BZ47" s="24">
        <f t="shared" si="112"/>
        <v>1481.1933413856441</v>
      </c>
      <c r="CA47" s="24">
        <f t="shared" si="112"/>
        <v>1483.66199695462</v>
      </c>
      <c r="CB47" s="24">
        <f t="shared" si="112"/>
        <v>1486.1347669495447</v>
      </c>
      <c r="CC47" s="24">
        <f t="shared" si="112"/>
        <v>1488.6116582277939</v>
      </c>
      <c r="CD47" s="24">
        <f t="shared" si="112"/>
        <v>1491.0926776581737</v>
      </c>
      <c r="CE47" s="24">
        <f t="shared" si="112"/>
        <v>1493.5778321209373</v>
      </c>
      <c r="CF47" s="24">
        <f t="shared" si="112"/>
        <v>1496.0671285078051</v>
      </c>
      <c r="CG47" s="24">
        <f t="shared" si="112"/>
        <v>1498.5605737219851</v>
      </c>
      <c r="CH47" s="24">
        <f t="shared" si="112"/>
        <v>1501.0581746781884</v>
      </c>
      <c r="CI47" s="24">
        <f t="shared" si="113"/>
        <v>1503.559938302652</v>
      </c>
      <c r="CJ47" s="24">
        <f t="shared" si="113"/>
        <v>1506.0658715331565</v>
      </c>
      <c r="CK47" s="24">
        <f t="shared" si="113"/>
        <v>1508.5759813190452</v>
      </c>
      <c r="CL47" s="24">
        <f t="shared" si="113"/>
        <v>1511.0902746212437</v>
      </c>
      <c r="CM47" s="24">
        <f t="shared" si="113"/>
        <v>1513.6087584122793</v>
      </c>
      <c r="CN47" s="24">
        <f t="shared" si="113"/>
        <v>1516.1314396762998</v>
      </c>
      <c r="CO47" s="24">
        <f t="shared" si="113"/>
        <v>1518.6583254090938</v>
      </c>
      <c r="CP47" s="24">
        <f t="shared" si="113"/>
        <v>1521.1894226181091</v>
      </c>
      <c r="CQ47" s="24">
        <f t="shared" si="113"/>
        <v>1523.7247383224726</v>
      </c>
      <c r="CR47" s="24">
        <f t="shared" si="113"/>
        <v>1526.2642795530101</v>
      </c>
      <c r="CS47" s="24">
        <f t="shared" si="114"/>
        <v>1528.8080533522652</v>
      </c>
      <c r="CT47" s="24">
        <f t="shared" si="114"/>
        <v>1531.3560667745191</v>
      </c>
      <c r="CU47" s="24">
        <f t="shared" si="114"/>
        <v>1533.9083268858099</v>
      </c>
      <c r="CV47" s="24">
        <f t="shared" si="114"/>
        <v>1536.4648407639529</v>
      </c>
      <c r="CW47" s="24">
        <f t="shared" si="114"/>
        <v>1539.0256154985595</v>
      </c>
      <c r="CX47" s="24">
        <f t="shared" si="114"/>
        <v>1541.5906581910572</v>
      </c>
      <c r="CY47" s="24">
        <f t="shared" si="114"/>
        <v>1544.1599759547089</v>
      </c>
      <c r="CZ47" s="24">
        <f t="shared" si="114"/>
        <v>1546.7335759146333</v>
      </c>
      <c r="DA47" s="24">
        <f t="shared" si="114"/>
        <v>1549.3114652078245</v>
      </c>
      <c r="DB47" s="24">
        <f t="shared" si="114"/>
        <v>1551.8936509831708</v>
      </c>
      <c r="DC47" s="24">
        <f t="shared" si="115"/>
        <v>1554.4801404014761</v>
      </c>
      <c r="DD47" s="24">
        <f t="shared" si="115"/>
        <v>1557.0709406354786</v>
      </c>
      <c r="DE47" s="24">
        <f t="shared" si="115"/>
        <v>1559.666058869871</v>
      </c>
      <c r="DF47" s="24">
        <f t="shared" si="115"/>
        <v>1562.265502301321</v>
      </c>
      <c r="DG47" s="24">
        <f t="shared" si="115"/>
        <v>1564.8692781384898</v>
      </c>
      <c r="DH47" s="24">
        <f t="shared" si="115"/>
        <v>1567.4773936020538</v>
      </c>
      <c r="DI47" s="24">
        <f t="shared" si="115"/>
        <v>1570.0898559247241</v>
      </c>
      <c r="DJ47" s="24">
        <f t="shared" si="115"/>
        <v>1572.7066723512653</v>
      </c>
      <c r="DK47" s="24">
        <f t="shared" si="115"/>
        <v>1575.3278501385175</v>
      </c>
      <c r="DL47" s="24">
        <f t="shared" si="115"/>
        <v>1577.9533965554151</v>
      </c>
      <c r="DM47" s="24">
        <f t="shared" si="116"/>
        <v>1580.5833188830075</v>
      </c>
      <c r="DN47" s="24">
        <f t="shared" si="116"/>
        <v>1583.2176244144794</v>
      </c>
      <c r="DO47" s="24">
        <f t="shared" si="116"/>
        <v>1585.8563204551701</v>
      </c>
      <c r="DP47" s="24">
        <f t="shared" si="116"/>
        <v>1588.4994143225954</v>
      </c>
      <c r="DQ47" s="24">
        <f t="shared" si="116"/>
        <v>1591.1469133464664</v>
      </c>
      <c r="DR47" s="24">
        <f t="shared" si="116"/>
        <v>1593.7988248687107</v>
      </c>
      <c r="DS47" s="24">
        <f t="shared" si="116"/>
        <v>1596.455156243492</v>
      </c>
      <c r="DT47" s="24">
        <f t="shared" si="116"/>
        <v>1599.1159148372312</v>
      </c>
      <c r="DU47" s="24">
        <f t="shared" si="116"/>
        <v>1601.7811080286269</v>
      </c>
      <c r="DV47" s="24">
        <f t="shared" si="116"/>
        <v>1604.4507432086748</v>
      </c>
      <c r="DW47" s="24">
        <f t="shared" si="117"/>
        <v>1607.1248277806892</v>
      </c>
      <c r="DX47" s="24">
        <f t="shared" si="117"/>
        <v>1609.8033691603239</v>
      </c>
      <c r="DY47" s="24">
        <f t="shared" si="117"/>
        <v>1612.486374775591</v>
      </c>
      <c r="DZ47" s="24">
        <f t="shared" si="117"/>
        <v>1615.1738520668837</v>
      </c>
      <c r="EA47" s="24">
        <f t="shared" si="117"/>
        <v>1617.8658084869953</v>
      </c>
      <c r="EB47" s="24">
        <f t="shared" si="117"/>
        <v>1620.5622515011403</v>
      </c>
      <c r="EC47" s="24">
        <f t="shared" si="117"/>
        <v>1623.2631885869757</v>
      </c>
      <c r="ED47" s="24">
        <f t="shared" si="117"/>
        <v>1625.9686272346207</v>
      </c>
      <c r="EE47" s="24">
        <f t="shared" si="117"/>
        <v>1628.6785749466785</v>
      </c>
      <c r="EF47" s="24">
        <f t="shared" si="117"/>
        <v>1631.3930392382563</v>
      </c>
      <c r="EG47" s="24">
        <f t="shared" si="118"/>
        <v>1634.1120276369868</v>
      </c>
      <c r="EH47" s="24">
        <f t="shared" si="118"/>
        <v>1636.8355476830486</v>
      </c>
      <c r="EI47" s="24">
        <f t="shared" si="118"/>
        <v>1639.5636069291872</v>
      </c>
      <c r="EJ47" s="24">
        <f t="shared" si="118"/>
        <v>1642.2962129407356</v>
      </c>
      <c r="EK47" s="24">
        <f t="shared" si="118"/>
        <v>1645.0333732956371</v>
      </c>
      <c r="EL47" s="24">
        <f t="shared" si="118"/>
        <v>1647.7750955844631</v>
      </c>
      <c r="EM47" s="24">
        <f t="shared" si="118"/>
        <v>1650.5213874104372</v>
      </c>
      <c r="EN47" s="24">
        <f t="shared" si="118"/>
        <v>1653.2722563894547</v>
      </c>
      <c r="EO47" s="24">
        <f t="shared" si="118"/>
        <v>1656.027710150104</v>
      </c>
      <c r="EP47" s="24">
        <f t="shared" si="118"/>
        <v>1658.7877563336876</v>
      </c>
      <c r="EQ47" s="24">
        <f t="shared" si="119"/>
        <v>1661.5524025942436</v>
      </c>
      <c r="ER47" s="24">
        <f t="shared" si="119"/>
        <v>1664.3216565985676</v>
      </c>
      <c r="ES47" s="24">
        <f t="shared" si="119"/>
        <v>1667.0955260262322</v>
      </c>
      <c r="ET47" s="24">
        <f t="shared" si="119"/>
        <v>1669.874018569609</v>
      </c>
      <c r="EU47" s="24">
        <f t="shared" si="119"/>
        <v>1672.6571419338918</v>
      </c>
      <c r="EV47" s="24">
        <f t="shared" si="119"/>
        <v>1675.4449038371154</v>
      </c>
      <c r="EW47" s="24">
        <f t="shared" si="119"/>
        <v>1678.237312010177</v>
      </c>
      <c r="EX47" s="24">
        <f t="shared" si="119"/>
        <v>1681.0343741968609</v>
      </c>
      <c r="EY47" s="24">
        <f t="shared" si="119"/>
        <v>1683.8360981538558</v>
      </c>
      <c r="EZ47" s="24">
        <f t="shared" si="119"/>
        <v>1686.6424916507788</v>
      </c>
      <c r="FA47" s="24">
        <f t="shared" si="119"/>
        <v>1689.4535624701969</v>
      </c>
      <c r="FB47" s="24">
        <f t="shared" si="119"/>
        <v>1692.269318407647</v>
      </c>
    </row>
    <row r="48" spans="2:158">
      <c r="B48" s="77" t="s">
        <v>82</v>
      </c>
      <c r="C48" s="208" t="s">
        <v>83</v>
      </c>
      <c r="D48" s="209">
        <v>6.5199999999999994E-2</v>
      </c>
      <c r="E48" s="79" t="s">
        <v>82</v>
      </c>
      <c r="F48" s="208" t="s">
        <v>83</v>
      </c>
      <c r="G48" s="210">
        <f>C106</f>
        <v>6.25E-2</v>
      </c>
      <c r="I48" s="66" t="s">
        <v>84</v>
      </c>
      <c r="J48" s="89">
        <v>0</v>
      </c>
      <c r="K48" s="62"/>
      <c r="L48" s="142">
        <f t="shared" si="104"/>
        <v>0</v>
      </c>
      <c r="M48" s="62"/>
      <c r="N48" s="65">
        <f t="shared" si="105"/>
        <v>0</v>
      </c>
      <c r="O48" s="65">
        <f t="shared" si="106"/>
        <v>0</v>
      </c>
      <c r="P48" s="65">
        <f t="shared" si="106"/>
        <v>0</v>
      </c>
      <c r="Q48" s="65">
        <f t="shared" si="106"/>
        <v>0</v>
      </c>
      <c r="R48" s="65">
        <f t="shared" si="106"/>
        <v>0</v>
      </c>
      <c r="S48" s="65">
        <f t="shared" si="106"/>
        <v>0</v>
      </c>
      <c r="T48" s="65">
        <f t="shared" si="106"/>
        <v>0</v>
      </c>
      <c r="U48" s="65">
        <f t="shared" si="106"/>
        <v>0</v>
      </c>
      <c r="V48" s="65">
        <f t="shared" si="106"/>
        <v>0</v>
      </c>
      <c r="W48" s="65">
        <f t="shared" si="106"/>
        <v>0</v>
      </c>
      <c r="X48" s="65">
        <f t="shared" si="106"/>
        <v>0</v>
      </c>
      <c r="Y48" s="62"/>
      <c r="Z48" s="142">
        <v>0</v>
      </c>
      <c r="AA48" s="142">
        <f t="shared" si="107"/>
        <v>0</v>
      </c>
      <c r="AB48" s="142">
        <f t="shared" si="107"/>
        <v>0</v>
      </c>
      <c r="AC48" s="142">
        <f t="shared" si="107"/>
        <v>0</v>
      </c>
      <c r="AD48" s="142">
        <f t="shared" si="107"/>
        <v>0</v>
      </c>
      <c r="AE48" s="142">
        <f t="shared" si="107"/>
        <v>0</v>
      </c>
      <c r="AF48" s="142">
        <f t="shared" si="107"/>
        <v>0</v>
      </c>
      <c r="AG48" s="142">
        <f t="shared" si="107"/>
        <v>0</v>
      </c>
      <c r="AH48" s="142">
        <f t="shared" si="107"/>
        <v>0</v>
      </c>
      <c r="AI48" s="142">
        <f t="shared" si="107"/>
        <v>0</v>
      </c>
      <c r="AJ48" s="142">
        <f t="shared" si="107"/>
        <v>0</v>
      </c>
      <c r="AK48" s="142">
        <f t="shared" si="108"/>
        <v>0</v>
      </c>
      <c r="AL48" s="142">
        <f t="shared" si="108"/>
        <v>0</v>
      </c>
      <c r="AM48" s="142">
        <f t="shared" si="108"/>
        <v>0</v>
      </c>
      <c r="AN48" s="142">
        <f t="shared" si="108"/>
        <v>0</v>
      </c>
      <c r="AO48" s="142">
        <f t="shared" si="108"/>
        <v>0</v>
      </c>
      <c r="AP48" s="142">
        <f t="shared" si="108"/>
        <v>0</v>
      </c>
      <c r="AQ48" s="142">
        <f t="shared" si="108"/>
        <v>0</v>
      </c>
      <c r="AR48" s="142">
        <f t="shared" si="108"/>
        <v>0</v>
      </c>
      <c r="AS48" s="142">
        <f t="shared" si="108"/>
        <v>0</v>
      </c>
      <c r="AT48" s="142">
        <f t="shared" si="108"/>
        <v>0</v>
      </c>
      <c r="AU48" s="142">
        <f t="shared" si="109"/>
        <v>0</v>
      </c>
      <c r="AV48" s="142">
        <f t="shared" si="109"/>
        <v>0</v>
      </c>
      <c r="AW48" s="142">
        <f t="shared" si="109"/>
        <v>0</v>
      </c>
      <c r="AX48" s="142">
        <f t="shared" si="109"/>
        <v>0</v>
      </c>
      <c r="AY48" s="142">
        <f t="shared" si="109"/>
        <v>0</v>
      </c>
      <c r="AZ48" s="142">
        <f t="shared" si="109"/>
        <v>0</v>
      </c>
      <c r="BA48" s="142">
        <f t="shared" si="109"/>
        <v>0</v>
      </c>
      <c r="BB48" s="142">
        <f t="shared" si="109"/>
        <v>0</v>
      </c>
      <c r="BC48" s="142">
        <f t="shared" si="109"/>
        <v>0</v>
      </c>
      <c r="BD48" s="142">
        <f t="shared" si="109"/>
        <v>0</v>
      </c>
      <c r="BE48" s="142">
        <f t="shared" si="110"/>
        <v>0</v>
      </c>
      <c r="BF48" s="142">
        <f t="shared" si="110"/>
        <v>0</v>
      </c>
      <c r="BG48" s="142">
        <f t="shared" si="110"/>
        <v>0</v>
      </c>
      <c r="BH48" s="142">
        <f t="shared" si="110"/>
        <v>0</v>
      </c>
      <c r="BI48" s="142">
        <f t="shared" si="110"/>
        <v>0</v>
      </c>
      <c r="BJ48" s="142">
        <f t="shared" si="110"/>
        <v>0</v>
      </c>
      <c r="BK48" s="142">
        <f t="shared" si="110"/>
        <v>0</v>
      </c>
      <c r="BL48" s="142">
        <f t="shared" si="110"/>
        <v>0</v>
      </c>
      <c r="BM48" s="142">
        <f t="shared" si="110"/>
        <v>0</v>
      </c>
      <c r="BN48" s="142">
        <f t="shared" si="110"/>
        <v>0</v>
      </c>
      <c r="BO48" s="142">
        <f t="shared" si="111"/>
        <v>0</v>
      </c>
      <c r="BP48" s="142">
        <f t="shared" si="111"/>
        <v>0</v>
      </c>
      <c r="BQ48" s="142">
        <f t="shared" si="111"/>
        <v>0</v>
      </c>
      <c r="BR48" s="142">
        <f t="shared" si="111"/>
        <v>0</v>
      </c>
      <c r="BS48" s="142">
        <f t="shared" si="111"/>
        <v>0</v>
      </c>
      <c r="BT48" s="142">
        <f t="shared" si="111"/>
        <v>0</v>
      </c>
      <c r="BU48" s="142">
        <f t="shared" si="111"/>
        <v>0</v>
      </c>
      <c r="BV48" s="142">
        <f t="shared" si="111"/>
        <v>0</v>
      </c>
      <c r="BW48" s="142">
        <f t="shared" si="111"/>
        <v>0</v>
      </c>
      <c r="BX48" s="142">
        <f t="shared" si="111"/>
        <v>0</v>
      </c>
      <c r="BY48" s="142">
        <f t="shared" si="112"/>
        <v>0</v>
      </c>
      <c r="BZ48" s="142">
        <f t="shared" si="112"/>
        <v>0</v>
      </c>
      <c r="CA48" s="142">
        <f t="shared" si="112"/>
        <v>0</v>
      </c>
      <c r="CB48" s="142">
        <f t="shared" si="112"/>
        <v>0</v>
      </c>
      <c r="CC48" s="142">
        <f t="shared" si="112"/>
        <v>0</v>
      </c>
      <c r="CD48" s="142">
        <f t="shared" si="112"/>
        <v>0</v>
      </c>
      <c r="CE48" s="142">
        <f t="shared" si="112"/>
        <v>0</v>
      </c>
      <c r="CF48" s="142">
        <f t="shared" si="112"/>
        <v>0</v>
      </c>
      <c r="CG48" s="142">
        <f t="shared" si="112"/>
        <v>0</v>
      </c>
      <c r="CH48" s="142">
        <f t="shared" si="112"/>
        <v>0</v>
      </c>
      <c r="CI48" s="142">
        <f t="shared" si="113"/>
        <v>0</v>
      </c>
      <c r="CJ48" s="142">
        <f t="shared" si="113"/>
        <v>0</v>
      </c>
      <c r="CK48" s="142">
        <f t="shared" si="113"/>
        <v>0</v>
      </c>
      <c r="CL48" s="142">
        <f t="shared" si="113"/>
        <v>0</v>
      </c>
      <c r="CM48" s="142">
        <f t="shared" si="113"/>
        <v>0</v>
      </c>
      <c r="CN48" s="142">
        <f t="shared" si="113"/>
        <v>0</v>
      </c>
      <c r="CO48" s="142">
        <f t="shared" si="113"/>
        <v>0</v>
      </c>
      <c r="CP48" s="142">
        <f t="shared" si="113"/>
        <v>0</v>
      </c>
      <c r="CQ48" s="142">
        <f t="shared" si="113"/>
        <v>0</v>
      </c>
      <c r="CR48" s="142">
        <f t="shared" si="113"/>
        <v>0</v>
      </c>
      <c r="CS48" s="142">
        <f t="shared" si="114"/>
        <v>0</v>
      </c>
      <c r="CT48" s="142">
        <f t="shared" si="114"/>
        <v>0</v>
      </c>
      <c r="CU48" s="142">
        <f t="shared" si="114"/>
        <v>0</v>
      </c>
      <c r="CV48" s="142">
        <f t="shared" si="114"/>
        <v>0</v>
      </c>
      <c r="CW48" s="142">
        <f t="shared" si="114"/>
        <v>0</v>
      </c>
      <c r="CX48" s="142">
        <f t="shared" si="114"/>
        <v>0</v>
      </c>
      <c r="CY48" s="142">
        <f t="shared" si="114"/>
        <v>0</v>
      </c>
      <c r="CZ48" s="142">
        <f t="shared" si="114"/>
        <v>0</v>
      </c>
      <c r="DA48" s="142">
        <f t="shared" si="114"/>
        <v>0</v>
      </c>
      <c r="DB48" s="142">
        <f t="shared" si="114"/>
        <v>0</v>
      </c>
      <c r="DC48" s="142">
        <f t="shared" si="115"/>
        <v>0</v>
      </c>
      <c r="DD48" s="142">
        <f t="shared" si="115"/>
        <v>0</v>
      </c>
      <c r="DE48" s="142">
        <f t="shared" si="115"/>
        <v>0</v>
      </c>
      <c r="DF48" s="142">
        <f t="shared" si="115"/>
        <v>0</v>
      </c>
      <c r="DG48" s="142">
        <f t="shared" si="115"/>
        <v>0</v>
      </c>
      <c r="DH48" s="142">
        <f t="shared" si="115"/>
        <v>0</v>
      </c>
      <c r="DI48" s="142">
        <f t="shared" si="115"/>
        <v>0</v>
      </c>
      <c r="DJ48" s="142">
        <f t="shared" si="115"/>
        <v>0</v>
      </c>
      <c r="DK48" s="142">
        <f t="shared" si="115"/>
        <v>0</v>
      </c>
      <c r="DL48" s="142">
        <f t="shared" si="115"/>
        <v>0</v>
      </c>
      <c r="DM48" s="142">
        <f t="shared" si="116"/>
        <v>0</v>
      </c>
      <c r="DN48" s="142">
        <f t="shared" si="116"/>
        <v>0</v>
      </c>
      <c r="DO48" s="142">
        <f t="shared" si="116"/>
        <v>0</v>
      </c>
      <c r="DP48" s="142">
        <f t="shared" si="116"/>
        <v>0</v>
      </c>
      <c r="DQ48" s="142">
        <f t="shared" si="116"/>
        <v>0</v>
      </c>
      <c r="DR48" s="142">
        <f t="shared" si="116"/>
        <v>0</v>
      </c>
      <c r="DS48" s="142">
        <f t="shared" si="116"/>
        <v>0</v>
      </c>
      <c r="DT48" s="142">
        <f t="shared" si="116"/>
        <v>0</v>
      </c>
      <c r="DU48" s="142">
        <f t="shared" si="116"/>
        <v>0</v>
      </c>
      <c r="DV48" s="142">
        <f t="shared" si="116"/>
        <v>0</v>
      </c>
      <c r="DW48" s="142">
        <f t="shared" si="117"/>
        <v>0</v>
      </c>
      <c r="DX48" s="142">
        <f t="shared" si="117"/>
        <v>0</v>
      </c>
      <c r="DY48" s="142">
        <f t="shared" si="117"/>
        <v>0</v>
      </c>
      <c r="DZ48" s="142">
        <f t="shared" si="117"/>
        <v>0</v>
      </c>
      <c r="EA48" s="142">
        <f t="shared" si="117"/>
        <v>0</v>
      </c>
      <c r="EB48" s="142">
        <f t="shared" si="117"/>
        <v>0</v>
      </c>
      <c r="EC48" s="142">
        <f t="shared" si="117"/>
        <v>0</v>
      </c>
      <c r="ED48" s="142">
        <f t="shared" si="117"/>
        <v>0</v>
      </c>
      <c r="EE48" s="142">
        <f t="shared" si="117"/>
        <v>0</v>
      </c>
      <c r="EF48" s="142">
        <f t="shared" si="117"/>
        <v>0</v>
      </c>
      <c r="EG48" s="142">
        <f t="shared" si="118"/>
        <v>0</v>
      </c>
      <c r="EH48" s="142">
        <f t="shared" si="118"/>
        <v>0</v>
      </c>
      <c r="EI48" s="142">
        <f t="shared" si="118"/>
        <v>0</v>
      </c>
      <c r="EJ48" s="142">
        <f t="shared" si="118"/>
        <v>0</v>
      </c>
      <c r="EK48" s="142">
        <f t="shared" si="118"/>
        <v>0</v>
      </c>
      <c r="EL48" s="142">
        <f t="shared" si="118"/>
        <v>0</v>
      </c>
      <c r="EM48" s="142">
        <f t="shared" si="118"/>
        <v>0</v>
      </c>
      <c r="EN48" s="142">
        <f t="shared" si="118"/>
        <v>0</v>
      </c>
      <c r="EO48" s="142">
        <f t="shared" si="118"/>
        <v>0</v>
      </c>
      <c r="EP48" s="142">
        <f t="shared" si="118"/>
        <v>0</v>
      </c>
      <c r="EQ48" s="142">
        <f t="shared" si="119"/>
        <v>0</v>
      </c>
      <c r="ER48" s="142">
        <f t="shared" si="119"/>
        <v>0</v>
      </c>
      <c r="ES48" s="142">
        <f t="shared" si="119"/>
        <v>0</v>
      </c>
      <c r="ET48" s="142">
        <f t="shared" si="119"/>
        <v>0</v>
      </c>
      <c r="EU48" s="142">
        <f t="shared" si="119"/>
        <v>0</v>
      </c>
      <c r="EV48" s="142">
        <f t="shared" si="119"/>
        <v>0</v>
      </c>
      <c r="EW48" s="142">
        <f t="shared" si="119"/>
        <v>0</v>
      </c>
      <c r="EX48" s="142">
        <f t="shared" si="119"/>
        <v>0</v>
      </c>
      <c r="EY48" s="142">
        <f t="shared" si="119"/>
        <v>0</v>
      </c>
      <c r="EZ48" s="142">
        <f t="shared" si="119"/>
        <v>0</v>
      </c>
      <c r="FA48" s="142">
        <f t="shared" si="119"/>
        <v>0</v>
      </c>
      <c r="FB48" s="142">
        <f t="shared" si="119"/>
        <v>0</v>
      </c>
    </row>
    <row r="49" spans="1:158">
      <c r="B49" s="166" t="s">
        <v>57</v>
      </c>
      <c r="C49" s="211">
        <v>0.01</v>
      </c>
      <c r="D49" s="212">
        <f>C49*D46</f>
        <v>47000</v>
      </c>
      <c r="E49" s="167" t="s">
        <v>57</v>
      </c>
      <c r="F49" s="213">
        <v>5.0000000000000001E-3</v>
      </c>
      <c r="G49" s="168">
        <f ca="1">F49*G46</f>
        <v>28959.100083175817</v>
      </c>
      <c r="I49" s="57" t="s">
        <v>85</v>
      </c>
      <c r="J49" s="83"/>
      <c r="K49" s="198"/>
      <c r="L49" s="57">
        <f t="shared" si="104"/>
        <v>1329193.2333208802</v>
      </c>
      <c r="M49" s="58"/>
      <c r="N49" s="57">
        <f t="shared" si="105"/>
        <v>0</v>
      </c>
      <c r="O49" s="57">
        <f t="shared" si="106"/>
        <v>121288.32575344428</v>
      </c>
      <c r="P49" s="57">
        <f t="shared" si="106"/>
        <v>123736.45246046565</v>
      </c>
      <c r="Q49" s="57">
        <f t="shared" si="106"/>
        <v>126233.9930276949</v>
      </c>
      <c r="R49" s="57">
        <f t="shared" si="106"/>
        <v>128781.94484206209</v>
      </c>
      <c r="S49" s="57">
        <f t="shared" si="106"/>
        <v>131381.32542210977</v>
      </c>
      <c r="T49" s="57">
        <f t="shared" si="106"/>
        <v>134033.1728243368</v>
      </c>
      <c r="U49" s="57">
        <f t="shared" si="106"/>
        <v>136738.54605774337</v>
      </c>
      <c r="V49" s="57">
        <f t="shared" si="106"/>
        <v>139498.52550674425</v>
      </c>
      <c r="W49" s="57">
        <f t="shared" si="106"/>
        <v>142314.21336261748</v>
      </c>
      <c r="X49" s="57">
        <f t="shared" si="106"/>
        <v>145186.73406366166</v>
      </c>
      <c r="Y49" s="58"/>
      <c r="Z49" s="57">
        <f>SUM(Z42:Z48)</f>
        <v>0</v>
      </c>
      <c r="AA49" s="57">
        <f>SUM(AA42:AA48)</f>
        <v>10015.043966666668</v>
      </c>
      <c r="AB49" s="57">
        <f t="shared" ref="AB49:CM49" si="120">SUM(AB42:AB48)</f>
        <v>10031.735706611111</v>
      </c>
      <c r="AC49" s="57">
        <f t="shared" si="120"/>
        <v>10048.45526612213</v>
      </c>
      <c r="AD49" s="57">
        <f t="shared" si="120"/>
        <v>10065.202691565668</v>
      </c>
      <c r="AE49" s="57">
        <f t="shared" si="120"/>
        <v>10081.978029384945</v>
      </c>
      <c r="AF49" s="57">
        <f t="shared" si="120"/>
        <v>10098.781326100587</v>
      </c>
      <c r="AG49" s="57">
        <f t="shared" si="120"/>
        <v>10115.612628310755</v>
      </c>
      <c r="AH49" s="57">
        <f t="shared" si="120"/>
        <v>10132.471982691273</v>
      </c>
      <c r="AI49" s="57">
        <f t="shared" si="120"/>
        <v>10149.359435995757</v>
      </c>
      <c r="AJ49" s="57">
        <f t="shared" si="120"/>
        <v>10166.275035055753</v>
      </c>
      <c r="AK49" s="57">
        <f t="shared" si="120"/>
        <v>10183.218826780845</v>
      </c>
      <c r="AL49" s="57">
        <f t="shared" si="120"/>
        <v>10200.190858158814</v>
      </c>
      <c r="AM49" s="57">
        <f t="shared" si="120"/>
        <v>10217.191176255747</v>
      </c>
      <c r="AN49" s="57">
        <f t="shared" si="120"/>
        <v>10234.219828216172</v>
      </c>
      <c r="AO49" s="57">
        <f t="shared" si="120"/>
        <v>10251.276861263197</v>
      </c>
      <c r="AP49" s="57">
        <f t="shared" si="120"/>
        <v>10268.362322698638</v>
      </c>
      <c r="AQ49" s="57">
        <f t="shared" si="120"/>
        <v>10285.476259903135</v>
      </c>
      <c r="AR49" s="57">
        <f t="shared" si="120"/>
        <v>10302.618720336306</v>
      </c>
      <c r="AS49" s="57">
        <f t="shared" si="120"/>
        <v>10319.789751536868</v>
      </c>
      <c r="AT49" s="57">
        <f t="shared" si="120"/>
        <v>10336.989401122761</v>
      </c>
      <c r="AU49" s="57">
        <f t="shared" si="120"/>
        <v>10354.2177167913</v>
      </c>
      <c r="AV49" s="57">
        <f t="shared" si="120"/>
        <v>10371.474746319283</v>
      </c>
      <c r="AW49" s="57">
        <f t="shared" si="120"/>
        <v>10388.76053756315</v>
      </c>
      <c r="AX49" s="57">
        <f t="shared" si="120"/>
        <v>10406.075138459088</v>
      </c>
      <c r="AY49" s="57">
        <f t="shared" si="120"/>
        <v>10423.418597023187</v>
      </c>
      <c r="AZ49" s="57">
        <f t="shared" si="120"/>
        <v>10440.79096135156</v>
      </c>
      <c r="BA49" s="57">
        <f t="shared" si="120"/>
        <v>10458.192279620482</v>
      </c>
      <c r="BB49" s="57">
        <f t="shared" si="120"/>
        <v>10475.622600086515</v>
      </c>
      <c r="BC49" s="57">
        <f t="shared" si="120"/>
        <v>10493.081971086664</v>
      </c>
      <c r="BD49" s="57">
        <f t="shared" si="120"/>
        <v>10510.570441038471</v>
      </c>
      <c r="BE49" s="57">
        <f t="shared" si="120"/>
        <v>10528.088058440202</v>
      </c>
      <c r="BF49" s="57">
        <f t="shared" si="120"/>
        <v>10545.634871870938</v>
      </c>
      <c r="BG49" s="57">
        <f t="shared" si="120"/>
        <v>10563.210929990721</v>
      </c>
      <c r="BH49" s="57">
        <f t="shared" si="120"/>
        <v>10580.816281540707</v>
      </c>
      <c r="BI49" s="57">
        <f t="shared" si="120"/>
        <v>10598.450975343274</v>
      </c>
      <c r="BJ49" s="57">
        <f t="shared" si="120"/>
        <v>10616.11506030218</v>
      </c>
      <c r="BK49" s="57">
        <f t="shared" si="120"/>
        <v>10633.808585402683</v>
      </c>
      <c r="BL49" s="57">
        <f t="shared" si="120"/>
        <v>10651.531599711689</v>
      </c>
      <c r="BM49" s="57">
        <f t="shared" si="120"/>
        <v>10669.284152377875</v>
      </c>
      <c r="BN49" s="57">
        <f t="shared" si="120"/>
        <v>10687.06629263184</v>
      </c>
      <c r="BO49" s="57">
        <f t="shared" si="120"/>
        <v>10704.878069786226</v>
      </c>
      <c r="BP49" s="57">
        <f t="shared" si="120"/>
        <v>10722.71953323587</v>
      </c>
      <c r="BQ49" s="57">
        <f t="shared" si="120"/>
        <v>10740.590732457929</v>
      </c>
      <c r="BR49" s="57">
        <f t="shared" si="120"/>
        <v>10758.491717012026</v>
      </c>
      <c r="BS49" s="57">
        <f t="shared" si="120"/>
        <v>10776.42253654038</v>
      </c>
      <c r="BT49" s="57">
        <f t="shared" si="120"/>
        <v>10794.383240767947</v>
      </c>
      <c r="BU49" s="57">
        <f t="shared" si="120"/>
        <v>10812.373879502564</v>
      </c>
      <c r="BV49" s="57">
        <f t="shared" si="120"/>
        <v>10830.394502635067</v>
      </c>
      <c r="BW49" s="57">
        <f t="shared" si="120"/>
        <v>10848.445160139459</v>
      </c>
      <c r="BX49" s="57">
        <f t="shared" si="120"/>
        <v>10866.525902073026</v>
      </c>
      <c r="BY49" s="57">
        <f t="shared" si="120"/>
        <v>10884.636778576481</v>
      </c>
      <c r="BZ49" s="57">
        <f t="shared" si="120"/>
        <v>10902.777839874108</v>
      </c>
      <c r="CA49" s="57">
        <f t="shared" si="120"/>
        <v>10920.949136273895</v>
      </c>
      <c r="CB49" s="57">
        <f t="shared" si="120"/>
        <v>10939.150718167686</v>
      </c>
      <c r="CC49" s="57">
        <f t="shared" si="120"/>
        <v>10957.3826360313</v>
      </c>
      <c r="CD49" s="57">
        <f t="shared" si="120"/>
        <v>10975.644940424685</v>
      </c>
      <c r="CE49" s="57">
        <f t="shared" si="120"/>
        <v>10993.937681992062</v>
      </c>
      <c r="CF49" s="57">
        <f t="shared" si="120"/>
        <v>11012.260911462046</v>
      </c>
      <c r="CG49" s="57">
        <f t="shared" si="120"/>
        <v>11030.614679647819</v>
      </c>
      <c r="CH49" s="57">
        <f t="shared" si="120"/>
        <v>11048.999037447231</v>
      </c>
      <c r="CI49" s="57">
        <f t="shared" si="120"/>
        <v>11067.414035842976</v>
      </c>
      <c r="CJ49" s="57">
        <f t="shared" si="120"/>
        <v>11085.859725902716</v>
      </c>
      <c r="CK49" s="57">
        <f t="shared" si="120"/>
        <v>11104.336158779221</v>
      </c>
      <c r="CL49" s="57">
        <f t="shared" si="120"/>
        <v>11122.843385710517</v>
      </c>
      <c r="CM49" s="57">
        <f t="shared" si="120"/>
        <v>11141.38145802004</v>
      </c>
      <c r="CN49" s="57">
        <f t="shared" ref="CN49:EY49" si="121">SUM(CN42:CN48)</f>
        <v>11159.950427116737</v>
      </c>
      <c r="CO49" s="57">
        <f t="shared" si="121"/>
        <v>11178.550344495266</v>
      </c>
      <c r="CP49" s="57">
        <f t="shared" si="121"/>
        <v>11197.181261736094</v>
      </c>
      <c r="CQ49" s="57">
        <f t="shared" si="121"/>
        <v>11215.843230505656</v>
      </c>
      <c r="CR49" s="57">
        <f t="shared" si="121"/>
        <v>11234.536302556497</v>
      </c>
      <c r="CS49" s="57">
        <f t="shared" si="121"/>
        <v>11253.260529727428</v>
      </c>
      <c r="CT49" s="57">
        <f t="shared" si="121"/>
        <v>11272.015963943639</v>
      </c>
      <c r="CU49" s="57">
        <f t="shared" si="121"/>
        <v>11290.802657216878</v>
      </c>
      <c r="CV49" s="57">
        <f t="shared" si="121"/>
        <v>11309.620661645573</v>
      </c>
      <c r="CW49" s="57">
        <f t="shared" si="121"/>
        <v>11328.470029414982</v>
      </c>
      <c r="CX49" s="57">
        <f t="shared" si="121"/>
        <v>11347.35081279734</v>
      </c>
      <c r="CY49" s="57">
        <f t="shared" si="121"/>
        <v>11366.263064152005</v>
      </c>
      <c r="CZ49" s="57">
        <f t="shared" si="121"/>
        <v>11385.20683592559</v>
      </c>
      <c r="DA49" s="57">
        <f t="shared" si="121"/>
        <v>11404.182180652131</v>
      </c>
      <c r="DB49" s="57">
        <f t="shared" si="121"/>
        <v>11423.18915095322</v>
      </c>
      <c r="DC49" s="57">
        <f t="shared" si="121"/>
        <v>11442.227799538141</v>
      </c>
      <c r="DD49" s="57">
        <f t="shared" si="121"/>
        <v>11461.298179204039</v>
      </c>
      <c r="DE49" s="57">
        <f t="shared" si="121"/>
        <v>11480.400342836045</v>
      </c>
      <c r="DF49" s="57">
        <f t="shared" si="121"/>
        <v>11499.53434340744</v>
      </c>
      <c r="DG49" s="57">
        <f t="shared" si="121"/>
        <v>11518.700233979784</v>
      </c>
      <c r="DH49" s="57">
        <f t="shared" si="121"/>
        <v>11537.898067703085</v>
      </c>
      <c r="DI49" s="57">
        <f t="shared" si="121"/>
        <v>11557.127897815924</v>
      </c>
      <c r="DJ49" s="57">
        <f t="shared" si="121"/>
        <v>11576.389777645616</v>
      </c>
      <c r="DK49" s="57">
        <f t="shared" si="121"/>
        <v>11595.683760608359</v>
      </c>
      <c r="DL49" s="57">
        <f t="shared" si="121"/>
        <v>11615.009900209372</v>
      </c>
      <c r="DM49" s="57">
        <f t="shared" si="121"/>
        <v>11634.368250043057</v>
      </c>
      <c r="DN49" s="57">
        <f t="shared" si="121"/>
        <v>11653.758863793129</v>
      </c>
      <c r="DO49" s="57">
        <f t="shared" si="121"/>
        <v>11673.181795232784</v>
      </c>
      <c r="DP49" s="57">
        <f t="shared" si="121"/>
        <v>11692.637098224841</v>
      </c>
      <c r="DQ49" s="57">
        <f t="shared" si="121"/>
        <v>11712.124826721882</v>
      </c>
      <c r="DR49" s="57">
        <f t="shared" si="121"/>
        <v>11731.645034766418</v>
      </c>
      <c r="DS49" s="57">
        <f t="shared" si="121"/>
        <v>11751.197776491028</v>
      </c>
      <c r="DT49" s="57">
        <f t="shared" si="121"/>
        <v>11770.783106118517</v>
      </c>
      <c r="DU49" s="57">
        <f t="shared" si="121"/>
        <v>11790.401077962048</v>
      </c>
      <c r="DV49" s="57">
        <f t="shared" si="121"/>
        <v>11810.051746425321</v>
      </c>
      <c r="DW49" s="57">
        <f t="shared" si="121"/>
        <v>11829.735166002696</v>
      </c>
      <c r="DX49" s="57">
        <f t="shared" si="121"/>
        <v>11849.451391279366</v>
      </c>
      <c r="DY49" s="57">
        <f t="shared" si="121"/>
        <v>11869.200476931503</v>
      </c>
      <c r="DZ49" s="57">
        <f t="shared" si="121"/>
        <v>11888.982477726388</v>
      </c>
      <c r="EA49" s="57">
        <f t="shared" si="121"/>
        <v>11908.797448522597</v>
      </c>
      <c r="EB49" s="57">
        <f t="shared" si="121"/>
        <v>11928.645444270136</v>
      </c>
      <c r="EC49" s="57">
        <f t="shared" si="121"/>
        <v>11948.526520010586</v>
      </c>
      <c r="ED49" s="57">
        <f t="shared" si="121"/>
        <v>11968.440730877272</v>
      </c>
      <c r="EE49" s="57">
        <f t="shared" si="121"/>
        <v>11988.388132095401</v>
      </c>
      <c r="EF49" s="57">
        <f t="shared" si="121"/>
        <v>12008.368778982225</v>
      </c>
      <c r="EG49" s="57">
        <f t="shared" si="121"/>
        <v>12028.382726947199</v>
      </c>
      <c r="EH49" s="57">
        <f t="shared" si="121"/>
        <v>12048.430031492111</v>
      </c>
      <c r="EI49" s="57">
        <f t="shared" si="121"/>
        <v>12068.510748211265</v>
      </c>
      <c r="EJ49" s="57">
        <f t="shared" si="121"/>
        <v>12088.624932791616</v>
      </c>
      <c r="EK49" s="57">
        <f t="shared" si="121"/>
        <v>12108.772641012938</v>
      </c>
      <c r="EL49" s="57">
        <f t="shared" si="121"/>
        <v>12128.953928747957</v>
      </c>
      <c r="EM49" s="57">
        <f t="shared" si="121"/>
        <v>12149.168851962537</v>
      </c>
      <c r="EN49" s="57">
        <f t="shared" si="121"/>
        <v>12169.417466715809</v>
      </c>
      <c r="EO49" s="57">
        <f t="shared" si="121"/>
        <v>12189.699829160336</v>
      </c>
      <c r="EP49" s="57">
        <f t="shared" si="121"/>
        <v>12210.015995542271</v>
      </c>
      <c r="EQ49" s="57">
        <f t="shared" si="121"/>
        <v>12230.366022201508</v>
      </c>
      <c r="ER49" s="57">
        <f t="shared" si="121"/>
        <v>12250.749965571846</v>
      </c>
      <c r="ES49" s="57">
        <f t="shared" si="121"/>
        <v>12271.167882181133</v>
      </c>
      <c r="ET49" s="57">
        <f t="shared" si="121"/>
        <v>12291.619828651435</v>
      </c>
      <c r="EU49" s="57">
        <f t="shared" si="121"/>
        <v>12312.105861699189</v>
      </c>
      <c r="EV49" s="57">
        <f t="shared" si="121"/>
        <v>12332.626038135355</v>
      </c>
      <c r="EW49" s="57">
        <f t="shared" si="121"/>
        <v>12353.180414865579</v>
      </c>
      <c r="EX49" s="57">
        <f t="shared" si="121"/>
        <v>12373.769048890357</v>
      </c>
      <c r="EY49" s="57">
        <f t="shared" si="121"/>
        <v>12394.391997305174</v>
      </c>
      <c r="EZ49" s="57">
        <f t="shared" ref="EZ49:FB49" si="122">SUM(EZ42:EZ48)</f>
        <v>12415.049317300685</v>
      </c>
      <c r="FA49" s="57">
        <f t="shared" si="122"/>
        <v>12435.741066162853</v>
      </c>
      <c r="FB49" s="57">
        <f t="shared" si="122"/>
        <v>12456.467301273124</v>
      </c>
    </row>
    <row r="50" spans="1:158">
      <c r="A50" s="15"/>
      <c r="B50" s="77" t="s">
        <v>86</v>
      </c>
      <c r="C50" s="82">
        <v>24</v>
      </c>
      <c r="D50" s="80">
        <f>PMT(D48/12,360,-D46,0,)</f>
        <v>29769.043207899111</v>
      </c>
      <c r="E50" s="79" t="s">
        <v>86</v>
      </c>
      <c r="F50" s="82">
        <v>24</v>
      </c>
      <c r="G50" s="80">
        <f ca="1">PMT(G48/12,360,-G46,0,)</f>
        <v>35661.232060161397</v>
      </c>
      <c r="H50" s="13"/>
      <c r="I50" s="53"/>
      <c r="J50" s="53"/>
      <c r="K50" s="197"/>
    </row>
    <row r="51" spans="1:158">
      <c r="A51" s="15"/>
      <c r="B51" s="35" t="s">
        <v>87</v>
      </c>
      <c r="C51" s="35"/>
      <c r="D51" s="84"/>
      <c r="E51" s="76" t="s">
        <v>87</v>
      </c>
      <c r="F51" s="35"/>
      <c r="G51" s="35"/>
      <c r="I51" s="15" t="s">
        <v>88</v>
      </c>
      <c r="J51" s="74" t="str">
        <f>J41</f>
        <v>$/Unit/Yr</v>
      </c>
      <c r="K51" s="75"/>
      <c r="L51" s="144" t="s">
        <v>15</v>
      </c>
      <c r="M51" s="75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5"/>
    </row>
    <row r="52" spans="1:158" s="15" customFormat="1">
      <c r="A52" s="32"/>
      <c r="B52" s="77" t="s">
        <v>78</v>
      </c>
      <c r="C52" s="9"/>
      <c r="D52" s="85">
        <f>C22/(PMT(6%/12,360,-D46,0)*12)</f>
        <v>1.6478652568774395</v>
      </c>
      <c r="E52" s="79" t="s">
        <v>78</v>
      </c>
      <c r="F52" s="214">
        <v>1.25</v>
      </c>
      <c r="G52" s="46">
        <f ca="1">PV(G48/12,F47,-F22/12/F52)</f>
        <v>5791820.0166351637</v>
      </c>
      <c r="H52" s="33"/>
      <c r="I52" s="9" t="s">
        <v>89</v>
      </c>
      <c r="J52" s="101">
        <v>642.86</v>
      </c>
      <c r="K52" s="62"/>
      <c r="L52" s="24">
        <f>SUMIF($Z$4:$FB$4,"&lt;="&amp;$G$18,$Z52:$FB52)</f>
        <v>398824.35179889994</v>
      </c>
      <c r="M52" s="62"/>
      <c r="N52" s="61">
        <f>SUMIF($Z$3:$FB$3,N$7,$Z52:$FB52)</f>
        <v>0</v>
      </c>
      <c r="O52" s="61">
        <f t="shared" ref="O52:X56" si="123">SUMIF($Z$3:$FB$3,O$7,$Z52:$FB52)</f>
        <v>36392.555037717073</v>
      </c>
      <c r="P52" s="61">
        <f t="shared" si="123"/>
        <v>37127.115312756978</v>
      </c>
      <c r="Q52" s="61">
        <f t="shared" si="123"/>
        <v>37876.502213657775</v>
      </c>
      <c r="R52" s="61">
        <f t="shared" si="123"/>
        <v>38641.015006309448</v>
      </c>
      <c r="S52" s="61">
        <f t="shared" si="123"/>
        <v>39420.958997091038</v>
      </c>
      <c r="T52" s="61">
        <f t="shared" si="123"/>
        <v>40216.645654794214</v>
      </c>
      <c r="U52" s="61">
        <f t="shared" si="123"/>
        <v>41028.392735007496</v>
      </c>
      <c r="V52" s="61">
        <f t="shared" si="123"/>
        <v>41856.524407011217</v>
      </c>
      <c r="W52" s="61">
        <f t="shared" si="123"/>
        <v>42701.371383233803</v>
      </c>
      <c r="X52" s="61">
        <f t="shared" si="123"/>
        <v>43563.271051320902</v>
      </c>
      <c r="Y52" s="62"/>
      <c r="Z52" s="24">
        <v>0</v>
      </c>
      <c r="AA52" s="24">
        <f t="shared" ref="AA52:AJ53" si="124">$J52/12*AA$14*$C$63</f>
        <v>3005.0133555555558</v>
      </c>
      <c r="AB52" s="24">
        <f t="shared" si="124"/>
        <v>3010.0217111481484</v>
      </c>
      <c r="AC52" s="24">
        <f t="shared" si="124"/>
        <v>3015.0384140000624</v>
      </c>
      <c r="AD52" s="24">
        <f t="shared" si="124"/>
        <v>3020.0634780233959</v>
      </c>
      <c r="AE52" s="24">
        <f t="shared" si="124"/>
        <v>3025.0969171534348</v>
      </c>
      <c r="AF52" s="24">
        <f t="shared" si="124"/>
        <v>3030.1387453486909</v>
      </c>
      <c r="AG52" s="24">
        <f t="shared" si="124"/>
        <v>3035.1889765909386</v>
      </c>
      <c r="AH52" s="24">
        <f t="shared" si="124"/>
        <v>3040.2476248852568</v>
      </c>
      <c r="AI52" s="24">
        <f t="shared" si="124"/>
        <v>3045.3147042600654</v>
      </c>
      <c r="AJ52" s="24">
        <f t="shared" si="124"/>
        <v>3050.3902287671658</v>
      </c>
      <c r="AK52" s="24">
        <f t="shared" ref="AK52:AT53" si="125">$J52/12*AK$14*$C$63</f>
        <v>3055.4742124817781</v>
      </c>
      <c r="AL52" s="24">
        <f t="shared" si="125"/>
        <v>3060.5666695025811</v>
      </c>
      <c r="AM52" s="24">
        <f t="shared" si="125"/>
        <v>3065.6676139517522</v>
      </c>
      <c r="AN52" s="24">
        <f t="shared" si="125"/>
        <v>3070.7770599750052</v>
      </c>
      <c r="AO52" s="24">
        <f t="shared" si="125"/>
        <v>3075.89502174163</v>
      </c>
      <c r="AP52" s="24">
        <f t="shared" si="125"/>
        <v>3081.0215134445325</v>
      </c>
      <c r="AQ52" s="24">
        <f t="shared" si="125"/>
        <v>3086.1565493002736</v>
      </c>
      <c r="AR52" s="24">
        <f t="shared" si="125"/>
        <v>3091.3001435491074</v>
      </c>
      <c r="AS52" s="24">
        <f t="shared" si="125"/>
        <v>3096.4523104550226</v>
      </c>
      <c r="AT52" s="24">
        <f t="shared" si="125"/>
        <v>3101.6130643057804</v>
      </c>
      <c r="AU52" s="24">
        <f t="shared" ref="AU52:BD53" si="126">$J52/12*AU$14*$C$63</f>
        <v>3106.7824194129566</v>
      </c>
      <c r="AV52" s="24">
        <f t="shared" si="126"/>
        <v>3111.9603901119785</v>
      </c>
      <c r="AW52" s="24">
        <f t="shared" si="126"/>
        <v>3117.1469907621654</v>
      </c>
      <c r="AX52" s="24">
        <f t="shared" si="126"/>
        <v>3122.3422357467689</v>
      </c>
      <c r="AY52" s="24">
        <f t="shared" si="126"/>
        <v>3127.5461394730137</v>
      </c>
      <c r="AZ52" s="24">
        <f t="shared" si="126"/>
        <v>3132.7587163721355</v>
      </c>
      <c r="BA52" s="24">
        <f t="shared" si="126"/>
        <v>3137.979980899423</v>
      </c>
      <c r="BB52" s="24">
        <f t="shared" si="126"/>
        <v>3143.2099475342557</v>
      </c>
      <c r="BC52" s="24">
        <f t="shared" si="126"/>
        <v>3148.4486307801462</v>
      </c>
      <c r="BD52" s="24">
        <f t="shared" si="126"/>
        <v>3153.6960451647801</v>
      </c>
      <c r="BE52" s="24">
        <f t="shared" ref="BE52:BN53" si="127">$J52/12*BE$14*$C$63</f>
        <v>3158.9522052400544</v>
      </c>
      <c r="BF52" s="24">
        <f t="shared" si="127"/>
        <v>3164.2171255821208</v>
      </c>
      <c r="BG52" s="24">
        <f t="shared" si="127"/>
        <v>3169.4908207914245</v>
      </c>
      <c r="BH52" s="24">
        <f t="shared" si="127"/>
        <v>3174.7733054927435</v>
      </c>
      <c r="BI52" s="24">
        <f t="shared" si="127"/>
        <v>3180.064594335232</v>
      </c>
      <c r="BJ52" s="24">
        <f t="shared" si="127"/>
        <v>3185.3647019924574</v>
      </c>
      <c r="BK52" s="24">
        <f t="shared" si="127"/>
        <v>3190.6736431624445</v>
      </c>
      <c r="BL52" s="24">
        <f t="shared" si="127"/>
        <v>3195.9914325677159</v>
      </c>
      <c r="BM52" s="24">
        <f t="shared" si="127"/>
        <v>3201.3180849553287</v>
      </c>
      <c r="BN52" s="24">
        <f t="shared" si="127"/>
        <v>3206.6536150969205</v>
      </c>
      <c r="BO52" s="24">
        <f t="shared" ref="BO52:BX53" si="128">$J52/12*BO$14*$C$63</f>
        <v>3211.9980377887491</v>
      </c>
      <c r="BP52" s="24">
        <f t="shared" si="128"/>
        <v>3217.3513678517306</v>
      </c>
      <c r="BQ52" s="24">
        <f t="shared" si="128"/>
        <v>3222.7136201314838</v>
      </c>
      <c r="BR52" s="24">
        <f t="shared" si="128"/>
        <v>3228.0848094983694</v>
      </c>
      <c r="BS52" s="24">
        <f t="shared" si="128"/>
        <v>3233.4649508475336</v>
      </c>
      <c r="BT52" s="24">
        <f t="shared" si="128"/>
        <v>3238.854059098946</v>
      </c>
      <c r="BU52" s="24">
        <f t="shared" si="128"/>
        <v>3244.2521491974444</v>
      </c>
      <c r="BV52" s="24">
        <f t="shared" si="128"/>
        <v>3249.6592361127737</v>
      </c>
      <c r="BW52" s="24">
        <f t="shared" si="128"/>
        <v>3255.0753348396288</v>
      </c>
      <c r="BX52" s="24">
        <f t="shared" si="128"/>
        <v>3260.500460397695</v>
      </c>
      <c r="BY52" s="24">
        <f t="shared" ref="BY52:CH53" si="129">$J52/12*BY$14*$C$63</f>
        <v>3265.9346278316912</v>
      </c>
      <c r="BZ52" s="24">
        <f t="shared" si="129"/>
        <v>3271.3778522114103</v>
      </c>
      <c r="CA52" s="24">
        <f t="shared" si="129"/>
        <v>3276.8301486317628</v>
      </c>
      <c r="CB52" s="24">
        <f t="shared" si="129"/>
        <v>3282.2915322128156</v>
      </c>
      <c r="CC52" s="24">
        <f t="shared" si="129"/>
        <v>3287.762018099837</v>
      </c>
      <c r="CD52" s="24">
        <f t="shared" si="129"/>
        <v>3293.2416214633367</v>
      </c>
      <c r="CE52" s="24">
        <f t="shared" si="129"/>
        <v>3298.7303574991092</v>
      </c>
      <c r="CF52" s="24">
        <f t="shared" si="129"/>
        <v>3304.228241428274</v>
      </c>
      <c r="CG52" s="24">
        <f t="shared" si="129"/>
        <v>3309.735288497322</v>
      </c>
      <c r="CH52" s="24">
        <f t="shared" si="129"/>
        <v>3315.2515139781508</v>
      </c>
      <c r="CI52" s="24">
        <f t="shared" ref="CI52:CR53" si="130">$J52/12*CI$14*$C$63</f>
        <v>3320.7769331681138</v>
      </c>
      <c r="CJ52" s="24">
        <f t="shared" si="130"/>
        <v>3326.3115613900609</v>
      </c>
      <c r="CK52" s="24">
        <f t="shared" si="130"/>
        <v>3331.8554139923776</v>
      </c>
      <c r="CL52" s="24">
        <f t="shared" si="130"/>
        <v>3337.408506349032</v>
      </c>
      <c r="CM52" s="24">
        <f t="shared" si="130"/>
        <v>3342.9708538596142</v>
      </c>
      <c r="CN52" s="24">
        <f t="shared" si="130"/>
        <v>3348.5424719493803</v>
      </c>
      <c r="CO52" s="24">
        <f t="shared" si="130"/>
        <v>3354.1233760692967</v>
      </c>
      <c r="CP52" s="24">
        <f t="shared" si="130"/>
        <v>3359.713581696079</v>
      </c>
      <c r="CQ52" s="24">
        <f t="shared" si="130"/>
        <v>3365.3131043322392</v>
      </c>
      <c r="CR52" s="24">
        <f t="shared" si="130"/>
        <v>3370.9219595061263</v>
      </c>
      <c r="CS52" s="24">
        <f t="shared" ref="CS52:DB53" si="131">$J52/12*CS$14*$C$63</f>
        <v>3376.5401627719698</v>
      </c>
      <c r="CT52" s="24">
        <f t="shared" si="131"/>
        <v>3382.1677297099232</v>
      </c>
      <c r="CU52" s="24">
        <f t="shared" si="131"/>
        <v>3387.8046759261065</v>
      </c>
      <c r="CV52" s="24">
        <f t="shared" si="131"/>
        <v>3393.4510170526501</v>
      </c>
      <c r="CW52" s="24">
        <f t="shared" si="131"/>
        <v>3399.1067687477375</v>
      </c>
      <c r="CX52" s="24">
        <f t="shared" si="131"/>
        <v>3404.7719466956505</v>
      </c>
      <c r="CY52" s="24">
        <f t="shared" si="131"/>
        <v>3410.4465666068099</v>
      </c>
      <c r="CZ52" s="24">
        <f t="shared" si="131"/>
        <v>3416.1306442178211</v>
      </c>
      <c r="DA52" s="24">
        <f t="shared" si="131"/>
        <v>3421.8241952915178</v>
      </c>
      <c r="DB52" s="24">
        <f t="shared" si="131"/>
        <v>3427.5272356170035</v>
      </c>
      <c r="DC52" s="24">
        <f t="shared" ref="DC52:DL53" si="132">$J52/12*DC$14*$C$63</f>
        <v>3433.2397810096986</v>
      </c>
      <c r="DD52" s="24">
        <f t="shared" si="132"/>
        <v>3438.9618473113815</v>
      </c>
      <c r="DE52" s="24">
        <f t="shared" si="132"/>
        <v>3444.6934503902339</v>
      </c>
      <c r="DF52" s="24">
        <f t="shared" si="132"/>
        <v>3450.4346061408842</v>
      </c>
      <c r="DG52" s="24">
        <f t="shared" si="132"/>
        <v>3456.1853304844526</v>
      </c>
      <c r="DH52" s="24">
        <f t="shared" si="132"/>
        <v>3461.9456393685932</v>
      </c>
      <c r="DI52" s="24">
        <f t="shared" si="132"/>
        <v>3467.7155487675413</v>
      </c>
      <c r="DJ52" s="24">
        <f t="shared" si="132"/>
        <v>3473.4950746821542</v>
      </c>
      <c r="DK52" s="24">
        <f t="shared" si="132"/>
        <v>3479.2842331399575</v>
      </c>
      <c r="DL52" s="24">
        <f t="shared" si="132"/>
        <v>3485.0830401951912</v>
      </c>
      <c r="DM52" s="24">
        <f t="shared" ref="DM52:DV53" si="133">$J52/12*DM$14*$C$63</f>
        <v>3490.8915119288495</v>
      </c>
      <c r="DN52" s="24">
        <f t="shared" si="133"/>
        <v>3496.709664448731</v>
      </c>
      <c r="DO52" s="24">
        <f t="shared" si="133"/>
        <v>3502.5375138894792</v>
      </c>
      <c r="DP52" s="24">
        <f t="shared" si="133"/>
        <v>3508.375076412628</v>
      </c>
      <c r="DQ52" s="24">
        <f t="shared" si="133"/>
        <v>3514.2223682066492</v>
      </c>
      <c r="DR52" s="24">
        <f t="shared" si="133"/>
        <v>3520.0794054869939</v>
      </c>
      <c r="DS52" s="24">
        <f t="shared" si="133"/>
        <v>3525.9462044961392</v>
      </c>
      <c r="DT52" s="24">
        <f t="shared" si="133"/>
        <v>3531.8227815036335</v>
      </c>
      <c r="DU52" s="24">
        <f t="shared" si="133"/>
        <v>3537.7091528061396</v>
      </c>
      <c r="DV52" s="24">
        <f t="shared" si="133"/>
        <v>3543.6053347274838</v>
      </c>
      <c r="DW52" s="24">
        <f t="shared" ref="DW52:EF53" si="134">$J52/12*DW$14*$C$63</f>
        <v>3549.5113436186962</v>
      </c>
      <c r="DX52" s="24">
        <f t="shared" si="134"/>
        <v>3555.4271958580607</v>
      </c>
      <c r="DY52" s="24">
        <f t="shared" si="134"/>
        <v>3561.3529078511579</v>
      </c>
      <c r="DZ52" s="24">
        <f t="shared" si="134"/>
        <v>3567.2884960309102</v>
      </c>
      <c r="EA52" s="24">
        <f t="shared" si="134"/>
        <v>3573.2339768576285</v>
      </c>
      <c r="EB52" s="24">
        <f t="shared" si="134"/>
        <v>3579.1893668190578</v>
      </c>
      <c r="EC52" s="24">
        <f t="shared" si="134"/>
        <v>3585.1546824304228</v>
      </c>
      <c r="ED52" s="24">
        <f t="shared" si="134"/>
        <v>3591.1299402344739</v>
      </c>
      <c r="EE52" s="24">
        <f t="shared" si="134"/>
        <v>3597.1151568015321</v>
      </c>
      <c r="EF52" s="24">
        <f t="shared" si="134"/>
        <v>3603.1103487295341</v>
      </c>
      <c r="EG52" s="24">
        <f t="shared" ref="EG52:EP53" si="135">$J52/12*EG$14*$C$63</f>
        <v>3609.1155326440835</v>
      </c>
      <c r="EH52" s="24">
        <f t="shared" si="135"/>
        <v>3615.1307251984908</v>
      </c>
      <c r="EI52" s="24">
        <f t="shared" si="135"/>
        <v>3621.1559430738216</v>
      </c>
      <c r="EJ52" s="24">
        <f t="shared" si="135"/>
        <v>3627.1912029789451</v>
      </c>
      <c r="EK52" s="24">
        <f t="shared" si="135"/>
        <v>3633.2365216505759</v>
      </c>
      <c r="EL52" s="24">
        <f t="shared" si="135"/>
        <v>3639.2919158533277</v>
      </c>
      <c r="EM52" s="24">
        <f t="shared" si="135"/>
        <v>3645.3574023797496</v>
      </c>
      <c r="EN52" s="24">
        <f t="shared" si="135"/>
        <v>3651.4329980503826</v>
      </c>
      <c r="EO52" s="24">
        <f t="shared" si="135"/>
        <v>3657.5187197138007</v>
      </c>
      <c r="EP52" s="24">
        <f t="shared" si="135"/>
        <v>3663.6145842466567</v>
      </c>
      <c r="EQ52" s="24">
        <f t="shared" ref="EQ52:FB53" si="136">$J52/12*EQ$14*$C$63</f>
        <v>3669.7206085537346</v>
      </c>
      <c r="ER52" s="24">
        <f t="shared" si="136"/>
        <v>3675.8368095679907</v>
      </c>
      <c r="ES52" s="24">
        <f t="shared" si="136"/>
        <v>3681.963204250605</v>
      </c>
      <c r="ET52" s="24">
        <f t="shared" si="136"/>
        <v>3688.0998095910222</v>
      </c>
      <c r="EU52" s="24">
        <f t="shared" si="136"/>
        <v>3694.2466426070082</v>
      </c>
      <c r="EV52" s="24">
        <f t="shared" si="136"/>
        <v>3700.4037203446865</v>
      </c>
      <c r="EW52" s="24">
        <f t="shared" si="136"/>
        <v>3706.5710598785945</v>
      </c>
      <c r="EX52" s="24">
        <f t="shared" si="136"/>
        <v>3712.7486783117261</v>
      </c>
      <c r="EY52" s="24">
        <f t="shared" si="136"/>
        <v>3718.9365927755784</v>
      </c>
      <c r="EZ52" s="24">
        <f t="shared" si="136"/>
        <v>3725.1348204302049</v>
      </c>
      <c r="FA52" s="24">
        <f t="shared" si="136"/>
        <v>3731.3433784642548</v>
      </c>
      <c r="FB52" s="24">
        <f t="shared" si="136"/>
        <v>3737.5622840950291</v>
      </c>
    </row>
    <row r="53" spans="1:158" s="15" customFormat="1">
      <c r="A53" s="9"/>
      <c r="B53" s="77" t="s">
        <v>90</v>
      </c>
      <c r="C53" s="86"/>
      <c r="D53" s="87">
        <f>C22/D46</f>
        <v>0.11855741761702128</v>
      </c>
      <c r="E53" s="79" t="s">
        <v>90</v>
      </c>
      <c r="F53" s="215">
        <v>0.09</v>
      </c>
      <c r="G53" s="46">
        <f ca="1">F22/F53</f>
        <v>5943538.6766935857</v>
      </c>
      <c r="H53" s="11"/>
      <c r="I53" s="9" t="s">
        <v>91</v>
      </c>
      <c r="J53" s="101">
        <v>331.47</v>
      </c>
      <c r="K53" s="62"/>
      <c r="L53" s="24">
        <f>SUMIF($Z$4:$FB$4,"&lt;="&amp;$G$18,$Z53:$FB53)</f>
        <v>205640.89831500081</v>
      </c>
      <c r="M53" s="62"/>
      <c r="N53" s="61">
        <f>SUMIF($Z$3:$FB$3,N$7,$Z53:$FB53)</f>
        <v>0</v>
      </c>
      <c r="O53" s="61">
        <f t="shared" si="123"/>
        <v>18764.645830121764</v>
      </c>
      <c r="P53" s="61">
        <f t="shared" si="123"/>
        <v>19143.398115794349</v>
      </c>
      <c r="Q53" s="61">
        <f t="shared" si="123"/>
        <v>19529.795272316132</v>
      </c>
      <c r="R53" s="61">
        <f t="shared" si="123"/>
        <v>19923.991606479467</v>
      </c>
      <c r="S53" s="61">
        <f t="shared" si="123"/>
        <v>20326.144539659908</v>
      </c>
      <c r="T53" s="61">
        <f t="shared" si="123"/>
        <v>20736.414670682014</v>
      </c>
      <c r="U53" s="61">
        <f t="shared" si="123"/>
        <v>21154.965839954169</v>
      </c>
      <c r="V53" s="61">
        <f t="shared" si="123"/>
        <v>21581.965194897821</v>
      </c>
      <c r="W53" s="61">
        <f t="shared" si="123"/>
        <v>22017.583256697431</v>
      </c>
      <c r="X53" s="61">
        <f t="shared" si="123"/>
        <v>22461.993988397691</v>
      </c>
      <c r="Y53" s="62"/>
      <c r="Z53" s="24">
        <v>0</v>
      </c>
      <c r="AA53" s="24">
        <f t="shared" si="124"/>
        <v>1549.4381000000001</v>
      </c>
      <c r="AB53" s="24">
        <f t="shared" si="124"/>
        <v>1552.0204968333337</v>
      </c>
      <c r="AC53" s="24">
        <f t="shared" si="124"/>
        <v>1554.6071976613891</v>
      </c>
      <c r="AD53" s="24">
        <f t="shared" si="124"/>
        <v>1557.1982096574916</v>
      </c>
      <c r="AE53" s="24">
        <f t="shared" si="124"/>
        <v>1559.7935400069209</v>
      </c>
      <c r="AF53" s="24">
        <f t="shared" si="124"/>
        <v>1562.3931959069325</v>
      </c>
      <c r="AG53" s="24">
        <f t="shared" si="124"/>
        <v>1564.9971845667774</v>
      </c>
      <c r="AH53" s="24">
        <f t="shared" si="124"/>
        <v>1567.605513207722</v>
      </c>
      <c r="AI53" s="24">
        <f t="shared" si="124"/>
        <v>1570.2181890630682</v>
      </c>
      <c r="AJ53" s="24">
        <f t="shared" si="124"/>
        <v>1572.8352193781734</v>
      </c>
      <c r="AK53" s="24">
        <f t="shared" si="125"/>
        <v>1575.4566114104705</v>
      </c>
      <c r="AL53" s="24">
        <f t="shared" si="125"/>
        <v>1578.0823724294878</v>
      </c>
      <c r="AM53" s="24">
        <f t="shared" si="125"/>
        <v>1580.7125097168705</v>
      </c>
      <c r="AN53" s="24">
        <f t="shared" si="125"/>
        <v>1583.3470305663986</v>
      </c>
      <c r="AO53" s="24">
        <f t="shared" si="125"/>
        <v>1585.9859422840093</v>
      </c>
      <c r="AP53" s="24">
        <f t="shared" si="125"/>
        <v>1588.6292521878161</v>
      </c>
      <c r="AQ53" s="24">
        <f t="shared" si="125"/>
        <v>1591.2769676081289</v>
      </c>
      <c r="AR53" s="24">
        <f t="shared" si="125"/>
        <v>1593.9290958874758</v>
      </c>
      <c r="AS53" s="24">
        <f t="shared" si="125"/>
        <v>1596.5856443806217</v>
      </c>
      <c r="AT53" s="24">
        <f t="shared" si="125"/>
        <v>1599.2466204545892</v>
      </c>
      <c r="AU53" s="24">
        <f t="shared" si="126"/>
        <v>1601.91203148868</v>
      </c>
      <c r="AV53" s="24">
        <f t="shared" si="126"/>
        <v>1604.5818848744946</v>
      </c>
      <c r="AW53" s="24">
        <f t="shared" si="126"/>
        <v>1607.2561880159521</v>
      </c>
      <c r="AX53" s="24">
        <f t="shared" si="126"/>
        <v>1609.9349483293122</v>
      </c>
      <c r="AY53" s="24">
        <f t="shared" si="126"/>
        <v>1612.6181732431944</v>
      </c>
      <c r="AZ53" s="24">
        <f t="shared" si="126"/>
        <v>1615.3058701985999</v>
      </c>
      <c r="BA53" s="24">
        <f t="shared" si="126"/>
        <v>1617.998046648931</v>
      </c>
      <c r="BB53" s="24">
        <f t="shared" si="126"/>
        <v>1620.6947100600125</v>
      </c>
      <c r="BC53" s="24">
        <f t="shared" si="126"/>
        <v>1623.3958679101129</v>
      </c>
      <c r="BD53" s="24">
        <f t="shared" si="126"/>
        <v>1626.1015276899629</v>
      </c>
      <c r="BE53" s="24">
        <f t="shared" si="127"/>
        <v>1628.8116969027797</v>
      </c>
      <c r="BF53" s="24">
        <f t="shared" si="127"/>
        <v>1631.5263830642841</v>
      </c>
      <c r="BG53" s="24">
        <f t="shared" si="127"/>
        <v>1634.2455937027248</v>
      </c>
      <c r="BH53" s="24">
        <f t="shared" si="127"/>
        <v>1636.969336358896</v>
      </c>
      <c r="BI53" s="24">
        <f t="shared" si="127"/>
        <v>1639.6976185861608</v>
      </c>
      <c r="BJ53" s="24">
        <f t="shared" si="127"/>
        <v>1642.4304479504713</v>
      </c>
      <c r="BK53" s="24">
        <f t="shared" si="127"/>
        <v>1645.1678320303886</v>
      </c>
      <c r="BL53" s="24">
        <f t="shared" si="127"/>
        <v>1647.9097784171061</v>
      </c>
      <c r="BM53" s="24">
        <f t="shared" si="127"/>
        <v>1650.656294714468</v>
      </c>
      <c r="BN53" s="24">
        <f t="shared" si="127"/>
        <v>1653.4073885389919</v>
      </c>
      <c r="BO53" s="24">
        <f t="shared" si="128"/>
        <v>1656.1630675198903</v>
      </c>
      <c r="BP53" s="24">
        <f t="shared" si="128"/>
        <v>1658.9233392990902</v>
      </c>
      <c r="BQ53" s="24">
        <f t="shared" si="128"/>
        <v>1661.6882115312555</v>
      </c>
      <c r="BR53" s="24">
        <f t="shared" si="128"/>
        <v>1664.4576918838079</v>
      </c>
      <c r="BS53" s="24">
        <f t="shared" si="128"/>
        <v>1667.2317880369474</v>
      </c>
      <c r="BT53" s="24">
        <f t="shared" si="128"/>
        <v>1670.0105076836758</v>
      </c>
      <c r="BU53" s="24">
        <f t="shared" si="128"/>
        <v>1672.7938585298152</v>
      </c>
      <c r="BV53" s="24">
        <f t="shared" si="128"/>
        <v>1675.5818482940317</v>
      </c>
      <c r="BW53" s="24">
        <f t="shared" si="128"/>
        <v>1678.3744847078553</v>
      </c>
      <c r="BX53" s="24">
        <f t="shared" si="128"/>
        <v>1681.1717755157019</v>
      </c>
      <c r="BY53" s="24">
        <f t="shared" si="129"/>
        <v>1683.9737284748946</v>
      </c>
      <c r="BZ53" s="24">
        <f t="shared" si="129"/>
        <v>1686.780351355686</v>
      </c>
      <c r="CA53" s="24">
        <f t="shared" si="129"/>
        <v>1689.5916519412788</v>
      </c>
      <c r="CB53" s="24">
        <f t="shared" si="129"/>
        <v>1692.4076380278475</v>
      </c>
      <c r="CC53" s="24">
        <f t="shared" si="129"/>
        <v>1695.2283174245608</v>
      </c>
      <c r="CD53" s="24">
        <f t="shared" si="129"/>
        <v>1698.0536979536018</v>
      </c>
      <c r="CE53" s="24">
        <f t="shared" si="129"/>
        <v>1700.883787450191</v>
      </c>
      <c r="CF53" s="24">
        <f t="shared" si="129"/>
        <v>1703.718593762608</v>
      </c>
      <c r="CG53" s="24">
        <f t="shared" si="129"/>
        <v>1706.5581247522127</v>
      </c>
      <c r="CH53" s="24">
        <f t="shared" si="129"/>
        <v>1709.4023882934662</v>
      </c>
      <c r="CI53" s="24">
        <f t="shared" si="130"/>
        <v>1712.2513922739554</v>
      </c>
      <c r="CJ53" s="24">
        <f t="shared" si="130"/>
        <v>1715.1051445944117</v>
      </c>
      <c r="CK53" s="24">
        <f t="shared" si="130"/>
        <v>1717.9636531687361</v>
      </c>
      <c r="CL53" s="24">
        <f t="shared" si="130"/>
        <v>1720.8269259240171</v>
      </c>
      <c r="CM53" s="24">
        <f t="shared" si="130"/>
        <v>1723.6949708005575</v>
      </c>
      <c r="CN53" s="24">
        <f t="shared" si="130"/>
        <v>1726.5677957518919</v>
      </c>
      <c r="CO53" s="24">
        <f t="shared" si="130"/>
        <v>1729.4454087448121</v>
      </c>
      <c r="CP53" s="24">
        <f t="shared" si="130"/>
        <v>1732.3278177593868</v>
      </c>
      <c r="CQ53" s="24">
        <f t="shared" si="130"/>
        <v>1735.2150307889858</v>
      </c>
      <c r="CR53" s="24">
        <f t="shared" si="130"/>
        <v>1738.1070558403007</v>
      </c>
      <c r="CS53" s="24">
        <f t="shared" si="131"/>
        <v>1741.003900933368</v>
      </c>
      <c r="CT53" s="24">
        <f t="shared" si="131"/>
        <v>1743.9055741015904</v>
      </c>
      <c r="CU53" s="24">
        <f t="shared" si="131"/>
        <v>1746.8120833917596</v>
      </c>
      <c r="CV53" s="24">
        <f t="shared" si="131"/>
        <v>1749.7234368640793</v>
      </c>
      <c r="CW53" s="24">
        <f t="shared" si="131"/>
        <v>1752.6396425921862</v>
      </c>
      <c r="CX53" s="24">
        <f t="shared" si="131"/>
        <v>1755.560708663173</v>
      </c>
      <c r="CY53" s="24">
        <f t="shared" si="131"/>
        <v>1758.4866431776118</v>
      </c>
      <c r="CZ53" s="24">
        <f t="shared" si="131"/>
        <v>1761.4174542495743</v>
      </c>
      <c r="DA53" s="24">
        <f t="shared" si="131"/>
        <v>1764.353150006657</v>
      </c>
      <c r="DB53" s="24">
        <f t="shared" si="131"/>
        <v>1767.2937385900016</v>
      </c>
      <c r="DC53" s="24">
        <f t="shared" si="132"/>
        <v>1770.239228154318</v>
      </c>
      <c r="DD53" s="24">
        <f t="shared" si="132"/>
        <v>1773.1896268679086</v>
      </c>
      <c r="DE53" s="24">
        <f t="shared" si="132"/>
        <v>1776.1449429126885</v>
      </c>
      <c r="DF53" s="24">
        <f t="shared" si="132"/>
        <v>1779.1051844842098</v>
      </c>
      <c r="DG53" s="24">
        <f t="shared" si="132"/>
        <v>1782.0703597916836</v>
      </c>
      <c r="DH53" s="24">
        <f t="shared" si="132"/>
        <v>1785.040477058003</v>
      </c>
      <c r="DI53" s="24">
        <f t="shared" si="132"/>
        <v>1788.0155445197663</v>
      </c>
      <c r="DJ53" s="24">
        <f t="shared" si="132"/>
        <v>1790.9955704272993</v>
      </c>
      <c r="DK53" s="24">
        <f t="shared" si="132"/>
        <v>1793.9805630446783</v>
      </c>
      <c r="DL53" s="24">
        <f t="shared" si="132"/>
        <v>1796.9705306497528</v>
      </c>
      <c r="DM53" s="24">
        <f t="shared" si="133"/>
        <v>1799.9654815341692</v>
      </c>
      <c r="DN53" s="24">
        <f t="shared" si="133"/>
        <v>1802.9654240033926</v>
      </c>
      <c r="DO53" s="24">
        <f t="shared" si="133"/>
        <v>1805.9703663767316</v>
      </c>
      <c r="DP53" s="24">
        <f t="shared" si="133"/>
        <v>1808.9803169873596</v>
      </c>
      <c r="DQ53" s="24">
        <f t="shared" si="133"/>
        <v>1811.9952841823385</v>
      </c>
      <c r="DR53" s="24">
        <f t="shared" si="133"/>
        <v>1815.0152763226424</v>
      </c>
      <c r="DS53" s="24">
        <f t="shared" si="133"/>
        <v>1818.0403017831807</v>
      </c>
      <c r="DT53" s="24">
        <f t="shared" si="133"/>
        <v>1821.0703689528193</v>
      </c>
      <c r="DU53" s="24">
        <f t="shared" si="133"/>
        <v>1824.1054862344076</v>
      </c>
      <c r="DV53" s="24">
        <f t="shared" si="133"/>
        <v>1827.1456620447984</v>
      </c>
      <c r="DW53" s="24">
        <f t="shared" si="134"/>
        <v>1830.190904814873</v>
      </c>
      <c r="DX53" s="24">
        <f t="shared" si="134"/>
        <v>1833.2412229895649</v>
      </c>
      <c r="DY53" s="24">
        <f t="shared" si="134"/>
        <v>1836.296625027881</v>
      </c>
      <c r="DZ53" s="24">
        <f t="shared" si="134"/>
        <v>1839.3571194029271</v>
      </c>
      <c r="EA53" s="24">
        <f t="shared" si="134"/>
        <v>1842.4227146019325</v>
      </c>
      <c r="EB53" s="24">
        <f t="shared" si="134"/>
        <v>1845.4934191262687</v>
      </c>
      <c r="EC53" s="24">
        <f t="shared" si="134"/>
        <v>1848.5692414914793</v>
      </c>
      <c r="ED53" s="24">
        <f t="shared" si="134"/>
        <v>1851.6501902272985</v>
      </c>
      <c r="EE53" s="24">
        <f t="shared" si="134"/>
        <v>1854.7362738776774</v>
      </c>
      <c r="EF53" s="24">
        <f t="shared" si="134"/>
        <v>1857.8275010008069</v>
      </c>
      <c r="EG53" s="24">
        <f t="shared" si="135"/>
        <v>1860.9238801691415</v>
      </c>
      <c r="EH53" s="24">
        <f t="shared" si="135"/>
        <v>1864.0254199694241</v>
      </c>
      <c r="EI53" s="24">
        <f t="shared" si="135"/>
        <v>1867.1321290027063</v>
      </c>
      <c r="EJ53" s="24">
        <f t="shared" si="135"/>
        <v>1870.2440158843774</v>
      </c>
      <c r="EK53" s="24">
        <f t="shared" si="135"/>
        <v>1873.361089244185</v>
      </c>
      <c r="EL53" s="24">
        <f t="shared" si="135"/>
        <v>1876.4833577262586</v>
      </c>
      <c r="EM53" s="24">
        <f t="shared" si="135"/>
        <v>1879.6108299891357</v>
      </c>
      <c r="EN53" s="24">
        <f t="shared" si="135"/>
        <v>1882.743514705784</v>
      </c>
      <c r="EO53" s="24">
        <f t="shared" si="135"/>
        <v>1885.8814205636272</v>
      </c>
      <c r="EP53" s="24">
        <f t="shared" si="135"/>
        <v>1889.0245562645671</v>
      </c>
      <c r="EQ53" s="24">
        <f t="shared" si="136"/>
        <v>1892.1729305250078</v>
      </c>
      <c r="ER53" s="24">
        <f t="shared" si="136"/>
        <v>1895.3265520758828</v>
      </c>
      <c r="ES53" s="24">
        <f t="shared" si="136"/>
        <v>1898.4854296626766</v>
      </c>
      <c r="ET53" s="24">
        <f t="shared" si="136"/>
        <v>1901.6495720454475</v>
      </c>
      <c r="EU53" s="24">
        <f t="shared" si="136"/>
        <v>1904.8189879988568</v>
      </c>
      <c r="EV53" s="24">
        <f t="shared" si="136"/>
        <v>1907.9936863121886</v>
      </c>
      <c r="EW53" s="24">
        <f t="shared" si="136"/>
        <v>1911.1736757893752</v>
      </c>
      <c r="EX53" s="24">
        <f t="shared" si="136"/>
        <v>1914.3589652490243</v>
      </c>
      <c r="EY53" s="24">
        <f t="shared" si="136"/>
        <v>1917.5495635244397</v>
      </c>
      <c r="EZ53" s="24">
        <f t="shared" si="136"/>
        <v>1920.7454794636471</v>
      </c>
      <c r="FA53" s="24">
        <f t="shared" si="136"/>
        <v>1923.9467219294197</v>
      </c>
      <c r="FB53" s="24">
        <f t="shared" si="136"/>
        <v>1927.1532997993022</v>
      </c>
    </row>
    <row r="54" spans="1:158" s="15" customFormat="1">
      <c r="A54" s="32"/>
      <c r="B54" s="9"/>
      <c r="C54" s="9"/>
      <c r="D54" s="9"/>
      <c r="E54" s="54" t="s">
        <v>92</v>
      </c>
      <c r="F54" s="216">
        <v>0.65</v>
      </c>
      <c r="G54" s="46">
        <f ca="1">F54*F24</f>
        <v>5151066.8531344403</v>
      </c>
      <c r="H54" s="33"/>
      <c r="I54" s="88">
        <v>0.02</v>
      </c>
      <c r="J54" s="101">
        <f>SUM(AA54:AL54)/C63</f>
        <v>286.42788948208522</v>
      </c>
      <c r="K54" s="62"/>
      <c r="L54" s="24">
        <f>SUMIF($Z$4:$FB$4,"&lt;="&amp;$G$18,$Z54:$FB54)</f>
        <v>181007.31637594674</v>
      </c>
      <c r="M54" s="62"/>
      <c r="N54" s="61">
        <f>SUMIF($Z$3:$FB$3,N$7,$Z54:$FB54)</f>
        <v>0</v>
      </c>
      <c r="O54" s="61">
        <f t="shared" si="123"/>
        <v>16039.961810996772</v>
      </c>
      <c r="P54" s="61">
        <f t="shared" si="123"/>
        <v>16651.674239525222</v>
      </c>
      <c r="Q54" s="61">
        <f t="shared" si="123"/>
        <v>17173.600629243789</v>
      </c>
      <c r="R54" s="61">
        <f t="shared" si="123"/>
        <v>17630.362767457489</v>
      </c>
      <c r="S54" s="61">
        <f t="shared" si="123"/>
        <v>17986.22028034976</v>
      </c>
      <c r="T54" s="61">
        <f t="shared" si="123"/>
        <v>18349.260547854177</v>
      </c>
      <c r="U54" s="61">
        <f t="shared" si="123"/>
        <v>18719.628549244611</v>
      </c>
      <c r="V54" s="61">
        <f t="shared" si="123"/>
        <v>19097.472190108158</v>
      </c>
      <c r="W54" s="61">
        <f t="shared" si="123"/>
        <v>19482.942361410896</v>
      </c>
      <c r="X54" s="61">
        <f t="shared" si="123"/>
        <v>19876.192999755818</v>
      </c>
      <c r="Y54" s="62"/>
      <c r="Z54" s="24">
        <f t="shared" ref="Z54:BE54" si="137">($I$54*Z38)</f>
        <v>0</v>
      </c>
      <c r="AA54" s="24">
        <f t="shared" si="137"/>
        <v>1312.0977399150004</v>
      </c>
      <c r="AB54" s="24">
        <f t="shared" si="137"/>
        <v>1314.2845694815251</v>
      </c>
      <c r="AC54" s="24">
        <f t="shared" si="137"/>
        <v>1316.4750437639946</v>
      </c>
      <c r="AD54" s="24">
        <f t="shared" si="137"/>
        <v>1318.6691688369347</v>
      </c>
      <c r="AE54" s="24">
        <f t="shared" si="137"/>
        <v>1320.8669507849961</v>
      </c>
      <c r="AF54" s="24">
        <f t="shared" si="137"/>
        <v>1323.0683957029714</v>
      </c>
      <c r="AG54" s="24">
        <f t="shared" si="137"/>
        <v>1325.2735096958097</v>
      </c>
      <c r="AH54" s="24">
        <f t="shared" si="137"/>
        <v>1357.3133617747849</v>
      </c>
      <c r="AI54" s="24">
        <f t="shared" si="137"/>
        <v>1359.5755507110762</v>
      </c>
      <c r="AJ54" s="24">
        <f t="shared" si="137"/>
        <v>1361.8415099622619</v>
      </c>
      <c r="AK54" s="24">
        <f t="shared" si="137"/>
        <v>1364.1112458121986</v>
      </c>
      <c r="AL54" s="24">
        <f t="shared" si="137"/>
        <v>1366.3847645552191</v>
      </c>
      <c r="AM54" s="24">
        <f t="shared" si="137"/>
        <v>1368.6620724961444</v>
      </c>
      <c r="AN54" s="24">
        <f t="shared" si="137"/>
        <v>1370.9431759503047</v>
      </c>
      <c r="AO54" s="24">
        <f t="shared" si="137"/>
        <v>1373.2280812435552</v>
      </c>
      <c r="AP54" s="24">
        <f t="shared" si="137"/>
        <v>1375.5167947122948</v>
      </c>
      <c r="AQ54" s="24">
        <f t="shared" si="137"/>
        <v>1377.8093227034819</v>
      </c>
      <c r="AR54" s="24">
        <f t="shared" si="137"/>
        <v>1380.1056715746545</v>
      </c>
      <c r="AS54" s="24">
        <f t="shared" si="137"/>
        <v>1382.4058476939458</v>
      </c>
      <c r="AT54" s="24">
        <f t="shared" si="137"/>
        <v>1399.9264492801035</v>
      </c>
      <c r="AU54" s="24">
        <f t="shared" si="137"/>
        <v>1402.2596600289041</v>
      </c>
      <c r="AV54" s="24">
        <f t="shared" si="137"/>
        <v>1404.5967594622855</v>
      </c>
      <c r="AW54" s="24">
        <f t="shared" si="137"/>
        <v>1406.9377540613893</v>
      </c>
      <c r="AX54" s="24">
        <f t="shared" si="137"/>
        <v>1409.2826503181586</v>
      </c>
      <c r="AY54" s="24">
        <f t="shared" si="137"/>
        <v>1411.6314547353552</v>
      </c>
      <c r="AZ54" s="24">
        <f t="shared" si="137"/>
        <v>1413.9841738265811</v>
      </c>
      <c r="BA54" s="24">
        <f t="shared" si="137"/>
        <v>1416.3408141162924</v>
      </c>
      <c r="BB54" s="24">
        <f t="shared" si="137"/>
        <v>1418.7013821398193</v>
      </c>
      <c r="BC54" s="24">
        <f t="shared" si="137"/>
        <v>1421.0658844433858</v>
      </c>
      <c r="BD54" s="24">
        <f t="shared" si="137"/>
        <v>1423.4343275841254</v>
      </c>
      <c r="BE54" s="24">
        <f t="shared" si="137"/>
        <v>1425.8067181300987</v>
      </c>
      <c r="BF54" s="24">
        <f t="shared" ref="BF54:CK54" si="138">($I$54*BF38)</f>
        <v>1443.7067916022756</v>
      </c>
      <c r="BG54" s="24">
        <f t="shared" si="138"/>
        <v>1446.1129695882794</v>
      </c>
      <c r="BH54" s="24">
        <f t="shared" si="138"/>
        <v>1448.5231578709268</v>
      </c>
      <c r="BI54" s="24">
        <f t="shared" si="138"/>
        <v>1450.937363134045</v>
      </c>
      <c r="BJ54" s="24">
        <f t="shared" si="138"/>
        <v>1453.3555920726014</v>
      </c>
      <c r="BK54" s="24">
        <f t="shared" si="138"/>
        <v>1455.7778513927228</v>
      </c>
      <c r="BL54" s="24">
        <f t="shared" si="138"/>
        <v>1458.2041478117105</v>
      </c>
      <c r="BM54" s="24">
        <f t="shared" si="138"/>
        <v>1460.6344880580634</v>
      </c>
      <c r="BN54" s="24">
        <f t="shared" si="138"/>
        <v>1463.0688788714936</v>
      </c>
      <c r="BO54" s="24">
        <f t="shared" si="138"/>
        <v>1465.5073270029463</v>
      </c>
      <c r="BP54" s="24">
        <f t="shared" si="138"/>
        <v>1467.9498392146179</v>
      </c>
      <c r="BQ54" s="24">
        <f t="shared" si="138"/>
        <v>1470.3964222799757</v>
      </c>
      <c r="BR54" s="24">
        <f t="shared" si="138"/>
        <v>1472.8470829837759</v>
      </c>
      <c r="BS54" s="24">
        <f t="shared" si="138"/>
        <v>1475.3018281220823</v>
      </c>
      <c r="BT54" s="24">
        <f t="shared" si="138"/>
        <v>1477.7606645022856</v>
      </c>
      <c r="BU54" s="24">
        <f t="shared" si="138"/>
        <v>1480.2235989431229</v>
      </c>
      <c r="BV54" s="24">
        <f t="shared" si="138"/>
        <v>1482.6906382746945</v>
      </c>
      <c r="BW54" s="24">
        <f t="shared" si="138"/>
        <v>1485.161789338486</v>
      </c>
      <c r="BX54" s="24">
        <f t="shared" si="138"/>
        <v>1487.6370589873836</v>
      </c>
      <c r="BY54" s="24">
        <f t="shared" si="138"/>
        <v>1490.1164540856958</v>
      </c>
      <c r="BZ54" s="24">
        <f t="shared" si="138"/>
        <v>1492.599981509172</v>
      </c>
      <c r="CA54" s="24">
        <f t="shared" si="138"/>
        <v>1495.0876481450207</v>
      </c>
      <c r="CB54" s="24">
        <f t="shared" si="138"/>
        <v>1497.5794608919291</v>
      </c>
      <c r="CC54" s="24">
        <f t="shared" si="138"/>
        <v>1500.0754266600823</v>
      </c>
      <c r="CD54" s="24">
        <f t="shared" si="138"/>
        <v>1502.5755523711828</v>
      </c>
      <c r="CE54" s="24">
        <f t="shared" si="138"/>
        <v>1505.0798449584681</v>
      </c>
      <c r="CF54" s="24">
        <f t="shared" si="138"/>
        <v>1507.5883113667323</v>
      </c>
      <c r="CG54" s="24">
        <f t="shared" si="138"/>
        <v>1510.1009585523432</v>
      </c>
      <c r="CH54" s="24">
        <f t="shared" si="138"/>
        <v>1512.6177934832638</v>
      </c>
      <c r="CI54" s="24">
        <f t="shared" si="138"/>
        <v>1515.1388231390695</v>
      </c>
      <c r="CJ54" s="24">
        <f t="shared" si="138"/>
        <v>1517.6640545109681</v>
      </c>
      <c r="CK54" s="24">
        <f t="shared" si="138"/>
        <v>1520.1934946018193</v>
      </c>
      <c r="CL54" s="24">
        <f t="shared" ref="CL54:DQ54" si="139">($I$54*CL38)</f>
        <v>1522.7271504261564</v>
      </c>
      <c r="CM54" s="24">
        <f t="shared" si="139"/>
        <v>1525.2650290101997</v>
      </c>
      <c r="CN54" s="24">
        <f t="shared" si="139"/>
        <v>1527.8071373918833</v>
      </c>
      <c r="CO54" s="24">
        <f t="shared" si="139"/>
        <v>1530.3534826208697</v>
      </c>
      <c r="CP54" s="24">
        <f t="shared" si="139"/>
        <v>1532.9040717585715</v>
      </c>
      <c r="CQ54" s="24">
        <f t="shared" si="139"/>
        <v>1535.4589118781689</v>
      </c>
      <c r="CR54" s="24">
        <f t="shared" si="139"/>
        <v>1538.0180100646328</v>
      </c>
      <c r="CS54" s="24">
        <f t="shared" si="139"/>
        <v>1540.5813734147405</v>
      </c>
      <c r="CT54" s="24">
        <f t="shared" si="139"/>
        <v>1543.1490090370985</v>
      </c>
      <c r="CU54" s="24">
        <f t="shared" si="139"/>
        <v>1545.7209240521599</v>
      </c>
      <c r="CV54" s="24">
        <f t="shared" si="139"/>
        <v>1548.2971255922469</v>
      </c>
      <c r="CW54" s="24">
        <f t="shared" si="139"/>
        <v>1550.8776208015677</v>
      </c>
      <c r="CX54" s="24">
        <f t="shared" si="139"/>
        <v>1553.4624168362368</v>
      </c>
      <c r="CY54" s="24">
        <f t="shared" si="139"/>
        <v>1556.0515208642976</v>
      </c>
      <c r="CZ54" s="24">
        <f t="shared" si="139"/>
        <v>1558.6449400657377</v>
      </c>
      <c r="DA54" s="24">
        <f t="shared" si="139"/>
        <v>1561.2426816325144</v>
      </c>
      <c r="DB54" s="24">
        <f t="shared" si="139"/>
        <v>1563.8447527685682</v>
      </c>
      <c r="DC54" s="24">
        <f t="shared" si="139"/>
        <v>1566.4511606898493</v>
      </c>
      <c r="DD54" s="24">
        <f t="shared" si="139"/>
        <v>1569.0619126243323</v>
      </c>
      <c r="DE54" s="24">
        <f t="shared" si="139"/>
        <v>1571.6770158120396</v>
      </c>
      <c r="DF54" s="24">
        <f t="shared" si="139"/>
        <v>1574.2964775050598</v>
      </c>
      <c r="DG54" s="24">
        <f t="shared" si="139"/>
        <v>1576.9203049675684</v>
      </c>
      <c r="DH54" s="24">
        <f t="shared" si="139"/>
        <v>1579.5485054758481</v>
      </c>
      <c r="DI54" s="24">
        <f t="shared" si="139"/>
        <v>1582.1810863183075</v>
      </c>
      <c r="DJ54" s="24">
        <f t="shared" si="139"/>
        <v>1584.8180547955048</v>
      </c>
      <c r="DK54" s="24">
        <f t="shared" si="139"/>
        <v>1587.4594182201638</v>
      </c>
      <c r="DL54" s="24">
        <f t="shared" si="139"/>
        <v>1590.1051839171973</v>
      </c>
      <c r="DM54" s="24">
        <f t="shared" si="139"/>
        <v>1592.7553592237264</v>
      </c>
      <c r="DN54" s="24">
        <f t="shared" si="139"/>
        <v>1595.4099514890993</v>
      </c>
      <c r="DO54" s="24">
        <f t="shared" si="139"/>
        <v>1598.0689680749147</v>
      </c>
      <c r="DP54" s="24">
        <f t="shared" si="139"/>
        <v>1600.7324163550395</v>
      </c>
      <c r="DQ54" s="24">
        <f t="shared" si="139"/>
        <v>1603.4003037156313</v>
      </c>
      <c r="DR54" s="24">
        <f t="shared" ref="DR54:FB54" si="140">($I$54*DR38)</f>
        <v>1606.0726375551578</v>
      </c>
      <c r="DS54" s="24">
        <f t="shared" si="140"/>
        <v>1608.7494252844165</v>
      </c>
      <c r="DT54" s="24">
        <f t="shared" si="140"/>
        <v>1611.430674326557</v>
      </c>
      <c r="DU54" s="24">
        <f t="shared" si="140"/>
        <v>1614.1163921171014</v>
      </c>
      <c r="DV54" s="24">
        <f t="shared" si="140"/>
        <v>1616.8065861039631</v>
      </c>
      <c r="DW54" s="24">
        <f t="shared" si="140"/>
        <v>1619.5012637474699</v>
      </c>
      <c r="DX54" s="24">
        <f t="shared" si="140"/>
        <v>1622.2004325203825</v>
      </c>
      <c r="DY54" s="24">
        <f t="shared" si="140"/>
        <v>1624.9040999079168</v>
      </c>
      <c r="DZ54" s="24">
        <f t="shared" si="140"/>
        <v>1627.6122734077633</v>
      </c>
      <c r="EA54" s="24">
        <f t="shared" si="140"/>
        <v>1630.3249605301096</v>
      </c>
      <c r="EB54" s="24">
        <f t="shared" si="140"/>
        <v>1633.04216879766</v>
      </c>
      <c r="EC54" s="24">
        <f t="shared" si="140"/>
        <v>1635.7639057456561</v>
      </c>
      <c r="ED54" s="24">
        <f t="shared" si="140"/>
        <v>1638.4901789218991</v>
      </c>
      <c r="EE54" s="24">
        <f t="shared" si="140"/>
        <v>1641.2209958867688</v>
      </c>
      <c r="EF54" s="24">
        <f t="shared" si="140"/>
        <v>1643.9563642132468</v>
      </c>
      <c r="EG54" s="24">
        <f t="shared" si="140"/>
        <v>1646.6962914869355</v>
      </c>
      <c r="EH54" s="24">
        <f t="shared" si="140"/>
        <v>1649.4407853060804</v>
      </c>
      <c r="EI54" s="24">
        <f t="shared" si="140"/>
        <v>1652.1898532815912</v>
      </c>
      <c r="EJ54" s="24">
        <f t="shared" si="140"/>
        <v>1654.9435030370605</v>
      </c>
      <c r="EK54" s="24">
        <f t="shared" si="140"/>
        <v>1657.701742208789</v>
      </c>
      <c r="EL54" s="24">
        <f t="shared" si="140"/>
        <v>1660.4645784458039</v>
      </c>
      <c r="EM54" s="24">
        <f t="shared" si="140"/>
        <v>1663.2320194098802</v>
      </c>
      <c r="EN54" s="24">
        <f t="shared" si="140"/>
        <v>1666.0040727755634</v>
      </c>
      <c r="EO54" s="24">
        <f t="shared" si="140"/>
        <v>1668.7807462301892</v>
      </c>
      <c r="EP54" s="24">
        <f t="shared" si="140"/>
        <v>1671.5620474739067</v>
      </c>
      <c r="EQ54" s="24">
        <f t="shared" si="140"/>
        <v>1674.3479842196964</v>
      </c>
      <c r="ER54" s="24">
        <f t="shared" si="140"/>
        <v>1677.1385641933957</v>
      </c>
      <c r="ES54" s="24">
        <f t="shared" si="140"/>
        <v>1679.9337951337186</v>
      </c>
      <c r="ET54" s="24">
        <f t="shared" si="140"/>
        <v>1682.7336847922745</v>
      </c>
      <c r="EU54" s="24">
        <f t="shared" si="140"/>
        <v>1685.538240933595</v>
      </c>
      <c r="EV54" s="24">
        <f t="shared" si="140"/>
        <v>1688.3474713351511</v>
      </c>
      <c r="EW54" s="24">
        <f t="shared" si="140"/>
        <v>1691.1613837873767</v>
      </c>
      <c r="EX54" s="24">
        <f t="shared" si="140"/>
        <v>1693.9799860936887</v>
      </c>
      <c r="EY54" s="24">
        <f t="shared" si="140"/>
        <v>1696.8032860705114</v>
      </c>
      <c r="EZ54" s="24">
        <f t="shared" si="140"/>
        <v>1699.6312915472961</v>
      </c>
      <c r="FA54" s="24">
        <f t="shared" si="140"/>
        <v>1702.4640103665413</v>
      </c>
      <c r="FB54" s="24">
        <f t="shared" si="140"/>
        <v>1705.3014503838192</v>
      </c>
    </row>
    <row r="55" spans="1:158" s="15" customFormat="1">
      <c r="A55" s="9"/>
      <c r="B55" s="182" t="b">
        <v>0</v>
      </c>
      <c r="C55" s="9"/>
      <c r="D55" s="9"/>
      <c r="E55" s="9"/>
      <c r="F55" s="9"/>
      <c r="G55" s="265">
        <f ca="1">G46-D46</f>
        <v>1091820.0166351637</v>
      </c>
      <c r="H55" s="11"/>
      <c r="I55" s="66" t="s">
        <v>93</v>
      </c>
      <c r="J55" s="89">
        <v>1498.94</v>
      </c>
      <c r="K55" s="64"/>
      <c r="L55" s="142">
        <f>SUMIF($Z$4:$FB$4,"&lt;="&amp;$G$18,$Z55:$FB55)</f>
        <v>929928.40414000419</v>
      </c>
      <c r="M55" s="62"/>
      <c r="N55" s="65">
        <f>SUMIF($Z$3:$FB$3,N$7,$Z55:$FB55)</f>
        <v>0</v>
      </c>
      <c r="O55" s="65">
        <f t="shared" si="123"/>
        <v>84855.577339133917</v>
      </c>
      <c r="P55" s="65">
        <f t="shared" si="123"/>
        <v>86568.33249370617</v>
      </c>
      <c r="Q55" s="65">
        <f t="shared" si="123"/>
        <v>88315.65850751361</v>
      </c>
      <c r="R55" s="65">
        <f t="shared" si="123"/>
        <v>90098.25317107531</v>
      </c>
      <c r="S55" s="65">
        <f t="shared" si="123"/>
        <v>91916.828359362276</v>
      </c>
      <c r="T55" s="65">
        <f t="shared" si="123"/>
        <v>93772.110316083199</v>
      </c>
      <c r="U55" s="65">
        <f t="shared" si="123"/>
        <v>95664.839943708022</v>
      </c>
      <c r="V55" s="65">
        <f t="shared" si="123"/>
        <v>97595.773099345737</v>
      </c>
      <c r="W55" s="65">
        <f t="shared" si="123"/>
        <v>99565.680896594102</v>
      </c>
      <c r="X55" s="65">
        <f t="shared" si="123"/>
        <v>101575.35001348188</v>
      </c>
      <c r="Y55" s="62"/>
      <c r="Z55" s="142">
        <v>0</v>
      </c>
      <c r="AA55" s="142">
        <f t="shared" ref="AA55:BF55" si="141">$J55/12*AA$14*$C$63</f>
        <v>7006.711755555556</v>
      </c>
      <c r="AB55" s="142">
        <f t="shared" si="141"/>
        <v>7018.3896084814824</v>
      </c>
      <c r="AC55" s="142">
        <f t="shared" si="141"/>
        <v>7030.0869244956193</v>
      </c>
      <c r="AD55" s="142">
        <f t="shared" si="141"/>
        <v>7041.803736036446</v>
      </c>
      <c r="AE55" s="142">
        <f t="shared" si="141"/>
        <v>7053.5400755965065</v>
      </c>
      <c r="AF55" s="142">
        <f t="shared" si="141"/>
        <v>7065.2959757225008</v>
      </c>
      <c r="AG55" s="142">
        <f t="shared" si="141"/>
        <v>7077.0714690153718</v>
      </c>
      <c r="AH55" s="142">
        <f t="shared" si="141"/>
        <v>7088.8665881303968</v>
      </c>
      <c r="AI55" s="142">
        <f t="shared" si="141"/>
        <v>7100.6813657772809</v>
      </c>
      <c r="AJ55" s="142">
        <f t="shared" si="141"/>
        <v>7112.5158347202441</v>
      </c>
      <c r="AK55" s="142">
        <f t="shared" si="141"/>
        <v>7124.3700277781109</v>
      </c>
      <c r="AL55" s="142">
        <f t="shared" si="141"/>
        <v>7136.2439778244079</v>
      </c>
      <c r="AM55" s="142">
        <f t="shared" si="141"/>
        <v>7148.1377177874501</v>
      </c>
      <c r="AN55" s="142">
        <f t="shared" si="141"/>
        <v>7160.0512806504285</v>
      </c>
      <c r="AO55" s="142">
        <f t="shared" si="141"/>
        <v>7171.9846994515119</v>
      </c>
      <c r="AP55" s="142">
        <f t="shared" si="141"/>
        <v>7183.9380072839322</v>
      </c>
      <c r="AQ55" s="142">
        <f t="shared" si="141"/>
        <v>7195.9112372960708</v>
      </c>
      <c r="AR55" s="142">
        <f t="shared" si="141"/>
        <v>7207.9044226915648</v>
      </c>
      <c r="AS55" s="142">
        <f t="shared" si="141"/>
        <v>7219.9175967293841</v>
      </c>
      <c r="AT55" s="142">
        <f t="shared" si="141"/>
        <v>7231.950792723932</v>
      </c>
      <c r="AU55" s="142">
        <f t="shared" si="141"/>
        <v>7244.0040440451394</v>
      </c>
      <c r="AV55" s="142">
        <f t="shared" si="141"/>
        <v>7256.0773841185473</v>
      </c>
      <c r="AW55" s="142">
        <f t="shared" si="141"/>
        <v>7268.1708464254125</v>
      </c>
      <c r="AX55" s="142">
        <f t="shared" si="141"/>
        <v>7280.2844645027872</v>
      </c>
      <c r="AY55" s="142">
        <f t="shared" si="141"/>
        <v>7292.4182719436267</v>
      </c>
      <c r="AZ55" s="142">
        <f t="shared" si="141"/>
        <v>7304.5723023968667</v>
      </c>
      <c r="BA55" s="142">
        <f t="shared" si="141"/>
        <v>7316.7465895675286</v>
      </c>
      <c r="BB55" s="142">
        <f t="shared" si="141"/>
        <v>7328.941167216808</v>
      </c>
      <c r="BC55" s="142">
        <f t="shared" si="141"/>
        <v>7341.1560691621708</v>
      </c>
      <c r="BD55" s="142">
        <f t="shared" si="141"/>
        <v>7353.3913292774396</v>
      </c>
      <c r="BE55" s="142">
        <f t="shared" si="141"/>
        <v>7365.6469814929023</v>
      </c>
      <c r="BF55" s="142">
        <f t="shared" si="141"/>
        <v>7377.9230597953911</v>
      </c>
      <c r="BG55" s="142">
        <f t="shared" ref="BG55:CL55" si="142">$J55/12*BG$14*$C$63</f>
        <v>7390.2195982283847</v>
      </c>
      <c r="BH55" s="142">
        <f t="shared" si="142"/>
        <v>7402.5366308920966</v>
      </c>
      <c r="BI55" s="142">
        <f t="shared" si="142"/>
        <v>7414.8741919435852</v>
      </c>
      <c r="BJ55" s="142">
        <f t="shared" si="142"/>
        <v>7427.2323155968243</v>
      </c>
      <c r="BK55" s="142">
        <f t="shared" si="142"/>
        <v>7439.6110361228184</v>
      </c>
      <c r="BL55" s="142">
        <f t="shared" si="142"/>
        <v>7452.0103878496911</v>
      </c>
      <c r="BM55" s="142">
        <f t="shared" si="142"/>
        <v>7464.4304051627732</v>
      </c>
      <c r="BN55" s="142">
        <f t="shared" si="142"/>
        <v>7476.8711225047109</v>
      </c>
      <c r="BO55" s="142">
        <f t="shared" si="142"/>
        <v>7489.3325743755531</v>
      </c>
      <c r="BP55" s="142">
        <f t="shared" si="142"/>
        <v>7501.8147953328462</v>
      </c>
      <c r="BQ55" s="142">
        <f t="shared" si="142"/>
        <v>7514.3178199917347</v>
      </c>
      <c r="BR55" s="142">
        <f t="shared" si="142"/>
        <v>7526.8416830250544</v>
      </c>
      <c r="BS55" s="142">
        <f t="shared" si="142"/>
        <v>7539.3864191634293</v>
      </c>
      <c r="BT55" s="142">
        <f t="shared" si="142"/>
        <v>7551.9520631953683</v>
      </c>
      <c r="BU55" s="142">
        <f t="shared" si="142"/>
        <v>7564.5386499673623</v>
      </c>
      <c r="BV55" s="142">
        <f t="shared" si="142"/>
        <v>7577.1462143839744</v>
      </c>
      <c r="BW55" s="142">
        <f t="shared" si="142"/>
        <v>7589.7747914079482</v>
      </c>
      <c r="BX55" s="142">
        <f t="shared" si="142"/>
        <v>7602.4244160602948</v>
      </c>
      <c r="BY55" s="142">
        <f t="shared" si="142"/>
        <v>7615.0951234203967</v>
      </c>
      <c r="BZ55" s="142">
        <f t="shared" si="142"/>
        <v>7627.7869486260961</v>
      </c>
      <c r="CA55" s="142">
        <f t="shared" si="142"/>
        <v>7640.4999268738056</v>
      </c>
      <c r="CB55" s="142">
        <f t="shared" si="142"/>
        <v>7653.2340934185959</v>
      </c>
      <c r="CC55" s="142">
        <f t="shared" si="142"/>
        <v>7665.9894835742944</v>
      </c>
      <c r="CD55" s="142">
        <f t="shared" si="142"/>
        <v>7678.7661327135838</v>
      </c>
      <c r="CE55" s="142">
        <f t="shared" si="142"/>
        <v>7691.5640762681069</v>
      </c>
      <c r="CF55" s="142">
        <f t="shared" si="142"/>
        <v>7704.3833497285541</v>
      </c>
      <c r="CG55" s="142">
        <f t="shared" si="142"/>
        <v>7717.2239886447696</v>
      </c>
      <c r="CH55" s="142">
        <f t="shared" si="142"/>
        <v>7730.0860286258421</v>
      </c>
      <c r="CI55" s="142">
        <f t="shared" si="142"/>
        <v>7742.9695053402193</v>
      </c>
      <c r="CJ55" s="142">
        <f t="shared" si="142"/>
        <v>7755.874454515787</v>
      </c>
      <c r="CK55" s="142">
        <f t="shared" si="142"/>
        <v>7768.8009119399794</v>
      </c>
      <c r="CL55" s="142">
        <f t="shared" si="142"/>
        <v>7781.7489134598809</v>
      </c>
      <c r="CM55" s="142">
        <f t="shared" ref="CM55:DR55" si="143">$J55/12*CM$14*$C$63</f>
        <v>7794.718494982315</v>
      </c>
      <c r="CN55" s="142">
        <f t="shared" si="143"/>
        <v>7807.7096924739526</v>
      </c>
      <c r="CO55" s="142">
        <f t="shared" si="143"/>
        <v>7820.7225419614097</v>
      </c>
      <c r="CP55" s="142">
        <f t="shared" si="143"/>
        <v>7833.7570795313459</v>
      </c>
      <c r="CQ55" s="142">
        <f t="shared" si="143"/>
        <v>7846.8133413305641</v>
      </c>
      <c r="CR55" s="142">
        <f t="shared" si="143"/>
        <v>7859.8913635661156</v>
      </c>
      <c r="CS55" s="142">
        <f t="shared" si="143"/>
        <v>7872.9911825053932</v>
      </c>
      <c r="CT55" s="142">
        <f t="shared" si="143"/>
        <v>7886.1128344762365</v>
      </c>
      <c r="CU55" s="142">
        <f t="shared" si="143"/>
        <v>7899.256355867029</v>
      </c>
      <c r="CV55" s="142">
        <f t="shared" si="143"/>
        <v>7912.4217831268088</v>
      </c>
      <c r="CW55" s="142">
        <f t="shared" si="143"/>
        <v>7925.6091527653525</v>
      </c>
      <c r="CX55" s="142">
        <f t="shared" si="143"/>
        <v>7938.8185013532957</v>
      </c>
      <c r="CY55" s="142">
        <f t="shared" si="143"/>
        <v>7952.0498655222173</v>
      </c>
      <c r="CZ55" s="142">
        <f t="shared" si="143"/>
        <v>7965.3032819647542</v>
      </c>
      <c r="DA55" s="142">
        <f t="shared" si="143"/>
        <v>7978.5787874346952</v>
      </c>
      <c r="DB55" s="142">
        <f t="shared" si="143"/>
        <v>7991.8764187470861</v>
      </c>
      <c r="DC55" s="142">
        <f t="shared" si="143"/>
        <v>8005.1962127783308</v>
      </c>
      <c r="DD55" s="142">
        <f t="shared" si="143"/>
        <v>8018.5382064662963</v>
      </c>
      <c r="DE55" s="142">
        <f t="shared" si="143"/>
        <v>8031.9024368104056</v>
      </c>
      <c r="DF55" s="142">
        <f t="shared" si="143"/>
        <v>8045.2889408717574</v>
      </c>
      <c r="DG55" s="142">
        <f t="shared" si="143"/>
        <v>8058.6977557732098</v>
      </c>
      <c r="DH55" s="142">
        <f t="shared" si="143"/>
        <v>8072.1289186995</v>
      </c>
      <c r="DI55" s="142">
        <f t="shared" si="143"/>
        <v>8085.582466897331</v>
      </c>
      <c r="DJ55" s="142">
        <f t="shared" si="143"/>
        <v>8099.0584376754941</v>
      </c>
      <c r="DK55" s="142">
        <f t="shared" si="143"/>
        <v>8112.556868404954</v>
      </c>
      <c r="DL55" s="142">
        <f t="shared" si="143"/>
        <v>8126.0777965189609</v>
      </c>
      <c r="DM55" s="142">
        <f t="shared" si="143"/>
        <v>8139.6212595131601</v>
      </c>
      <c r="DN55" s="142">
        <f t="shared" si="143"/>
        <v>8153.1872949456829</v>
      </c>
      <c r="DO55" s="142">
        <f t="shared" si="143"/>
        <v>8166.7759404372582</v>
      </c>
      <c r="DP55" s="142">
        <f t="shared" si="143"/>
        <v>8180.3872336713212</v>
      </c>
      <c r="DQ55" s="142">
        <f t="shared" si="143"/>
        <v>8194.0212123941055</v>
      </c>
      <c r="DR55" s="142">
        <f t="shared" si="143"/>
        <v>8207.677914414764</v>
      </c>
      <c r="DS55" s="142">
        <f t="shared" ref="DS55:FB55" si="144">$J55/12*DS$14*$C$63</f>
        <v>8221.3573776054545</v>
      </c>
      <c r="DT55" s="142">
        <f t="shared" si="144"/>
        <v>8235.0596399014667</v>
      </c>
      <c r="DU55" s="142">
        <f t="shared" si="144"/>
        <v>8248.7847393013017</v>
      </c>
      <c r="DV55" s="142">
        <f t="shared" si="144"/>
        <v>8262.5327138668072</v>
      </c>
      <c r="DW55" s="142">
        <f t="shared" si="144"/>
        <v>8276.3036017232516</v>
      </c>
      <c r="DX55" s="142">
        <f t="shared" si="144"/>
        <v>8290.0974410594572</v>
      </c>
      <c r="DY55" s="142">
        <f t="shared" si="144"/>
        <v>8303.9142701278906</v>
      </c>
      <c r="DZ55" s="142">
        <f t="shared" si="144"/>
        <v>8317.7541272447688</v>
      </c>
      <c r="EA55" s="142">
        <f t="shared" si="144"/>
        <v>8331.6170507901788</v>
      </c>
      <c r="EB55" s="142">
        <f t="shared" si="144"/>
        <v>8345.5030792081616</v>
      </c>
      <c r="EC55" s="142">
        <f t="shared" si="144"/>
        <v>8359.4122510068428</v>
      </c>
      <c r="ED55" s="142">
        <f t="shared" si="144"/>
        <v>8373.3446047585221</v>
      </c>
      <c r="EE55" s="142">
        <f t="shared" si="144"/>
        <v>8387.300179099786</v>
      </c>
      <c r="EF55" s="142">
        <f t="shared" si="144"/>
        <v>8401.2790127316184</v>
      </c>
      <c r="EG55" s="142">
        <f t="shared" si="144"/>
        <v>8415.2811444195049</v>
      </c>
      <c r="EH55" s="142">
        <f t="shared" si="144"/>
        <v>8429.3066129935378</v>
      </c>
      <c r="EI55" s="142">
        <f t="shared" si="144"/>
        <v>8443.3554573485289</v>
      </c>
      <c r="EJ55" s="142">
        <f t="shared" si="144"/>
        <v>8457.4277164441082</v>
      </c>
      <c r="EK55" s="142">
        <f t="shared" si="144"/>
        <v>8471.5234293048488</v>
      </c>
      <c r="EL55" s="142">
        <f t="shared" si="144"/>
        <v>8485.6426350203565</v>
      </c>
      <c r="EM55" s="142">
        <f t="shared" si="144"/>
        <v>8499.7853727453912</v>
      </c>
      <c r="EN55" s="142">
        <f t="shared" si="144"/>
        <v>8513.9516816999676</v>
      </c>
      <c r="EO55" s="142">
        <f t="shared" si="144"/>
        <v>8528.1416011694673</v>
      </c>
      <c r="EP55" s="142">
        <f t="shared" si="144"/>
        <v>8542.3551705047521</v>
      </c>
      <c r="EQ55" s="142">
        <f t="shared" si="144"/>
        <v>8556.5924291222582</v>
      </c>
      <c r="ER55" s="142">
        <f t="shared" si="144"/>
        <v>8570.853416504131</v>
      </c>
      <c r="ES55" s="142">
        <f t="shared" si="144"/>
        <v>8585.1381721983053</v>
      </c>
      <c r="ET55" s="142">
        <f t="shared" si="144"/>
        <v>8599.4467358186357</v>
      </c>
      <c r="EU55" s="142">
        <f t="shared" si="144"/>
        <v>8613.7791470450011</v>
      </c>
      <c r="EV55" s="142">
        <f t="shared" si="144"/>
        <v>8628.1354456234094</v>
      </c>
      <c r="EW55" s="142">
        <f t="shared" si="144"/>
        <v>8642.5156713661145</v>
      </c>
      <c r="EX55" s="142">
        <f t="shared" si="144"/>
        <v>8656.9198641517269</v>
      </c>
      <c r="EY55" s="142">
        <f t="shared" si="144"/>
        <v>8671.3480639253121</v>
      </c>
      <c r="EZ55" s="142">
        <f t="shared" si="144"/>
        <v>8685.8003106985216</v>
      </c>
      <c r="FA55" s="142">
        <f t="shared" si="144"/>
        <v>8700.2766445496873</v>
      </c>
      <c r="FB55" s="142">
        <f t="shared" si="144"/>
        <v>8714.7771056239362</v>
      </c>
    </row>
    <row r="56" spans="1:158">
      <c r="A56" s="32"/>
      <c r="B56" s="15"/>
      <c r="C56" s="15"/>
      <c r="D56" s="15"/>
      <c r="E56" s="15"/>
      <c r="F56" s="15"/>
      <c r="H56" s="33"/>
      <c r="I56" s="44" t="s">
        <v>94</v>
      </c>
      <c r="J56" s="90"/>
      <c r="K56" s="198"/>
      <c r="L56" s="44">
        <f>SUMIF($Z$4:$FB$4,"&lt;="&amp;$G$18,$Z56:$FB56)</f>
        <v>1715400.9706298511</v>
      </c>
      <c r="M56" s="58"/>
      <c r="N56" s="44">
        <f>SUMIF($Z$3:$FB$3,N$7,$Z56:$FB56)</f>
        <v>0</v>
      </c>
      <c r="O56" s="44">
        <f t="shared" si="123"/>
        <v>156052.74001796954</v>
      </c>
      <c r="P56" s="44">
        <f t="shared" si="123"/>
        <v>159490.52016178274</v>
      </c>
      <c r="Q56" s="44">
        <f t="shared" si="123"/>
        <v>162895.5566227313</v>
      </c>
      <c r="R56" s="44">
        <f t="shared" si="123"/>
        <v>166293.62255132172</v>
      </c>
      <c r="S56" s="44">
        <f t="shared" si="123"/>
        <v>169650.15217646299</v>
      </c>
      <c r="T56" s="44">
        <f t="shared" si="123"/>
        <v>173074.43118941362</v>
      </c>
      <c r="U56" s="44">
        <f t="shared" si="123"/>
        <v>176567.82706791433</v>
      </c>
      <c r="V56" s="44">
        <f t="shared" si="123"/>
        <v>180131.73489136292</v>
      </c>
      <c r="W56" s="44">
        <f t="shared" si="123"/>
        <v>183767.57789793625</v>
      </c>
      <c r="X56" s="44">
        <f t="shared" si="123"/>
        <v>187476.80805295627</v>
      </c>
      <c r="Y56" s="58"/>
      <c r="Z56" s="57">
        <f>SUM(Z52:Z55)</f>
        <v>0</v>
      </c>
      <c r="AA56" s="44">
        <f t="shared" ref="AA56:CL56" si="145">SUM(AA52:AA55)</f>
        <v>12873.260951026114</v>
      </c>
      <c r="AB56" s="44">
        <f t="shared" si="145"/>
        <v>12894.716385944488</v>
      </c>
      <c r="AC56" s="44">
        <f t="shared" si="145"/>
        <v>12916.207579921065</v>
      </c>
      <c r="AD56" s="44">
        <f t="shared" si="145"/>
        <v>12937.734592554269</v>
      </c>
      <c r="AE56" s="44">
        <f t="shared" si="145"/>
        <v>12959.297483541859</v>
      </c>
      <c r="AF56" s="44">
        <f t="shared" si="145"/>
        <v>12980.896312681096</v>
      </c>
      <c r="AG56" s="44">
        <f t="shared" si="145"/>
        <v>13002.531139868897</v>
      </c>
      <c r="AH56" s="44">
        <f t="shared" si="145"/>
        <v>13054.033087998161</v>
      </c>
      <c r="AI56" s="44">
        <f t="shared" si="145"/>
        <v>13075.789809811491</v>
      </c>
      <c r="AJ56" s="44">
        <f t="shared" si="145"/>
        <v>13097.582792827845</v>
      </c>
      <c r="AK56" s="44">
        <f t="shared" si="145"/>
        <v>13119.412097482558</v>
      </c>
      <c r="AL56" s="44">
        <f t="shared" si="145"/>
        <v>13141.277784311696</v>
      </c>
      <c r="AM56" s="44">
        <f t="shared" si="145"/>
        <v>13163.179913952219</v>
      </c>
      <c r="AN56" s="44">
        <f t="shared" si="145"/>
        <v>13185.118547142138</v>
      </c>
      <c r="AO56" s="44">
        <f t="shared" si="145"/>
        <v>13207.093744720707</v>
      </c>
      <c r="AP56" s="44">
        <f t="shared" si="145"/>
        <v>13229.105567628576</v>
      </c>
      <c r="AQ56" s="44">
        <f t="shared" si="145"/>
        <v>13251.154076907955</v>
      </c>
      <c r="AR56" s="44">
        <f t="shared" si="145"/>
        <v>13273.239333702802</v>
      </c>
      <c r="AS56" s="44">
        <f t="shared" si="145"/>
        <v>13295.361399258974</v>
      </c>
      <c r="AT56" s="44">
        <f t="shared" si="145"/>
        <v>13332.736926764404</v>
      </c>
      <c r="AU56" s="44">
        <f t="shared" si="145"/>
        <v>13354.95815497568</v>
      </c>
      <c r="AV56" s="44">
        <f t="shared" si="145"/>
        <v>13377.216418567306</v>
      </c>
      <c r="AW56" s="44">
        <f t="shared" si="145"/>
        <v>13399.51177926492</v>
      </c>
      <c r="AX56" s="44">
        <f t="shared" si="145"/>
        <v>13421.844298897027</v>
      </c>
      <c r="AY56" s="44">
        <f t="shared" si="145"/>
        <v>13444.214039395189</v>
      </c>
      <c r="AZ56" s="44">
        <f t="shared" si="145"/>
        <v>13466.621062794184</v>
      </c>
      <c r="BA56" s="44">
        <f t="shared" si="145"/>
        <v>13489.065431232175</v>
      </c>
      <c r="BB56" s="44">
        <f t="shared" si="145"/>
        <v>13511.547206950896</v>
      </c>
      <c r="BC56" s="44">
        <f t="shared" si="145"/>
        <v>13534.066452295816</v>
      </c>
      <c r="BD56" s="44">
        <f t="shared" si="145"/>
        <v>13556.623229716308</v>
      </c>
      <c r="BE56" s="44">
        <f t="shared" si="145"/>
        <v>13579.217601765835</v>
      </c>
      <c r="BF56" s="44">
        <f t="shared" si="145"/>
        <v>13617.373360044072</v>
      </c>
      <c r="BG56" s="44">
        <f t="shared" si="145"/>
        <v>13640.068982310813</v>
      </c>
      <c r="BH56" s="44">
        <f t="shared" si="145"/>
        <v>13662.802430614664</v>
      </c>
      <c r="BI56" s="44">
        <f t="shared" si="145"/>
        <v>13685.573767999023</v>
      </c>
      <c r="BJ56" s="44">
        <f t="shared" si="145"/>
        <v>13708.383057612355</v>
      </c>
      <c r="BK56" s="44">
        <f t="shared" si="145"/>
        <v>13731.230362708375</v>
      </c>
      <c r="BL56" s="44">
        <f t="shared" si="145"/>
        <v>13754.115746646225</v>
      </c>
      <c r="BM56" s="44">
        <f t="shared" si="145"/>
        <v>13777.039272890634</v>
      </c>
      <c r="BN56" s="44">
        <f t="shared" si="145"/>
        <v>13800.001005012116</v>
      </c>
      <c r="BO56" s="44">
        <f t="shared" si="145"/>
        <v>13823.00100668714</v>
      </c>
      <c r="BP56" s="44">
        <f t="shared" si="145"/>
        <v>13846.039341698284</v>
      </c>
      <c r="BQ56" s="44">
        <f t="shared" si="145"/>
        <v>13869.116073934449</v>
      </c>
      <c r="BR56" s="44">
        <f t="shared" si="145"/>
        <v>13892.231267391007</v>
      </c>
      <c r="BS56" s="44">
        <f t="shared" si="145"/>
        <v>13915.384986169993</v>
      </c>
      <c r="BT56" s="44">
        <f t="shared" si="145"/>
        <v>13938.577294480277</v>
      </c>
      <c r="BU56" s="44">
        <f t="shared" si="145"/>
        <v>13961.808256637745</v>
      </c>
      <c r="BV56" s="44">
        <f t="shared" si="145"/>
        <v>13985.077937065475</v>
      </c>
      <c r="BW56" s="44">
        <f t="shared" si="145"/>
        <v>14008.386400293919</v>
      </c>
      <c r="BX56" s="44">
        <f t="shared" si="145"/>
        <v>14031.733710961074</v>
      </c>
      <c r="BY56" s="44">
        <f t="shared" si="145"/>
        <v>14055.119933812679</v>
      </c>
      <c r="BZ56" s="44">
        <f t="shared" si="145"/>
        <v>14078.545133702364</v>
      </c>
      <c r="CA56" s="44">
        <f t="shared" si="145"/>
        <v>14102.009375591868</v>
      </c>
      <c r="CB56" s="44">
        <f t="shared" si="145"/>
        <v>14125.512724551189</v>
      </c>
      <c r="CC56" s="44">
        <f t="shared" si="145"/>
        <v>14149.055245758775</v>
      </c>
      <c r="CD56" s="44">
        <f t="shared" si="145"/>
        <v>14172.637004501707</v>
      </c>
      <c r="CE56" s="44">
        <f t="shared" si="145"/>
        <v>14196.258066175877</v>
      </c>
      <c r="CF56" s="44">
        <f t="shared" si="145"/>
        <v>14219.918496286169</v>
      </c>
      <c r="CG56" s="44">
        <f t="shared" si="145"/>
        <v>14243.618360446648</v>
      </c>
      <c r="CH56" s="44">
        <f t="shared" si="145"/>
        <v>14267.357724380723</v>
      </c>
      <c r="CI56" s="44">
        <f t="shared" si="145"/>
        <v>14291.136653921358</v>
      </c>
      <c r="CJ56" s="44">
        <f t="shared" si="145"/>
        <v>14314.955215011229</v>
      </c>
      <c r="CK56" s="44">
        <f t="shared" si="145"/>
        <v>14338.813473702912</v>
      </c>
      <c r="CL56" s="44">
        <f t="shared" si="145"/>
        <v>14362.711496159085</v>
      </c>
      <c r="CM56" s="44">
        <f t="shared" ref="CM56:EX56" si="146">SUM(CM52:CM55)</f>
        <v>14386.649348652687</v>
      </c>
      <c r="CN56" s="44">
        <f t="shared" si="146"/>
        <v>14410.627097567109</v>
      </c>
      <c r="CO56" s="44">
        <f t="shared" si="146"/>
        <v>14434.644809396388</v>
      </c>
      <c r="CP56" s="44">
        <f t="shared" si="146"/>
        <v>14458.702550745384</v>
      </c>
      <c r="CQ56" s="44">
        <f t="shared" si="146"/>
        <v>14482.800388329957</v>
      </c>
      <c r="CR56" s="44">
        <f t="shared" si="146"/>
        <v>14506.938388977174</v>
      </c>
      <c r="CS56" s="44">
        <f t="shared" si="146"/>
        <v>14531.116619625471</v>
      </c>
      <c r="CT56" s="44">
        <f t="shared" si="146"/>
        <v>14555.335147324849</v>
      </c>
      <c r="CU56" s="44">
        <f t="shared" si="146"/>
        <v>14579.594039237054</v>
      </c>
      <c r="CV56" s="44">
        <f t="shared" si="146"/>
        <v>14603.893362635785</v>
      </c>
      <c r="CW56" s="44">
        <f t="shared" si="146"/>
        <v>14628.233184906843</v>
      </c>
      <c r="CX56" s="44">
        <f t="shared" si="146"/>
        <v>14652.613573548355</v>
      </c>
      <c r="CY56" s="44">
        <f t="shared" si="146"/>
        <v>14677.034596170935</v>
      </c>
      <c r="CZ56" s="44">
        <f t="shared" si="146"/>
        <v>14701.496320497889</v>
      </c>
      <c r="DA56" s="44">
        <f t="shared" si="146"/>
        <v>14725.998814365383</v>
      </c>
      <c r="DB56" s="44">
        <f t="shared" si="146"/>
        <v>14750.542145722658</v>
      </c>
      <c r="DC56" s="44">
        <f t="shared" si="146"/>
        <v>14775.126382632197</v>
      </c>
      <c r="DD56" s="44">
        <f t="shared" si="146"/>
        <v>14799.751593269917</v>
      </c>
      <c r="DE56" s="44">
        <f t="shared" si="146"/>
        <v>14824.417845925367</v>
      </c>
      <c r="DF56" s="44">
        <f t="shared" si="146"/>
        <v>14849.125209001912</v>
      </c>
      <c r="DG56" s="44">
        <f t="shared" si="146"/>
        <v>14873.873751016914</v>
      </c>
      <c r="DH56" s="44">
        <f t="shared" si="146"/>
        <v>14898.663540601945</v>
      </c>
      <c r="DI56" s="44">
        <f t="shared" si="146"/>
        <v>14923.494646502946</v>
      </c>
      <c r="DJ56" s="44">
        <f t="shared" si="146"/>
        <v>14948.367137580453</v>
      </c>
      <c r="DK56" s="44">
        <f t="shared" si="146"/>
        <v>14973.281082809754</v>
      </c>
      <c r="DL56" s="44">
        <f t="shared" si="146"/>
        <v>14998.236551281103</v>
      </c>
      <c r="DM56" s="44">
        <f t="shared" si="146"/>
        <v>15023.233612199905</v>
      </c>
      <c r="DN56" s="44">
        <f t="shared" si="146"/>
        <v>15048.272334886906</v>
      </c>
      <c r="DO56" s="44">
        <f t="shared" si="146"/>
        <v>15073.352788778384</v>
      </c>
      <c r="DP56" s="44">
        <f t="shared" si="146"/>
        <v>15098.475043426348</v>
      </c>
      <c r="DQ56" s="44">
        <f t="shared" si="146"/>
        <v>15123.639168498725</v>
      </c>
      <c r="DR56" s="44">
        <f t="shared" si="146"/>
        <v>15148.845233779557</v>
      </c>
      <c r="DS56" s="44">
        <f t="shared" si="146"/>
        <v>15174.093309169191</v>
      </c>
      <c r="DT56" s="44">
        <f t="shared" si="146"/>
        <v>15199.383464684477</v>
      </c>
      <c r="DU56" s="44">
        <f t="shared" si="146"/>
        <v>15224.71577045895</v>
      </c>
      <c r="DV56" s="44">
        <f t="shared" si="146"/>
        <v>15250.090296743052</v>
      </c>
      <c r="DW56" s="44">
        <f t="shared" si="146"/>
        <v>15275.507113904292</v>
      </c>
      <c r="DX56" s="44">
        <f t="shared" si="146"/>
        <v>15300.966292427465</v>
      </c>
      <c r="DY56" s="44">
        <f t="shared" si="146"/>
        <v>15326.467902914846</v>
      </c>
      <c r="DZ56" s="44">
        <f t="shared" si="146"/>
        <v>15352.01201608637</v>
      </c>
      <c r="EA56" s="44">
        <f t="shared" si="146"/>
        <v>15377.598702779849</v>
      </c>
      <c r="EB56" s="44">
        <f t="shared" si="146"/>
        <v>15403.228033951147</v>
      </c>
      <c r="EC56" s="44">
        <f t="shared" si="146"/>
        <v>15428.900080674401</v>
      </c>
      <c r="ED56" s="44">
        <f t="shared" si="146"/>
        <v>15454.614914142194</v>
      </c>
      <c r="EE56" s="44">
        <f t="shared" si="146"/>
        <v>15480.372605665765</v>
      </c>
      <c r="EF56" s="44">
        <f t="shared" si="146"/>
        <v>15506.173226675206</v>
      </c>
      <c r="EG56" s="44">
        <f t="shared" si="146"/>
        <v>15532.016848719664</v>
      </c>
      <c r="EH56" s="44">
        <f t="shared" si="146"/>
        <v>15557.903543467533</v>
      </c>
      <c r="EI56" s="44">
        <f t="shared" si="146"/>
        <v>15583.833382706649</v>
      </c>
      <c r="EJ56" s="44">
        <f t="shared" si="146"/>
        <v>15609.806438344491</v>
      </c>
      <c r="EK56" s="44">
        <f t="shared" si="146"/>
        <v>15635.822782408399</v>
      </c>
      <c r="EL56" s="44">
        <f t="shared" si="146"/>
        <v>15661.882487045747</v>
      </c>
      <c r="EM56" s="44">
        <f t="shared" si="146"/>
        <v>15687.985624524157</v>
      </c>
      <c r="EN56" s="44">
        <f t="shared" si="146"/>
        <v>15714.132267231696</v>
      </c>
      <c r="EO56" s="44">
        <f t="shared" si="146"/>
        <v>15740.322487677084</v>
      </c>
      <c r="EP56" s="44">
        <f t="shared" si="146"/>
        <v>15766.556358489883</v>
      </c>
      <c r="EQ56" s="44">
        <f t="shared" si="146"/>
        <v>15792.833952420697</v>
      </c>
      <c r="ER56" s="44">
        <f t="shared" si="146"/>
        <v>15819.155342341401</v>
      </c>
      <c r="ES56" s="44">
        <f t="shared" si="146"/>
        <v>15845.520601245305</v>
      </c>
      <c r="ET56" s="44">
        <f t="shared" si="146"/>
        <v>15871.929802247379</v>
      </c>
      <c r="EU56" s="44">
        <f t="shared" si="146"/>
        <v>15898.38301858446</v>
      </c>
      <c r="EV56" s="44">
        <f t="shared" si="146"/>
        <v>15924.880323615436</v>
      </c>
      <c r="EW56" s="44">
        <f t="shared" si="146"/>
        <v>15951.42179082146</v>
      </c>
      <c r="EX56" s="44">
        <f t="shared" si="146"/>
        <v>15978.007493806166</v>
      </c>
      <c r="EY56" s="44">
        <f t="shared" ref="EY56:FB56" si="147">SUM(EY52:EY55)</f>
        <v>16004.637506295841</v>
      </c>
      <c r="EZ56" s="44">
        <f t="shared" si="147"/>
        <v>16031.311902139671</v>
      </c>
      <c r="FA56" s="44">
        <f t="shared" si="147"/>
        <v>16058.030755309905</v>
      </c>
      <c r="FB56" s="44">
        <f t="shared" si="147"/>
        <v>16084.794139902086</v>
      </c>
    </row>
    <row r="57" spans="1:158">
      <c r="B57" s="7" t="s">
        <v>17</v>
      </c>
      <c r="C57" s="7"/>
      <c r="D57" s="7"/>
      <c r="E57" s="7"/>
      <c r="F57" s="7"/>
      <c r="G57" s="7"/>
      <c r="M57" s="62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2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BH57" s="61"/>
      <c r="BI57" s="61"/>
      <c r="BJ57" s="61"/>
      <c r="BK57" s="61"/>
      <c r="BL57" s="61"/>
      <c r="BM57" s="61"/>
      <c r="BN57" s="61"/>
      <c r="BO57" s="61"/>
      <c r="BP57" s="61"/>
      <c r="BQ57" s="61"/>
      <c r="BR57" s="61"/>
      <c r="BS57" s="61"/>
      <c r="BT57" s="61"/>
      <c r="BU57" s="61"/>
      <c r="BV57" s="61"/>
      <c r="BW57" s="61"/>
      <c r="BX57" s="61"/>
      <c r="BY57" s="61"/>
      <c r="BZ57" s="61"/>
      <c r="CA57" s="61"/>
      <c r="CB57" s="61"/>
      <c r="CC57" s="61"/>
      <c r="CD57" s="61"/>
      <c r="CE57" s="61"/>
      <c r="CF57" s="61"/>
      <c r="CG57" s="61"/>
      <c r="CH57" s="61"/>
      <c r="CI57" s="61"/>
      <c r="CJ57" s="61"/>
      <c r="CK57" s="61"/>
      <c r="CL57" s="61"/>
      <c r="CM57" s="61"/>
      <c r="CN57" s="61"/>
      <c r="CO57" s="61"/>
      <c r="CP57" s="61"/>
      <c r="CQ57" s="61"/>
      <c r="CR57" s="61"/>
      <c r="CS57" s="61"/>
      <c r="CT57" s="61"/>
      <c r="CU57" s="61"/>
      <c r="CV57" s="61"/>
      <c r="CW57" s="61"/>
      <c r="CX57" s="61"/>
      <c r="CY57" s="61"/>
      <c r="CZ57" s="61"/>
      <c r="DA57" s="61"/>
      <c r="DB57" s="61"/>
      <c r="DC57" s="61"/>
      <c r="DD57" s="61"/>
      <c r="DE57" s="61"/>
      <c r="DF57" s="61"/>
      <c r="DG57" s="61"/>
      <c r="DH57" s="61"/>
      <c r="DI57" s="61"/>
      <c r="DJ57" s="61"/>
      <c r="DK57" s="61"/>
      <c r="DL57" s="61"/>
      <c r="DM57" s="61"/>
      <c r="DN57" s="61"/>
      <c r="DO57" s="61"/>
      <c r="DP57" s="61"/>
      <c r="DQ57" s="61"/>
      <c r="DR57" s="61"/>
      <c r="DS57" s="61"/>
      <c r="DT57" s="61"/>
      <c r="DU57" s="61"/>
      <c r="DV57" s="61"/>
      <c r="DW57" s="61"/>
      <c r="DX57" s="61"/>
      <c r="DY57" s="61"/>
      <c r="DZ57" s="61"/>
      <c r="EA57" s="61"/>
      <c r="EB57" s="61"/>
      <c r="EC57" s="61"/>
      <c r="ED57" s="61"/>
      <c r="EE57" s="61"/>
      <c r="EF57" s="61"/>
      <c r="EG57" s="61"/>
      <c r="EH57" s="61"/>
      <c r="EI57" s="61"/>
      <c r="EJ57" s="61"/>
      <c r="EK57" s="61"/>
      <c r="EL57" s="61"/>
      <c r="EM57" s="61"/>
      <c r="EN57" s="61"/>
      <c r="EO57" s="61"/>
      <c r="EP57" s="61"/>
      <c r="EQ57" s="61"/>
      <c r="ER57" s="61"/>
      <c r="ES57" s="61"/>
      <c r="ET57" s="61"/>
      <c r="EU57" s="61"/>
      <c r="EV57" s="61"/>
      <c r="EW57" s="61"/>
      <c r="EX57" s="61"/>
      <c r="EY57" s="61"/>
      <c r="EZ57" s="61"/>
      <c r="FA57" s="61"/>
      <c r="FB57" s="61"/>
    </row>
    <row r="58" spans="1:158">
      <c r="B58" s="35" t="b">
        <v>1</v>
      </c>
      <c r="C58" s="45" t="s">
        <v>95</v>
      </c>
      <c r="D58" s="45" t="s">
        <v>96</v>
      </c>
      <c r="E58" s="45" t="s">
        <v>97</v>
      </c>
      <c r="F58" s="45" t="s">
        <v>98</v>
      </c>
      <c r="G58" s="45" t="s">
        <v>107</v>
      </c>
      <c r="I58" s="72" t="s">
        <v>99</v>
      </c>
      <c r="J58" s="72"/>
      <c r="K58" s="58"/>
      <c r="L58" s="72">
        <f>SUMIF($Z$4:$FB$4,"&lt;="&amp;$G$18,$Z58:$FB58)</f>
        <v>3044594.2039507297</v>
      </c>
      <c r="M58" s="58"/>
      <c r="N58" s="72">
        <f>SUMIF($Z$3:$FB$3,N$7,$Z58:$FB58)</f>
        <v>0</v>
      </c>
      <c r="O58" s="72">
        <f t="shared" ref="O58:X58" si="148">SUMIF($Z$3:$FB$3,O$7,$Z58:$FB58)</f>
        <v>277341.06577141385</v>
      </c>
      <c r="P58" s="72">
        <f t="shared" si="148"/>
        <v>283226.97262224834</v>
      </c>
      <c r="Q58" s="72">
        <f t="shared" si="148"/>
        <v>289129.54965042626</v>
      </c>
      <c r="R58" s="72">
        <f t="shared" si="148"/>
        <v>295075.56739338383</v>
      </c>
      <c r="S58" s="72">
        <f t="shared" si="148"/>
        <v>301031.47759857279</v>
      </c>
      <c r="T58" s="72">
        <f t="shared" si="148"/>
        <v>307107.60401375045</v>
      </c>
      <c r="U58" s="72">
        <f t="shared" si="148"/>
        <v>313306.37312565767</v>
      </c>
      <c r="V58" s="72">
        <f t="shared" si="148"/>
        <v>319630.26039810723</v>
      </c>
      <c r="W58" s="72">
        <f t="shared" si="148"/>
        <v>326081.7912605537</v>
      </c>
      <c r="X58" s="72">
        <f t="shared" si="148"/>
        <v>332663.54211661796</v>
      </c>
      <c r="Y58" s="58"/>
      <c r="Z58" s="72">
        <f>SUM(Z49,Z56)</f>
        <v>0</v>
      </c>
      <c r="AA58" s="72">
        <f t="shared" ref="AA58:CL58" si="149">SUM(AA49,AA56)</f>
        <v>22888.304917692782</v>
      </c>
      <c r="AB58" s="72">
        <f t="shared" si="149"/>
        <v>22926.452092555599</v>
      </c>
      <c r="AC58" s="72">
        <f t="shared" si="149"/>
        <v>22964.662846043197</v>
      </c>
      <c r="AD58" s="72">
        <f t="shared" si="149"/>
        <v>23002.937284119937</v>
      </c>
      <c r="AE58" s="72">
        <f t="shared" si="149"/>
        <v>23041.275512926804</v>
      </c>
      <c r="AF58" s="72">
        <f t="shared" si="149"/>
        <v>23079.677638781683</v>
      </c>
      <c r="AG58" s="72">
        <f t="shared" si="149"/>
        <v>23118.143768179652</v>
      </c>
      <c r="AH58" s="72">
        <f t="shared" si="149"/>
        <v>23186.505070689433</v>
      </c>
      <c r="AI58" s="72">
        <f t="shared" si="149"/>
        <v>23225.149245807246</v>
      </c>
      <c r="AJ58" s="72">
        <f t="shared" si="149"/>
        <v>23263.857827883599</v>
      </c>
      <c r="AK58" s="72">
        <f t="shared" si="149"/>
        <v>23302.630924263402</v>
      </c>
      <c r="AL58" s="72">
        <f t="shared" si="149"/>
        <v>23341.468642470511</v>
      </c>
      <c r="AM58" s="72">
        <f t="shared" si="149"/>
        <v>23380.371090207966</v>
      </c>
      <c r="AN58" s="72">
        <f t="shared" si="149"/>
        <v>23419.338375358311</v>
      </c>
      <c r="AO58" s="72">
        <f t="shared" si="149"/>
        <v>23458.370605983902</v>
      </c>
      <c r="AP58" s="72">
        <f t="shared" si="149"/>
        <v>23497.467890327214</v>
      </c>
      <c r="AQ58" s="72">
        <f t="shared" si="149"/>
        <v>23536.630336811089</v>
      </c>
      <c r="AR58" s="72">
        <f t="shared" si="149"/>
        <v>23575.858054039109</v>
      </c>
      <c r="AS58" s="72">
        <f t="shared" si="149"/>
        <v>23615.151150795842</v>
      </c>
      <c r="AT58" s="72">
        <f t="shared" si="149"/>
        <v>23669.726327887165</v>
      </c>
      <c r="AU58" s="72">
        <f t="shared" si="149"/>
        <v>23709.17587176698</v>
      </c>
      <c r="AV58" s="72">
        <f t="shared" si="149"/>
        <v>23748.69116488659</v>
      </c>
      <c r="AW58" s="72">
        <f t="shared" si="149"/>
        <v>23788.272316828072</v>
      </c>
      <c r="AX58" s="72">
        <f t="shared" si="149"/>
        <v>23827.919437356115</v>
      </c>
      <c r="AY58" s="72">
        <f t="shared" si="149"/>
        <v>23867.632636418377</v>
      </c>
      <c r="AZ58" s="72">
        <f t="shared" si="149"/>
        <v>23907.412024145742</v>
      </c>
      <c r="BA58" s="72">
        <f t="shared" si="149"/>
        <v>23947.257710852657</v>
      </c>
      <c r="BB58" s="72">
        <f t="shared" si="149"/>
        <v>23987.169807037411</v>
      </c>
      <c r="BC58" s="72">
        <f t="shared" si="149"/>
        <v>24027.148423382481</v>
      </c>
      <c r="BD58" s="72">
        <f t="shared" si="149"/>
        <v>24067.193670754779</v>
      </c>
      <c r="BE58" s="72">
        <f t="shared" si="149"/>
        <v>24107.305660206039</v>
      </c>
      <c r="BF58" s="72">
        <f t="shared" si="149"/>
        <v>24163.00823191501</v>
      </c>
      <c r="BG58" s="72">
        <f t="shared" si="149"/>
        <v>24203.279912301536</v>
      </c>
      <c r="BH58" s="72">
        <f t="shared" si="149"/>
        <v>24243.61871215537</v>
      </c>
      <c r="BI58" s="72">
        <f t="shared" si="149"/>
        <v>24284.024743342299</v>
      </c>
      <c r="BJ58" s="72">
        <f t="shared" si="149"/>
        <v>24324.498117914532</v>
      </c>
      <c r="BK58" s="72">
        <f t="shared" si="149"/>
        <v>24365.038948111058</v>
      </c>
      <c r="BL58" s="72">
        <f t="shared" si="149"/>
        <v>24405.647346357913</v>
      </c>
      <c r="BM58" s="72">
        <f t="shared" si="149"/>
        <v>24446.323425268507</v>
      </c>
      <c r="BN58" s="72">
        <f t="shared" si="149"/>
        <v>24487.067297643956</v>
      </c>
      <c r="BO58" s="72">
        <f t="shared" si="149"/>
        <v>24527.879076473364</v>
      </c>
      <c r="BP58" s="72">
        <f t="shared" si="149"/>
        <v>24568.758874934152</v>
      </c>
      <c r="BQ58" s="72">
        <f t="shared" si="149"/>
        <v>24609.70680639238</v>
      </c>
      <c r="BR58" s="72">
        <f t="shared" si="149"/>
        <v>24650.722984403033</v>
      </c>
      <c r="BS58" s="72">
        <f t="shared" si="149"/>
        <v>24691.807522710373</v>
      </c>
      <c r="BT58" s="72">
        <f t="shared" si="149"/>
        <v>24732.960535248225</v>
      </c>
      <c r="BU58" s="72">
        <f t="shared" si="149"/>
        <v>24774.182136140309</v>
      </c>
      <c r="BV58" s="72">
        <f t="shared" si="149"/>
        <v>24815.472439700541</v>
      </c>
      <c r="BW58" s="72">
        <f t="shared" si="149"/>
        <v>24856.831560433377</v>
      </c>
      <c r="BX58" s="72">
        <f t="shared" si="149"/>
        <v>24898.259613034101</v>
      </c>
      <c r="BY58" s="72">
        <f t="shared" si="149"/>
        <v>24939.75671238916</v>
      </c>
      <c r="BZ58" s="72">
        <f t="shared" si="149"/>
        <v>24981.322973576473</v>
      </c>
      <c r="CA58" s="72">
        <f t="shared" si="149"/>
        <v>25022.958511865763</v>
      </c>
      <c r="CB58" s="72">
        <f t="shared" si="149"/>
        <v>25064.663442718876</v>
      </c>
      <c r="CC58" s="72">
        <f t="shared" si="149"/>
        <v>25106.437881790072</v>
      </c>
      <c r="CD58" s="72">
        <f t="shared" si="149"/>
        <v>25148.281944926392</v>
      </c>
      <c r="CE58" s="72">
        <f t="shared" si="149"/>
        <v>25190.195748167938</v>
      </c>
      <c r="CF58" s="72">
        <f t="shared" si="149"/>
        <v>25232.179407748215</v>
      </c>
      <c r="CG58" s="72">
        <f t="shared" si="149"/>
        <v>25274.233040094467</v>
      </c>
      <c r="CH58" s="72">
        <f t="shared" si="149"/>
        <v>25316.356761827956</v>
      </c>
      <c r="CI58" s="72">
        <f t="shared" si="149"/>
        <v>25358.550689764335</v>
      </c>
      <c r="CJ58" s="72">
        <f t="shared" si="149"/>
        <v>25400.814940913944</v>
      </c>
      <c r="CK58" s="72">
        <f t="shared" si="149"/>
        <v>25443.149632482135</v>
      </c>
      <c r="CL58" s="72">
        <f t="shared" si="149"/>
        <v>25485.554881869604</v>
      </c>
      <c r="CM58" s="72">
        <f t="shared" ref="CM58:EX58" si="150">SUM(CM49,CM56)</f>
        <v>25528.030806672727</v>
      </c>
      <c r="CN58" s="72">
        <f t="shared" si="150"/>
        <v>25570.577524683846</v>
      </c>
      <c r="CO58" s="72">
        <f t="shared" si="150"/>
        <v>25613.195153891655</v>
      </c>
      <c r="CP58" s="72">
        <f t="shared" si="150"/>
        <v>25655.883812481479</v>
      </c>
      <c r="CQ58" s="72">
        <f t="shared" si="150"/>
        <v>25698.643618835613</v>
      </c>
      <c r="CR58" s="72">
        <f t="shared" si="150"/>
        <v>25741.474691533673</v>
      </c>
      <c r="CS58" s="72">
        <f t="shared" si="150"/>
        <v>25784.377149352898</v>
      </c>
      <c r="CT58" s="72">
        <f t="shared" si="150"/>
        <v>25827.351111268486</v>
      </c>
      <c r="CU58" s="72">
        <f t="shared" si="150"/>
        <v>25870.396696453932</v>
      </c>
      <c r="CV58" s="72">
        <f t="shared" si="150"/>
        <v>25913.514024281358</v>
      </c>
      <c r="CW58" s="72">
        <f t="shared" si="150"/>
        <v>25956.703214321824</v>
      </c>
      <c r="CX58" s="72">
        <f t="shared" si="150"/>
        <v>25999.964386345695</v>
      </c>
      <c r="CY58" s="72">
        <f t="shared" si="150"/>
        <v>26043.29766032294</v>
      </c>
      <c r="CZ58" s="72">
        <f t="shared" si="150"/>
        <v>26086.703156423479</v>
      </c>
      <c r="DA58" s="72">
        <f t="shared" si="150"/>
        <v>26130.180995017516</v>
      </c>
      <c r="DB58" s="72">
        <f t="shared" si="150"/>
        <v>26173.731296675876</v>
      </c>
      <c r="DC58" s="72">
        <f t="shared" si="150"/>
        <v>26217.35418217034</v>
      </c>
      <c r="DD58" s="72">
        <f t="shared" si="150"/>
        <v>26261.049772473954</v>
      </c>
      <c r="DE58" s="72">
        <f t="shared" si="150"/>
        <v>26304.818188761412</v>
      </c>
      <c r="DF58" s="72">
        <f t="shared" si="150"/>
        <v>26348.65955240935</v>
      </c>
      <c r="DG58" s="72">
        <f t="shared" si="150"/>
        <v>26392.573984996699</v>
      </c>
      <c r="DH58" s="72">
        <f t="shared" si="150"/>
        <v>26436.56160830503</v>
      </c>
      <c r="DI58" s="72">
        <f t="shared" si="150"/>
        <v>26480.62254431887</v>
      </c>
      <c r="DJ58" s="72">
        <f t="shared" si="150"/>
        <v>26524.756915226069</v>
      </c>
      <c r="DK58" s="72">
        <f t="shared" si="150"/>
        <v>26568.964843418114</v>
      </c>
      <c r="DL58" s="72">
        <f t="shared" si="150"/>
        <v>26613.246451490475</v>
      </c>
      <c r="DM58" s="72">
        <f t="shared" si="150"/>
        <v>26657.601862242962</v>
      </c>
      <c r="DN58" s="72">
        <f t="shared" si="150"/>
        <v>26702.031198680037</v>
      </c>
      <c r="DO58" s="72">
        <f t="shared" si="150"/>
        <v>26746.534584011169</v>
      </c>
      <c r="DP58" s="72">
        <f t="shared" si="150"/>
        <v>26791.112141651189</v>
      </c>
      <c r="DQ58" s="72">
        <f t="shared" si="150"/>
        <v>26835.763995220608</v>
      </c>
      <c r="DR58" s="72">
        <f t="shared" si="150"/>
        <v>26880.490268545975</v>
      </c>
      <c r="DS58" s="72">
        <f t="shared" si="150"/>
        <v>26925.291085660218</v>
      </c>
      <c r="DT58" s="72">
        <f t="shared" si="150"/>
        <v>26970.166570802994</v>
      </c>
      <c r="DU58" s="72">
        <f t="shared" si="150"/>
        <v>27015.116848420999</v>
      </c>
      <c r="DV58" s="72">
        <f t="shared" si="150"/>
        <v>27060.142043168373</v>
      </c>
      <c r="DW58" s="72">
        <f t="shared" si="150"/>
        <v>27105.24227990699</v>
      </c>
      <c r="DX58" s="72">
        <f t="shared" si="150"/>
        <v>27150.41768370683</v>
      </c>
      <c r="DY58" s="72">
        <f t="shared" si="150"/>
        <v>27195.668379846349</v>
      </c>
      <c r="DZ58" s="72">
        <f t="shared" si="150"/>
        <v>27240.994493812759</v>
      </c>
      <c r="EA58" s="72">
        <f t="shared" si="150"/>
        <v>27286.396151302448</v>
      </c>
      <c r="EB58" s="72">
        <f t="shared" si="150"/>
        <v>27331.873478221285</v>
      </c>
      <c r="EC58" s="72">
        <f t="shared" si="150"/>
        <v>27377.426600684987</v>
      </c>
      <c r="ED58" s="72">
        <f t="shared" si="150"/>
        <v>27423.055645019464</v>
      </c>
      <c r="EE58" s="72">
        <f t="shared" si="150"/>
        <v>27468.760737761164</v>
      </c>
      <c r="EF58" s="72">
        <f t="shared" si="150"/>
        <v>27514.542005657429</v>
      </c>
      <c r="EG58" s="72">
        <f t="shared" si="150"/>
        <v>27560.399575666863</v>
      </c>
      <c r="EH58" s="72">
        <f t="shared" si="150"/>
        <v>27606.333574959644</v>
      </c>
      <c r="EI58" s="72">
        <f t="shared" si="150"/>
        <v>27652.344130917914</v>
      </c>
      <c r="EJ58" s="72">
        <f t="shared" si="150"/>
        <v>27698.431371136106</v>
      </c>
      <c r="EK58" s="72">
        <f t="shared" si="150"/>
        <v>27744.595423421335</v>
      </c>
      <c r="EL58" s="72">
        <f t="shared" si="150"/>
        <v>27790.836415793703</v>
      </c>
      <c r="EM58" s="72">
        <f t="shared" si="150"/>
        <v>27837.154476486692</v>
      </c>
      <c r="EN58" s="72">
        <f t="shared" si="150"/>
        <v>27883.549733947504</v>
      </c>
      <c r="EO58" s="72">
        <f t="shared" si="150"/>
        <v>27930.022316837421</v>
      </c>
      <c r="EP58" s="72">
        <f t="shared" si="150"/>
        <v>27976.572354032156</v>
      </c>
      <c r="EQ58" s="72">
        <f t="shared" si="150"/>
        <v>28023.199974622206</v>
      </c>
      <c r="ER58" s="72">
        <f t="shared" si="150"/>
        <v>28069.905307913246</v>
      </c>
      <c r="ES58" s="72">
        <f t="shared" si="150"/>
        <v>28116.688483426438</v>
      </c>
      <c r="ET58" s="72">
        <f t="shared" si="150"/>
        <v>28163.549630898815</v>
      </c>
      <c r="EU58" s="72">
        <f t="shared" si="150"/>
        <v>28210.48888028365</v>
      </c>
      <c r="EV58" s="72">
        <f t="shared" si="150"/>
        <v>28257.506361750791</v>
      </c>
      <c r="EW58" s="72">
        <f t="shared" si="150"/>
        <v>28304.602205687039</v>
      </c>
      <c r="EX58" s="72">
        <f t="shared" si="150"/>
        <v>28351.776542696523</v>
      </c>
      <c r="EY58" s="72">
        <f t="shared" ref="EY58:FB58" si="151">SUM(EY49,EY56)</f>
        <v>28399.029503601014</v>
      </c>
      <c r="EZ58" s="72">
        <f t="shared" si="151"/>
        <v>28446.361219440354</v>
      </c>
      <c r="FA58" s="72">
        <f t="shared" si="151"/>
        <v>28493.771821472757</v>
      </c>
      <c r="FB58" s="72">
        <f t="shared" si="151"/>
        <v>28541.261441175207</v>
      </c>
    </row>
    <row r="59" spans="1:158" s="32" customFormat="1">
      <c r="A59" s="9"/>
      <c r="B59" s="11" t="s">
        <v>166</v>
      </c>
      <c r="C59" s="205">
        <v>32</v>
      </c>
      <c r="D59" s="183">
        <v>1230.3900000000001</v>
      </c>
      <c r="E59" s="217">
        <v>1100</v>
      </c>
      <c r="F59" s="91">
        <f>IFERROR(+D59/E59,0)</f>
        <v>1.1185363636363637</v>
      </c>
      <c r="G59" s="183">
        <f>D59*C59*12</f>
        <v>472469.76000000001</v>
      </c>
      <c r="H59" s="11"/>
      <c r="I59" s="32" t="s">
        <v>100</v>
      </c>
      <c r="K59" s="33"/>
      <c r="L59" s="141"/>
      <c r="M59" s="33"/>
      <c r="Y59" s="33"/>
      <c r="Z59" s="92">
        <f t="shared" ref="Z59:CK59" si="152">IFERROR(Z58/SUM(Z24,Z30),0)</f>
        <v>0</v>
      </c>
      <c r="AA59" s="93">
        <f t="shared" si="152"/>
        <v>0.31050417597802149</v>
      </c>
      <c r="AB59" s="93">
        <f t="shared" si="152"/>
        <v>0.31050417597802143</v>
      </c>
      <c r="AC59" s="93">
        <f t="shared" si="152"/>
        <v>0.31050417597802149</v>
      </c>
      <c r="AD59" s="93">
        <f t="shared" si="152"/>
        <v>0.31050417597802149</v>
      </c>
      <c r="AE59" s="93">
        <f t="shared" si="152"/>
        <v>0.31050417597802155</v>
      </c>
      <c r="AF59" s="93">
        <f t="shared" si="152"/>
        <v>0.31050417597802149</v>
      </c>
      <c r="AG59" s="93">
        <f t="shared" si="152"/>
        <v>0.31050417597802149</v>
      </c>
      <c r="AH59" s="93">
        <f t="shared" si="152"/>
        <v>0.3109041759780215</v>
      </c>
      <c r="AI59" s="93">
        <f t="shared" si="152"/>
        <v>0.3109041759780215</v>
      </c>
      <c r="AJ59" s="93">
        <f t="shared" si="152"/>
        <v>0.3109041759780215</v>
      </c>
      <c r="AK59" s="93">
        <f t="shared" si="152"/>
        <v>0.3109041759780215</v>
      </c>
      <c r="AL59" s="93">
        <f t="shared" si="152"/>
        <v>0.31090417597802145</v>
      </c>
      <c r="AM59" s="93">
        <f t="shared" si="152"/>
        <v>0.3109041759780215</v>
      </c>
      <c r="AN59" s="93">
        <f t="shared" si="152"/>
        <v>0.31090417597802156</v>
      </c>
      <c r="AO59" s="93">
        <f t="shared" si="152"/>
        <v>0.31090417597802145</v>
      </c>
      <c r="AP59" s="93">
        <f t="shared" si="152"/>
        <v>0.3109041759780215</v>
      </c>
      <c r="AQ59" s="93">
        <f t="shared" si="152"/>
        <v>0.31090417597802139</v>
      </c>
      <c r="AR59" s="93">
        <f t="shared" si="152"/>
        <v>0.31090417597802139</v>
      </c>
      <c r="AS59" s="93">
        <f t="shared" si="152"/>
        <v>0.31090417597802139</v>
      </c>
      <c r="AT59" s="93">
        <f t="shared" si="152"/>
        <v>0.31110417597802131</v>
      </c>
      <c r="AU59" s="93">
        <f t="shared" si="152"/>
        <v>0.31110417597802126</v>
      </c>
      <c r="AV59" s="93">
        <f t="shared" si="152"/>
        <v>0.31110417597802126</v>
      </c>
      <c r="AW59" s="93">
        <f t="shared" si="152"/>
        <v>0.31110417597802126</v>
      </c>
      <c r="AX59" s="93">
        <f t="shared" si="152"/>
        <v>0.3111041759780212</v>
      </c>
      <c r="AY59" s="93">
        <f t="shared" si="152"/>
        <v>0.31110417597802126</v>
      </c>
      <c r="AZ59" s="93">
        <f t="shared" si="152"/>
        <v>0.31110417597802126</v>
      </c>
      <c r="BA59" s="93">
        <f t="shared" si="152"/>
        <v>0.31110417597802126</v>
      </c>
      <c r="BB59" s="93">
        <f t="shared" si="152"/>
        <v>0.31110417597802126</v>
      </c>
      <c r="BC59" s="93">
        <f t="shared" si="152"/>
        <v>0.31110417597802137</v>
      </c>
      <c r="BD59" s="93">
        <f t="shared" si="152"/>
        <v>0.3111041759780212</v>
      </c>
      <c r="BE59" s="93">
        <f t="shared" si="152"/>
        <v>0.31110417597802126</v>
      </c>
      <c r="BF59" s="93">
        <f t="shared" si="152"/>
        <v>0.31130417597802124</v>
      </c>
      <c r="BG59" s="93">
        <f t="shared" si="152"/>
        <v>0.31130417597802118</v>
      </c>
      <c r="BH59" s="93">
        <f t="shared" si="152"/>
        <v>0.31130417597802118</v>
      </c>
      <c r="BI59" s="93">
        <f t="shared" si="152"/>
        <v>0.31130417597802118</v>
      </c>
      <c r="BJ59" s="93">
        <f t="shared" si="152"/>
        <v>0.31130417597802124</v>
      </c>
      <c r="BK59" s="93">
        <f t="shared" si="152"/>
        <v>0.31130417597802118</v>
      </c>
      <c r="BL59" s="93">
        <f t="shared" si="152"/>
        <v>0.31130417597802124</v>
      </c>
      <c r="BM59" s="93">
        <f t="shared" si="152"/>
        <v>0.31130417597802112</v>
      </c>
      <c r="BN59" s="93">
        <f t="shared" si="152"/>
        <v>0.31130417597802118</v>
      </c>
      <c r="BO59" s="93">
        <f t="shared" si="152"/>
        <v>0.31130417597802112</v>
      </c>
      <c r="BP59" s="93">
        <f t="shared" si="152"/>
        <v>0.31130417597802112</v>
      </c>
      <c r="BQ59" s="93">
        <f t="shared" si="152"/>
        <v>0.31130417597802118</v>
      </c>
      <c r="BR59" s="93">
        <f t="shared" si="152"/>
        <v>0.31130417597802112</v>
      </c>
      <c r="BS59" s="93">
        <f t="shared" si="152"/>
        <v>0.31130417597802112</v>
      </c>
      <c r="BT59" s="93">
        <f t="shared" si="152"/>
        <v>0.31130417597802118</v>
      </c>
      <c r="BU59" s="93">
        <f t="shared" si="152"/>
        <v>0.31130417597802118</v>
      </c>
      <c r="BV59" s="93">
        <f t="shared" si="152"/>
        <v>0.31130417597802118</v>
      </c>
      <c r="BW59" s="93">
        <f t="shared" si="152"/>
        <v>0.31130417597802118</v>
      </c>
      <c r="BX59" s="93">
        <f t="shared" si="152"/>
        <v>0.31130417597802118</v>
      </c>
      <c r="BY59" s="93">
        <f t="shared" si="152"/>
        <v>0.31130417597802118</v>
      </c>
      <c r="BZ59" s="93">
        <f t="shared" si="152"/>
        <v>0.31130417597802112</v>
      </c>
      <c r="CA59" s="93">
        <f t="shared" si="152"/>
        <v>0.31130417597802112</v>
      </c>
      <c r="CB59" s="93">
        <f t="shared" si="152"/>
        <v>0.31130417597802112</v>
      </c>
      <c r="CC59" s="93">
        <f t="shared" si="152"/>
        <v>0.31130417597802107</v>
      </c>
      <c r="CD59" s="93">
        <f t="shared" si="152"/>
        <v>0.31130417597802112</v>
      </c>
      <c r="CE59" s="93">
        <f t="shared" si="152"/>
        <v>0.31130417597802112</v>
      </c>
      <c r="CF59" s="93">
        <f t="shared" si="152"/>
        <v>0.31130417597802101</v>
      </c>
      <c r="CG59" s="93">
        <f t="shared" si="152"/>
        <v>0.31130417597802118</v>
      </c>
      <c r="CH59" s="93">
        <f t="shared" si="152"/>
        <v>0.31130417597802112</v>
      </c>
      <c r="CI59" s="93">
        <f t="shared" si="152"/>
        <v>0.31130417597802107</v>
      </c>
      <c r="CJ59" s="93">
        <f t="shared" si="152"/>
        <v>0.31130417597802107</v>
      </c>
      <c r="CK59" s="93">
        <f t="shared" si="152"/>
        <v>0.31130417597802118</v>
      </c>
      <c r="CL59" s="93">
        <f t="shared" ref="CL59:EW59" si="153">IFERROR(CL58/SUM(CL24,CL30),0)</f>
        <v>0.31130417597802101</v>
      </c>
      <c r="CM59" s="93">
        <f t="shared" si="153"/>
        <v>0.31130417597802118</v>
      </c>
      <c r="CN59" s="93">
        <f t="shared" si="153"/>
        <v>0.31130417597802112</v>
      </c>
      <c r="CO59" s="93">
        <f t="shared" si="153"/>
        <v>0.31130417597802112</v>
      </c>
      <c r="CP59" s="93">
        <f t="shared" si="153"/>
        <v>0.31130417597802118</v>
      </c>
      <c r="CQ59" s="93">
        <f t="shared" si="153"/>
        <v>0.31130417597802118</v>
      </c>
      <c r="CR59" s="93">
        <f t="shared" si="153"/>
        <v>0.31130417597802112</v>
      </c>
      <c r="CS59" s="93">
        <f t="shared" si="153"/>
        <v>0.31130417597802118</v>
      </c>
      <c r="CT59" s="93">
        <f t="shared" si="153"/>
        <v>0.31130417597802118</v>
      </c>
      <c r="CU59" s="93">
        <f t="shared" si="153"/>
        <v>0.31130417597802118</v>
      </c>
      <c r="CV59" s="93">
        <f t="shared" si="153"/>
        <v>0.31130417597802118</v>
      </c>
      <c r="CW59" s="93">
        <f t="shared" si="153"/>
        <v>0.31130417597802112</v>
      </c>
      <c r="CX59" s="93">
        <f t="shared" si="153"/>
        <v>0.31130417597802118</v>
      </c>
      <c r="CY59" s="93">
        <f t="shared" si="153"/>
        <v>0.31130417597802112</v>
      </c>
      <c r="CZ59" s="93">
        <f t="shared" si="153"/>
        <v>0.31130417597802118</v>
      </c>
      <c r="DA59" s="93">
        <f t="shared" si="153"/>
        <v>0.31130417597802112</v>
      </c>
      <c r="DB59" s="93">
        <f t="shared" si="153"/>
        <v>0.31130417597802112</v>
      </c>
      <c r="DC59" s="93">
        <f t="shared" si="153"/>
        <v>0.31130417597802112</v>
      </c>
      <c r="DD59" s="93">
        <f t="shared" si="153"/>
        <v>0.31130417597802112</v>
      </c>
      <c r="DE59" s="93">
        <f t="shared" si="153"/>
        <v>0.31130417597802112</v>
      </c>
      <c r="DF59" s="93">
        <f t="shared" si="153"/>
        <v>0.31130417597802112</v>
      </c>
      <c r="DG59" s="93">
        <f t="shared" si="153"/>
        <v>0.31130417597802112</v>
      </c>
      <c r="DH59" s="93">
        <f t="shared" si="153"/>
        <v>0.31130417597802107</v>
      </c>
      <c r="DI59" s="93">
        <f t="shared" si="153"/>
        <v>0.31130417597802112</v>
      </c>
      <c r="DJ59" s="93">
        <f t="shared" si="153"/>
        <v>0.31130417597802107</v>
      </c>
      <c r="DK59" s="93">
        <f t="shared" si="153"/>
        <v>0.31130417597802112</v>
      </c>
      <c r="DL59" s="93">
        <f t="shared" si="153"/>
        <v>0.31130417597802112</v>
      </c>
      <c r="DM59" s="93">
        <f t="shared" si="153"/>
        <v>0.31130417597802112</v>
      </c>
      <c r="DN59" s="93">
        <f t="shared" si="153"/>
        <v>0.31130417597802112</v>
      </c>
      <c r="DO59" s="93">
        <f t="shared" si="153"/>
        <v>0.31130417597802107</v>
      </c>
      <c r="DP59" s="93">
        <f t="shared" si="153"/>
        <v>0.31130417597802107</v>
      </c>
      <c r="DQ59" s="93">
        <f t="shared" si="153"/>
        <v>0.31130417597802107</v>
      </c>
      <c r="DR59" s="93">
        <f t="shared" si="153"/>
        <v>0.31130417597802096</v>
      </c>
      <c r="DS59" s="93">
        <f t="shared" si="153"/>
        <v>0.31130417597802096</v>
      </c>
      <c r="DT59" s="93">
        <f t="shared" si="153"/>
        <v>0.31130417597802112</v>
      </c>
      <c r="DU59" s="93">
        <f t="shared" si="153"/>
        <v>0.31130417597802107</v>
      </c>
      <c r="DV59" s="93">
        <f t="shared" si="153"/>
        <v>0.31130417597802112</v>
      </c>
      <c r="DW59" s="93">
        <f t="shared" si="153"/>
        <v>0.31130417597802118</v>
      </c>
      <c r="DX59" s="93">
        <f t="shared" si="153"/>
        <v>0.31130417597802107</v>
      </c>
      <c r="DY59" s="93">
        <f t="shared" si="153"/>
        <v>0.31130417597802112</v>
      </c>
      <c r="DZ59" s="93">
        <f t="shared" si="153"/>
        <v>0.31130417597802107</v>
      </c>
      <c r="EA59" s="93">
        <f t="shared" si="153"/>
        <v>0.31130417597802107</v>
      </c>
      <c r="EB59" s="93">
        <f t="shared" si="153"/>
        <v>0.31130417597802107</v>
      </c>
      <c r="EC59" s="93">
        <f t="shared" si="153"/>
        <v>0.31130417597802107</v>
      </c>
      <c r="ED59" s="93">
        <f t="shared" si="153"/>
        <v>0.31130417597802107</v>
      </c>
      <c r="EE59" s="93">
        <f t="shared" si="153"/>
        <v>0.31130417597802107</v>
      </c>
      <c r="EF59" s="93">
        <f t="shared" si="153"/>
        <v>0.31130417597802101</v>
      </c>
      <c r="EG59" s="93">
        <f t="shared" si="153"/>
        <v>0.31130417597802107</v>
      </c>
      <c r="EH59" s="93">
        <f t="shared" si="153"/>
        <v>0.31130417597802107</v>
      </c>
      <c r="EI59" s="93">
        <f t="shared" si="153"/>
        <v>0.31130417597802107</v>
      </c>
      <c r="EJ59" s="93">
        <f t="shared" si="153"/>
        <v>0.31130417597802101</v>
      </c>
      <c r="EK59" s="93">
        <f t="shared" si="153"/>
        <v>0.31130417597802101</v>
      </c>
      <c r="EL59" s="93">
        <f t="shared" si="153"/>
        <v>0.31130417597802096</v>
      </c>
      <c r="EM59" s="93">
        <f t="shared" si="153"/>
        <v>0.31130417597802096</v>
      </c>
      <c r="EN59" s="93">
        <f t="shared" si="153"/>
        <v>0.3113041759780209</v>
      </c>
      <c r="EO59" s="93">
        <f t="shared" si="153"/>
        <v>0.31130417597802101</v>
      </c>
      <c r="EP59" s="93">
        <f t="shared" si="153"/>
        <v>0.31130417597802101</v>
      </c>
      <c r="EQ59" s="93">
        <f t="shared" si="153"/>
        <v>0.31130417597802096</v>
      </c>
      <c r="ER59" s="93">
        <f t="shared" si="153"/>
        <v>0.31130417597802101</v>
      </c>
      <c r="ES59" s="93">
        <f t="shared" si="153"/>
        <v>0.31130417597802096</v>
      </c>
      <c r="ET59" s="93">
        <f t="shared" si="153"/>
        <v>0.31130417597802101</v>
      </c>
      <c r="EU59" s="93">
        <f t="shared" si="153"/>
        <v>0.31130417597802107</v>
      </c>
      <c r="EV59" s="93">
        <f t="shared" si="153"/>
        <v>0.31130417597802107</v>
      </c>
      <c r="EW59" s="93">
        <f t="shared" si="153"/>
        <v>0.31130417597802096</v>
      </c>
      <c r="EX59" s="93">
        <f t="shared" ref="EX59:FB59" si="154">IFERROR(EX58/SUM(EX24,EX30),0)</f>
        <v>0.31130417597802107</v>
      </c>
      <c r="EY59" s="93">
        <f t="shared" si="154"/>
        <v>0.31130417597802101</v>
      </c>
      <c r="EZ59" s="93">
        <f t="shared" si="154"/>
        <v>0.31130417597802101</v>
      </c>
      <c r="FA59" s="93">
        <f t="shared" si="154"/>
        <v>0.31130417597802107</v>
      </c>
      <c r="FB59" s="93">
        <f t="shared" si="154"/>
        <v>0.31130417597802101</v>
      </c>
    </row>
    <row r="60" spans="1:158">
      <c r="B60" s="11" t="s">
        <v>167</v>
      </c>
      <c r="C60" s="205">
        <v>24</v>
      </c>
      <c r="D60" s="183">
        <v>1241.67</v>
      </c>
      <c r="E60" s="217">
        <v>1250</v>
      </c>
      <c r="F60" s="91">
        <f>IFERROR(+D60/E60,0)</f>
        <v>0.99333600000000011</v>
      </c>
      <c r="G60" s="183">
        <f>D60*C60*12</f>
        <v>357600.96</v>
      </c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61"/>
      <c r="AZ60" s="61"/>
      <c r="BA60" s="61"/>
      <c r="BB60" s="61"/>
      <c r="BC60" s="61"/>
      <c r="BD60" s="61"/>
      <c r="BE60" s="61"/>
      <c r="BF60" s="61"/>
      <c r="BG60" s="61"/>
      <c r="BH60" s="61"/>
      <c r="BI60" s="61"/>
      <c r="BJ60" s="61"/>
      <c r="BK60" s="61"/>
      <c r="BL60" s="61"/>
      <c r="BM60" s="61"/>
      <c r="BN60" s="61"/>
      <c r="BO60" s="61"/>
      <c r="BP60" s="61"/>
      <c r="BQ60" s="61"/>
      <c r="BR60" s="61"/>
      <c r="BS60" s="61"/>
      <c r="BT60" s="61"/>
      <c r="BU60" s="61"/>
      <c r="BV60" s="61"/>
      <c r="BW60" s="61"/>
      <c r="BX60" s="61"/>
      <c r="BY60" s="61"/>
      <c r="BZ60" s="61"/>
      <c r="CA60" s="61"/>
      <c r="CB60" s="61"/>
      <c r="CC60" s="61"/>
      <c r="CD60" s="61"/>
      <c r="CE60" s="61"/>
      <c r="CF60" s="61"/>
      <c r="CG60" s="61"/>
      <c r="CH60" s="61"/>
      <c r="CI60" s="61"/>
      <c r="CJ60" s="61"/>
      <c r="CK60" s="61"/>
      <c r="CL60" s="61"/>
      <c r="CM60" s="61"/>
      <c r="CN60" s="61"/>
      <c r="CO60" s="61"/>
      <c r="CP60" s="61"/>
      <c r="CQ60" s="61"/>
      <c r="CR60" s="61"/>
      <c r="CS60" s="61"/>
      <c r="CT60" s="61"/>
      <c r="CU60" s="61"/>
      <c r="CV60" s="61"/>
      <c r="CW60" s="61"/>
      <c r="CX60" s="61"/>
      <c r="CY60" s="61"/>
      <c r="CZ60" s="61"/>
      <c r="DA60" s="61"/>
      <c r="DB60" s="61"/>
      <c r="DC60" s="61"/>
      <c r="DD60" s="61"/>
      <c r="DE60" s="61"/>
      <c r="DF60" s="61"/>
      <c r="DG60" s="61"/>
      <c r="DH60" s="61"/>
      <c r="DI60" s="61"/>
      <c r="DJ60" s="61"/>
      <c r="DK60" s="61"/>
      <c r="DL60" s="61"/>
      <c r="DM60" s="61"/>
      <c r="DN60" s="61"/>
      <c r="DO60" s="61"/>
      <c r="DP60" s="61"/>
      <c r="DQ60" s="61"/>
      <c r="DR60" s="61"/>
      <c r="DS60" s="61"/>
      <c r="DT60" s="61"/>
      <c r="DU60" s="61"/>
      <c r="DV60" s="61"/>
      <c r="DW60" s="61"/>
      <c r="DX60" s="61"/>
      <c r="DY60" s="61"/>
      <c r="DZ60" s="61"/>
      <c r="EA60" s="61"/>
      <c r="EB60" s="61"/>
      <c r="EC60" s="61"/>
      <c r="ED60" s="61"/>
      <c r="EE60" s="61"/>
      <c r="EF60" s="61"/>
      <c r="EG60" s="61"/>
      <c r="EH60" s="61"/>
      <c r="EI60" s="61"/>
      <c r="EJ60" s="61"/>
      <c r="EK60" s="61"/>
      <c r="EL60" s="61"/>
      <c r="EM60" s="61"/>
      <c r="EN60" s="61"/>
      <c r="EO60" s="61"/>
      <c r="EP60" s="61"/>
      <c r="EQ60" s="61"/>
      <c r="ER60" s="61"/>
      <c r="ES60" s="61"/>
      <c r="ET60" s="61"/>
      <c r="EU60" s="61"/>
      <c r="EV60" s="61"/>
      <c r="EW60" s="61"/>
      <c r="EX60" s="61"/>
      <c r="EY60" s="61"/>
      <c r="EZ60" s="61"/>
      <c r="FA60" s="61"/>
      <c r="FB60" s="61"/>
    </row>
    <row r="61" spans="1:158" s="32" customFormat="1">
      <c r="A61" s="9"/>
      <c r="B61" s="11"/>
      <c r="C61" s="205">
        <v>0</v>
      </c>
      <c r="D61" s="183">
        <v>0</v>
      </c>
      <c r="E61" s="217">
        <v>0</v>
      </c>
      <c r="F61" s="91">
        <f>IFERROR(+D61/E61,0)</f>
        <v>0</v>
      </c>
      <c r="G61" s="183">
        <f>D61*C61*12</f>
        <v>0</v>
      </c>
      <c r="H61" s="11"/>
      <c r="I61" s="72" t="s">
        <v>101</v>
      </c>
      <c r="J61" s="72"/>
      <c r="K61" s="58"/>
      <c r="L61" s="72">
        <f>SUMIF($Z$4:$FB$4,"&lt;="&amp;$G$18,$Z61:$FB61)</f>
        <v>6005771.6148466021</v>
      </c>
      <c r="M61" s="58"/>
      <c r="N61" s="72">
        <f>SUMIF($Z$3:$FB$3,N$7,$Z61:$FB61)</f>
        <v>0</v>
      </c>
      <c r="O61" s="72">
        <f t="shared" ref="O61:X61" si="155">SUMIF($Z$3:$FB$3,O$7,$Z61:$FB61)</f>
        <v>524657.02477842476</v>
      </c>
      <c r="P61" s="72">
        <f t="shared" si="155"/>
        <v>549356.73935401265</v>
      </c>
      <c r="Q61" s="72">
        <f t="shared" si="155"/>
        <v>569550.48181176302</v>
      </c>
      <c r="R61" s="72">
        <f t="shared" si="155"/>
        <v>586442.57097949088</v>
      </c>
      <c r="S61" s="72">
        <f t="shared" si="155"/>
        <v>598279.53641891514</v>
      </c>
      <c r="T61" s="72">
        <f t="shared" si="155"/>
        <v>610355.4233789586</v>
      </c>
      <c r="U61" s="72">
        <f t="shared" si="155"/>
        <v>622675.05433657288</v>
      </c>
      <c r="V61" s="72">
        <f t="shared" si="155"/>
        <v>635243.34910730075</v>
      </c>
      <c r="W61" s="72">
        <f t="shared" si="155"/>
        <v>648065.32680999103</v>
      </c>
      <c r="X61" s="72">
        <f t="shared" si="155"/>
        <v>661146.10787117272</v>
      </c>
      <c r="Y61" s="58"/>
      <c r="Z61" s="72">
        <f t="shared" ref="Z61:CK61" si="156">Z38-Z58</f>
        <v>0</v>
      </c>
      <c r="AA61" s="72">
        <f t="shared" si="156"/>
        <v>42716.582078057232</v>
      </c>
      <c r="AB61" s="72">
        <f t="shared" si="156"/>
        <v>42787.776381520656</v>
      </c>
      <c r="AC61" s="72">
        <f t="shared" si="156"/>
        <v>42859.089342156527</v>
      </c>
      <c r="AD61" s="72">
        <f t="shared" si="156"/>
        <v>42930.521157726791</v>
      </c>
      <c r="AE61" s="72">
        <f t="shared" si="156"/>
        <v>43002.072026323003</v>
      </c>
      <c r="AF61" s="72">
        <f t="shared" si="156"/>
        <v>43073.742146366887</v>
      </c>
      <c r="AG61" s="72">
        <f t="shared" si="156"/>
        <v>43145.531716610829</v>
      </c>
      <c r="AH61" s="72">
        <f t="shared" si="156"/>
        <v>44679.16301804981</v>
      </c>
      <c r="AI61" s="72">
        <f t="shared" si="156"/>
        <v>44753.628289746557</v>
      </c>
      <c r="AJ61" s="72">
        <f t="shared" si="156"/>
        <v>44828.217670229489</v>
      </c>
      <c r="AK61" s="72">
        <f t="shared" si="156"/>
        <v>44902.931366346529</v>
      </c>
      <c r="AL61" s="72">
        <f t="shared" si="156"/>
        <v>44977.769585290444</v>
      </c>
      <c r="AM61" s="72">
        <f t="shared" si="156"/>
        <v>45052.732534599258</v>
      </c>
      <c r="AN61" s="72">
        <f t="shared" si="156"/>
        <v>45127.820422156925</v>
      </c>
      <c r="AO61" s="72">
        <f t="shared" si="156"/>
        <v>45203.033456193851</v>
      </c>
      <c r="AP61" s="72">
        <f t="shared" si="156"/>
        <v>45278.371845287518</v>
      </c>
      <c r="AQ61" s="72">
        <f t="shared" si="156"/>
        <v>45353.835798363005</v>
      </c>
      <c r="AR61" s="72">
        <f t="shared" si="156"/>
        <v>45429.425524693608</v>
      </c>
      <c r="AS61" s="72">
        <f t="shared" si="156"/>
        <v>45505.141233901442</v>
      </c>
      <c r="AT61" s="72">
        <f t="shared" si="156"/>
        <v>46326.596136118009</v>
      </c>
      <c r="AU61" s="72">
        <f t="shared" si="156"/>
        <v>46403.807129678222</v>
      </c>
      <c r="AV61" s="72">
        <f t="shared" si="156"/>
        <v>46481.146808227684</v>
      </c>
      <c r="AW61" s="72">
        <f t="shared" si="156"/>
        <v>46558.615386241399</v>
      </c>
      <c r="AX61" s="72">
        <f t="shared" si="156"/>
        <v>46636.213078551809</v>
      </c>
      <c r="AY61" s="72">
        <f t="shared" si="156"/>
        <v>46713.940100349384</v>
      </c>
      <c r="AZ61" s="72">
        <f t="shared" si="156"/>
        <v>46791.796667183313</v>
      </c>
      <c r="BA61" s="72">
        <f t="shared" si="156"/>
        <v>46869.782994961963</v>
      </c>
      <c r="BB61" s="72">
        <f t="shared" si="156"/>
        <v>46947.899299953555</v>
      </c>
      <c r="BC61" s="72">
        <f t="shared" si="156"/>
        <v>47026.145798786813</v>
      </c>
      <c r="BD61" s="72">
        <f t="shared" si="156"/>
        <v>47104.522708451485</v>
      </c>
      <c r="BE61" s="72">
        <f t="shared" si="156"/>
        <v>47183.030246298891</v>
      </c>
      <c r="BF61" s="72">
        <f t="shared" si="156"/>
        <v>48022.331348198772</v>
      </c>
      <c r="BG61" s="72">
        <f t="shared" si="156"/>
        <v>48102.368567112433</v>
      </c>
      <c r="BH61" s="72">
        <f t="shared" si="156"/>
        <v>48182.539181390966</v>
      </c>
      <c r="BI61" s="72">
        <f t="shared" si="156"/>
        <v>48262.843413359944</v>
      </c>
      <c r="BJ61" s="72">
        <f t="shared" si="156"/>
        <v>48343.281485715539</v>
      </c>
      <c r="BK61" s="72">
        <f t="shared" si="156"/>
        <v>48423.853621525079</v>
      </c>
      <c r="BL61" s="72">
        <f t="shared" si="156"/>
        <v>48504.560044227605</v>
      </c>
      <c r="BM61" s="72">
        <f t="shared" si="156"/>
        <v>48585.400977634665</v>
      </c>
      <c r="BN61" s="72">
        <f t="shared" si="156"/>
        <v>48666.376645930723</v>
      </c>
      <c r="BO61" s="72">
        <f t="shared" si="156"/>
        <v>48747.487273673956</v>
      </c>
      <c r="BP61" s="72">
        <f t="shared" si="156"/>
        <v>48828.733085796746</v>
      </c>
      <c r="BQ61" s="72">
        <f t="shared" si="156"/>
        <v>48910.114307606404</v>
      </c>
      <c r="BR61" s="72">
        <f t="shared" si="156"/>
        <v>48991.631164785751</v>
      </c>
      <c r="BS61" s="72">
        <f t="shared" si="156"/>
        <v>49073.283883393742</v>
      </c>
      <c r="BT61" s="72">
        <f t="shared" si="156"/>
        <v>49155.072689866058</v>
      </c>
      <c r="BU61" s="72">
        <f t="shared" si="156"/>
        <v>49236.997811015826</v>
      </c>
      <c r="BV61" s="72">
        <f t="shared" si="156"/>
        <v>49319.059474034184</v>
      </c>
      <c r="BW61" s="72">
        <f t="shared" si="156"/>
        <v>49401.257906490922</v>
      </c>
      <c r="BX61" s="72">
        <f t="shared" si="156"/>
        <v>49483.593336335078</v>
      </c>
      <c r="BY61" s="72">
        <f t="shared" si="156"/>
        <v>49566.065991895623</v>
      </c>
      <c r="BZ61" s="72">
        <f t="shared" si="156"/>
        <v>49648.676101882127</v>
      </c>
      <c r="CA61" s="72">
        <f t="shared" si="156"/>
        <v>49731.423895385269</v>
      </c>
      <c r="CB61" s="72">
        <f t="shared" si="156"/>
        <v>49814.309601877576</v>
      </c>
      <c r="CC61" s="72">
        <f t="shared" si="156"/>
        <v>49897.333451214043</v>
      </c>
      <c r="CD61" s="72">
        <f t="shared" si="156"/>
        <v>49980.495673632744</v>
      </c>
      <c r="CE61" s="72">
        <f t="shared" si="156"/>
        <v>50063.796499755466</v>
      </c>
      <c r="CF61" s="72">
        <f t="shared" si="156"/>
        <v>50147.236160588393</v>
      </c>
      <c r="CG61" s="72">
        <f t="shared" si="156"/>
        <v>50230.814887522691</v>
      </c>
      <c r="CH61" s="72">
        <f t="shared" si="156"/>
        <v>50314.532912335235</v>
      </c>
      <c r="CI61" s="72">
        <f t="shared" si="156"/>
        <v>50398.390467189136</v>
      </c>
      <c r="CJ61" s="72">
        <f t="shared" si="156"/>
        <v>50482.387784634455</v>
      </c>
      <c r="CK61" s="72">
        <f t="shared" si="156"/>
        <v>50566.525097608828</v>
      </c>
      <c r="CL61" s="72">
        <f t="shared" ref="CL61:EW61" si="157">CL38-CL58</f>
        <v>50650.80263943821</v>
      </c>
      <c r="CM61" s="72">
        <f t="shared" si="157"/>
        <v>50735.220643837252</v>
      </c>
      <c r="CN61" s="72">
        <f t="shared" si="157"/>
        <v>50819.779344910319</v>
      </c>
      <c r="CO61" s="72">
        <f t="shared" si="157"/>
        <v>50904.478977151834</v>
      </c>
      <c r="CP61" s="72">
        <f t="shared" si="157"/>
        <v>50989.319775447089</v>
      </c>
      <c r="CQ61" s="72">
        <f t="shared" si="157"/>
        <v>51074.301975072827</v>
      </c>
      <c r="CR61" s="72">
        <f t="shared" si="157"/>
        <v>51159.425811697962</v>
      </c>
      <c r="CS61" s="72">
        <f t="shared" si="157"/>
        <v>51244.69152138412</v>
      </c>
      <c r="CT61" s="72">
        <f t="shared" si="157"/>
        <v>51330.099340586436</v>
      </c>
      <c r="CU61" s="72">
        <f t="shared" si="157"/>
        <v>51415.649506154063</v>
      </c>
      <c r="CV61" s="72">
        <f t="shared" si="157"/>
        <v>51501.342255330987</v>
      </c>
      <c r="CW61" s="72">
        <f t="shared" si="157"/>
        <v>51587.17782575656</v>
      </c>
      <c r="CX61" s="72">
        <f t="shared" si="157"/>
        <v>51673.156455466138</v>
      </c>
      <c r="CY61" s="72">
        <f t="shared" si="157"/>
        <v>51759.278382891942</v>
      </c>
      <c r="CZ61" s="72">
        <f t="shared" si="157"/>
        <v>51845.543846863409</v>
      </c>
      <c r="DA61" s="72">
        <f t="shared" si="157"/>
        <v>51931.953086608199</v>
      </c>
      <c r="DB61" s="72">
        <f t="shared" si="157"/>
        <v>52018.506341752538</v>
      </c>
      <c r="DC61" s="72">
        <f t="shared" si="157"/>
        <v>52105.203852322127</v>
      </c>
      <c r="DD61" s="72">
        <f t="shared" si="157"/>
        <v>52192.045858742655</v>
      </c>
      <c r="DE61" s="72">
        <f t="shared" si="157"/>
        <v>52279.032601840569</v>
      </c>
      <c r="DF61" s="72">
        <f t="shared" si="157"/>
        <v>52366.164322843637</v>
      </c>
      <c r="DG61" s="72">
        <f t="shared" si="157"/>
        <v>52453.441263381719</v>
      </c>
      <c r="DH61" s="72">
        <f t="shared" si="157"/>
        <v>52540.86366548737</v>
      </c>
      <c r="DI61" s="72">
        <f t="shared" si="157"/>
        <v>52628.431771596501</v>
      </c>
      <c r="DJ61" s="72">
        <f t="shared" si="157"/>
        <v>52716.145824549167</v>
      </c>
      <c r="DK61" s="72">
        <f t="shared" si="157"/>
        <v>52804.006067590075</v>
      </c>
      <c r="DL61" s="72">
        <f t="shared" si="157"/>
        <v>52892.012744369393</v>
      </c>
      <c r="DM61" s="72">
        <f t="shared" si="157"/>
        <v>52980.166098943351</v>
      </c>
      <c r="DN61" s="72">
        <f t="shared" si="157"/>
        <v>53068.466375774922</v>
      </c>
      <c r="DO61" s="72">
        <f t="shared" si="157"/>
        <v>53156.91381973456</v>
      </c>
      <c r="DP61" s="72">
        <f t="shared" si="157"/>
        <v>53245.508676100784</v>
      </c>
      <c r="DQ61" s="72">
        <f t="shared" si="157"/>
        <v>53334.251190560957</v>
      </c>
      <c r="DR61" s="72">
        <f t="shared" si="157"/>
        <v>53423.141609211911</v>
      </c>
      <c r="DS61" s="72">
        <f t="shared" si="157"/>
        <v>53512.1801785606</v>
      </c>
      <c r="DT61" s="72">
        <f t="shared" si="157"/>
        <v>53601.367145524855</v>
      </c>
      <c r="DU61" s="72">
        <f t="shared" si="157"/>
        <v>53690.702757434068</v>
      </c>
      <c r="DV61" s="72">
        <f t="shared" si="157"/>
        <v>53780.187262029787</v>
      </c>
      <c r="DW61" s="72">
        <f t="shared" si="157"/>
        <v>53869.820907466506</v>
      </c>
      <c r="DX61" s="72">
        <f t="shared" si="157"/>
        <v>53959.603942312293</v>
      </c>
      <c r="DY61" s="72">
        <f t="shared" si="157"/>
        <v>54049.536615549485</v>
      </c>
      <c r="DZ61" s="72">
        <f t="shared" si="157"/>
        <v>54139.619176575405</v>
      </c>
      <c r="EA61" s="72">
        <f t="shared" si="157"/>
        <v>54229.851875203029</v>
      </c>
      <c r="EB61" s="72">
        <f t="shared" si="157"/>
        <v>54320.234961661714</v>
      </c>
      <c r="EC61" s="72">
        <f t="shared" si="157"/>
        <v>54410.76868659781</v>
      </c>
      <c r="ED61" s="72">
        <f t="shared" si="157"/>
        <v>54501.453301075489</v>
      </c>
      <c r="EE61" s="72">
        <f t="shared" si="157"/>
        <v>54592.289056577276</v>
      </c>
      <c r="EF61" s="72">
        <f t="shared" si="157"/>
        <v>54683.276205004913</v>
      </c>
      <c r="EG61" s="72">
        <f t="shared" si="157"/>
        <v>54774.414998679917</v>
      </c>
      <c r="EH61" s="72">
        <f t="shared" si="157"/>
        <v>54865.705690344374</v>
      </c>
      <c r="EI61" s="72">
        <f t="shared" si="157"/>
        <v>54957.148533161642</v>
      </c>
      <c r="EJ61" s="72">
        <f t="shared" si="157"/>
        <v>55048.743780716919</v>
      </c>
      <c r="EK61" s="72">
        <f t="shared" si="157"/>
        <v>55140.491687018111</v>
      </c>
      <c r="EL61" s="72">
        <f t="shared" si="157"/>
        <v>55232.392506496486</v>
      </c>
      <c r="EM61" s="72">
        <f t="shared" si="157"/>
        <v>55324.446494007316</v>
      </c>
      <c r="EN61" s="72">
        <f t="shared" si="157"/>
        <v>55416.653904830666</v>
      </c>
      <c r="EO61" s="72">
        <f t="shared" si="157"/>
        <v>55509.014994672034</v>
      </c>
      <c r="EP61" s="72">
        <f t="shared" si="157"/>
        <v>55601.53001966318</v>
      </c>
      <c r="EQ61" s="72">
        <f t="shared" si="157"/>
        <v>55694.199236362612</v>
      </c>
      <c r="ER61" s="72">
        <f t="shared" si="157"/>
        <v>55787.022901756543</v>
      </c>
      <c r="ES61" s="72">
        <f t="shared" si="157"/>
        <v>55880.001273259491</v>
      </c>
      <c r="ET61" s="72">
        <f t="shared" si="157"/>
        <v>55973.134608714907</v>
      </c>
      <c r="EU61" s="72">
        <f t="shared" si="157"/>
        <v>56066.423166396096</v>
      </c>
      <c r="EV61" s="72">
        <f t="shared" si="157"/>
        <v>56159.867205006762</v>
      </c>
      <c r="EW61" s="72">
        <f t="shared" si="157"/>
        <v>56253.466983681792</v>
      </c>
      <c r="EX61" s="72">
        <f t="shared" ref="EX61:FB61" si="158">EX38-EX58</f>
        <v>56347.222761987912</v>
      </c>
      <c r="EY61" s="72">
        <f t="shared" si="158"/>
        <v>56441.134799924555</v>
      </c>
      <c r="EZ61" s="72">
        <f t="shared" si="158"/>
        <v>56535.203357924445</v>
      </c>
      <c r="FA61" s="72">
        <f t="shared" si="158"/>
        <v>56629.428696854309</v>
      </c>
      <c r="FB61" s="72">
        <f t="shared" si="158"/>
        <v>56723.811078015751</v>
      </c>
    </row>
    <row r="62" spans="1:158">
      <c r="A62" s="24"/>
      <c r="B62" s="11"/>
      <c r="C62" s="205">
        <v>0</v>
      </c>
      <c r="D62" s="183">
        <v>0</v>
      </c>
      <c r="E62" s="217">
        <v>0</v>
      </c>
      <c r="F62" s="91">
        <f>IFERROR(+D62/E62,0)</f>
        <v>0</v>
      </c>
      <c r="G62" s="183">
        <f>D62*C62*12</f>
        <v>0</v>
      </c>
      <c r="H62" s="55"/>
      <c r="L62" s="145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61"/>
      <c r="BV62" s="61"/>
      <c r="BW62" s="61"/>
      <c r="BX62" s="61"/>
      <c r="BY62" s="61"/>
      <c r="BZ62" s="61"/>
      <c r="CA62" s="61"/>
      <c r="CB62" s="61"/>
      <c r="CC62" s="61"/>
      <c r="CD62" s="61"/>
      <c r="CE62" s="61"/>
      <c r="CF62" s="61"/>
      <c r="CG62" s="61"/>
      <c r="CH62" s="61"/>
      <c r="CI62" s="61"/>
      <c r="CJ62" s="61"/>
      <c r="CK62" s="61"/>
      <c r="CL62" s="61"/>
      <c r="CM62" s="61"/>
      <c r="CN62" s="61"/>
      <c r="CO62" s="61"/>
      <c r="CP62" s="61"/>
      <c r="CQ62" s="61"/>
      <c r="CR62" s="61"/>
      <c r="CS62" s="61"/>
      <c r="CT62" s="61"/>
      <c r="CU62" s="61"/>
      <c r="CV62" s="61"/>
      <c r="CW62" s="61"/>
      <c r="CX62" s="61"/>
      <c r="CY62" s="61"/>
      <c r="CZ62" s="61"/>
      <c r="DA62" s="61"/>
      <c r="DB62" s="61"/>
      <c r="DC62" s="61"/>
      <c r="DD62" s="61"/>
      <c r="DE62" s="61"/>
      <c r="DF62" s="61"/>
      <c r="DG62" s="61"/>
      <c r="DH62" s="61"/>
      <c r="DI62" s="61"/>
      <c r="DJ62" s="61"/>
      <c r="DK62" s="61"/>
      <c r="DL62" s="61"/>
      <c r="DM62" s="61"/>
      <c r="DN62" s="61"/>
      <c r="DO62" s="61"/>
      <c r="DP62" s="61"/>
      <c r="DQ62" s="61"/>
      <c r="DR62" s="61"/>
      <c r="DS62" s="61"/>
      <c r="DT62" s="61"/>
      <c r="DU62" s="61"/>
      <c r="DV62" s="61"/>
      <c r="DW62" s="61"/>
      <c r="DX62" s="61"/>
      <c r="DY62" s="61"/>
      <c r="DZ62" s="61"/>
      <c r="EA62" s="61"/>
      <c r="EB62" s="61"/>
      <c r="EC62" s="61"/>
      <c r="ED62" s="61"/>
      <c r="EE62" s="61"/>
      <c r="EF62" s="61"/>
      <c r="EG62" s="61"/>
      <c r="EH62" s="61"/>
      <c r="EI62" s="61"/>
      <c r="EJ62" s="61"/>
      <c r="EK62" s="61"/>
      <c r="EL62" s="61"/>
      <c r="EM62" s="61"/>
      <c r="EN62" s="61"/>
      <c r="EO62" s="61"/>
      <c r="EP62" s="61"/>
      <c r="EQ62" s="61"/>
      <c r="ER62" s="61"/>
      <c r="ES62" s="61"/>
      <c r="ET62" s="61"/>
      <c r="EU62" s="61"/>
      <c r="EV62" s="61"/>
      <c r="EW62" s="61"/>
      <c r="EX62" s="61"/>
      <c r="EY62" s="61"/>
      <c r="EZ62" s="61"/>
      <c r="FA62" s="61"/>
      <c r="FB62" s="61"/>
    </row>
    <row r="63" spans="1:158" s="32" customFormat="1">
      <c r="A63" s="24"/>
      <c r="B63" s="94" t="s">
        <v>102</v>
      </c>
      <c r="C63" s="95">
        <f>SUM(C59:C62)</f>
        <v>56</v>
      </c>
      <c r="D63" s="96">
        <f>SUMPRODUCT(D59:D62,$C$59:$C$62)/$C$63</f>
        <v>1235.2242857142858</v>
      </c>
      <c r="E63" s="95">
        <f>SUMPRODUCT(E59:E62,$C$59:$C$62)/$C$63</f>
        <v>1164.2857142857142</v>
      </c>
      <c r="F63" s="97">
        <f>SUMPRODUCT(F59:F62,$C$59:$C$62)/$C$63</f>
        <v>1.064879064935065</v>
      </c>
      <c r="G63" s="96">
        <f>D63*C63*12</f>
        <v>830070.72</v>
      </c>
      <c r="H63" s="55"/>
      <c r="I63" s="15" t="s">
        <v>103</v>
      </c>
      <c r="J63" s="74" t="str">
        <f>J51</f>
        <v>$/Unit/Yr</v>
      </c>
      <c r="K63" s="75"/>
      <c r="L63" s="144"/>
      <c r="M63" s="75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5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  <c r="AL63" s="61"/>
      <c r="AM63" s="61"/>
      <c r="AN63" s="61"/>
      <c r="AO63" s="61"/>
      <c r="AP63" s="61"/>
      <c r="AQ63" s="61"/>
      <c r="AR63" s="61"/>
      <c r="AS63" s="61"/>
      <c r="AT63" s="61"/>
      <c r="AU63" s="61"/>
      <c r="AV63" s="61"/>
      <c r="AW63" s="61"/>
      <c r="AX63" s="61"/>
      <c r="AY63" s="61"/>
      <c r="AZ63" s="61"/>
      <c r="BA63" s="61"/>
      <c r="BB63" s="61"/>
      <c r="BC63" s="61"/>
      <c r="BD63" s="61"/>
      <c r="BE63" s="61"/>
      <c r="BF63" s="61"/>
      <c r="BG63" s="61"/>
      <c r="BH63" s="61"/>
      <c r="BI63" s="61"/>
      <c r="BJ63" s="61"/>
      <c r="BK63" s="61"/>
      <c r="BL63" s="61"/>
      <c r="BM63" s="61"/>
      <c r="BN63" s="61"/>
      <c r="BO63" s="61"/>
      <c r="BP63" s="61"/>
      <c r="BQ63" s="61"/>
      <c r="BR63" s="61"/>
      <c r="BS63" s="61"/>
      <c r="BT63" s="61"/>
      <c r="BU63" s="61"/>
      <c r="BV63" s="61"/>
      <c r="BW63" s="61"/>
      <c r="BX63" s="61"/>
      <c r="BY63" s="61"/>
      <c r="BZ63" s="61"/>
      <c r="CA63" s="61"/>
      <c r="CB63" s="61"/>
      <c r="CC63" s="61"/>
      <c r="CD63" s="61"/>
      <c r="CE63" s="61"/>
      <c r="CF63" s="61"/>
      <c r="CG63" s="61"/>
      <c r="CH63" s="61"/>
      <c r="CI63" s="61"/>
      <c r="CJ63" s="61"/>
      <c r="CK63" s="61"/>
      <c r="CL63" s="61"/>
      <c r="CM63" s="61"/>
      <c r="CN63" s="61"/>
      <c r="CO63" s="61"/>
      <c r="CP63" s="61"/>
      <c r="CQ63" s="61"/>
      <c r="CR63" s="61"/>
      <c r="CS63" s="61"/>
      <c r="CT63" s="61"/>
      <c r="CU63" s="61"/>
      <c r="CV63" s="61"/>
      <c r="CW63" s="61"/>
      <c r="CX63" s="61"/>
      <c r="CY63" s="61"/>
      <c r="CZ63" s="61"/>
      <c r="DA63" s="61"/>
      <c r="DB63" s="61"/>
      <c r="DC63" s="61"/>
      <c r="DD63" s="61"/>
      <c r="DE63" s="61"/>
      <c r="DF63" s="61"/>
      <c r="DG63" s="61"/>
      <c r="DH63" s="61"/>
      <c r="DI63" s="61"/>
      <c r="DJ63" s="61"/>
      <c r="DK63" s="61"/>
      <c r="DL63" s="61"/>
      <c r="DM63" s="61"/>
      <c r="DN63" s="61"/>
      <c r="DO63" s="61"/>
      <c r="DP63" s="61"/>
      <c r="DQ63" s="61"/>
      <c r="DR63" s="61"/>
      <c r="DS63" s="61"/>
      <c r="DT63" s="61"/>
      <c r="DU63" s="61"/>
      <c r="DV63" s="61"/>
      <c r="DW63" s="61"/>
      <c r="DX63" s="61"/>
      <c r="DY63" s="61"/>
      <c r="DZ63" s="61"/>
      <c r="EA63" s="61"/>
      <c r="EB63" s="61"/>
      <c r="EC63" s="61"/>
      <c r="ED63" s="61"/>
      <c r="EE63" s="61"/>
      <c r="EF63" s="61"/>
      <c r="EG63" s="61"/>
      <c r="EH63" s="61"/>
      <c r="EI63" s="61"/>
      <c r="EJ63" s="61"/>
      <c r="EK63" s="61"/>
      <c r="EL63" s="61"/>
      <c r="EM63" s="61"/>
      <c r="EN63" s="61"/>
      <c r="EO63" s="61"/>
      <c r="EP63" s="61"/>
      <c r="EQ63" s="61"/>
      <c r="ER63" s="61"/>
      <c r="ES63" s="61"/>
      <c r="ET63" s="61"/>
      <c r="EU63" s="61"/>
      <c r="EV63" s="61"/>
      <c r="EW63" s="61"/>
      <c r="EX63" s="61"/>
      <c r="EY63" s="61"/>
      <c r="EZ63" s="61"/>
      <c r="FA63" s="61"/>
      <c r="FB63" s="61"/>
    </row>
    <row r="64" spans="1:158">
      <c r="A64" s="44"/>
      <c r="B64" s="13"/>
      <c r="C64" s="13"/>
      <c r="D64" s="98"/>
      <c r="E64" s="98"/>
      <c r="F64" s="99"/>
      <c r="G64" s="100"/>
      <c r="H64" s="58"/>
      <c r="I64" s="9" t="s">
        <v>103</v>
      </c>
      <c r="J64" s="101">
        <f>C109</f>
        <v>250</v>
      </c>
      <c r="K64" s="64"/>
      <c r="L64" s="24">
        <f>SUMIF($Z$4:$FB$4,"&lt;="&amp;$G$18,$Z64:$FB64)</f>
        <v>155097.66970992897</v>
      </c>
      <c r="M64" s="62"/>
      <c r="N64" s="61">
        <f>SUMIF($Z$3:$FB$3,N$7,$Z64:$FB64)</f>
        <v>0</v>
      </c>
      <c r="O64" s="61">
        <f t="shared" ref="O64:X65" si="159">SUMIF($Z$3:$FB$3,O$7,$Z64:$FB64)</f>
        <v>14152.597392012674</v>
      </c>
      <c r="P64" s="61">
        <f t="shared" si="159"/>
        <v>14438.258451590147</v>
      </c>
      <c r="Q64" s="61">
        <f t="shared" si="159"/>
        <v>14729.685395598492</v>
      </c>
      <c r="R64" s="61">
        <f t="shared" si="159"/>
        <v>15026.99460469987</v>
      </c>
      <c r="S64" s="61">
        <f t="shared" si="159"/>
        <v>15330.304808625142</v>
      </c>
      <c r="T64" s="61">
        <f t="shared" si="159"/>
        <v>15639.737133588267</v>
      </c>
      <c r="U64" s="61">
        <f t="shared" si="159"/>
        <v>15955.4151506578</v>
      </c>
      <c r="V64" s="61">
        <f t="shared" si="159"/>
        <v>16277.464925104696</v>
      </c>
      <c r="W64" s="61">
        <f t="shared" si="159"/>
        <v>16606.015066746182</v>
      </c>
      <c r="X64" s="61">
        <f t="shared" si="159"/>
        <v>16941.196781305764</v>
      </c>
      <c r="Y64" s="62"/>
      <c r="Z64" s="188">
        <v>0</v>
      </c>
      <c r="AA64" s="188">
        <f t="shared" ref="AA64:BF64" si="160">$J64/12*AA$14*$C$63</f>
        <v>1168.6111111111111</v>
      </c>
      <c r="AB64" s="188">
        <f t="shared" si="160"/>
        <v>1170.5587962962964</v>
      </c>
      <c r="AC64" s="188">
        <f t="shared" si="160"/>
        <v>1172.5097276234569</v>
      </c>
      <c r="AD64" s="188">
        <f t="shared" si="160"/>
        <v>1174.4639105028293</v>
      </c>
      <c r="AE64" s="188">
        <f t="shared" si="160"/>
        <v>1176.4213503536675</v>
      </c>
      <c r="AF64" s="188">
        <f t="shared" si="160"/>
        <v>1178.3820526042568</v>
      </c>
      <c r="AG64" s="188">
        <f t="shared" si="160"/>
        <v>1180.3460226919308</v>
      </c>
      <c r="AH64" s="188">
        <f t="shared" si="160"/>
        <v>1182.313266063084</v>
      </c>
      <c r="AI64" s="188">
        <f t="shared" si="160"/>
        <v>1184.2837881731889</v>
      </c>
      <c r="AJ64" s="188">
        <f t="shared" si="160"/>
        <v>1186.2575944868111</v>
      </c>
      <c r="AK64" s="188">
        <f t="shared" si="160"/>
        <v>1188.2346904776227</v>
      </c>
      <c r="AL64" s="188">
        <f t="shared" si="160"/>
        <v>1190.2150816284188</v>
      </c>
      <c r="AM64" s="188">
        <f t="shared" si="160"/>
        <v>1192.1987734311328</v>
      </c>
      <c r="AN64" s="188">
        <f t="shared" si="160"/>
        <v>1194.1857713868512</v>
      </c>
      <c r="AO64" s="188">
        <f t="shared" si="160"/>
        <v>1196.1760810058292</v>
      </c>
      <c r="AP64" s="188">
        <f t="shared" si="160"/>
        <v>1198.1697078075056</v>
      </c>
      <c r="AQ64" s="188">
        <f t="shared" si="160"/>
        <v>1200.1666573205182</v>
      </c>
      <c r="AR64" s="188">
        <f t="shared" si="160"/>
        <v>1202.1669350827192</v>
      </c>
      <c r="AS64" s="188">
        <f t="shared" si="160"/>
        <v>1204.1705466411902</v>
      </c>
      <c r="AT64" s="188">
        <f t="shared" si="160"/>
        <v>1206.1774975522587</v>
      </c>
      <c r="AU64" s="188">
        <f t="shared" si="160"/>
        <v>1208.1877933815126</v>
      </c>
      <c r="AV64" s="188">
        <f t="shared" si="160"/>
        <v>1210.2014397038151</v>
      </c>
      <c r="AW64" s="188">
        <f t="shared" si="160"/>
        <v>1212.2184421033214</v>
      </c>
      <c r="AX64" s="188">
        <f t="shared" si="160"/>
        <v>1214.2388061734937</v>
      </c>
      <c r="AY64" s="188">
        <f t="shared" si="160"/>
        <v>1216.2625375171162</v>
      </c>
      <c r="AZ64" s="188">
        <f t="shared" si="160"/>
        <v>1218.2896417463116</v>
      </c>
      <c r="BA64" s="188">
        <f t="shared" si="160"/>
        <v>1220.3201244825557</v>
      </c>
      <c r="BB64" s="188">
        <f t="shared" si="160"/>
        <v>1222.3539913566933</v>
      </c>
      <c r="BC64" s="188">
        <f t="shared" si="160"/>
        <v>1224.3912480089546</v>
      </c>
      <c r="BD64" s="188">
        <f t="shared" si="160"/>
        <v>1226.4319000889695</v>
      </c>
      <c r="BE64" s="188">
        <f t="shared" si="160"/>
        <v>1228.4759532557844</v>
      </c>
      <c r="BF64" s="188">
        <f t="shared" si="160"/>
        <v>1230.5234131778773</v>
      </c>
      <c r="BG64" s="188">
        <f t="shared" ref="BG64:CL64" si="161">$J64/12*BG$14*$C$63</f>
        <v>1232.5742855331739</v>
      </c>
      <c r="BH64" s="188">
        <f t="shared" si="161"/>
        <v>1234.6285760090623</v>
      </c>
      <c r="BI64" s="188">
        <f t="shared" si="161"/>
        <v>1236.6862903024112</v>
      </c>
      <c r="BJ64" s="188">
        <f t="shared" si="161"/>
        <v>1238.7474341195816</v>
      </c>
      <c r="BK64" s="188">
        <f t="shared" si="161"/>
        <v>1240.8120131764476</v>
      </c>
      <c r="BL64" s="188">
        <f t="shared" si="161"/>
        <v>1242.8800331984085</v>
      </c>
      <c r="BM64" s="188">
        <f t="shared" si="161"/>
        <v>1244.9514999204059</v>
      </c>
      <c r="BN64" s="188">
        <f t="shared" si="161"/>
        <v>1247.0264190869398</v>
      </c>
      <c r="BO64" s="188">
        <f t="shared" si="161"/>
        <v>1249.1047964520849</v>
      </c>
      <c r="BP64" s="188">
        <f t="shared" si="161"/>
        <v>1251.186637779505</v>
      </c>
      <c r="BQ64" s="188">
        <f t="shared" si="161"/>
        <v>1253.2719488424709</v>
      </c>
      <c r="BR64" s="188">
        <f t="shared" si="161"/>
        <v>1255.360735423875</v>
      </c>
      <c r="BS64" s="188">
        <f t="shared" si="161"/>
        <v>1257.4530033162482</v>
      </c>
      <c r="BT64" s="188">
        <f t="shared" si="161"/>
        <v>1259.5487583217755</v>
      </c>
      <c r="BU64" s="188">
        <f t="shared" si="161"/>
        <v>1261.6480062523119</v>
      </c>
      <c r="BV64" s="188">
        <f t="shared" si="161"/>
        <v>1263.7507529293989</v>
      </c>
      <c r="BW64" s="188">
        <f t="shared" si="161"/>
        <v>1265.8570041842813</v>
      </c>
      <c r="BX64" s="188">
        <f t="shared" si="161"/>
        <v>1267.9667658579219</v>
      </c>
      <c r="BY64" s="188">
        <f t="shared" si="161"/>
        <v>1270.0800438010185</v>
      </c>
      <c r="BZ64" s="188">
        <f t="shared" si="161"/>
        <v>1272.19684387402</v>
      </c>
      <c r="CA64" s="188">
        <f t="shared" si="161"/>
        <v>1274.3171719471434</v>
      </c>
      <c r="CB64" s="188">
        <f t="shared" si="161"/>
        <v>1276.4410339003887</v>
      </c>
      <c r="CC64" s="188">
        <f t="shared" si="161"/>
        <v>1278.5684356235563</v>
      </c>
      <c r="CD64" s="188">
        <f t="shared" si="161"/>
        <v>1280.6993830162621</v>
      </c>
      <c r="CE64" s="188">
        <f t="shared" si="161"/>
        <v>1282.8338819879557</v>
      </c>
      <c r="CF64" s="188">
        <f t="shared" si="161"/>
        <v>1284.9719384579357</v>
      </c>
      <c r="CG64" s="188">
        <f t="shared" si="161"/>
        <v>1287.1135583553657</v>
      </c>
      <c r="CH64" s="188">
        <f t="shared" si="161"/>
        <v>1289.2587476192914</v>
      </c>
      <c r="CI64" s="188">
        <f t="shared" si="161"/>
        <v>1291.4075121986568</v>
      </c>
      <c r="CJ64" s="188">
        <f t="shared" si="161"/>
        <v>1293.5598580523213</v>
      </c>
      <c r="CK64" s="188">
        <f t="shared" si="161"/>
        <v>1295.7157911490751</v>
      </c>
      <c r="CL64" s="188">
        <f t="shared" si="161"/>
        <v>1297.8753174676569</v>
      </c>
      <c r="CM64" s="188">
        <f t="shared" ref="CM64:DR64" si="162">$J64/12*CM$14*$C$63</f>
        <v>1300.0384429967698</v>
      </c>
      <c r="CN64" s="188">
        <f t="shared" si="162"/>
        <v>1302.205173735098</v>
      </c>
      <c r="CO64" s="188">
        <f t="shared" si="162"/>
        <v>1304.3755156913232</v>
      </c>
      <c r="CP64" s="188">
        <f t="shared" si="162"/>
        <v>1306.5494748841422</v>
      </c>
      <c r="CQ64" s="188">
        <f t="shared" si="162"/>
        <v>1308.7270573422825</v>
      </c>
      <c r="CR64" s="188">
        <f t="shared" si="162"/>
        <v>1310.9082691045196</v>
      </c>
      <c r="CS64" s="188">
        <f t="shared" si="162"/>
        <v>1313.0931162196939</v>
      </c>
      <c r="CT64" s="188">
        <f t="shared" si="162"/>
        <v>1315.2816047467268</v>
      </c>
      <c r="CU64" s="188">
        <f t="shared" si="162"/>
        <v>1317.4737407546379</v>
      </c>
      <c r="CV64" s="188">
        <f t="shared" si="162"/>
        <v>1319.6695303225624</v>
      </c>
      <c r="CW64" s="188">
        <f t="shared" si="162"/>
        <v>1321.8689795397668</v>
      </c>
      <c r="CX64" s="188">
        <f t="shared" si="162"/>
        <v>1324.0720945056662</v>
      </c>
      <c r="CY64" s="188">
        <f t="shared" si="162"/>
        <v>1326.2788813298423</v>
      </c>
      <c r="CZ64" s="188">
        <f t="shared" si="162"/>
        <v>1328.4893461320587</v>
      </c>
      <c r="DA64" s="188">
        <f t="shared" si="162"/>
        <v>1330.7034950422787</v>
      </c>
      <c r="DB64" s="188">
        <f t="shared" si="162"/>
        <v>1332.9213342006826</v>
      </c>
      <c r="DC64" s="188">
        <f t="shared" si="162"/>
        <v>1335.1428697576839</v>
      </c>
      <c r="DD64" s="188">
        <f t="shared" si="162"/>
        <v>1337.3681078739467</v>
      </c>
      <c r="DE64" s="188">
        <f t="shared" si="162"/>
        <v>1339.5970547204031</v>
      </c>
      <c r="DF64" s="188">
        <f t="shared" si="162"/>
        <v>1341.8297164782707</v>
      </c>
      <c r="DG64" s="188">
        <f t="shared" si="162"/>
        <v>1344.0660993390679</v>
      </c>
      <c r="DH64" s="188">
        <f t="shared" si="162"/>
        <v>1346.306209504633</v>
      </c>
      <c r="DI64" s="188">
        <f t="shared" si="162"/>
        <v>1348.5500531871407</v>
      </c>
      <c r="DJ64" s="188">
        <f t="shared" si="162"/>
        <v>1350.7976366091193</v>
      </c>
      <c r="DK64" s="188">
        <f t="shared" si="162"/>
        <v>1353.0489660034677</v>
      </c>
      <c r="DL64" s="188">
        <f t="shared" si="162"/>
        <v>1355.3040476134736</v>
      </c>
      <c r="DM64" s="188">
        <f t="shared" si="162"/>
        <v>1357.5628876928295</v>
      </c>
      <c r="DN64" s="188">
        <f t="shared" si="162"/>
        <v>1359.825492505651</v>
      </c>
      <c r="DO64" s="188">
        <f t="shared" si="162"/>
        <v>1362.0918683264936</v>
      </c>
      <c r="DP64" s="188">
        <f t="shared" si="162"/>
        <v>1364.3620214403713</v>
      </c>
      <c r="DQ64" s="188">
        <f t="shared" si="162"/>
        <v>1366.6359581427719</v>
      </c>
      <c r="DR64" s="188">
        <f t="shared" si="162"/>
        <v>1368.9136847396765</v>
      </c>
      <c r="DS64" s="188">
        <f t="shared" ref="DS64:FB64" si="163">$J64/12*DS$14*$C$63</f>
        <v>1371.1952075475763</v>
      </c>
      <c r="DT64" s="188">
        <f t="shared" si="163"/>
        <v>1373.480532893489</v>
      </c>
      <c r="DU64" s="188">
        <f t="shared" si="163"/>
        <v>1375.7696671149783</v>
      </c>
      <c r="DV64" s="188">
        <f t="shared" si="163"/>
        <v>1378.06261656017</v>
      </c>
      <c r="DW64" s="188">
        <f t="shared" si="163"/>
        <v>1380.3593875877705</v>
      </c>
      <c r="DX64" s="188">
        <f t="shared" si="163"/>
        <v>1382.6599865670833</v>
      </c>
      <c r="DY64" s="188">
        <f t="shared" si="163"/>
        <v>1384.9644198780286</v>
      </c>
      <c r="DZ64" s="188">
        <f t="shared" si="163"/>
        <v>1387.2726939111587</v>
      </c>
      <c r="EA64" s="188">
        <f t="shared" si="163"/>
        <v>1389.5848150676773</v>
      </c>
      <c r="EB64" s="188">
        <f t="shared" si="163"/>
        <v>1391.9007897594568</v>
      </c>
      <c r="EC64" s="188">
        <f t="shared" si="163"/>
        <v>1394.220624409056</v>
      </c>
      <c r="ED64" s="188">
        <f t="shared" si="163"/>
        <v>1396.5443254497377</v>
      </c>
      <c r="EE64" s="188">
        <f t="shared" si="163"/>
        <v>1398.8718993254874</v>
      </c>
      <c r="EF64" s="188">
        <f t="shared" si="163"/>
        <v>1401.2033524910298</v>
      </c>
      <c r="EG64" s="188">
        <f t="shared" si="163"/>
        <v>1403.5386914118483</v>
      </c>
      <c r="EH64" s="188">
        <f t="shared" si="163"/>
        <v>1405.8779225642015</v>
      </c>
      <c r="EI64" s="188">
        <f t="shared" si="163"/>
        <v>1408.2210524351422</v>
      </c>
      <c r="EJ64" s="188">
        <f t="shared" si="163"/>
        <v>1410.5680875225339</v>
      </c>
      <c r="EK64" s="188">
        <f t="shared" si="163"/>
        <v>1412.9190343350715</v>
      </c>
      <c r="EL64" s="188">
        <f t="shared" si="163"/>
        <v>1415.2738993922965</v>
      </c>
      <c r="EM64" s="188">
        <f t="shared" si="163"/>
        <v>1417.632689224617</v>
      </c>
      <c r="EN64" s="188">
        <f t="shared" si="163"/>
        <v>1419.9954103733248</v>
      </c>
      <c r="EO64" s="188">
        <f t="shared" si="163"/>
        <v>1422.3620693906139</v>
      </c>
      <c r="EP64" s="188">
        <f t="shared" si="163"/>
        <v>1424.7326728395983</v>
      </c>
      <c r="EQ64" s="188">
        <f t="shared" si="163"/>
        <v>1427.1072272943311</v>
      </c>
      <c r="ER64" s="188">
        <f t="shared" si="163"/>
        <v>1429.4857393398217</v>
      </c>
      <c r="ES64" s="188">
        <f t="shared" si="163"/>
        <v>1431.8682155720549</v>
      </c>
      <c r="ET64" s="188">
        <f t="shared" si="163"/>
        <v>1434.2546625980083</v>
      </c>
      <c r="EU64" s="188">
        <f t="shared" si="163"/>
        <v>1436.6450870356718</v>
      </c>
      <c r="EV64" s="188">
        <f t="shared" si="163"/>
        <v>1439.0394955140646</v>
      </c>
      <c r="EW64" s="188">
        <f t="shared" si="163"/>
        <v>1441.4378946732547</v>
      </c>
      <c r="EX64" s="188">
        <f t="shared" si="163"/>
        <v>1443.840291164377</v>
      </c>
      <c r="EY64" s="188">
        <f t="shared" si="163"/>
        <v>1446.246691649651</v>
      </c>
      <c r="EZ64" s="188">
        <f t="shared" si="163"/>
        <v>1448.6571028024005</v>
      </c>
      <c r="FA64" s="188">
        <f t="shared" si="163"/>
        <v>1451.0715313070712</v>
      </c>
      <c r="FB64" s="188">
        <f t="shared" si="163"/>
        <v>1453.4899838592496</v>
      </c>
    </row>
    <row r="65" spans="1:158" s="32" customFormat="1">
      <c r="A65" s="9"/>
      <c r="B65" s="35" t="s">
        <v>47</v>
      </c>
      <c r="C65" s="35"/>
      <c r="D65" s="45" t="s">
        <v>104</v>
      </c>
      <c r="E65" s="45" t="s">
        <v>105</v>
      </c>
      <c r="F65" s="45" t="s">
        <v>106</v>
      </c>
      <c r="G65" s="45" t="s">
        <v>107</v>
      </c>
      <c r="H65" s="11"/>
      <c r="I65" s="57" t="s">
        <v>108</v>
      </c>
      <c r="J65" s="57"/>
      <c r="K65" s="58"/>
      <c r="L65" s="102">
        <f>SUMIF($Z$4:$FB$4,"&lt;="&amp;$G$18,$Z65:$FB65)</f>
        <v>155097.66970992897</v>
      </c>
      <c r="M65" s="103"/>
      <c r="N65" s="102">
        <f>SUMIF($Z$3:$FB$3,N$7,$Z65:$FB65)</f>
        <v>0</v>
      </c>
      <c r="O65" s="102">
        <f t="shared" si="159"/>
        <v>14152.597392012674</v>
      </c>
      <c r="P65" s="102">
        <f t="shared" si="159"/>
        <v>14438.258451590147</v>
      </c>
      <c r="Q65" s="102">
        <f t="shared" si="159"/>
        <v>14729.685395598492</v>
      </c>
      <c r="R65" s="102">
        <f t="shared" si="159"/>
        <v>15026.99460469987</v>
      </c>
      <c r="S65" s="102">
        <f t="shared" si="159"/>
        <v>15330.304808625142</v>
      </c>
      <c r="T65" s="102">
        <f t="shared" si="159"/>
        <v>15639.737133588267</v>
      </c>
      <c r="U65" s="102">
        <f t="shared" si="159"/>
        <v>15955.4151506578</v>
      </c>
      <c r="V65" s="102">
        <f t="shared" si="159"/>
        <v>16277.464925104696</v>
      </c>
      <c r="W65" s="102">
        <f t="shared" si="159"/>
        <v>16606.015066746182</v>
      </c>
      <c r="X65" s="102">
        <f t="shared" si="159"/>
        <v>16941.196781305764</v>
      </c>
      <c r="Y65" s="103"/>
      <c r="Z65" s="102">
        <v>0</v>
      </c>
      <c r="AA65" s="102">
        <f t="shared" ref="AA65:CL65" si="164">SUM(AA64:AA64)</f>
        <v>1168.6111111111111</v>
      </c>
      <c r="AB65" s="102">
        <f t="shared" si="164"/>
        <v>1170.5587962962964</v>
      </c>
      <c r="AC65" s="102">
        <f t="shared" si="164"/>
        <v>1172.5097276234569</v>
      </c>
      <c r="AD65" s="102">
        <f t="shared" si="164"/>
        <v>1174.4639105028293</v>
      </c>
      <c r="AE65" s="102">
        <f t="shared" si="164"/>
        <v>1176.4213503536675</v>
      </c>
      <c r="AF65" s="102">
        <f t="shared" si="164"/>
        <v>1178.3820526042568</v>
      </c>
      <c r="AG65" s="102">
        <f t="shared" si="164"/>
        <v>1180.3460226919308</v>
      </c>
      <c r="AH65" s="102">
        <f t="shared" si="164"/>
        <v>1182.313266063084</v>
      </c>
      <c r="AI65" s="102">
        <f t="shared" si="164"/>
        <v>1184.2837881731889</v>
      </c>
      <c r="AJ65" s="102">
        <f t="shared" si="164"/>
        <v>1186.2575944868111</v>
      </c>
      <c r="AK65" s="102">
        <f t="shared" si="164"/>
        <v>1188.2346904776227</v>
      </c>
      <c r="AL65" s="102">
        <f t="shared" si="164"/>
        <v>1190.2150816284188</v>
      </c>
      <c r="AM65" s="102">
        <f t="shared" si="164"/>
        <v>1192.1987734311328</v>
      </c>
      <c r="AN65" s="102">
        <f t="shared" si="164"/>
        <v>1194.1857713868512</v>
      </c>
      <c r="AO65" s="102">
        <f t="shared" si="164"/>
        <v>1196.1760810058292</v>
      </c>
      <c r="AP65" s="102">
        <f t="shared" si="164"/>
        <v>1198.1697078075056</v>
      </c>
      <c r="AQ65" s="102">
        <f t="shared" si="164"/>
        <v>1200.1666573205182</v>
      </c>
      <c r="AR65" s="102">
        <f t="shared" si="164"/>
        <v>1202.1669350827192</v>
      </c>
      <c r="AS65" s="102">
        <f t="shared" si="164"/>
        <v>1204.1705466411902</v>
      </c>
      <c r="AT65" s="102">
        <f t="shared" si="164"/>
        <v>1206.1774975522587</v>
      </c>
      <c r="AU65" s="102">
        <f t="shared" si="164"/>
        <v>1208.1877933815126</v>
      </c>
      <c r="AV65" s="102">
        <f t="shared" si="164"/>
        <v>1210.2014397038151</v>
      </c>
      <c r="AW65" s="102">
        <f t="shared" si="164"/>
        <v>1212.2184421033214</v>
      </c>
      <c r="AX65" s="102">
        <f t="shared" si="164"/>
        <v>1214.2388061734937</v>
      </c>
      <c r="AY65" s="102">
        <f t="shared" si="164"/>
        <v>1216.2625375171162</v>
      </c>
      <c r="AZ65" s="102">
        <f t="shared" si="164"/>
        <v>1218.2896417463116</v>
      </c>
      <c r="BA65" s="102">
        <f t="shared" si="164"/>
        <v>1220.3201244825557</v>
      </c>
      <c r="BB65" s="102">
        <f t="shared" si="164"/>
        <v>1222.3539913566933</v>
      </c>
      <c r="BC65" s="102">
        <f t="shared" si="164"/>
        <v>1224.3912480089546</v>
      </c>
      <c r="BD65" s="102">
        <f t="shared" si="164"/>
        <v>1226.4319000889695</v>
      </c>
      <c r="BE65" s="102">
        <f t="shared" si="164"/>
        <v>1228.4759532557844</v>
      </c>
      <c r="BF65" s="102">
        <f t="shared" si="164"/>
        <v>1230.5234131778773</v>
      </c>
      <c r="BG65" s="102">
        <f t="shared" si="164"/>
        <v>1232.5742855331739</v>
      </c>
      <c r="BH65" s="102">
        <f t="shared" si="164"/>
        <v>1234.6285760090623</v>
      </c>
      <c r="BI65" s="102">
        <f t="shared" si="164"/>
        <v>1236.6862903024112</v>
      </c>
      <c r="BJ65" s="102">
        <f t="shared" si="164"/>
        <v>1238.7474341195816</v>
      </c>
      <c r="BK65" s="102">
        <f t="shared" si="164"/>
        <v>1240.8120131764476</v>
      </c>
      <c r="BL65" s="102">
        <f t="shared" si="164"/>
        <v>1242.8800331984085</v>
      </c>
      <c r="BM65" s="102">
        <f t="shared" si="164"/>
        <v>1244.9514999204059</v>
      </c>
      <c r="BN65" s="102">
        <f t="shared" si="164"/>
        <v>1247.0264190869398</v>
      </c>
      <c r="BO65" s="102">
        <f t="shared" si="164"/>
        <v>1249.1047964520849</v>
      </c>
      <c r="BP65" s="102">
        <f t="shared" si="164"/>
        <v>1251.186637779505</v>
      </c>
      <c r="BQ65" s="102">
        <f t="shared" si="164"/>
        <v>1253.2719488424709</v>
      </c>
      <c r="BR65" s="102">
        <f t="shared" si="164"/>
        <v>1255.360735423875</v>
      </c>
      <c r="BS65" s="102">
        <f t="shared" si="164"/>
        <v>1257.4530033162482</v>
      </c>
      <c r="BT65" s="102">
        <f t="shared" si="164"/>
        <v>1259.5487583217755</v>
      </c>
      <c r="BU65" s="102">
        <f t="shared" si="164"/>
        <v>1261.6480062523119</v>
      </c>
      <c r="BV65" s="102">
        <f t="shared" si="164"/>
        <v>1263.7507529293989</v>
      </c>
      <c r="BW65" s="102">
        <f t="shared" si="164"/>
        <v>1265.8570041842813</v>
      </c>
      <c r="BX65" s="102">
        <f t="shared" si="164"/>
        <v>1267.9667658579219</v>
      </c>
      <c r="BY65" s="102">
        <f t="shared" si="164"/>
        <v>1270.0800438010185</v>
      </c>
      <c r="BZ65" s="102">
        <f t="shared" si="164"/>
        <v>1272.19684387402</v>
      </c>
      <c r="CA65" s="102">
        <f t="shared" si="164"/>
        <v>1274.3171719471434</v>
      </c>
      <c r="CB65" s="102">
        <f t="shared" si="164"/>
        <v>1276.4410339003887</v>
      </c>
      <c r="CC65" s="102">
        <f t="shared" si="164"/>
        <v>1278.5684356235563</v>
      </c>
      <c r="CD65" s="102">
        <f t="shared" si="164"/>
        <v>1280.6993830162621</v>
      </c>
      <c r="CE65" s="102">
        <f t="shared" si="164"/>
        <v>1282.8338819879557</v>
      </c>
      <c r="CF65" s="102">
        <f t="shared" si="164"/>
        <v>1284.9719384579357</v>
      </c>
      <c r="CG65" s="102">
        <f t="shared" si="164"/>
        <v>1287.1135583553657</v>
      </c>
      <c r="CH65" s="102">
        <f t="shared" si="164"/>
        <v>1289.2587476192914</v>
      </c>
      <c r="CI65" s="102">
        <f t="shared" si="164"/>
        <v>1291.4075121986568</v>
      </c>
      <c r="CJ65" s="102">
        <f t="shared" si="164"/>
        <v>1293.5598580523213</v>
      </c>
      <c r="CK65" s="102">
        <f t="shared" si="164"/>
        <v>1295.7157911490751</v>
      </c>
      <c r="CL65" s="102">
        <f t="shared" si="164"/>
        <v>1297.8753174676569</v>
      </c>
      <c r="CM65" s="102">
        <f t="shared" ref="CM65:EX65" si="165">SUM(CM64:CM64)</f>
        <v>1300.0384429967698</v>
      </c>
      <c r="CN65" s="102">
        <f t="shared" si="165"/>
        <v>1302.205173735098</v>
      </c>
      <c r="CO65" s="102">
        <f t="shared" si="165"/>
        <v>1304.3755156913232</v>
      </c>
      <c r="CP65" s="102">
        <f t="shared" si="165"/>
        <v>1306.5494748841422</v>
      </c>
      <c r="CQ65" s="102">
        <f t="shared" si="165"/>
        <v>1308.7270573422825</v>
      </c>
      <c r="CR65" s="102">
        <f t="shared" si="165"/>
        <v>1310.9082691045196</v>
      </c>
      <c r="CS65" s="102">
        <f t="shared" si="165"/>
        <v>1313.0931162196939</v>
      </c>
      <c r="CT65" s="102">
        <f t="shared" si="165"/>
        <v>1315.2816047467268</v>
      </c>
      <c r="CU65" s="102">
        <f t="shared" si="165"/>
        <v>1317.4737407546379</v>
      </c>
      <c r="CV65" s="102">
        <f t="shared" si="165"/>
        <v>1319.6695303225624</v>
      </c>
      <c r="CW65" s="102">
        <f t="shared" si="165"/>
        <v>1321.8689795397668</v>
      </c>
      <c r="CX65" s="102">
        <f t="shared" si="165"/>
        <v>1324.0720945056662</v>
      </c>
      <c r="CY65" s="102">
        <f t="shared" si="165"/>
        <v>1326.2788813298423</v>
      </c>
      <c r="CZ65" s="102">
        <f t="shared" si="165"/>
        <v>1328.4893461320587</v>
      </c>
      <c r="DA65" s="102">
        <f t="shared" si="165"/>
        <v>1330.7034950422787</v>
      </c>
      <c r="DB65" s="102">
        <f t="shared" si="165"/>
        <v>1332.9213342006826</v>
      </c>
      <c r="DC65" s="102">
        <f t="shared" si="165"/>
        <v>1335.1428697576839</v>
      </c>
      <c r="DD65" s="102">
        <f t="shared" si="165"/>
        <v>1337.3681078739467</v>
      </c>
      <c r="DE65" s="102">
        <f t="shared" si="165"/>
        <v>1339.5970547204031</v>
      </c>
      <c r="DF65" s="102">
        <f t="shared" si="165"/>
        <v>1341.8297164782707</v>
      </c>
      <c r="DG65" s="102">
        <f t="shared" si="165"/>
        <v>1344.0660993390679</v>
      </c>
      <c r="DH65" s="102">
        <f t="shared" si="165"/>
        <v>1346.306209504633</v>
      </c>
      <c r="DI65" s="102">
        <f t="shared" si="165"/>
        <v>1348.5500531871407</v>
      </c>
      <c r="DJ65" s="102">
        <f t="shared" si="165"/>
        <v>1350.7976366091193</v>
      </c>
      <c r="DK65" s="102">
        <f t="shared" si="165"/>
        <v>1353.0489660034677</v>
      </c>
      <c r="DL65" s="102">
        <f t="shared" si="165"/>
        <v>1355.3040476134736</v>
      </c>
      <c r="DM65" s="102">
        <f t="shared" si="165"/>
        <v>1357.5628876928295</v>
      </c>
      <c r="DN65" s="102">
        <f t="shared" si="165"/>
        <v>1359.825492505651</v>
      </c>
      <c r="DO65" s="102">
        <f t="shared" si="165"/>
        <v>1362.0918683264936</v>
      </c>
      <c r="DP65" s="102">
        <f t="shared" si="165"/>
        <v>1364.3620214403713</v>
      </c>
      <c r="DQ65" s="102">
        <f t="shared" si="165"/>
        <v>1366.6359581427719</v>
      </c>
      <c r="DR65" s="102">
        <f t="shared" si="165"/>
        <v>1368.9136847396765</v>
      </c>
      <c r="DS65" s="102">
        <f t="shared" si="165"/>
        <v>1371.1952075475763</v>
      </c>
      <c r="DT65" s="102">
        <f t="shared" si="165"/>
        <v>1373.480532893489</v>
      </c>
      <c r="DU65" s="102">
        <f t="shared" si="165"/>
        <v>1375.7696671149783</v>
      </c>
      <c r="DV65" s="102">
        <f t="shared" si="165"/>
        <v>1378.06261656017</v>
      </c>
      <c r="DW65" s="102">
        <f t="shared" si="165"/>
        <v>1380.3593875877705</v>
      </c>
      <c r="DX65" s="102">
        <f t="shared" si="165"/>
        <v>1382.6599865670833</v>
      </c>
      <c r="DY65" s="102">
        <f t="shared" si="165"/>
        <v>1384.9644198780286</v>
      </c>
      <c r="DZ65" s="102">
        <f t="shared" si="165"/>
        <v>1387.2726939111587</v>
      </c>
      <c r="EA65" s="102">
        <f t="shared" si="165"/>
        <v>1389.5848150676773</v>
      </c>
      <c r="EB65" s="102">
        <f t="shared" si="165"/>
        <v>1391.9007897594568</v>
      </c>
      <c r="EC65" s="102">
        <f t="shared" si="165"/>
        <v>1394.220624409056</v>
      </c>
      <c r="ED65" s="102">
        <f t="shared" si="165"/>
        <v>1396.5443254497377</v>
      </c>
      <c r="EE65" s="102">
        <f t="shared" si="165"/>
        <v>1398.8718993254874</v>
      </c>
      <c r="EF65" s="102">
        <f t="shared" si="165"/>
        <v>1401.2033524910298</v>
      </c>
      <c r="EG65" s="102">
        <f t="shared" si="165"/>
        <v>1403.5386914118483</v>
      </c>
      <c r="EH65" s="102">
        <f t="shared" si="165"/>
        <v>1405.8779225642015</v>
      </c>
      <c r="EI65" s="102">
        <f t="shared" si="165"/>
        <v>1408.2210524351422</v>
      </c>
      <c r="EJ65" s="102">
        <f t="shared" si="165"/>
        <v>1410.5680875225339</v>
      </c>
      <c r="EK65" s="102">
        <f t="shared" si="165"/>
        <v>1412.9190343350715</v>
      </c>
      <c r="EL65" s="102">
        <f t="shared" si="165"/>
        <v>1415.2738993922965</v>
      </c>
      <c r="EM65" s="102">
        <f t="shared" si="165"/>
        <v>1417.632689224617</v>
      </c>
      <c r="EN65" s="102">
        <f t="shared" si="165"/>
        <v>1419.9954103733248</v>
      </c>
      <c r="EO65" s="102">
        <f t="shared" si="165"/>
        <v>1422.3620693906139</v>
      </c>
      <c r="EP65" s="102">
        <f t="shared" si="165"/>
        <v>1424.7326728395983</v>
      </c>
      <c r="EQ65" s="102">
        <f t="shared" si="165"/>
        <v>1427.1072272943311</v>
      </c>
      <c r="ER65" s="102">
        <f t="shared" si="165"/>
        <v>1429.4857393398217</v>
      </c>
      <c r="ES65" s="102">
        <f t="shared" si="165"/>
        <v>1431.8682155720549</v>
      </c>
      <c r="ET65" s="102">
        <f t="shared" si="165"/>
        <v>1434.2546625980083</v>
      </c>
      <c r="EU65" s="102">
        <f t="shared" si="165"/>
        <v>1436.6450870356718</v>
      </c>
      <c r="EV65" s="102">
        <f t="shared" si="165"/>
        <v>1439.0394955140646</v>
      </c>
      <c r="EW65" s="102">
        <f t="shared" si="165"/>
        <v>1441.4378946732547</v>
      </c>
      <c r="EX65" s="102">
        <f t="shared" si="165"/>
        <v>1443.840291164377</v>
      </c>
      <c r="EY65" s="102">
        <f t="shared" ref="EY65:FB65" si="166">SUM(EY64:EY64)</f>
        <v>1446.246691649651</v>
      </c>
      <c r="EZ65" s="102">
        <f t="shared" si="166"/>
        <v>1448.6571028024005</v>
      </c>
      <c r="FA65" s="102">
        <f t="shared" si="166"/>
        <v>1451.0715313070712</v>
      </c>
      <c r="FB65" s="102">
        <f t="shared" si="166"/>
        <v>1453.4899838592496</v>
      </c>
    </row>
    <row r="66" spans="1:158">
      <c r="B66" s="11" t="s">
        <v>51</v>
      </c>
      <c r="C66" s="11"/>
      <c r="D66" s="216">
        <v>0.7</v>
      </c>
      <c r="E66" s="218">
        <f>$C$63</f>
        <v>56</v>
      </c>
      <c r="F66" s="48">
        <f>IFERROR(G66/E66/12,0)</f>
        <v>19.335750000000001</v>
      </c>
      <c r="G66" s="48">
        <f>J53*C63*D66</f>
        <v>12993.624</v>
      </c>
      <c r="M66" s="62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2"/>
    </row>
    <row r="67" spans="1:158">
      <c r="B67" s="11" t="s">
        <v>109</v>
      </c>
      <c r="C67" s="11"/>
      <c r="D67" s="219"/>
      <c r="E67" s="220">
        <f>$C$63</f>
        <v>56</v>
      </c>
      <c r="F67" s="221">
        <v>0</v>
      </c>
      <c r="G67" s="104">
        <f>F67*E67*12</f>
        <v>0</v>
      </c>
      <c r="I67" s="72" t="s">
        <v>110</v>
      </c>
      <c r="J67" s="73"/>
      <c r="K67" s="64"/>
      <c r="L67" s="72">
        <f>SUMIF($Z$4:$FB$4,"&lt;="&amp;$G$18,$Z67:$FB67)</f>
        <v>5850673.9451366728</v>
      </c>
      <c r="M67" s="58"/>
      <c r="N67" s="72">
        <f>SUMIF($Z$3:$FB$3,N$7,$Z67:$FB67)</f>
        <v>0</v>
      </c>
      <c r="O67" s="72">
        <f t="shared" ref="O67:X67" si="167">SUMIF($Z$3:$FB$3,O$7,$Z67:$FB67)</f>
        <v>510504.42738641205</v>
      </c>
      <c r="P67" s="72">
        <f t="shared" si="167"/>
        <v>534918.48090242269</v>
      </c>
      <c r="Q67" s="72">
        <f t="shared" si="167"/>
        <v>554820.79641616461</v>
      </c>
      <c r="R67" s="72">
        <f t="shared" si="167"/>
        <v>571415.57637479075</v>
      </c>
      <c r="S67" s="72">
        <f t="shared" si="167"/>
        <v>582949.23161029001</v>
      </c>
      <c r="T67" s="72">
        <f t="shared" si="167"/>
        <v>594715.68624537031</v>
      </c>
      <c r="U67" s="72">
        <f t="shared" si="167"/>
        <v>606719.63918591512</v>
      </c>
      <c r="V67" s="72">
        <f t="shared" si="167"/>
        <v>618965.88418219599</v>
      </c>
      <c r="W67" s="72">
        <f t="shared" si="167"/>
        <v>631459.31174324488</v>
      </c>
      <c r="X67" s="72">
        <f t="shared" si="167"/>
        <v>644204.91108986712</v>
      </c>
      <c r="Y67" s="58"/>
      <c r="Z67" s="72">
        <f t="shared" ref="Z67:BE67" si="168">(Z61-Z65)*(Z4&lt;=$G$18)</f>
        <v>0</v>
      </c>
      <c r="AA67" s="72">
        <f t="shared" si="168"/>
        <v>41547.970966946123</v>
      </c>
      <c r="AB67" s="72">
        <f t="shared" si="168"/>
        <v>41617.21758522436</v>
      </c>
      <c r="AC67" s="72">
        <f t="shared" si="168"/>
        <v>41686.579614533068</v>
      </c>
      <c r="AD67" s="72">
        <f t="shared" si="168"/>
        <v>41756.057247223958</v>
      </c>
      <c r="AE67" s="72">
        <f t="shared" si="168"/>
        <v>41825.650675969337</v>
      </c>
      <c r="AF67" s="72">
        <f t="shared" si="168"/>
        <v>41895.360093762632</v>
      </c>
      <c r="AG67" s="72">
        <f t="shared" si="168"/>
        <v>41965.185693918895</v>
      </c>
      <c r="AH67" s="72">
        <f t="shared" si="168"/>
        <v>43496.849751986723</v>
      </c>
      <c r="AI67" s="72">
        <f t="shared" si="168"/>
        <v>43569.344501573367</v>
      </c>
      <c r="AJ67" s="72">
        <f t="shared" si="168"/>
        <v>43641.960075742682</v>
      </c>
      <c r="AK67" s="72">
        <f t="shared" si="168"/>
        <v>43714.696675868909</v>
      </c>
      <c r="AL67" s="72">
        <f t="shared" si="168"/>
        <v>43787.554503662024</v>
      </c>
      <c r="AM67" s="72">
        <f t="shared" si="168"/>
        <v>43860.533761168124</v>
      </c>
      <c r="AN67" s="72">
        <f t="shared" si="168"/>
        <v>43933.634650770073</v>
      </c>
      <c r="AO67" s="72">
        <f t="shared" si="168"/>
        <v>44006.857375188025</v>
      </c>
      <c r="AP67" s="72">
        <f t="shared" si="168"/>
        <v>44080.20213748001</v>
      </c>
      <c r="AQ67" s="72">
        <f t="shared" si="168"/>
        <v>44153.66914104249</v>
      </c>
      <c r="AR67" s="72">
        <f t="shared" si="168"/>
        <v>44227.258589610887</v>
      </c>
      <c r="AS67" s="72">
        <f t="shared" si="168"/>
        <v>44300.970687260255</v>
      </c>
      <c r="AT67" s="72">
        <f t="shared" si="168"/>
        <v>45120.418638565752</v>
      </c>
      <c r="AU67" s="72">
        <f t="shared" si="168"/>
        <v>45195.61933629671</v>
      </c>
      <c r="AV67" s="72">
        <f t="shared" si="168"/>
        <v>45270.94536852387</v>
      </c>
      <c r="AW67" s="72">
        <f t="shared" si="168"/>
        <v>45346.396944138076</v>
      </c>
      <c r="AX67" s="72">
        <f t="shared" si="168"/>
        <v>45421.974272378313</v>
      </c>
      <c r="AY67" s="72">
        <f t="shared" si="168"/>
        <v>45497.677562832265</v>
      </c>
      <c r="AZ67" s="72">
        <f t="shared" si="168"/>
        <v>45573.507025437</v>
      </c>
      <c r="BA67" s="72">
        <f t="shared" si="168"/>
        <v>45649.462870479409</v>
      </c>
      <c r="BB67" s="72">
        <f t="shared" si="168"/>
        <v>45725.545308596862</v>
      </c>
      <c r="BC67" s="72">
        <f t="shared" si="168"/>
        <v>45801.754550777856</v>
      </c>
      <c r="BD67" s="72">
        <f t="shared" si="168"/>
        <v>45878.090808362518</v>
      </c>
      <c r="BE67" s="72">
        <f t="shared" si="168"/>
        <v>45954.554293043104</v>
      </c>
      <c r="BF67" s="72">
        <f t="shared" ref="BF67:CK67" si="169">(BF61-BF65)*(BF4&lt;=$G$18)</f>
        <v>46791.807935020894</v>
      </c>
      <c r="BG67" s="72">
        <f t="shared" si="169"/>
        <v>46869.794281579256</v>
      </c>
      <c r="BH67" s="72">
        <f t="shared" si="169"/>
        <v>46947.910605381905</v>
      </c>
      <c r="BI67" s="72">
        <f t="shared" si="169"/>
        <v>47026.157123057536</v>
      </c>
      <c r="BJ67" s="72">
        <f t="shared" si="169"/>
        <v>47104.534051595954</v>
      </c>
      <c r="BK67" s="72">
        <f t="shared" si="169"/>
        <v>47183.041608348634</v>
      </c>
      <c r="BL67" s="72">
        <f t="shared" si="169"/>
        <v>47261.680011029195</v>
      </c>
      <c r="BM67" s="72">
        <f t="shared" si="169"/>
        <v>47340.449477714261</v>
      </c>
      <c r="BN67" s="72">
        <f t="shared" si="169"/>
        <v>47419.350226843781</v>
      </c>
      <c r="BO67" s="72">
        <f t="shared" si="169"/>
        <v>47498.382477221872</v>
      </c>
      <c r="BP67" s="72">
        <f t="shared" si="169"/>
        <v>47577.546448017238</v>
      </c>
      <c r="BQ67" s="72">
        <f t="shared" si="169"/>
        <v>47656.842358763934</v>
      </c>
      <c r="BR67" s="72">
        <f t="shared" si="169"/>
        <v>47736.270429361874</v>
      </c>
      <c r="BS67" s="72">
        <f t="shared" si="169"/>
        <v>47815.830880077498</v>
      </c>
      <c r="BT67" s="72">
        <f t="shared" si="169"/>
        <v>47895.523931544281</v>
      </c>
      <c r="BU67" s="72">
        <f t="shared" si="169"/>
        <v>47975.349804763515</v>
      </c>
      <c r="BV67" s="72">
        <f t="shared" si="169"/>
        <v>48055.308721104782</v>
      </c>
      <c r="BW67" s="72">
        <f t="shared" si="169"/>
        <v>48135.400902306639</v>
      </c>
      <c r="BX67" s="72">
        <f t="shared" si="169"/>
        <v>48215.626570477158</v>
      </c>
      <c r="BY67" s="72">
        <f t="shared" si="169"/>
        <v>48295.985948094603</v>
      </c>
      <c r="BZ67" s="72">
        <f t="shared" si="169"/>
        <v>48376.479258008105</v>
      </c>
      <c r="CA67" s="72">
        <f t="shared" si="169"/>
        <v>48457.106723438126</v>
      </c>
      <c r="CB67" s="72">
        <f t="shared" si="169"/>
        <v>48537.868567977188</v>
      </c>
      <c r="CC67" s="72">
        <f t="shared" si="169"/>
        <v>48618.765015590485</v>
      </c>
      <c r="CD67" s="72">
        <f t="shared" si="169"/>
        <v>48699.796290616483</v>
      </c>
      <c r="CE67" s="72">
        <f t="shared" si="169"/>
        <v>48780.962617767509</v>
      </c>
      <c r="CF67" s="72">
        <f t="shared" si="169"/>
        <v>48862.264222130456</v>
      </c>
      <c r="CG67" s="72">
        <f t="shared" si="169"/>
        <v>48943.701329167328</v>
      </c>
      <c r="CH67" s="72">
        <f t="shared" si="169"/>
        <v>49025.274164715942</v>
      </c>
      <c r="CI67" s="72">
        <f t="shared" si="169"/>
        <v>49106.982954990483</v>
      </c>
      <c r="CJ67" s="72">
        <f t="shared" si="169"/>
        <v>49188.827926582133</v>
      </c>
      <c r="CK67" s="72">
        <f t="shared" si="169"/>
        <v>49270.809306459756</v>
      </c>
      <c r="CL67" s="72">
        <f t="shared" ref="CL67:DQ67" si="170">(CL61-CL65)*(CL4&lt;=$G$18)</f>
        <v>49352.92732197055</v>
      </c>
      <c r="CM67" s="72">
        <f t="shared" si="170"/>
        <v>49435.182200840485</v>
      </c>
      <c r="CN67" s="72">
        <f t="shared" si="170"/>
        <v>49517.57417117522</v>
      </c>
      <c r="CO67" s="72">
        <f t="shared" si="170"/>
        <v>49600.103461460509</v>
      </c>
      <c r="CP67" s="72">
        <f t="shared" si="170"/>
        <v>49682.770300562945</v>
      </c>
      <c r="CQ67" s="72">
        <f t="shared" si="170"/>
        <v>49765.574917730548</v>
      </c>
      <c r="CR67" s="72">
        <f t="shared" si="170"/>
        <v>49848.517542593443</v>
      </c>
      <c r="CS67" s="72">
        <f t="shared" si="170"/>
        <v>49931.598405164426</v>
      </c>
      <c r="CT67" s="72">
        <f t="shared" si="170"/>
        <v>50014.817735839708</v>
      </c>
      <c r="CU67" s="72">
        <f t="shared" si="170"/>
        <v>50098.175765399428</v>
      </c>
      <c r="CV67" s="72">
        <f t="shared" si="170"/>
        <v>50181.672725008422</v>
      </c>
      <c r="CW67" s="72">
        <f t="shared" si="170"/>
        <v>50265.308846216794</v>
      </c>
      <c r="CX67" s="72">
        <f t="shared" si="170"/>
        <v>50349.084360960471</v>
      </c>
      <c r="CY67" s="72">
        <f t="shared" si="170"/>
        <v>50432.999501562103</v>
      </c>
      <c r="CZ67" s="72">
        <f t="shared" si="170"/>
        <v>50517.054500731349</v>
      </c>
      <c r="DA67" s="72">
        <f t="shared" si="170"/>
        <v>50601.249591565916</v>
      </c>
      <c r="DB67" s="72">
        <f t="shared" si="170"/>
        <v>50685.585007551854</v>
      </c>
      <c r="DC67" s="72">
        <f t="shared" si="170"/>
        <v>50770.060982564442</v>
      </c>
      <c r="DD67" s="72">
        <f t="shared" si="170"/>
        <v>50854.677750868708</v>
      </c>
      <c r="DE67" s="72">
        <f t="shared" si="170"/>
        <v>50939.435547120163</v>
      </c>
      <c r="DF67" s="72">
        <f t="shared" si="170"/>
        <v>51024.334606365366</v>
      </c>
      <c r="DG67" s="72">
        <f t="shared" si="170"/>
        <v>51109.375164042649</v>
      </c>
      <c r="DH67" s="72">
        <f t="shared" si="170"/>
        <v>51194.557455982736</v>
      </c>
      <c r="DI67" s="72">
        <f t="shared" si="170"/>
        <v>51279.881718409357</v>
      </c>
      <c r="DJ67" s="72">
        <f t="shared" si="170"/>
        <v>51365.34818794005</v>
      </c>
      <c r="DK67" s="72">
        <f t="shared" si="170"/>
        <v>51450.957101586609</v>
      </c>
      <c r="DL67" s="72">
        <f t="shared" si="170"/>
        <v>51536.708696755923</v>
      </c>
      <c r="DM67" s="72">
        <f t="shared" si="170"/>
        <v>51622.60321125052</v>
      </c>
      <c r="DN67" s="72">
        <f t="shared" si="170"/>
        <v>51708.640883269269</v>
      </c>
      <c r="DO67" s="72">
        <f t="shared" si="170"/>
        <v>51794.82195140807</v>
      </c>
      <c r="DP67" s="72">
        <f t="shared" si="170"/>
        <v>51881.146654660413</v>
      </c>
      <c r="DQ67" s="72">
        <f t="shared" si="170"/>
        <v>51967.615232418182</v>
      </c>
      <c r="DR67" s="72">
        <f t="shared" ref="DR67:FB67" si="171">(DR61-DR65)*(DR4&lt;=$G$18)</f>
        <v>52054.227924472238</v>
      </c>
      <c r="DS67" s="72">
        <f t="shared" si="171"/>
        <v>52140.984971013022</v>
      </c>
      <c r="DT67" s="72">
        <f t="shared" si="171"/>
        <v>52227.886612631366</v>
      </c>
      <c r="DU67" s="72">
        <f t="shared" si="171"/>
        <v>52314.933090319093</v>
      </c>
      <c r="DV67" s="72">
        <f t="shared" si="171"/>
        <v>52402.124645469616</v>
      </c>
      <c r="DW67" s="72">
        <f t="shared" si="171"/>
        <v>52489.461519878736</v>
      </c>
      <c r="DX67" s="72">
        <f t="shared" si="171"/>
        <v>52576.943955745213</v>
      </c>
      <c r="DY67" s="72">
        <f t="shared" si="171"/>
        <v>52664.572195671455</v>
      </c>
      <c r="DZ67" s="72">
        <f t="shared" si="171"/>
        <v>52752.346482664245</v>
      </c>
      <c r="EA67" s="72">
        <f t="shared" si="171"/>
        <v>52840.267060135353</v>
      </c>
      <c r="EB67" s="72">
        <f t="shared" si="171"/>
        <v>52928.334171902257</v>
      </c>
      <c r="EC67" s="72">
        <f t="shared" si="171"/>
        <v>53016.548062188755</v>
      </c>
      <c r="ED67" s="72">
        <f t="shared" si="171"/>
        <v>53104.908975625753</v>
      </c>
      <c r="EE67" s="72">
        <f t="shared" si="171"/>
        <v>53193.417157251788</v>
      </c>
      <c r="EF67" s="72">
        <f t="shared" si="171"/>
        <v>53282.072852513884</v>
      </c>
      <c r="EG67" s="72">
        <f t="shared" si="171"/>
        <v>53370.876307268067</v>
      </c>
      <c r="EH67" s="72">
        <f t="shared" si="171"/>
        <v>53459.827767780174</v>
      </c>
      <c r="EI67" s="72">
        <f t="shared" si="171"/>
        <v>53548.927480726503</v>
      </c>
      <c r="EJ67" s="72">
        <f t="shared" si="171"/>
        <v>53638.175693194382</v>
      </c>
      <c r="EK67" s="72">
        <f t="shared" si="171"/>
        <v>53727.57265268304</v>
      </c>
      <c r="EL67" s="72">
        <f t="shared" si="171"/>
        <v>53817.118607104188</v>
      </c>
      <c r="EM67" s="72">
        <f t="shared" si="171"/>
        <v>53906.813804782701</v>
      </c>
      <c r="EN67" s="72">
        <f t="shared" si="171"/>
        <v>53996.658494457341</v>
      </c>
      <c r="EO67" s="72">
        <f t="shared" si="171"/>
        <v>54086.652925281422</v>
      </c>
      <c r="EP67" s="72">
        <f t="shared" si="171"/>
        <v>54176.79734682358</v>
      </c>
      <c r="EQ67" s="72">
        <f t="shared" si="171"/>
        <v>0</v>
      </c>
      <c r="ER67" s="72">
        <f t="shared" si="171"/>
        <v>0</v>
      </c>
      <c r="ES67" s="72">
        <f t="shared" si="171"/>
        <v>0</v>
      </c>
      <c r="ET67" s="72">
        <f t="shared" si="171"/>
        <v>0</v>
      </c>
      <c r="EU67" s="72">
        <f t="shared" si="171"/>
        <v>0</v>
      </c>
      <c r="EV67" s="72">
        <f t="shared" si="171"/>
        <v>0</v>
      </c>
      <c r="EW67" s="72">
        <f t="shared" si="171"/>
        <v>0</v>
      </c>
      <c r="EX67" s="72">
        <f t="shared" si="171"/>
        <v>0</v>
      </c>
      <c r="EY67" s="72">
        <f t="shared" si="171"/>
        <v>0</v>
      </c>
      <c r="EZ67" s="72">
        <f t="shared" si="171"/>
        <v>0</v>
      </c>
      <c r="FA67" s="72">
        <f t="shared" si="171"/>
        <v>0</v>
      </c>
      <c r="FB67" s="72">
        <f t="shared" si="171"/>
        <v>0</v>
      </c>
    </row>
    <row r="68" spans="1:158">
      <c r="B68" s="105" t="s">
        <v>84</v>
      </c>
      <c r="C68" s="105"/>
      <c r="D68" s="185">
        <f>G68/$G$63</f>
        <v>6.071771812406538E-2</v>
      </c>
      <c r="E68" s="217">
        <f>$C$63</f>
        <v>56</v>
      </c>
      <c r="F68" s="183">
        <v>75</v>
      </c>
      <c r="G68" s="106">
        <f>E68*F68*12</f>
        <v>50400</v>
      </c>
      <c r="I68" s="15"/>
      <c r="N68" s="31">
        <f t="shared" ref="N68" si="172">IFERROR(N67/N38,0)</f>
        <v>0</v>
      </c>
      <c r="O68" s="31">
        <f>IFERROR(O67/O38,0)</f>
        <v>0.63654070178199229</v>
      </c>
      <c r="P68" s="31">
        <f t="shared" ref="P68:X68" si="173">IFERROR(P67/P38,0)</f>
        <v>0.6424801172637814</v>
      </c>
      <c r="Q68" s="31">
        <f t="shared" si="173"/>
        <v>0.64613217506804843</v>
      </c>
      <c r="R68" s="31">
        <f t="shared" si="173"/>
        <v>0.6482176049485745</v>
      </c>
      <c r="S68" s="31">
        <f t="shared" si="173"/>
        <v>0.6482176049485745</v>
      </c>
      <c r="T68" s="31">
        <f t="shared" si="173"/>
        <v>0.64821760494857461</v>
      </c>
      <c r="U68" s="31">
        <f t="shared" si="173"/>
        <v>0.64821760494857461</v>
      </c>
      <c r="V68" s="31">
        <f t="shared" si="173"/>
        <v>0.64821760494857461</v>
      </c>
      <c r="W68" s="31">
        <f t="shared" si="173"/>
        <v>0.64821760494857472</v>
      </c>
      <c r="X68" s="31">
        <f t="shared" si="173"/>
        <v>0.64821760494857483</v>
      </c>
    </row>
    <row r="69" spans="1:158">
      <c r="B69" s="94" t="s">
        <v>58</v>
      </c>
      <c r="C69" s="94"/>
      <c r="D69" s="184">
        <f>G69/$G$63</f>
        <v>7.6371353033630671E-2</v>
      </c>
      <c r="E69" s="94"/>
      <c r="F69" s="169"/>
      <c r="G69" s="170">
        <f>SUM(G66:G68)</f>
        <v>63393.623999999996</v>
      </c>
      <c r="I69" s="9" t="s">
        <v>111</v>
      </c>
      <c r="L69" s="46">
        <f>SUMIF($Z$4:$FB$4,"&lt;="&amp;$G$18,$Z69:$FB69)</f>
        <v>0</v>
      </c>
      <c r="M69" s="62"/>
      <c r="N69" s="61">
        <f>SUMIF($Z$3:$FB$3,N$7,$Z69:$FB69)</f>
        <v>0</v>
      </c>
      <c r="O69" s="61">
        <f t="shared" ref="O69:X69" si="174">SUMIF($Z$3:$FB$3,O$7,$Z69:$FB69)</f>
        <v>0</v>
      </c>
      <c r="P69" s="61">
        <f t="shared" si="174"/>
        <v>0</v>
      </c>
      <c r="Q69" s="61">
        <f t="shared" si="174"/>
        <v>0</v>
      </c>
      <c r="R69" s="61">
        <f t="shared" si="174"/>
        <v>0</v>
      </c>
      <c r="S69" s="61">
        <f t="shared" si="174"/>
        <v>0</v>
      </c>
      <c r="T69" s="61">
        <f t="shared" si="174"/>
        <v>0</v>
      </c>
      <c r="U69" s="61">
        <f t="shared" si="174"/>
        <v>0</v>
      </c>
      <c r="V69" s="61">
        <f t="shared" si="174"/>
        <v>0</v>
      </c>
      <c r="W69" s="61">
        <f t="shared" si="174"/>
        <v>0</v>
      </c>
      <c r="X69" s="61">
        <f t="shared" si="174"/>
        <v>0</v>
      </c>
      <c r="Y69" s="62"/>
      <c r="Z69" s="24">
        <f>IF(Z6&lt;=$F$18,MIN(Z67,0),0)</f>
        <v>0</v>
      </c>
      <c r="AA69" s="24">
        <f>AA67*(AA67&lt;0)</f>
        <v>0</v>
      </c>
      <c r="AB69" s="24">
        <f t="shared" ref="AB69:CM69" si="175">AB67*(AB67&lt;0)</f>
        <v>0</v>
      </c>
      <c r="AC69" s="24">
        <f t="shared" si="175"/>
        <v>0</v>
      </c>
      <c r="AD69" s="24">
        <f t="shared" si="175"/>
        <v>0</v>
      </c>
      <c r="AE69" s="24">
        <f t="shared" si="175"/>
        <v>0</v>
      </c>
      <c r="AF69" s="24">
        <f t="shared" si="175"/>
        <v>0</v>
      </c>
      <c r="AG69" s="24">
        <f t="shared" si="175"/>
        <v>0</v>
      </c>
      <c r="AH69" s="24">
        <f t="shared" si="175"/>
        <v>0</v>
      </c>
      <c r="AI69" s="24">
        <f t="shared" si="175"/>
        <v>0</v>
      </c>
      <c r="AJ69" s="24">
        <f t="shared" si="175"/>
        <v>0</v>
      </c>
      <c r="AK69" s="24">
        <f t="shared" si="175"/>
        <v>0</v>
      </c>
      <c r="AL69" s="24">
        <f t="shared" si="175"/>
        <v>0</v>
      </c>
      <c r="AM69" s="24">
        <f t="shared" si="175"/>
        <v>0</v>
      </c>
      <c r="AN69" s="24">
        <f t="shared" si="175"/>
        <v>0</v>
      </c>
      <c r="AO69" s="24">
        <f t="shared" si="175"/>
        <v>0</v>
      </c>
      <c r="AP69" s="24">
        <f t="shared" si="175"/>
        <v>0</v>
      </c>
      <c r="AQ69" s="24">
        <f t="shared" si="175"/>
        <v>0</v>
      </c>
      <c r="AR69" s="24">
        <f t="shared" si="175"/>
        <v>0</v>
      </c>
      <c r="AS69" s="24">
        <f t="shared" si="175"/>
        <v>0</v>
      </c>
      <c r="AT69" s="24">
        <f t="shared" si="175"/>
        <v>0</v>
      </c>
      <c r="AU69" s="24">
        <f t="shared" si="175"/>
        <v>0</v>
      </c>
      <c r="AV69" s="24">
        <f t="shared" si="175"/>
        <v>0</v>
      </c>
      <c r="AW69" s="24">
        <f t="shared" si="175"/>
        <v>0</v>
      </c>
      <c r="AX69" s="24">
        <f t="shared" si="175"/>
        <v>0</v>
      </c>
      <c r="AY69" s="24">
        <f t="shared" si="175"/>
        <v>0</v>
      </c>
      <c r="AZ69" s="24">
        <f t="shared" si="175"/>
        <v>0</v>
      </c>
      <c r="BA69" s="24">
        <f t="shared" si="175"/>
        <v>0</v>
      </c>
      <c r="BB69" s="24">
        <f t="shared" si="175"/>
        <v>0</v>
      </c>
      <c r="BC69" s="24">
        <f t="shared" si="175"/>
        <v>0</v>
      </c>
      <c r="BD69" s="24">
        <f t="shared" si="175"/>
        <v>0</v>
      </c>
      <c r="BE69" s="24">
        <f t="shared" si="175"/>
        <v>0</v>
      </c>
      <c r="BF69" s="24">
        <f t="shared" si="175"/>
        <v>0</v>
      </c>
      <c r="BG69" s="24">
        <f t="shared" si="175"/>
        <v>0</v>
      </c>
      <c r="BH69" s="24">
        <f t="shared" si="175"/>
        <v>0</v>
      </c>
      <c r="BI69" s="24">
        <f t="shared" si="175"/>
        <v>0</v>
      </c>
      <c r="BJ69" s="24">
        <f t="shared" si="175"/>
        <v>0</v>
      </c>
      <c r="BK69" s="24">
        <f t="shared" si="175"/>
        <v>0</v>
      </c>
      <c r="BL69" s="24">
        <f t="shared" si="175"/>
        <v>0</v>
      </c>
      <c r="BM69" s="24">
        <f t="shared" si="175"/>
        <v>0</v>
      </c>
      <c r="BN69" s="24">
        <f t="shared" si="175"/>
        <v>0</v>
      </c>
      <c r="BO69" s="24">
        <f t="shared" si="175"/>
        <v>0</v>
      </c>
      <c r="BP69" s="24">
        <f t="shared" si="175"/>
        <v>0</v>
      </c>
      <c r="BQ69" s="24">
        <f t="shared" si="175"/>
        <v>0</v>
      </c>
      <c r="BR69" s="24">
        <f t="shared" si="175"/>
        <v>0</v>
      </c>
      <c r="BS69" s="24">
        <f t="shared" si="175"/>
        <v>0</v>
      </c>
      <c r="BT69" s="24">
        <f t="shared" si="175"/>
        <v>0</v>
      </c>
      <c r="BU69" s="24">
        <f t="shared" si="175"/>
        <v>0</v>
      </c>
      <c r="BV69" s="24">
        <f t="shared" si="175"/>
        <v>0</v>
      </c>
      <c r="BW69" s="24">
        <f t="shared" si="175"/>
        <v>0</v>
      </c>
      <c r="BX69" s="24">
        <f t="shared" si="175"/>
        <v>0</v>
      </c>
      <c r="BY69" s="24">
        <f t="shared" si="175"/>
        <v>0</v>
      </c>
      <c r="BZ69" s="24">
        <f t="shared" si="175"/>
        <v>0</v>
      </c>
      <c r="CA69" s="24">
        <f t="shared" si="175"/>
        <v>0</v>
      </c>
      <c r="CB69" s="24">
        <f t="shared" si="175"/>
        <v>0</v>
      </c>
      <c r="CC69" s="24">
        <f t="shared" si="175"/>
        <v>0</v>
      </c>
      <c r="CD69" s="24">
        <f t="shared" si="175"/>
        <v>0</v>
      </c>
      <c r="CE69" s="24">
        <f t="shared" si="175"/>
        <v>0</v>
      </c>
      <c r="CF69" s="24">
        <f t="shared" si="175"/>
        <v>0</v>
      </c>
      <c r="CG69" s="24">
        <f t="shared" si="175"/>
        <v>0</v>
      </c>
      <c r="CH69" s="24">
        <f t="shared" si="175"/>
        <v>0</v>
      </c>
      <c r="CI69" s="24">
        <f t="shared" si="175"/>
        <v>0</v>
      </c>
      <c r="CJ69" s="24">
        <f t="shared" si="175"/>
        <v>0</v>
      </c>
      <c r="CK69" s="24">
        <f t="shared" si="175"/>
        <v>0</v>
      </c>
      <c r="CL69" s="24">
        <f t="shared" si="175"/>
        <v>0</v>
      </c>
      <c r="CM69" s="24">
        <f t="shared" si="175"/>
        <v>0</v>
      </c>
      <c r="CN69" s="24">
        <f t="shared" ref="CN69:EY69" si="176">CN67*(CN67&lt;0)</f>
        <v>0</v>
      </c>
      <c r="CO69" s="24">
        <f t="shared" si="176"/>
        <v>0</v>
      </c>
      <c r="CP69" s="24">
        <f t="shared" si="176"/>
        <v>0</v>
      </c>
      <c r="CQ69" s="24">
        <f t="shared" si="176"/>
        <v>0</v>
      </c>
      <c r="CR69" s="24">
        <f t="shared" si="176"/>
        <v>0</v>
      </c>
      <c r="CS69" s="24">
        <f t="shared" si="176"/>
        <v>0</v>
      </c>
      <c r="CT69" s="24">
        <f t="shared" si="176"/>
        <v>0</v>
      </c>
      <c r="CU69" s="24">
        <f t="shared" si="176"/>
        <v>0</v>
      </c>
      <c r="CV69" s="24">
        <f t="shared" si="176"/>
        <v>0</v>
      </c>
      <c r="CW69" s="24">
        <f t="shared" si="176"/>
        <v>0</v>
      </c>
      <c r="CX69" s="24">
        <f t="shared" si="176"/>
        <v>0</v>
      </c>
      <c r="CY69" s="24">
        <f t="shared" si="176"/>
        <v>0</v>
      </c>
      <c r="CZ69" s="24">
        <f t="shared" si="176"/>
        <v>0</v>
      </c>
      <c r="DA69" s="24">
        <f t="shared" si="176"/>
        <v>0</v>
      </c>
      <c r="DB69" s="24">
        <f t="shared" si="176"/>
        <v>0</v>
      </c>
      <c r="DC69" s="24">
        <f t="shared" si="176"/>
        <v>0</v>
      </c>
      <c r="DD69" s="24">
        <f t="shared" si="176"/>
        <v>0</v>
      </c>
      <c r="DE69" s="24">
        <f t="shared" si="176"/>
        <v>0</v>
      </c>
      <c r="DF69" s="24">
        <f t="shared" si="176"/>
        <v>0</v>
      </c>
      <c r="DG69" s="24">
        <f t="shared" si="176"/>
        <v>0</v>
      </c>
      <c r="DH69" s="24">
        <f t="shared" si="176"/>
        <v>0</v>
      </c>
      <c r="DI69" s="24">
        <f t="shared" si="176"/>
        <v>0</v>
      </c>
      <c r="DJ69" s="24">
        <f t="shared" si="176"/>
        <v>0</v>
      </c>
      <c r="DK69" s="24">
        <f t="shared" si="176"/>
        <v>0</v>
      </c>
      <c r="DL69" s="24">
        <f t="shared" si="176"/>
        <v>0</v>
      </c>
      <c r="DM69" s="24">
        <f t="shared" si="176"/>
        <v>0</v>
      </c>
      <c r="DN69" s="24">
        <f t="shared" si="176"/>
        <v>0</v>
      </c>
      <c r="DO69" s="24">
        <f t="shared" si="176"/>
        <v>0</v>
      </c>
      <c r="DP69" s="24">
        <f t="shared" si="176"/>
        <v>0</v>
      </c>
      <c r="DQ69" s="24">
        <f t="shared" si="176"/>
        <v>0</v>
      </c>
      <c r="DR69" s="24">
        <f t="shared" si="176"/>
        <v>0</v>
      </c>
      <c r="DS69" s="24">
        <f t="shared" si="176"/>
        <v>0</v>
      </c>
      <c r="DT69" s="24">
        <f t="shared" si="176"/>
        <v>0</v>
      </c>
      <c r="DU69" s="24">
        <f t="shared" si="176"/>
        <v>0</v>
      </c>
      <c r="DV69" s="24">
        <f t="shared" si="176"/>
        <v>0</v>
      </c>
      <c r="DW69" s="24">
        <f t="shared" si="176"/>
        <v>0</v>
      </c>
      <c r="DX69" s="24">
        <f t="shared" si="176"/>
        <v>0</v>
      </c>
      <c r="DY69" s="24">
        <f t="shared" si="176"/>
        <v>0</v>
      </c>
      <c r="DZ69" s="24">
        <f t="shared" si="176"/>
        <v>0</v>
      </c>
      <c r="EA69" s="24">
        <f t="shared" si="176"/>
        <v>0</v>
      </c>
      <c r="EB69" s="24">
        <f t="shared" si="176"/>
        <v>0</v>
      </c>
      <c r="EC69" s="24">
        <f t="shared" si="176"/>
        <v>0</v>
      </c>
      <c r="ED69" s="24">
        <f t="shared" si="176"/>
        <v>0</v>
      </c>
      <c r="EE69" s="24">
        <f t="shared" si="176"/>
        <v>0</v>
      </c>
      <c r="EF69" s="24">
        <f t="shared" si="176"/>
        <v>0</v>
      </c>
      <c r="EG69" s="24">
        <f t="shared" si="176"/>
        <v>0</v>
      </c>
      <c r="EH69" s="24">
        <f t="shared" si="176"/>
        <v>0</v>
      </c>
      <c r="EI69" s="24">
        <f t="shared" si="176"/>
        <v>0</v>
      </c>
      <c r="EJ69" s="24">
        <f t="shared" si="176"/>
        <v>0</v>
      </c>
      <c r="EK69" s="24">
        <f t="shared" si="176"/>
        <v>0</v>
      </c>
      <c r="EL69" s="24">
        <f t="shared" si="176"/>
        <v>0</v>
      </c>
      <c r="EM69" s="24">
        <f t="shared" si="176"/>
        <v>0</v>
      </c>
      <c r="EN69" s="24">
        <f t="shared" si="176"/>
        <v>0</v>
      </c>
      <c r="EO69" s="24">
        <f t="shared" si="176"/>
        <v>0</v>
      </c>
      <c r="EP69" s="24">
        <f t="shared" si="176"/>
        <v>0</v>
      </c>
      <c r="EQ69" s="24">
        <f t="shared" si="176"/>
        <v>0</v>
      </c>
      <c r="ER69" s="24">
        <f t="shared" si="176"/>
        <v>0</v>
      </c>
      <c r="ES69" s="24">
        <f t="shared" si="176"/>
        <v>0</v>
      </c>
      <c r="ET69" s="24">
        <f t="shared" si="176"/>
        <v>0</v>
      </c>
      <c r="EU69" s="24">
        <f t="shared" si="176"/>
        <v>0</v>
      </c>
      <c r="EV69" s="24">
        <f t="shared" si="176"/>
        <v>0</v>
      </c>
      <c r="EW69" s="24">
        <f t="shared" si="176"/>
        <v>0</v>
      </c>
      <c r="EX69" s="24">
        <f t="shared" si="176"/>
        <v>0</v>
      </c>
      <c r="EY69" s="24">
        <f t="shared" si="176"/>
        <v>0</v>
      </c>
      <c r="EZ69" s="24">
        <f t="shared" ref="EZ69:FB69" si="177">EZ67*(EZ67&lt;0)</f>
        <v>0</v>
      </c>
      <c r="FA69" s="24">
        <f t="shared" si="177"/>
        <v>0</v>
      </c>
      <c r="FB69" s="24">
        <f t="shared" si="177"/>
        <v>0</v>
      </c>
    </row>
    <row r="70" spans="1:158">
      <c r="A70" s="46"/>
      <c r="B70" s="11"/>
      <c r="C70" s="11"/>
      <c r="D70" s="11"/>
      <c r="E70" s="11"/>
      <c r="F70" s="11"/>
      <c r="G70" s="11"/>
      <c r="H70" s="64"/>
      <c r="I70" s="15"/>
    </row>
    <row r="71" spans="1:158" s="24" customFormat="1">
      <c r="A71" s="9"/>
      <c r="B71" s="35" t="s">
        <v>112</v>
      </c>
      <c r="C71" s="45">
        <f>IF(MONTH(D15)=12,YEAR(D15)+1,YEAR(D15))</f>
        <v>2026</v>
      </c>
      <c r="D71" s="45">
        <f>C71+1</f>
        <v>2027</v>
      </c>
      <c r="E71" s="45">
        <f>D71+1</f>
        <v>2028</v>
      </c>
      <c r="F71" s="45">
        <f>E71+1</f>
        <v>2029</v>
      </c>
      <c r="G71" s="107">
        <f>F71+1</f>
        <v>2030</v>
      </c>
      <c r="H71" s="11"/>
      <c r="I71" s="9" t="s">
        <v>113</v>
      </c>
      <c r="J71" s="9"/>
      <c r="K71" s="11"/>
      <c r="L71" s="24">
        <f ca="1">INDEX($Z$71:$FB$71,MATCH(G18,$Z$4:$FB$4,0))</f>
        <v>644204.91108986712</v>
      </c>
      <c r="M71" s="62"/>
      <c r="N71" s="61">
        <f t="shared" ref="N71:X71" ca="1" si="178">SUMIF($Z$3:$FB$3,N$7,$Z71:$FB71)</f>
        <v>0</v>
      </c>
      <c r="O71" s="61">
        <f t="shared" ca="1" si="178"/>
        <v>0</v>
      </c>
      <c r="P71" s="61">
        <f t="shared" ca="1" si="178"/>
        <v>6296774.4186144248</v>
      </c>
      <c r="Q71" s="61">
        <f t="shared" ca="1" si="178"/>
        <v>6547728.8686182201</v>
      </c>
      <c r="R71" s="61">
        <f t="shared" ca="1" si="178"/>
        <v>6778679.3388788207</v>
      </c>
      <c r="S71" s="61">
        <f t="shared" ca="1" si="178"/>
        <v>6931726.7965348149</v>
      </c>
      <c r="T71" s="61">
        <f t="shared" ca="1" si="178"/>
        <v>7071639.2356830724</v>
      </c>
      <c r="U71" s="61">
        <f t="shared" ca="1" si="178"/>
        <v>7214375.7172673605</v>
      </c>
      <c r="V71" s="61">
        <f t="shared" ca="1" si="178"/>
        <v>7359993.2427646732</v>
      </c>
      <c r="W71" s="61">
        <f t="shared" ca="1" si="178"/>
        <v>7508549.9641900863</v>
      </c>
      <c r="X71" s="61">
        <f t="shared" ca="1" si="178"/>
        <v>7660105.2073196294</v>
      </c>
      <c r="Y71" s="62"/>
      <c r="Z71" s="24">
        <f t="shared" ref="Z71:BE71" ca="1" si="179">IF(Z$4&gt;12,SUM(OFFSET(Z67,,,,-12)),0)</f>
        <v>0</v>
      </c>
      <c r="AA71" s="24">
        <f t="shared" ca="1" si="179"/>
        <v>0</v>
      </c>
      <c r="AB71" s="24">
        <f t="shared" ca="1" si="179"/>
        <v>0</v>
      </c>
      <c r="AC71" s="24">
        <f t="shared" ca="1" si="179"/>
        <v>0</v>
      </c>
      <c r="AD71" s="24">
        <f t="shared" ca="1" si="179"/>
        <v>0</v>
      </c>
      <c r="AE71" s="24">
        <f t="shared" ca="1" si="179"/>
        <v>0</v>
      </c>
      <c r="AF71" s="24">
        <f t="shared" ca="1" si="179"/>
        <v>0</v>
      </c>
      <c r="AG71" s="24">
        <f t="shared" ca="1" si="179"/>
        <v>0</v>
      </c>
      <c r="AH71" s="24">
        <f t="shared" ca="1" si="179"/>
        <v>0</v>
      </c>
      <c r="AI71" s="24">
        <f t="shared" ca="1" si="179"/>
        <v>0</v>
      </c>
      <c r="AJ71" s="24">
        <f t="shared" ca="1" si="179"/>
        <v>0</v>
      </c>
      <c r="AK71" s="24">
        <f t="shared" ca="1" si="179"/>
        <v>0</v>
      </c>
      <c r="AL71" s="24">
        <f t="shared" ca="1" si="179"/>
        <v>0</v>
      </c>
      <c r="AM71" s="24">
        <f t="shared" ca="1" si="179"/>
        <v>512816.99018063408</v>
      </c>
      <c r="AN71" s="24">
        <f t="shared" ca="1" si="179"/>
        <v>515133.40724617982</v>
      </c>
      <c r="AO71" s="24">
        <f t="shared" ca="1" si="179"/>
        <v>517453.68500683474</v>
      </c>
      <c r="AP71" s="24">
        <f t="shared" ca="1" si="179"/>
        <v>519777.82989709085</v>
      </c>
      <c r="AQ71" s="24">
        <f t="shared" ca="1" si="179"/>
        <v>522105.84836216399</v>
      </c>
      <c r="AR71" s="24">
        <f t="shared" ca="1" si="179"/>
        <v>524437.74685801216</v>
      </c>
      <c r="AS71" s="24">
        <f t="shared" ca="1" si="179"/>
        <v>526773.53185135359</v>
      </c>
      <c r="AT71" s="24">
        <f t="shared" ca="1" si="179"/>
        <v>528397.1007379326</v>
      </c>
      <c r="AU71" s="24">
        <f t="shared" ca="1" si="179"/>
        <v>530023.37557265593</v>
      </c>
      <c r="AV71" s="24">
        <f t="shared" ca="1" si="179"/>
        <v>531652.36086543708</v>
      </c>
      <c r="AW71" s="24">
        <f t="shared" ca="1" si="179"/>
        <v>533284.06113370636</v>
      </c>
      <c r="AX71" s="24">
        <f t="shared" ca="1" si="179"/>
        <v>534918.48090242269</v>
      </c>
      <c r="AY71" s="24">
        <f t="shared" ca="1" si="179"/>
        <v>536555.6247040868</v>
      </c>
      <c r="AZ71" s="24">
        <f t="shared" ca="1" si="179"/>
        <v>538195.49707875366</v>
      </c>
      <c r="BA71" s="24">
        <f t="shared" ca="1" si="179"/>
        <v>539838.10257404507</v>
      </c>
      <c r="BB71" s="24">
        <f t="shared" ca="1" si="179"/>
        <v>541483.44574516185</v>
      </c>
      <c r="BC71" s="24">
        <f t="shared" ca="1" si="179"/>
        <v>543131.53115489718</v>
      </c>
      <c r="BD71" s="24">
        <f t="shared" ca="1" si="179"/>
        <v>544782.36337364884</v>
      </c>
      <c r="BE71" s="24">
        <f t="shared" ca="1" si="179"/>
        <v>546435.94697943178</v>
      </c>
      <c r="BF71" s="24">
        <f t="shared" ref="BF71:CK71" ca="1" si="180">IF(BF$4&gt;12,SUM(OFFSET(BF67,,,,-12)),0)</f>
        <v>548107.33627588686</v>
      </c>
      <c r="BG71" s="24">
        <f t="shared" ca="1" si="180"/>
        <v>549781.51122116938</v>
      </c>
      <c r="BH71" s="24">
        <f t="shared" ca="1" si="180"/>
        <v>551458.47645802749</v>
      </c>
      <c r="BI71" s="24">
        <f t="shared" ca="1" si="180"/>
        <v>553138.23663694691</v>
      </c>
      <c r="BJ71" s="24">
        <f t="shared" ca="1" si="180"/>
        <v>554820.79641616461</v>
      </c>
      <c r="BK71" s="24">
        <f t="shared" ca="1" si="180"/>
        <v>556506.16046168085</v>
      </c>
      <c r="BL71" s="24">
        <f t="shared" ca="1" si="180"/>
        <v>558194.33344727312</v>
      </c>
      <c r="BM71" s="24">
        <f t="shared" ca="1" si="180"/>
        <v>559885.32005450793</v>
      </c>
      <c r="BN71" s="24">
        <f t="shared" ca="1" si="180"/>
        <v>561579.12497275486</v>
      </c>
      <c r="BO71" s="24">
        <f t="shared" ca="1" si="180"/>
        <v>563275.75289919891</v>
      </c>
      <c r="BP71" s="24">
        <f t="shared" ca="1" si="180"/>
        <v>564975.20853885368</v>
      </c>
      <c r="BQ71" s="24">
        <f t="shared" ca="1" si="180"/>
        <v>566677.49660457449</v>
      </c>
      <c r="BR71" s="24">
        <f t="shared" ca="1" si="180"/>
        <v>567621.95909891545</v>
      </c>
      <c r="BS71" s="24">
        <f t="shared" ca="1" si="180"/>
        <v>568567.99569741357</v>
      </c>
      <c r="BT71" s="24">
        <f t="shared" ca="1" si="180"/>
        <v>569515.60902357614</v>
      </c>
      <c r="BU71" s="24">
        <f t="shared" ca="1" si="180"/>
        <v>570464.80170528207</v>
      </c>
      <c r="BV71" s="24">
        <f t="shared" ca="1" si="180"/>
        <v>571415.57637479075</v>
      </c>
      <c r="BW71" s="24">
        <f t="shared" ca="1" si="180"/>
        <v>572367.9356687488</v>
      </c>
      <c r="BX71" s="24">
        <f t="shared" ca="1" si="180"/>
        <v>573321.88222819683</v>
      </c>
      <c r="BY71" s="24">
        <f t="shared" ca="1" si="180"/>
        <v>574277.41869857721</v>
      </c>
      <c r="BZ71" s="24">
        <f t="shared" ca="1" si="180"/>
        <v>575234.54772974155</v>
      </c>
      <c r="CA71" s="24">
        <f t="shared" ca="1" si="180"/>
        <v>576193.27197595779</v>
      </c>
      <c r="CB71" s="24">
        <f t="shared" ca="1" si="180"/>
        <v>577153.59409591777</v>
      </c>
      <c r="CC71" s="24">
        <f t="shared" ca="1" si="180"/>
        <v>578115.51675274421</v>
      </c>
      <c r="CD71" s="24">
        <f t="shared" ca="1" si="180"/>
        <v>579079.04261399887</v>
      </c>
      <c r="CE71" s="24">
        <f t="shared" ca="1" si="180"/>
        <v>580044.17435168894</v>
      </c>
      <c r="CF71" s="24">
        <f t="shared" ca="1" si="180"/>
        <v>581010.91464227496</v>
      </c>
      <c r="CG71" s="24">
        <f t="shared" ca="1" si="180"/>
        <v>581979.26616667886</v>
      </c>
      <c r="CH71" s="24">
        <f t="shared" ca="1" si="180"/>
        <v>582949.23161029001</v>
      </c>
      <c r="CI71" s="24">
        <f t="shared" ca="1" si="180"/>
        <v>583920.81366297393</v>
      </c>
      <c r="CJ71" s="24">
        <f t="shared" ca="1" si="180"/>
        <v>584894.01501907897</v>
      </c>
      <c r="CK71" s="24">
        <f t="shared" ca="1" si="180"/>
        <v>585868.83837744407</v>
      </c>
      <c r="CL71" s="24">
        <f t="shared" ref="CL71:DQ71" ca="1" si="181">IF(CL$4&gt;12,SUM(OFFSET(CL67,,,,-12)),0)</f>
        <v>586845.28644140647</v>
      </c>
      <c r="CM71" s="24">
        <f t="shared" ca="1" si="181"/>
        <v>587823.36191880878</v>
      </c>
      <c r="CN71" s="24">
        <f t="shared" ca="1" si="181"/>
        <v>588803.06752200681</v>
      </c>
      <c r="CO71" s="24">
        <f t="shared" ca="1" si="181"/>
        <v>589784.40596787678</v>
      </c>
      <c r="CP71" s="24">
        <f t="shared" ca="1" si="181"/>
        <v>590767.37997782335</v>
      </c>
      <c r="CQ71" s="24">
        <f t="shared" ca="1" si="181"/>
        <v>591751.99227778625</v>
      </c>
      <c r="CR71" s="24">
        <f t="shared" ca="1" si="181"/>
        <v>592738.24559824937</v>
      </c>
      <c r="CS71" s="24">
        <f t="shared" ca="1" si="181"/>
        <v>593726.14267424645</v>
      </c>
      <c r="CT71" s="24">
        <f t="shared" ca="1" si="181"/>
        <v>594715.68624537031</v>
      </c>
      <c r="CU71" s="24">
        <f t="shared" ca="1" si="181"/>
        <v>595706.87905577931</v>
      </c>
      <c r="CV71" s="24">
        <f t="shared" ca="1" si="181"/>
        <v>596699.72385420545</v>
      </c>
      <c r="CW71" s="24">
        <f t="shared" ca="1" si="181"/>
        <v>597694.22339396249</v>
      </c>
      <c r="CX71" s="24">
        <f t="shared" ca="1" si="181"/>
        <v>598690.38043295243</v>
      </c>
      <c r="CY71" s="24">
        <f t="shared" ca="1" si="181"/>
        <v>599688.19773367397</v>
      </c>
      <c r="CZ71" s="24">
        <f t="shared" ca="1" si="181"/>
        <v>600687.67806323012</v>
      </c>
      <c r="DA71" s="24">
        <f t="shared" ca="1" si="181"/>
        <v>601688.82419333549</v>
      </c>
      <c r="DB71" s="24">
        <f t="shared" ca="1" si="181"/>
        <v>602691.63890032435</v>
      </c>
      <c r="DC71" s="24">
        <f t="shared" ca="1" si="181"/>
        <v>603696.12496515841</v>
      </c>
      <c r="DD71" s="24">
        <f t="shared" ca="1" si="181"/>
        <v>604702.2851734336</v>
      </c>
      <c r="DE71" s="24">
        <f t="shared" ca="1" si="181"/>
        <v>605710.12231538945</v>
      </c>
      <c r="DF71" s="24">
        <f t="shared" ca="1" si="181"/>
        <v>606719.63918591512</v>
      </c>
      <c r="DG71" s="24">
        <f t="shared" ca="1" si="181"/>
        <v>607730.83858455834</v>
      </c>
      <c r="DH71" s="24">
        <f t="shared" ca="1" si="181"/>
        <v>608743.72331553267</v>
      </c>
      <c r="DI71" s="24">
        <f t="shared" ca="1" si="181"/>
        <v>609758.29618772515</v>
      </c>
      <c r="DJ71" s="24">
        <f t="shared" ca="1" si="181"/>
        <v>610774.56001470471</v>
      </c>
      <c r="DK71" s="24">
        <f t="shared" ca="1" si="181"/>
        <v>611792.51761472924</v>
      </c>
      <c r="DL71" s="24">
        <f t="shared" ca="1" si="181"/>
        <v>612812.17181075376</v>
      </c>
      <c r="DM71" s="24">
        <f t="shared" ca="1" si="181"/>
        <v>613833.52543043834</v>
      </c>
      <c r="DN71" s="24">
        <f t="shared" ca="1" si="181"/>
        <v>614856.58130615577</v>
      </c>
      <c r="DO71" s="24">
        <f t="shared" ca="1" si="181"/>
        <v>615881.34227499936</v>
      </c>
      <c r="DP71" s="24">
        <f t="shared" ca="1" si="181"/>
        <v>616907.8111787911</v>
      </c>
      <c r="DQ71" s="24">
        <f t="shared" ca="1" si="181"/>
        <v>617935.99086408911</v>
      </c>
      <c r="DR71" s="24">
        <f t="shared" ref="DR71:FB71" ca="1" si="182">IF(DR$4&gt;12,SUM(OFFSET(DR67,,,,-12)),0)</f>
        <v>618965.88418219599</v>
      </c>
      <c r="DS71" s="24">
        <f t="shared" ca="1" si="182"/>
        <v>619997.49398916634</v>
      </c>
      <c r="DT71" s="24">
        <f t="shared" ca="1" si="182"/>
        <v>621030.82314581494</v>
      </c>
      <c r="DU71" s="24">
        <f t="shared" ca="1" si="182"/>
        <v>622065.87451772462</v>
      </c>
      <c r="DV71" s="24">
        <f t="shared" ca="1" si="182"/>
        <v>623102.65097525425</v>
      </c>
      <c r="DW71" s="24">
        <f t="shared" ca="1" si="182"/>
        <v>624141.15539354645</v>
      </c>
      <c r="DX71" s="24">
        <f t="shared" ca="1" si="182"/>
        <v>625181.39065253572</v>
      </c>
      <c r="DY71" s="24">
        <f t="shared" ca="1" si="182"/>
        <v>626223.35963695671</v>
      </c>
      <c r="DZ71" s="24">
        <f t="shared" ca="1" si="182"/>
        <v>627267.06523635169</v>
      </c>
      <c r="EA71" s="24">
        <f t="shared" ca="1" si="182"/>
        <v>628312.510345079</v>
      </c>
      <c r="EB71" s="24">
        <f t="shared" ca="1" si="182"/>
        <v>629359.6978623207</v>
      </c>
      <c r="EC71" s="24">
        <f t="shared" ca="1" si="182"/>
        <v>630408.6306920913</v>
      </c>
      <c r="ED71" s="24">
        <f t="shared" ca="1" si="182"/>
        <v>631459.31174324488</v>
      </c>
      <c r="EE71" s="24">
        <f t="shared" ca="1" si="182"/>
        <v>632511.74392948358</v>
      </c>
      <c r="EF71" s="24">
        <f t="shared" ca="1" si="182"/>
        <v>633565.93016936607</v>
      </c>
      <c r="EG71" s="24">
        <f t="shared" ca="1" si="182"/>
        <v>634621.87338631507</v>
      </c>
      <c r="EH71" s="24">
        <f t="shared" ca="1" si="182"/>
        <v>635679.57650862576</v>
      </c>
      <c r="EI71" s="24">
        <f t="shared" ca="1" si="182"/>
        <v>636739.04246947344</v>
      </c>
      <c r="EJ71" s="24">
        <f t="shared" ca="1" si="182"/>
        <v>637800.27420692262</v>
      </c>
      <c r="EK71" s="24">
        <f t="shared" ca="1" si="182"/>
        <v>638863.27466393413</v>
      </c>
      <c r="EL71" s="24">
        <f t="shared" ca="1" si="182"/>
        <v>639928.04678837408</v>
      </c>
      <c r="EM71" s="24">
        <f t="shared" ca="1" si="182"/>
        <v>640994.5935330214</v>
      </c>
      <c r="EN71" s="24">
        <f t="shared" ca="1" si="182"/>
        <v>642062.91785557661</v>
      </c>
      <c r="EO71" s="24">
        <f t="shared" ca="1" si="182"/>
        <v>643133.02271866926</v>
      </c>
      <c r="EP71" s="24">
        <f t="shared" ca="1" si="182"/>
        <v>644204.91108986712</v>
      </c>
      <c r="EQ71" s="24">
        <f t="shared" ca="1" si="182"/>
        <v>591011.49393261527</v>
      </c>
      <c r="ER71" s="24">
        <f t="shared" ca="1" si="182"/>
        <v>537729.4210801014</v>
      </c>
      <c r="ES71" s="24">
        <f t="shared" ca="1" si="182"/>
        <v>484358.54477283329</v>
      </c>
      <c r="ET71" s="24">
        <f t="shared" ca="1" si="182"/>
        <v>430898.71700505313</v>
      </c>
      <c r="EU71" s="24">
        <f t="shared" ca="1" si="182"/>
        <v>377349.78952432662</v>
      </c>
      <c r="EV71" s="24">
        <f t="shared" ca="1" si="182"/>
        <v>323711.61383113224</v>
      </c>
      <c r="EW71" s="24">
        <f t="shared" ca="1" si="182"/>
        <v>269984.04117844923</v>
      </c>
      <c r="EX71" s="24">
        <f t="shared" ca="1" si="182"/>
        <v>216166.92257134503</v>
      </c>
      <c r="EY71" s="24">
        <f t="shared" ca="1" si="182"/>
        <v>162260.10876656233</v>
      </c>
      <c r="EZ71" s="24">
        <f t="shared" ca="1" si="182"/>
        <v>108263.45027210499</v>
      </c>
      <c r="FA71" s="24">
        <f t="shared" ca="1" si="182"/>
        <v>54176.79734682358</v>
      </c>
      <c r="FB71" s="24">
        <f t="shared" ca="1" si="182"/>
        <v>0</v>
      </c>
    </row>
    <row r="72" spans="1:158" s="24" customFormat="1">
      <c r="A72" s="9"/>
      <c r="B72" s="11" t="s">
        <v>114</v>
      </c>
      <c r="C72" s="109">
        <v>1.2500000000000001E-2</v>
      </c>
      <c r="D72" s="109">
        <v>1.2500000000000001E-2</v>
      </c>
      <c r="E72" s="109">
        <v>1.2500000000000001E-2</v>
      </c>
      <c r="F72" s="109">
        <v>1.2500000000000001E-2</v>
      </c>
      <c r="G72" s="109">
        <v>1.2500000000000001E-2</v>
      </c>
      <c r="H72" s="11"/>
      <c r="I72" s="9" t="s">
        <v>39</v>
      </c>
      <c r="J72" s="9"/>
      <c r="K72" s="11"/>
      <c r="L72" s="152">
        <f>SUMIF($Z$4:$FB$4,"&lt;="&amp;$G$18,$Z72:$FB72)</f>
        <v>6.7500000000000004E-2</v>
      </c>
      <c r="M72" s="110"/>
      <c r="N72" s="31">
        <f>SUMIF($Z$3:$FB$3,N$7,$Z72:$FB72)</f>
        <v>0</v>
      </c>
      <c r="O72" s="31">
        <f t="shared" ref="O72:X72" si="183">SUMIF($Z$3:$FB$3,O$7,$Z72:$FB72)</f>
        <v>0</v>
      </c>
      <c r="P72" s="31">
        <f t="shared" si="183"/>
        <v>0</v>
      </c>
      <c r="Q72" s="31">
        <f t="shared" si="183"/>
        <v>0</v>
      </c>
      <c r="R72" s="31">
        <f t="shared" si="183"/>
        <v>0</v>
      </c>
      <c r="S72" s="31">
        <f t="shared" si="183"/>
        <v>0</v>
      </c>
      <c r="T72" s="31">
        <f t="shared" si="183"/>
        <v>0</v>
      </c>
      <c r="U72" s="31">
        <f t="shared" si="183"/>
        <v>0</v>
      </c>
      <c r="V72" s="31">
        <f t="shared" si="183"/>
        <v>0</v>
      </c>
      <c r="W72" s="31">
        <f t="shared" si="183"/>
        <v>0</v>
      </c>
      <c r="X72" s="31">
        <f t="shared" si="183"/>
        <v>6.7500000000000004E-2</v>
      </c>
      <c r="Y72" s="110"/>
      <c r="Z72" s="63">
        <f t="shared" ref="Z72:BE72" si="184">(Z4=$G$18)*$G$23</f>
        <v>0</v>
      </c>
      <c r="AA72" s="63">
        <f t="shared" si="184"/>
        <v>0</v>
      </c>
      <c r="AB72" s="63">
        <f t="shared" si="184"/>
        <v>0</v>
      </c>
      <c r="AC72" s="63">
        <f t="shared" si="184"/>
        <v>0</v>
      </c>
      <c r="AD72" s="63">
        <f t="shared" si="184"/>
        <v>0</v>
      </c>
      <c r="AE72" s="63">
        <f t="shared" si="184"/>
        <v>0</v>
      </c>
      <c r="AF72" s="63">
        <f t="shared" si="184"/>
        <v>0</v>
      </c>
      <c r="AG72" s="63">
        <f t="shared" si="184"/>
        <v>0</v>
      </c>
      <c r="AH72" s="63">
        <f t="shared" si="184"/>
        <v>0</v>
      </c>
      <c r="AI72" s="63">
        <f t="shared" si="184"/>
        <v>0</v>
      </c>
      <c r="AJ72" s="63">
        <f t="shared" si="184"/>
        <v>0</v>
      </c>
      <c r="AK72" s="63">
        <f t="shared" si="184"/>
        <v>0</v>
      </c>
      <c r="AL72" s="63">
        <f t="shared" si="184"/>
        <v>0</v>
      </c>
      <c r="AM72" s="63">
        <f t="shared" si="184"/>
        <v>0</v>
      </c>
      <c r="AN72" s="63">
        <f t="shared" si="184"/>
        <v>0</v>
      </c>
      <c r="AO72" s="63">
        <f t="shared" si="184"/>
        <v>0</v>
      </c>
      <c r="AP72" s="63">
        <f t="shared" si="184"/>
        <v>0</v>
      </c>
      <c r="AQ72" s="63">
        <f t="shared" si="184"/>
        <v>0</v>
      </c>
      <c r="AR72" s="63">
        <f t="shared" si="184"/>
        <v>0</v>
      </c>
      <c r="AS72" s="63">
        <f t="shared" si="184"/>
        <v>0</v>
      </c>
      <c r="AT72" s="63">
        <f t="shared" si="184"/>
        <v>0</v>
      </c>
      <c r="AU72" s="63">
        <f t="shared" si="184"/>
        <v>0</v>
      </c>
      <c r="AV72" s="63">
        <f t="shared" si="184"/>
        <v>0</v>
      </c>
      <c r="AW72" s="63">
        <f t="shared" si="184"/>
        <v>0</v>
      </c>
      <c r="AX72" s="63">
        <f t="shared" si="184"/>
        <v>0</v>
      </c>
      <c r="AY72" s="63">
        <f t="shared" si="184"/>
        <v>0</v>
      </c>
      <c r="AZ72" s="63">
        <f t="shared" si="184"/>
        <v>0</v>
      </c>
      <c r="BA72" s="63">
        <f t="shared" si="184"/>
        <v>0</v>
      </c>
      <c r="BB72" s="63">
        <f t="shared" si="184"/>
        <v>0</v>
      </c>
      <c r="BC72" s="63">
        <f t="shared" si="184"/>
        <v>0</v>
      </c>
      <c r="BD72" s="63">
        <f t="shared" si="184"/>
        <v>0</v>
      </c>
      <c r="BE72" s="63">
        <f t="shared" si="184"/>
        <v>0</v>
      </c>
      <c r="BF72" s="63">
        <f t="shared" ref="BF72:CK72" si="185">(BF4=$G$18)*$G$23</f>
        <v>0</v>
      </c>
      <c r="BG72" s="63">
        <f t="shared" si="185"/>
        <v>0</v>
      </c>
      <c r="BH72" s="63">
        <f t="shared" si="185"/>
        <v>0</v>
      </c>
      <c r="BI72" s="63">
        <f t="shared" si="185"/>
        <v>0</v>
      </c>
      <c r="BJ72" s="63">
        <f t="shared" si="185"/>
        <v>0</v>
      </c>
      <c r="BK72" s="63">
        <f t="shared" si="185"/>
        <v>0</v>
      </c>
      <c r="BL72" s="63">
        <f t="shared" si="185"/>
        <v>0</v>
      </c>
      <c r="BM72" s="63">
        <f t="shared" si="185"/>
        <v>0</v>
      </c>
      <c r="BN72" s="63">
        <f t="shared" si="185"/>
        <v>0</v>
      </c>
      <c r="BO72" s="63">
        <f t="shared" si="185"/>
        <v>0</v>
      </c>
      <c r="BP72" s="63">
        <f t="shared" si="185"/>
        <v>0</v>
      </c>
      <c r="BQ72" s="63">
        <f t="shared" si="185"/>
        <v>0</v>
      </c>
      <c r="BR72" s="63">
        <f t="shared" si="185"/>
        <v>0</v>
      </c>
      <c r="BS72" s="63">
        <f t="shared" si="185"/>
        <v>0</v>
      </c>
      <c r="BT72" s="63">
        <f t="shared" si="185"/>
        <v>0</v>
      </c>
      <c r="BU72" s="63">
        <f t="shared" si="185"/>
        <v>0</v>
      </c>
      <c r="BV72" s="63">
        <f t="shared" si="185"/>
        <v>0</v>
      </c>
      <c r="BW72" s="63">
        <f t="shared" si="185"/>
        <v>0</v>
      </c>
      <c r="BX72" s="63">
        <f t="shared" si="185"/>
        <v>0</v>
      </c>
      <c r="BY72" s="63">
        <f t="shared" si="185"/>
        <v>0</v>
      </c>
      <c r="BZ72" s="63">
        <f t="shared" si="185"/>
        <v>0</v>
      </c>
      <c r="CA72" s="63">
        <f t="shared" si="185"/>
        <v>0</v>
      </c>
      <c r="CB72" s="63">
        <f t="shared" si="185"/>
        <v>0</v>
      </c>
      <c r="CC72" s="63">
        <f t="shared" si="185"/>
        <v>0</v>
      </c>
      <c r="CD72" s="63">
        <f t="shared" si="185"/>
        <v>0</v>
      </c>
      <c r="CE72" s="63">
        <f t="shared" si="185"/>
        <v>0</v>
      </c>
      <c r="CF72" s="63">
        <f t="shared" si="185"/>
        <v>0</v>
      </c>
      <c r="CG72" s="63">
        <f t="shared" si="185"/>
        <v>0</v>
      </c>
      <c r="CH72" s="63">
        <f t="shared" si="185"/>
        <v>0</v>
      </c>
      <c r="CI72" s="63">
        <f t="shared" si="185"/>
        <v>0</v>
      </c>
      <c r="CJ72" s="63">
        <f t="shared" si="185"/>
        <v>0</v>
      </c>
      <c r="CK72" s="63">
        <f t="shared" si="185"/>
        <v>0</v>
      </c>
      <c r="CL72" s="63">
        <f t="shared" ref="CL72:DQ72" si="186">(CL4=$G$18)*$G$23</f>
        <v>0</v>
      </c>
      <c r="CM72" s="63">
        <f t="shared" si="186"/>
        <v>0</v>
      </c>
      <c r="CN72" s="63">
        <f t="shared" si="186"/>
        <v>0</v>
      </c>
      <c r="CO72" s="63">
        <f t="shared" si="186"/>
        <v>0</v>
      </c>
      <c r="CP72" s="63">
        <f t="shared" si="186"/>
        <v>0</v>
      </c>
      <c r="CQ72" s="63">
        <f t="shared" si="186"/>
        <v>0</v>
      </c>
      <c r="CR72" s="63">
        <f t="shared" si="186"/>
        <v>0</v>
      </c>
      <c r="CS72" s="63">
        <f t="shared" si="186"/>
        <v>0</v>
      </c>
      <c r="CT72" s="63">
        <f t="shared" si="186"/>
        <v>0</v>
      </c>
      <c r="CU72" s="63">
        <f t="shared" si="186"/>
        <v>0</v>
      </c>
      <c r="CV72" s="63">
        <f t="shared" si="186"/>
        <v>0</v>
      </c>
      <c r="CW72" s="63">
        <f t="shared" si="186"/>
        <v>0</v>
      </c>
      <c r="CX72" s="63">
        <f t="shared" si="186"/>
        <v>0</v>
      </c>
      <c r="CY72" s="63">
        <f t="shared" si="186"/>
        <v>0</v>
      </c>
      <c r="CZ72" s="63">
        <f t="shared" si="186"/>
        <v>0</v>
      </c>
      <c r="DA72" s="63">
        <f t="shared" si="186"/>
        <v>0</v>
      </c>
      <c r="DB72" s="63">
        <f t="shared" si="186"/>
        <v>0</v>
      </c>
      <c r="DC72" s="63">
        <f t="shared" si="186"/>
        <v>0</v>
      </c>
      <c r="DD72" s="63">
        <f t="shared" si="186"/>
        <v>0</v>
      </c>
      <c r="DE72" s="63">
        <f t="shared" si="186"/>
        <v>0</v>
      </c>
      <c r="DF72" s="63">
        <f t="shared" si="186"/>
        <v>0</v>
      </c>
      <c r="DG72" s="63">
        <f t="shared" si="186"/>
        <v>0</v>
      </c>
      <c r="DH72" s="63">
        <f t="shared" si="186"/>
        <v>0</v>
      </c>
      <c r="DI72" s="63">
        <f t="shared" si="186"/>
        <v>0</v>
      </c>
      <c r="DJ72" s="63">
        <f t="shared" si="186"/>
        <v>0</v>
      </c>
      <c r="DK72" s="63">
        <f t="shared" si="186"/>
        <v>0</v>
      </c>
      <c r="DL72" s="63">
        <f t="shared" si="186"/>
        <v>0</v>
      </c>
      <c r="DM72" s="63">
        <f t="shared" si="186"/>
        <v>0</v>
      </c>
      <c r="DN72" s="63">
        <f t="shared" si="186"/>
        <v>0</v>
      </c>
      <c r="DO72" s="63">
        <f t="shared" si="186"/>
        <v>0</v>
      </c>
      <c r="DP72" s="63">
        <f t="shared" si="186"/>
        <v>0</v>
      </c>
      <c r="DQ72" s="63">
        <f t="shared" si="186"/>
        <v>0</v>
      </c>
      <c r="DR72" s="63">
        <f t="shared" ref="DR72:FB72" si="187">(DR4=$G$18)*$G$23</f>
        <v>0</v>
      </c>
      <c r="DS72" s="63">
        <f t="shared" si="187"/>
        <v>0</v>
      </c>
      <c r="DT72" s="63">
        <f t="shared" si="187"/>
        <v>0</v>
      </c>
      <c r="DU72" s="63">
        <f t="shared" si="187"/>
        <v>0</v>
      </c>
      <c r="DV72" s="63">
        <f t="shared" si="187"/>
        <v>0</v>
      </c>
      <c r="DW72" s="63">
        <f t="shared" si="187"/>
        <v>0</v>
      </c>
      <c r="DX72" s="63">
        <f t="shared" si="187"/>
        <v>0</v>
      </c>
      <c r="DY72" s="63">
        <f t="shared" si="187"/>
        <v>0</v>
      </c>
      <c r="DZ72" s="63">
        <f t="shared" si="187"/>
        <v>0</v>
      </c>
      <c r="EA72" s="63">
        <f t="shared" si="187"/>
        <v>0</v>
      </c>
      <c r="EB72" s="63">
        <f t="shared" si="187"/>
        <v>0</v>
      </c>
      <c r="EC72" s="63">
        <f t="shared" si="187"/>
        <v>0</v>
      </c>
      <c r="ED72" s="63">
        <f t="shared" si="187"/>
        <v>0</v>
      </c>
      <c r="EE72" s="63">
        <f t="shared" si="187"/>
        <v>0</v>
      </c>
      <c r="EF72" s="63">
        <f t="shared" si="187"/>
        <v>0</v>
      </c>
      <c r="EG72" s="63">
        <f t="shared" si="187"/>
        <v>0</v>
      </c>
      <c r="EH72" s="63">
        <f t="shared" si="187"/>
        <v>0</v>
      </c>
      <c r="EI72" s="63">
        <f t="shared" si="187"/>
        <v>0</v>
      </c>
      <c r="EJ72" s="63">
        <f t="shared" si="187"/>
        <v>0</v>
      </c>
      <c r="EK72" s="63">
        <f t="shared" si="187"/>
        <v>0</v>
      </c>
      <c r="EL72" s="63">
        <f t="shared" si="187"/>
        <v>0</v>
      </c>
      <c r="EM72" s="63">
        <f t="shared" si="187"/>
        <v>0</v>
      </c>
      <c r="EN72" s="63">
        <f t="shared" si="187"/>
        <v>0</v>
      </c>
      <c r="EO72" s="63">
        <f t="shared" si="187"/>
        <v>0</v>
      </c>
      <c r="EP72" s="63">
        <f t="shared" si="187"/>
        <v>6.7500000000000004E-2</v>
      </c>
      <c r="EQ72" s="63">
        <f t="shared" si="187"/>
        <v>0</v>
      </c>
      <c r="ER72" s="63">
        <f t="shared" si="187"/>
        <v>0</v>
      </c>
      <c r="ES72" s="63">
        <f t="shared" si="187"/>
        <v>0</v>
      </c>
      <c r="ET72" s="63">
        <f t="shared" si="187"/>
        <v>0</v>
      </c>
      <c r="EU72" s="63">
        <f t="shared" si="187"/>
        <v>0</v>
      </c>
      <c r="EV72" s="63">
        <f t="shared" si="187"/>
        <v>0</v>
      </c>
      <c r="EW72" s="63">
        <f t="shared" si="187"/>
        <v>0</v>
      </c>
      <c r="EX72" s="63">
        <f t="shared" si="187"/>
        <v>0</v>
      </c>
      <c r="EY72" s="63">
        <f t="shared" si="187"/>
        <v>0</v>
      </c>
      <c r="EZ72" s="63">
        <f t="shared" si="187"/>
        <v>0</v>
      </c>
      <c r="FA72" s="63">
        <f t="shared" si="187"/>
        <v>0</v>
      </c>
      <c r="FB72" s="63">
        <f t="shared" si="187"/>
        <v>0</v>
      </c>
    </row>
    <row r="73" spans="1:158" s="44" customFormat="1">
      <c r="A73" s="9"/>
      <c r="B73" s="11" t="s">
        <v>59</v>
      </c>
      <c r="C73" s="109">
        <v>0.08</v>
      </c>
      <c r="D73" s="109">
        <v>7.0000000000000007E-2</v>
      </c>
      <c r="E73" s="109">
        <v>0.06</v>
      </c>
      <c r="F73" s="109">
        <v>0.06</v>
      </c>
      <c r="G73" s="109">
        <v>0.06</v>
      </c>
      <c r="H73" s="11"/>
      <c r="I73" s="57" t="s">
        <v>115</v>
      </c>
      <c r="J73" s="57"/>
      <c r="K73" s="58"/>
      <c r="L73" s="57">
        <f ca="1">SUMIF($Z$4:$FB$4,"&lt;="&amp;$G$18,$Z73:$FB73)</f>
        <v>9543776.4605906233</v>
      </c>
      <c r="M73" s="58"/>
      <c r="N73" s="57">
        <f ca="1">SUMIF($Z$3:$FB$3,N$7,$Z73:$FB73)</f>
        <v>0</v>
      </c>
      <c r="O73" s="57">
        <f t="shared" ref="O73:X73" ca="1" si="188">SUMIF($Z$3:$FB$3,O$7,$Z73:$FB73)</f>
        <v>0</v>
      </c>
      <c r="P73" s="57">
        <f t="shared" ca="1" si="188"/>
        <v>0</v>
      </c>
      <c r="Q73" s="57">
        <f t="shared" ca="1" si="188"/>
        <v>0</v>
      </c>
      <c r="R73" s="57">
        <f t="shared" ca="1" si="188"/>
        <v>0</v>
      </c>
      <c r="S73" s="57">
        <f t="shared" ca="1" si="188"/>
        <v>0</v>
      </c>
      <c r="T73" s="57">
        <f t="shared" ca="1" si="188"/>
        <v>0</v>
      </c>
      <c r="U73" s="57">
        <f t="shared" ca="1" si="188"/>
        <v>0</v>
      </c>
      <c r="V73" s="57">
        <f t="shared" ca="1" si="188"/>
        <v>0</v>
      </c>
      <c r="W73" s="57">
        <f t="shared" ca="1" si="188"/>
        <v>0</v>
      </c>
      <c r="X73" s="57">
        <f t="shared" ca="1" si="188"/>
        <v>9543776.4605906233</v>
      </c>
      <c r="Y73" s="58"/>
      <c r="Z73" s="57">
        <f t="shared" ref="Z73:BE73" ca="1" si="189">IFERROR(Z71/Z72,0)</f>
        <v>0</v>
      </c>
      <c r="AA73" s="57">
        <f t="shared" ca="1" si="189"/>
        <v>0</v>
      </c>
      <c r="AB73" s="57">
        <f t="shared" ca="1" si="189"/>
        <v>0</v>
      </c>
      <c r="AC73" s="57">
        <f t="shared" ca="1" si="189"/>
        <v>0</v>
      </c>
      <c r="AD73" s="57">
        <f t="shared" ca="1" si="189"/>
        <v>0</v>
      </c>
      <c r="AE73" s="57">
        <f t="shared" ca="1" si="189"/>
        <v>0</v>
      </c>
      <c r="AF73" s="57">
        <f t="shared" ca="1" si="189"/>
        <v>0</v>
      </c>
      <c r="AG73" s="57">
        <f t="shared" ca="1" si="189"/>
        <v>0</v>
      </c>
      <c r="AH73" s="57">
        <f t="shared" ca="1" si="189"/>
        <v>0</v>
      </c>
      <c r="AI73" s="57">
        <f t="shared" ca="1" si="189"/>
        <v>0</v>
      </c>
      <c r="AJ73" s="57">
        <f t="shared" ca="1" si="189"/>
        <v>0</v>
      </c>
      <c r="AK73" s="57">
        <f t="shared" ca="1" si="189"/>
        <v>0</v>
      </c>
      <c r="AL73" s="57">
        <f t="shared" ca="1" si="189"/>
        <v>0</v>
      </c>
      <c r="AM73" s="57">
        <f t="shared" ca="1" si="189"/>
        <v>0</v>
      </c>
      <c r="AN73" s="57">
        <f t="shared" ca="1" si="189"/>
        <v>0</v>
      </c>
      <c r="AO73" s="57">
        <f t="shared" ca="1" si="189"/>
        <v>0</v>
      </c>
      <c r="AP73" s="57">
        <f t="shared" ca="1" si="189"/>
        <v>0</v>
      </c>
      <c r="AQ73" s="57">
        <f t="shared" ca="1" si="189"/>
        <v>0</v>
      </c>
      <c r="AR73" s="57">
        <f t="shared" ca="1" si="189"/>
        <v>0</v>
      </c>
      <c r="AS73" s="57">
        <f t="shared" ca="1" si="189"/>
        <v>0</v>
      </c>
      <c r="AT73" s="57">
        <f t="shared" ca="1" si="189"/>
        <v>0</v>
      </c>
      <c r="AU73" s="57">
        <f t="shared" ca="1" si="189"/>
        <v>0</v>
      </c>
      <c r="AV73" s="57">
        <f t="shared" ca="1" si="189"/>
        <v>0</v>
      </c>
      <c r="AW73" s="57">
        <f t="shared" ca="1" si="189"/>
        <v>0</v>
      </c>
      <c r="AX73" s="57">
        <f t="shared" ca="1" si="189"/>
        <v>0</v>
      </c>
      <c r="AY73" s="57">
        <f t="shared" ca="1" si="189"/>
        <v>0</v>
      </c>
      <c r="AZ73" s="57">
        <f t="shared" ca="1" si="189"/>
        <v>0</v>
      </c>
      <c r="BA73" s="57">
        <f t="shared" ca="1" si="189"/>
        <v>0</v>
      </c>
      <c r="BB73" s="57">
        <f t="shared" ca="1" si="189"/>
        <v>0</v>
      </c>
      <c r="BC73" s="57">
        <f t="shared" ca="1" si="189"/>
        <v>0</v>
      </c>
      <c r="BD73" s="57">
        <f t="shared" ca="1" si="189"/>
        <v>0</v>
      </c>
      <c r="BE73" s="57">
        <f t="shared" ca="1" si="189"/>
        <v>0</v>
      </c>
      <c r="BF73" s="57">
        <f t="shared" ref="BF73:CK73" ca="1" si="190">IFERROR(BF71/BF72,0)</f>
        <v>0</v>
      </c>
      <c r="BG73" s="57">
        <f t="shared" ca="1" si="190"/>
        <v>0</v>
      </c>
      <c r="BH73" s="57">
        <f t="shared" ca="1" si="190"/>
        <v>0</v>
      </c>
      <c r="BI73" s="57">
        <f t="shared" ca="1" si="190"/>
        <v>0</v>
      </c>
      <c r="BJ73" s="57">
        <f t="shared" ca="1" si="190"/>
        <v>0</v>
      </c>
      <c r="BK73" s="57">
        <f t="shared" ca="1" si="190"/>
        <v>0</v>
      </c>
      <c r="BL73" s="57">
        <f t="shared" ca="1" si="190"/>
        <v>0</v>
      </c>
      <c r="BM73" s="57">
        <f t="shared" ca="1" si="190"/>
        <v>0</v>
      </c>
      <c r="BN73" s="57">
        <f t="shared" ca="1" si="190"/>
        <v>0</v>
      </c>
      <c r="BO73" s="57">
        <f t="shared" ca="1" si="190"/>
        <v>0</v>
      </c>
      <c r="BP73" s="57">
        <f t="shared" ca="1" si="190"/>
        <v>0</v>
      </c>
      <c r="BQ73" s="57">
        <f t="shared" ca="1" si="190"/>
        <v>0</v>
      </c>
      <c r="BR73" s="57">
        <f t="shared" ca="1" si="190"/>
        <v>0</v>
      </c>
      <c r="BS73" s="57">
        <f t="shared" ca="1" si="190"/>
        <v>0</v>
      </c>
      <c r="BT73" s="57">
        <f t="shared" ca="1" si="190"/>
        <v>0</v>
      </c>
      <c r="BU73" s="57">
        <f t="shared" ca="1" si="190"/>
        <v>0</v>
      </c>
      <c r="BV73" s="57">
        <f t="shared" ca="1" si="190"/>
        <v>0</v>
      </c>
      <c r="BW73" s="57">
        <f t="shared" ca="1" si="190"/>
        <v>0</v>
      </c>
      <c r="BX73" s="57">
        <f t="shared" ca="1" si="190"/>
        <v>0</v>
      </c>
      <c r="BY73" s="57">
        <f t="shared" ca="1" si="190"/>
        <v>0</v>
      </c>
      <c r="BZ73" s="57">
        <f t="shared" ca="1" si="190"/>
        <v>0</v>
      </c>
      <c r="CA73" s="57">
        <f t="shared" ca="1" si="190"/>
        <v>0</v>
      </c>
      <c r="CB73" s="57">
        <f t="shared" ca="1" si="190"/>
        <v>0</v>
      </c>
      <c r="CC73" s="57">
        <f t="shared" ca="1" si="190"/>
        <v>0</v>
      </c>
      <c r="CD73" s="57">
        <f t="shared" ca="1" si="190"/>
        <v>0</v>
      </c>
      <c r="CE73" s="57">
        <f t="shared" ca="1" si="190"/>
        <v>0</v>
      </c>
      <c r="CF73" s="57">
        <f t="shared" ca="1" si="190"/>
        <v>0</v>
      </c>
      <c r="CG73" s="57">
        <f t="shared" ca="1" si="190"/>
        <v>0</v>
      </c>
      <c r="CH73" s="57">
        <f t="shared" ca="1" si="190"/>
        <v>0</v>
      </c>
      <c r="CI73" s="57">
        <f t="shared" ca="1" si="190"/>
        <v>0</v>
      </c>
      <c r="CJ73" s="57">
        <f t="shared" ca="1" si="190"/>
        <v>0</v>
      </c>
      <c r="CK73" s="57">
        <f t="shared" ca="1" si="190"/>
        <v>0</v>
      </c>
      <c r="CL73" s="57">
        <f t="shared" ref="CL73:DQ73" ca="1" si="191">IFERROR(CL71/CL72,0)</f>
        <v>0</v>
      </c>
      <c r="CM73" s="57">
        <f t="shared" ca="1" si="191"/>
        <v>0</v>
      </c>
      <c r="CN73" s="57">
        <f t="shared" ca="1" si="191"/>
        <v>0</v>
      </c>
      <c r="CO73" s="57">
        <f t="shared" ca="1" si="191"/>
        <v>0</v>
      </c>
      <c r="CP73" s="57">
        <f t="shared" ca="1" si="191"/>
        <v>0</v>
      </c>
      <c r="CQ73" s="57">
        <f t="shared" ca="1" si="191"/>
        <v>0</v>
      </c>
      <c r="CR73" s="57">
        <f t="shared" ca="1" si="191"/>
        <v>0</v>
      </c>
      <c r="CS73" s="57">
        <f t="shared" ca="1" si="191"/>
        <v>0</v>
      </c>
      <c r="CT73" s="57">
        <f t="shared" ca="1" si="191"/>
        <v>0</v>
      </c>
      <c r="CU73" s="57">
        <f t="shared" ca="1" si="191"/>
        <v>0</v>
      </c>
      <c r="CV73" s="57">
        <f t="shared" ca="1" si="191"/>
        <v>0</v>
      </c>
      <c r="CW73" s="57">
        <f t="shared" ca="1" si="191"/>
        <v>0</v>
      </c>
      <c r="CX73" s="57">
        <f t="shared" ca="1" si="191"/>
        <v>0</v>
      </c>
      <c r="CY73" s="57">
        <f t="shared" ca="1" si="191"/>
        <v>0</v>
      </c>
      <c r="CZ73" s="57">
        <f t="shared" ca="1" si="191"/>
        <v>0</v>
      </c>
      <c r="DA73" s="57">
        <f t="shared" ca="1" si="191"/>
        <v>0</v>
      </c>
      <c r="DB73" s="57">
        <f t="shared" ca="1" si="191"/>
        <v>0</v>
      </c>
      <c r="DC73" s="57">
        <f t="shared" ca="1" si="191"/>
        <v>0</v>
      </c>
      <c r="DD73" s="57">
        <f t="shared" ca="1" si="191"/>
        <v>0</v>
      </c>
      <c r="DE73" s="57">
        <f t="shared" ca="1" si="191"/>
        <v>0</v>
      </c>
      <c r="DF73" s="57">
        <f t="shared" ca="1" si="191"/>
        <v>0</v>
      </c>
      <c r="DG73" s="57">
        <f t="shared" ca="1" si="191"/>
        <v>0</v>
      </c>
      <c r="DH73" s="57">
        <f t="shared" ca="1" si="191"/>
        <v>0</v>
      </c>
      <c r="DI73" s="57">
        <f t="shared" ca="1" si="191"/>
        <v>0</v>
      </c>
      <c r="DJ73" s="57">
        <f t="shared" ca="1" si="191"/>
        <v>0</v>
      </c>
      <c r="DK73" s="57">
        <f t="shared" ca="1" si="191"/>
        <v>0</v>
      </c>
      <c r="DL73" s="57">
        <f t="shared" ca="1" si="191"/>
        <v>0</v>
      </c>
      <c r="DM73" s="57">
        <f t="shared" ca="1" si="191"/>
        <v>0</v>
      </c>
      <c r="DN73" s="57">
        <f t="shared" ca="1" si="191"/>
        <v>0</v>
      </c>
      <c r="DO73" s="57">
        <f t="shared" ca="1" si="191"/>
        <v>0</v>
      </c>
      <c r="DP73" s="57">
        <f t="shared" ca="1" si="191"/>
        <v>0</v>
      </c>
      <c r="DQ73" s="57">
        <f t="shared" ca="1" si="191"/>
        <v>0</v>
      </c>
      <c r="DR73" s="57">
        <f t="shared" ref="DR73:EW73" ca="1" si="192">IFERROR(DR71/DR72,0)</f>
        <v>0</v>
      </c>
      <c r="DS73" s="57">
        <f t="shared" ca="1" si="192"/>
        <v>0</v>
      </c>
      <c r="DT73" s="57">
        <f t="shared" ca="1" si="192"/>
        <v>0</v>
      </c>
      <c r="DU73" s="57">
        <f t="shared" ca="1" si="192"/>
        <v>0</v>
      </c>
      <c r="DV73" s="57">
        <f t="shared" ca="1" si="192"/>
        <v>0</v>
      </c>
      <c r="DW73" s="57">
        <f t="shared" ca="1" si="192"/>
        <v>0</v>
      </c>
      <c r="DX73" s="57">
        <f t="shared" ca="1" si="192"/>
        <v>0</v>
      </c>
      <c r="DY73" s="57">
        <f t="shared" ca="1" si="192"/>
        <v>0</v>
      </c>
      <c r="DZ73" s="57">
        <f t="shared" ca="1" si="192"/>
        <v>0</v>
      </c>
      <c r="EA73" s="57">
        <f t="shared" ca="1" si="192"/>
        <v>0</v>
      </c>
      <c r="EB73" s="57">
        <f t="shared" ca="1" si="192"/>
        <v>0</v>
      </c>
      <c r="EC73" s="57">
        <f t="shared" ca="1" si="192"/>
        <v>0</v>
      </c>
      <c r="ED73" s="57">
        <f t="shared" ca="1" si="192"/>
        <v>0</v>
      </c>
      <c r="EE73" s="57">
        <f t="shared" ca="1" si="192"/>
        <v>0</v>
      </c>
      <c r="EF73" s="57">
        <f t="shared" ca="1" si="192"/>
        <v>0</v>
      </c>
      <c r="EG73" s="57">
        <f t="shared" ca="1" si="192"/>
        <v>0</v>
      </c>
      <c r="EH73" s="57">
        <f t="shared" ca="1" si="192"/>
        <v>0</v>
      </c>
      <c r="EI73" s="57">
        <f t="shared" ca="1" si="192"/>
        <v>0</v>
      </c>
      <c r="EJ73" s="57">
        <f t="shared" ca="1" si="192"/>
        <v>0</v>
      </c>
      <c r="EK73" s="57">
        <f t="shared" ca="1" si="192"/>
        <v>0</v>
      </c>
      <c r="EL73" s="57">
        <f t="shared" ca="1" si="192"/>
        <v>0</v>
      </c>
      <c r="EM73" s="57">
        <f t="shared" ca="1" si="192"/>
        <v>0</v>
      </c>
      <c r="EN73" s="57">
        <f t="shared" ca="1" si="192"/>
        <v>0</v>
      </c>
      <c r="EO73" s="57">
        <f t="shared" ca="1" si="192"/>
        <v>0</v>
      </c>
      <c r="EP73" s="57">
        <f t="shared" ca="1" si="192"/>
        <v>9543776.4605906233</v>
      </c>
      <c r="EQ73" s="57">
        <f t="shared" ca="1" si="192"/>
        <v>0</v>
      </c>
      <c r="ER73" s="57">
        <f t="shared" ca="1" si="192"/>
        <v>0</v>
      </c>
      <c r="ES73" s="57">
        <f t="shared" ca="1" si="192"/>
        <v>0</v>
      </c>
      <c r="ET73" s="57">
        <f t="shared" ca="1" si="192"/>
        <v>0</v>
      </c>
      <c r="EU73" s="57">
        <f t="shared" ca="1" si="192"/>
        <v>0</v>
      </c>
      <c r="EV73" s="57">
        <f t="shared" ca="1" si="192"/>
        <v>0</v>
      </c>
      <c r="EW73" s="57">
        <f t="shared" ca="1" si="192"/>
        <v>0</v>
      </c>
      <c r="EX73" s="57">
        <f t="shared" ref="EX73:FB73" ca="1" si="193">IFERROR(EX71/EX72,0)</f>
        <v>0</v>
      </c>
      <c r="EY73" s="57">
        <f t="shared" ca="1" si="193"/>
        <v>0</v>
      </c>
      <c r="EZ73" s="57">
        <f t="shared" ca="1" si="193"/>
        <v>0</v>
      </c>
      <c r="FA73" s="57">
        <f t="shared" ca="1" si="193"/>
        <v>0</v>
      </c>
      <c r="FB73" s="57">
        <f t="shared" ca="1" si="193"/>
        <v>0</v>
      </c>
    </row>
    <row r="74" spans="1:158">
      <c r="B74" s="11" t="s">
        <v>60</v>
      </c>
      <c r="C74" s="171">
        <v>0.01</v>
      </c>
      <c r="D74" s="171">
        <v>0.01</v>
      </c>
      <c r="E74" s="171">
        <v>0.01</v>
      </c>
      <c r="F74" s="171">
        <v>0.01</v>
      </c>
      <c r="G74" s="171">
        <v>0.01</v>
      </c>
      <c r="I74" s="32" t="s">
        <v>18</v>
      </c>
      <c r="J74" s="32"/>
      <c r="K74" s="33"/>
      <c r="L74" s="141">
        <f ca="1">SUMIF($Z$4:$FB$4,"&lt;="&amp;$G$18,$Z74:$FB74)</f>
        <v>170424.57965340398</v>
      </c>
      <c r="M74" s="112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2"/>
      <c r="Z74" s="147">
        <f t="shared" ref="Z74:BE74" ca="1" si="194">Z73/$C$63</f>
        <v>0</v>
      </c>
      <c r="AA74" s="147">
        <f t="shared" ca="1" si="194"/>
        <v>0</v>
      </c>
      <c r="AB74" s="147">
        <f t="shared" ca="1" si="194"/>
        <v>0</v>
      </c>
      <c r="AC74" s="147">
        <f t="shared" ca="1" si="194"/>
        <v>0</v>
      </c>
      <c r="AD74" s="147">
        <f t="shared" ca="1" si="194"/>
        <v>0</v>
      </c>
      <c r="AE74" s="147">
        <f t="shared" ca="1" si="194"/>
        <v>0</v>
      </c>
      <c r="AF74" s="147">
        <f t="shared" ca="1" si="194"/>
        <v>0</v>
      </c>
      <c r="AG74" s="147">
        <f t="shared" ca="1" si="194"/>
        <v>0</v>
      </c>
      <c r="AH74" s="147">
        <f t="shared" ca="1" si="194"/>
        <v>0</v>
      </c>
      <c r="AI74" s="147">
        <f t="shared" ca="1" si="194"/>
        <v>0</v>
      </c>
      <c r="AJ74" s="147">
        <f t="shared" ca="1" si="194"/>
        <v>0</v>
      </c>
      <c r="AK74" s="147">
        <f t="shared" ca="1" si="194"/>
        <v>0</v>
      </c>
      <c r="AL74" s="147">
        <f t="shared" ca="1" si="194"/>
        <v>0</v>
      </c>
      <c r="AM74" s="147">
        <f t="shared" ca="1" si="194"/>
        <v>0</v>
      </c>
      <c r="AN74" s="147">
        <f t="shared" ca="1" si="194"/>
        <v>0</v>
      </c>
      <c r="AO74" s="147">
        <f t="shared" ca="1" si="194"/>
        <v>0</v>
      </c>
      <c r="AP74" s="147">
        <f t="shared" ca="1" si="194"/>
        <v>0</v>
      </c>
      <c r="AQ74" s="147">
        <f t="shared" ca="1" si="194"/>
        <v>0</v>
      </c>
      <c r="AR74" s="147">
        <f t="shared" ca="1" si="194"/>
        <v>0</v>
      </c>
      <c r="AS74" s="147">
        <f t="shared" ca="1" si="194"/>
        <v>0</v>
      </c>
      <c r="AT74" s="147">
        <f t="shared" ca="1" si="194"/>
        <v>0</v>
      </c>
      <c r="AU74" s="147">
        <f t="shared" ca="1" si="194"/>
        <v>0</v>
      </c>
      <c r="AV74" s="147">
        <f t="shared" ca="1" si="194"/>
        <v>0</v>
      </c>
      <c r="AW74" s="147">
        <f t="shared" ca="1" si="194"/>
        <v>0</v>
      </c>
      <c r="AX74" s="147">
        <f t="shared" ca="1" si="194"/>
        <v>0</v>
      </c>
      <c r="AY74" s="147">
        <f t="shared" ca="1" si="194"/>
        <v>0</v>
      </c>
      <c r="AZ74" s="147">
        <f t="shared" ca="1" si="194"/>
        <v>0</v>
      </c>
      <c r="BA74" s="147">
        <f t="shared" ca="1" si="194"/>
        <v>0</v>
      </c>
      <c r="BB74" s="147">
        <f t="shared" ca="1" si="194"/>
        <v>0</v>
      </c>
      <c r="BC74" s="147">
        <f t="shared" ca="1" si="194"/>
        <v>0</v>
      </c>
      <c r="BD74" s="147">
        <f t="shared" ca="1" si="194"/>
        <v>0</v>
      </c>
      <c r="BE74" s="147">
        <f t="shared" ca="1" si="194"/>
        <v>0</v>
      </c>
      <c r="BF74" s="147">
        <f t="shared" ref="BF74:CK74" ca="1" si="195">BF73/$C$63</f>
        <v>0</v>
      </c>
      <c r="BG74" s="147">
        <f t="shared" ca="1" si="195"/>
        <v>0</v>
      </c>
      <c r="BH74" s="147">
        <f t="shared" ca="1" si="195"/>
        <v>0</v>
      </c>
      <c r="BI74" s="147">
        <f t="shared" ca="1" si="195"/>
        <v>0</v>
      </c>
      <c r="BJ74" s="147">
        <f t="shared" ca="1" si="195"/>
        <v>0</v>
      </c>
      <c r="BK74" s="147">
        <f t="shared" ca="1" si="195"/>
        <v>0</v>
      </c>
      <c r="BL74" s="147">
        <f t="shared" ca="1" si="195"/>
        <v>0</v>
      </c>
      <c r="BM74" s="147">
        <f t="shared" ca="1" si="195"/>
        <v>0</v>
      </c>
      <c r="BN74" s="147">
        <f t="shared" ca="1" si="195"/>
        <v>0</v>
      </c>
      <c r="BO74" s="147">
        <f t="shared" ca="1" si="195"/>
        <v>0</v>
      </c>
      <c r="BP74" s="147">
        <f t="shared" ca="1" si="195"/>
        <v>0</v>
      </c>
      <c r="BQ74" s="147">
        <f t="shared" ca="1" si="195"/>
        <v>0</v>
      </c>
      <c r="BR74" s="147">
        <f t="shared" ca="1" si="195"/>
        <v>0</v>
      </c>
      <c r="BS74" s="147">
        <f t="shared" ca="1" si="195"/>
        <v>0</v>
      </c>
      <c r="BT74" s="147">
        <f t="shared" ca="1" si="195"/>
        <v>0</v>
      </c>
      <c r="BU74" s="147">
        <f t="shared" ca="1" si="195"/>
        <v>0</v>
      </c>
      <c r="BV74" s="147">
        <f t="shared" ca="1" si="195"/>
        <v>0</v>
      </c>
      <c r="BW74" s="147">
        <f t="shared" ca="1" si="195"/>
        <v>0</v>
      </c>
      <c r="BX74" s="147">
        <f t="shared" ca="1" si="195"/>
        <v>0</v>
      </c>
      <c r="BY74" s="147">
        <f t="shared" ca="1" si="195"/>
        <v>0</v>
      </c>
      <c r="BZ74" s="147">
        <f t="shared" ca="1" si="195"/>
        <v>0</v>
      </c>
      <c r="CA74" s="147">
        <f t="shared" ca="1" si="195"/>
        <v>0</v>
      </c>
      <c r="CB74" s="147">
        <f t="shared" ca="1" si="195"/>
        <v>0</v>
      </c>
      <c r="CC74" s="147">
        <f t="shared" ca="1" si="195"/>
        <v>0</v>
      </c>
      <c r="CD74" s="147">
        <f t="shared" ca="1" si="195"/>
        <v>0</v>
      </c>
      <c r="CE74" s="147">
        <f t="shared" ca="1" si="195"/>
        <v>0</v>
      </c>
      <c r="CF74" s="147">
        <f t="shared" ca="1" si="195"/>
        <v>0</v>
      </c>
      <c r="CG74" s="147">
        <f t="shared" ca="1" si="195"/>
        <v>0</v>
      </c>
      <c r="CH74" s="147">
        <f t="shared" ca="1" si="195"/>
        <v>0</v>
      </c>
      <c r="CI74" s="147">
        <f t="shared" ca="1" si="195"/>
        <v>0</v>
      </c>
      <c r="CJ74" s="147">
        <f t="shared" ca="1" si="195"/>
        <v>0</v>
      </c>
      <c r="CK74" s="147">
        <f t="shared" ca="1" si="195"/>
        <v>0</v>
      </c>
      <c r="CL74" s="147">
        <f t="shared" ref="CL74:DQ74" ca="1" si="196">CL73/$C$63</f>
        <v>0</v>
      </c>
      <c r="CM74" s="147">
        <f t="shared" ca="1" si="196"/>
        <v>0</v>
      </c>
      <c r="CN74" s="147">
        <f t="shared" ca="1" si="196"/>
        <v>0</v>
      </c>
      <c r="CO74" s="147">
        <f t="shared" ca="1" si="196"/>
        <v>0</v>
      </c>
      <c r="CP74" s="147">
        <f t="shared" ca="1" si="196"/>
        <v>0</v>
      </c>
      <c r="CQ74" s="147">
        <f t="shared" ca="1" si="196"/>
        <v>0</v>
      </c>
      <c r="CR74" s="147">
        <f t="shared" ca="1" si="196"/>
        <v>0</v>
      </c>
      <c r="CS74" s="147">
        <f t="shared" ca="1" si="196"/>
        <v>0</v>
      </c>
      <c r="CT74" s="147">
        <f t="shared" ca="1" si="196"/>
        <v>0</v>
      </c>
      <c r="CU74" s="147">
        <f t="shared" ca="1" si="196"/>
        <v>0</v>
      </c>
      <c r="CV74" s="147">
        <f t="shared" ca="1" si="196"/>
        <v>0</v>
      </c>
      <c r="CW74" s="147">
        <f t="shared" ca="1" si="196"/>
        <v>0</v>
      </c>
      <c r="CX74" s="147">
        <f t="shared" ca="1" si="196"/>
        <v>0</v>
      </c>
      <c r="CY74" s="147">
        <f t="shared" ca="1" si="196"/>
        <v>0</v>
      </c>
      <c r="CZ74" s="147">
        <f t="shared" ca="1" si="196"/>
        <v>0</v>
      </c>
      <c r="DA74" s="147">
        <f t="shared" ca="1" si="196"/>
        <v>0</v>
      </c>
      <c r="DB74" s="147">
        <f t="shared" ca="1" si="196"/>
        <v>0</v>
      </c>
      <c r="DC74" s="147">
        <f t="shared" ca="1" si="196"/>
        <v>0</v>
      </c>
      <c r="DD74" s="147">
        <f t="shared" ca="1" si="196"/>
        <v>0</v>
      </c>
      <c r="DE74" s="147">
        <f t="shared" ca="1" si="196"/>
        <v>0</v>
      </c>
      <c r="DF74" s="147">
        <f t="shared" ca="1" si="196"/>
        <v>0</v>
      </c>
      <c r="DG74" s="147">
        <f t="shared" ca="1" si="196"/>
        <v>0</v>
      </c>
      <c r="DH74" s="147">
        <f t="shared" ca="1" si="196"/>
        <v>0</v>
      </c>
      <c r="DI74" s="147">
        <f t="shared" ca="1" si="196"/>
        <v>0</v>
      </c>
      <c r="DJ74" s="147">
        <f t="shared" ca="1" si="196"/>
        <v>0</v>
      </c>
      <c r="DK74" s="147">
        <f t="shared" ca="1" si="196"/>
        <v>0</v>
      </c>
      <c r="DL74" s="147">
        <f t="shared" ca="1" si="196"/>
        <v>0</v>
      </c>
      <c r="DM74" s="147">
        <f t="shared" ca="1" si="196"/>
        <v>0</v>
      </c>
      <c r="DN74" s="147">
        <f t="shared" ca="1" si="196"/>
        <v>0</v>
      </c>
      <c r="DO74" s="147">
        <f t="shared" ca="1" si="196"/>
        <v>0</v>
      </c>
      <c r="DP74" s="147">
        <f t="shared" ca="1" si="196"/>
        <v>0</v>
      </c>
      <c r="DQ74" s="147">
        <f t="shared" ca="1" si="196"/>
        <v>0</v>
      </c>
      <c r="DR74" s="147">
        <f t="shared" ref="DR74:EW74" ca="1" si="197">DR73/$C$63</f>
        <v>0</v>
      </c>
      <c r="DS74" s="147">
        <f t="shared" ca="1" si="197"/>
        <v>0</v>
      </c>
      <c r="DT74" s="147">
        <f t="shared" ca="1" si="197"/>
        <v>0</v>
      </c>
      <c r="DU74" s="147">
        <f t="shared" ca="1" si="197"/>
        <v>0</v>
      </c>
      <c r="DV74" s="147">
        <f t="shared" ca="1" si="197"/>
        <v>0</v>
      </c>
      <c r="DW74" s="147">
        <f t="shared" ca="1" si="197"/>
        <v>0</v>
      </c>
      <c r="DX74" s="147">
        <f t="shared" ca="1" si="197"/>
        <v>0</v>
      </c>
      <c r="DY74" s="147">
        <f t="shared" ca="1" si="197"/>
        <v>0</v>
      </c>
      <c r="DZ74" s="147">
        <f t="shared" ca="1" si="197"/>
        <v>0</v>
      </c>
      <c r="EA74" s="147">
        <f t="shared" ca="1" si="197"/>
        <v>0</v>
      </c>
      <c r="EB74" s="147">
        <f t="shared" ca="1" si="197"/>
        <v>0</v>
      </c>
      <c r="EC74" s="147">
        <f t="shared" ca="1" si="197"/>
        <v>0</v>
      </c>
      <c r="ED74" s="147">
        <f t="shared" ca="1" si="197"/>
        <v>0</v>
      </c>
      <c r="EE74" s="147">
        <f t="shared" ca="1" si="197"/>
        <v>0</v>
      </c>
      <c r="EF74" s="147">
        <f t="shared" ca="1" si="197"/>
        <v>0</v>
      </c>
      <c r="EG74" s="147">
        <f t="shared" ca="1" si="197"/>
        <v>0</v>
      </c>
      <c r="EH74" s="147">
        <f t="shared" ca="1" si="197"/>
        <v>0</v>
      </c>
      <c r="EI74" s="147">
        <f t="shared" ca="1" si="197"/>
        <v>0</v>
      </c>
      <c r="EJ74" s="147">
        <f t="shared" ca="1" si="197"/>
        <v>0</v>
      </c>
      <c r="EK74" s="147">
        <f t="shared" ca="1" si="197"/>
        <v>0</v>
      </c>
      <c r="EL74" s="147">
        <f t="shared" ca="1" si="197"/>
        <v>0</v>
      </c>
      <c r="EM74" s="147">
        <f t="shared" ca="1" si="197"/>
        <v>0</v>
      </c>
      <c r="EN74" s="147">
        <f t="shared" ca="1" si="197"/>
        <v>0</v>
      </c>
      <c r="EO74" s="147">
        <f t="shared" ca="1" si="197"/>
        <v>0</v>
      </c>
      <c r="EP74" s="147">
        <f t="shared" ca="1" si="197"/>
        <v>170424.57965340398</v>
      </c>
      <c r="EQ74" s="147">
        <f t="shared" ca="1" si="197"/>
        <v>0</v>
      </c>
      <c r="ER74" s="147">
        <f t="shared" ca="1" si="197"/>
        <v>0</v>
      </c>
      <c r="ES74" s="147">
        <f t="shared" ca="1" si="197"/>
        <v>0</v>
      </c>
      <c r="ET74" s="147">
        <f t="shared" ca="1" si="197"/>
        <v>0</v>
      </c>
      <c r="EU74" s="147">
        <f t="shared" ca="1" si="197"/>
        <v>0</v>
      </c>
      <c r="EV74" s="147">
        <f t="shared" ca="1" si="197"/>
        <v>0</v>
      </c>
      <c r="EW74" s="147">
        <f t="shared" ca="1" si="197"/>
        <v>0</v>
      </c>
      <c r="EX74" s="147">
        <f t="shared" ref="EX74:FB74" ca="1" si="198">EX73/$C$63</f>
        <v>0</v>
      </c>
      <c r="EY74" s="147">
        <f t="shared" ca="1" si="198"/>
        <v>0</v>
      </c>
      <c r="EZ74" s="147">
        <f t="shared" ca="1" si="198"/>
        <v>0</v>
      </c>
      <c r="FA74" s="147">
        <f t="shared" ca="1" si="198"/>
        <v>0</v>
      </c>
      <c r="FB74" s="147">
        <f t="shared" ca="1" si="198"/>
        <v>0</v>
      </c>
    </row>
    <row r="75" spans="1:158">
      <c r="B75" s="11" t="s">
        <v>62</v>
      </c>
      <c r="C75" s="171">
        <v>0.02</v>
      </c>
      <c r="D75" s="171">
        <v>0.01</v>
      </c>
      <c r="E75" s="171">
        <v>0.01</v>
      </c>
      <c r="F75" s="171">
        <v>0</v>
      </c>
      <c r="G75" s="171">
        <v>0</v>
      </c>
      <c r="L75" s="143"/>
      <c r="M75" s="113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13"/>
      <c r="Z75" s="108"/>
      <c r="AA75" s="108"/>
      <c r="AB75" s="108"/>
      <c r="AC75" s="108"/>
      <c r="AD75" s="108"/>
      <c r="AE75" s="108"/>
      <c r="AF75" s="108"/>
      <c r="AG75" s="108"/>
      <c r="AH75" s="108"/>
      <c r="AI75" s="108"/>
      <c r="AJ75" s="108"/>
      <c r="AK75" s="108"/>
      <c r="AL75" s="108"/>
      <c r="AM75" s="108"/>
      <c r="AN75" s="108"/>
      <c r="AO75" s="108"/>
      <c r="AP75" s="108"/>
      <c r="AQ75" s="108"/>
      <c r="AR75" s="108"/>
      <c r="AS75" s="108"/>
      <c r="AT75" s="108"/>
      <c r="AU75" s="108"/>
      <c r="AV75" s="108"/>
      <c r="AW75" s="108"/>
      <c r="AX75" s="108"/>
      <c r="AY75" s="108"/>
      <c r="AZ75" s="108"/>
      <c r="BA75" s="108"/>
      <c r="BB75" s="108"/>
      <c r="BC75" s="108"/>
      <c r="BD75" s="108"/>
      <c r="BE75" s="108"/>
      <c r="BF75" s="108"/>
      <c r="BG75" s="108"/>
      <c r="BH75" s="108"/>
      <c r="BI75" s="108"/>
      <c r="BJ75" s="108"/>
      <c r="BK75" s="108"/>
      <c r="BL75" s="108"/>
      <c r="BM75" s="108"/>
      <c r="BN75" s="108"/>
      <c r="BO75" s="108"/>
      <c r="BP75" s="108"/>
      <c r="BQ75" s="108"/>
      <c r="BR75" s="108"/>
      <c r="BS75" s="108"/>
      <c r="BT75" s="108"/>
      <c r="BU75" s="108"/>
      <c r="BV75" s="108"/>
      <c r="BW75" s="108"/>
      <c r="BX75" s="108"/>
      <c r="BY75" s="108"/>
      <c r="BZ75" s="108"/>
      <c r="CA75" s="108"/>
      <c r="CB75" s="108"/>
      <c r="CC75" s="108"/>
      <c r="CD75" s="108"/>
      <c r="CE75" s="108"/>
      <c r="CF75" s="108"/>
      <c r="CG75" s="108"/>
      <c r="CH75" s="108"/>
      <c r="CI75" s="108"/>
      <c r="CJ75" s="108"/>
      <c r="CK75" s="108"/>
      <c r="CL75" s="108"/>
      <c r="CM75" s="108"/>
      <c r="CN75" s="108"/>
      <c r="CO75" s="108"/>
      <c r="CP75" s="108"/>
      <c r="CQ75" s="108"/>
      <c r="CR75" s="108"/>
      <c r="CS75" s="108"/>
      <c r="CT75" s="108"/>
      <c r="CU75" s="108"/>
      <c r="CV75" s="108"/>
      <c r="CW75" s="108"/>
      <c r="CX75" s="108"/>
      <c r="CY75" s="108"/>
      <c r="CZ75" s="108"/>
      <c r="DA75" s="108"/>
      <c r="DB75" s="108"/>
      <c r="DC75" s="108"/>
      <c r="DD75" s="108"/>
      <c r="DE75" s="108"/>
      <c r="DF75" s="108"/>
      <c r="DG75" s="108"/>
      <c r="DH75" s="108"/>
      <c r="DI75" s="108"/>
      <c r="DJ75" s="108"/>
      <c r="DK75" s="108"/>
      <c r="DL75" s="108"/>
      <c r="DM75" s="108"/>
      <c r="DN75" s="108"/>
      <c r="DO75" s="108"/>
      <c r="DP75" s="108"/>
      <c r="DQ75" s="108"/>
      <c r="DR75" s="108"/>
      <c r="DS75" s="108"/>
      <c r="DT75" s="108"/>
      <c r="DU75" s="108"/>
      <c r="DV75" s="108"/>
      <c r="DW75" s="108"/>
      <c r="DX75" s="108"/>
      <c r="DY75" s="108"/>
      <c r="DZ75" s="108"/>
      <c r="EA75" s="108"/>
      <c r="EB75" s="108"/>
      <c r="EC75" s="108"/>
      <c r="ED75" s="108"/>
      <c r="EE75" s="108"/>
      <c r="EF75" s="108"/>
      <c r="EG75" s="108"/>
      <c r="EH75" s="108"/>
      <c r="EI75" s="108"/>
      <c r="EJ75" s="108"/>
      <c r="EK75" s="108"/>
      <c r="EL75" s="108"/>
      <c r="EM75" s="108"/>
      <c r="EN75" s="108"/>
      <c r="EO75" s="108"/>
      <c r="EP75" s="108"/>
      <c r="EQ75" s="108"/>
      <c r="ER75" s="108"/>
      <c r="ES75" s="108"/>
      <c r="ET75" s="108"/>
      <c r="EU75" s="108"/>
      <c r="EV75" s="108"/>
      <c r="EW75" s="108"/>
      <c r="EX75" s="108"/>
      <c r="EY75" s="108"/>
      <c r="EZ75" s="108"/>
      <c r="FA75" s="108"/>
      <c r="FB75" s="108"/>
    </row>
    <row r="76" spans="1:158">
      <c r="A76" s="46"/>
      <c r="B76" s="11" t="s">
        <v>116</v>
      </c>
      <c r="C76" s="114">
        <v>0</v>
      </c>
      <c r="D76" s="114">
        <v>0</v>
      </c>
      <c r="E76" s="114">
        <v>0</v>
      </c>
      <c r="F76" s="114">
        <v>0</v>
      </c>
      <c r="G76" s="114">
        <v>0</v>
      </c>
      <c r="H76" s="64"/>
      <c r="I76" s="66" t="s">
        <v>117</v>
      </c>
      <c r="J76" s="66"/>
      <c r="L76" s="142">
        <f ca="1">SUMIF($Z$4:$FB$4,"&lt;="&amp;$G$18,$Z76:$FB76)</f>
        <v>-190875.52921181248</v>
      </c>
      <c r="M76" s="113"/>
      <c r="N76" s="115">
        <f t="shared" ref="N76:X77" ca="1" si="199">SUMIF($Z$3:$FB$3,N$7,$Z76:$FB76)</f>
        <v>0</v>
      </c>
      <c r="O76" s="115">
        <f t="shared" ca="1" si="199"/>
        <v>0</v>
      </c>
      <c r="P76" s="115">
        <f t="shared" ca="1" si="199"/>
        <v>0</v>
      </c>
      <c r="Q76" s="115">
        <f t="shared" ca="1" si="199"/>
        <v>0</v>
      </c>
      <c r="R76" s="115">
        <f t="shared" ca="1" si="199"/>
        <v>0</v>
      </c>
      <c r="S76" s="115">
        <f t="shared" ca="1" si="199"/>
        <v>0</v>
      </c>
      <c r="T76" s="115">
        <f t="shared" ca="1" si="199"/>
        <v>0</v>
      </c>
      <c r="U76" s="115">
        <f t="shared" ca="1" si="199"/>
        <v>0</v>
      </c>
      <c r="V76" s="115">
        <f t="shared" ca="1" si="199"/>
        <v>0</v>
      </c>
      <c r="W76" s="115">
        <f t="shared" ca="1" si="199"/>
        <v>0</v>
      </c>
      <c r="X76" s="115">
        <f t="shared" ca="1" si="199"/>
        <v>-190875.52921181248</v>
      </c>
      <c r="Y76" s="113"/>
      <c r="Z76" s="189">
        <f t="shared" ref="Z76:BE76" ca="1" si="200">Z73*-$E$26</f>
        <v>0</v>
      </c>
      <c r="AA76" s="189">
        <f t="shared" ca="1" si="200"/>
        <v>0</v>
      </c>
      <c r="AB76" s="189">
        <f t="shared" ca="1" si="200"/>
        <v>0</v>
      </c>
      <c r="AC76" s="189">
        <f t="shared" ca="1" si="200"/>
        <v>0</v>
      </c>
      <c r="AD76" s="189">
        <f t="shared" ca="1" si="200"/>
        <v>0</v>
      </c>
      <c r="AE76" s="189">
        <f t="shared" ca="1" si="200"/>
        <v>0</v>
      </c>
      <c r="AF76" s="189">
        <f t="shared" ca="1" si="200"/>
        <v>0</v>
      </c>
      <c r="AG76" s="189">
        <f t="shared" ca="1" si="200"/>
        <v>0</v>
      </c>
      <c r="AH76" s="189">
        <f t="shared" ca="1" si="200"/>
        <v>0</v>
      </c>
      <c r="AI76" s="189">
        <f t="shared" ca="1" si="200"/>
        <v>0</v>
      </c>
      <c r="AJ76" s="189">
        <f t="shared" ca="1" si="200"/>
        <v>0</v>
      </c>
      <c r="AK76" s="189">
        <f t="shared" ca="1" si="200"/>
        <v>0</v>
      </c>
      <c r="AL76" s="189">
        <f t="shared" ca="1" si="200"/>
        <v>0</v>
      </c>
      <c r="AM76" s="189">
        <f t="shared" ca="1" si="200"/>
        <v>0</v>
      </c>
      <c r="AN76" s="189">
        <f t="shared" ca="1" si="200"/>
        <v>0</v>
      </c>
      <c r="AO76" s="189">
        <f t="shared" ca="1" si="200"/>
        <v>0</v>
      </c>
      <c r="AP76" s="189">
        <f t="shared" ca="1" si="200"/>
        <v>0</v>
      </c>
      <c r="AQ76" s="189">
        <f t="shared" ca="1" si="200"/>
        <v>0</v>
      </c>
      <c r="AR76" s="189">
        <f t="shared" ca="1" si="200"/>
        <v>0</v>
      </c>
      <c r="AS76" s="189">
        <f t="shared" ca="1" si="200"/>
        <v>0</v>
      </c>
      <c r="AT76" s="189">
        <f t="shared" ca="1" si="200"/>
        <v>0</v>
      </c>
      <c r="AU76" s="189">
        <f t="shared" ca="1" si="200"/>
        <v>0</v>
      </c>
      <c r="AV76" s="189">
        <f t="shared" ca="1" si="200"/>
        <v>0</v>
      </c>
      <c r="AW76" s="189">
        <f t="shared" ca="1" si="200"/>
        <v>0</v>
      </c>
      <c r="AX76" s="189">
        <f t="shared" ca="1" si="200"/>
        <v>0</v>
      </c>
      <c r="AY76" s="189">
        <f t="shared" ca="1" si="200"/>
        <v>0</v>
      </c>
      <c r="AZ76" s="189">
        <f t="shared" ca="1" si="200"/>
        <v>0</v>
      </c>
      <c r="BA76" s="189">
        <f t="shared" ca="1" si="200"/>
        <v>0</v>
      </c>
      <c r="BB76" s="189">
        <f t="shared" ca="1" si="200"/>
        <v>0</v>
      </c>
      <c r="BC76" s="189">
        <f t="shared" ca="1" si="200"/>
        <v>0</v>
      </c>
      <c r="BD76" s="189">
        <f t="shared" ca="1" si="200"/>
        <v>0</v>
      </c>
      <c r="BE76" s="189">
        <f t="shared" ca="1" si="200"/>
        <v>0</v>
      </c>
      <c r="BF76" s="189">
        <f t="shared" ref="BF76:CK76" ca="1" si="201">BF73*-$E$26</f>
        <v>0</v>
      </c>
      <c r="BG76" s="189">
        <f t="shared" ca="1" si="201"/>
        <v>0</v>
      </c>
      <c r="BH76" s="189">
        <f t="shared" ca="1" si="201"/>
        <v>0</v>
      </c>
      <c r="BI76" s="189">
        <f t="shared" ca="1" si="201"/>
        <v>0</v>
      </c>
      <c r="BJ76" s="189">
        <f t="shared" ca="1" si="201"/>
        <v>0</v>
      </c>
      <c r="BK76" s="189">
        <f t="shared" ca="1" si="201"/>
        <v>0</v>
      </c>
      <c r="BL76" s="189">
        <f t="shared" ca="1" si="201"/>
        <v>0</v>
      </c>
      <c r="BM76" s="189">
        <f t="shared" ca="1" si="201"/>
        <v>0</v>
      </c>
      <c r="BN76" s="189">
        <f t="shared" ca="1" si="201"/>
        <v>0</v>
      </c>
      <c r="BO76" s="189">
        <f t="shared" ca="1" si="201"/>
        <v>0</v>
      </c>
      <c r="BP76" s="189">
        <f t="shared" ca="1" si="201"/>
        <v>0</v>
      </c>
      <c r="BQ76" s="189">
        <f t="shared" ca="1" si="201"/>
        <v>0</v>
      </c>
      <c r="BR76" s="189">
        <f t="shared" ca="1" si="201"/>
        <v>0</v>
      </c>
      <c r="BS76" s="189">
        <f t="shared" ca="1" si="201"/>
        <v>0</v>
      </c>
      <c r="BT76" s="189">
        <f t="shared" ca="1" si="201"/>
        <v>0</v>
      </c>
      <c r="BU76" s="189">
        <f t="shared" ca="1" si="201"/>
        <v>0</v>
      </c>
      <c r="BV76" s="189">
        <f t="shared" ca="1" si="201"/>
        <v>0</v>
      </c>
      <c r="BW76" s="189">
        <f t="shared" ca="1" si="201"/>
        <v>0</v>
      </c>
      <c r="BX76" s="189">
        <f t="shared" ca="1" si="201"/>
        <v>0</v>
      </c>
      <c r="BY76" s="189">
        <f t="shared" ca="1" si="201"/>
        <v>0</v>
      </c>
      <c r="BZ76" s="189">
        <f t="shared" ca="1" si="201"/>
        <v>0</v>
      </c>
      <c r="CA76" s="189">
        <f t="shared" ca="1" si="201"/>
        <v>0</v>
      </c>
      <c r="CB76" s="189">
        <f t="shared" ca="1" si="201"/>
        <v>0</v>
      </c>
      <c r="CC76" s="189">
        <f t="shared" ca="1" si="201"/>
        <v>0</v>
      </c>
      <c r="CD76" s="189">
        <f t="shared" ca="1" si="201"/>
        <v>0</v>
      </c>
      <c r="CE76" s="189">
        <f t="shared" ca="1" si="201"/>
        <v>0</v>
      </c>
      <c r="CF76" s="189">
        <f t="shared" ca="1" si="201"/>
        <v>0</v>
      </c>
      <c r="CG76" s="189">
        <f t="shared" ca="1" si="201"/>
        <v>0</v>
      </c>
      <c r="CH76" s="189">
        <f t="shared" ca="1" si="201"/>
        <v>0</v>
      </c>
      <c r="CI76" s="189">
        <f t="shared" ca="1" si="201"/>
        <v>0</v>
      </c>
      <c r="CJ76" s="189">
        <f t="shared" ca="1" si="201"/>
        <v>0</v>
      </c>
      <c r="CK76" s="189">
        <f t="shared" ca="1" si="201"/>
        <v>0</v>
      </c>
      <c r="CL76" s="189">
        <f t="shared" ref="CL76:DQ76" ca="1" si="202">CL73*-$E$26</f>
        <v>0</v>
      </c>
      <c r="CM76" s="189">
        <f t="shared" ca="1" si="202"/>
        <v>0</v>
      </c>
      <c r="CN76" s="189">
        <f t="shared" ca="1" si="202"/>
        <v>0</v>
      </c>
      <c r="CO76" s="189">
        <f t="shared" ca="1" si="202"/>
        <v>0</v>
      </c>
      <c r="CP76" s="189">
        <f t="shared" ca="1" si="202"/>
        <v>0</v>
      </c>
      <c r="CQ76" s="189">
        <f t="shared" ca="1" si="202"/>
        <v>0</v>
      </c>
      <c r="CR76" s="189">
        <f t="shared" ca="1" si="202"/>
        <v>0</v>
      </c>
      <c r="CS76" s="189">
        <f t="shared" ca="1" si="202"/>
        <v>0</v>
      </c>
      <c r="CT76" s="189">
        <f t="shared" ca="1" si="202"/>
        <v>0</v>
      </c>
      <c r="CU76" s="189">
        <f t="shared" ca="1" si="202"/>
        <v>0</v>
      </c>
      <c r="CV76" s="189">
        <f t="shared" ca="1" si="202"/>
        <v>0</v>
      </c>
      <c r="CW76" s="189">
        <f t="shared" ca="1" si="202"/>
        <v>0</v>
      </c>
      <c r="CX76" s="189">
        <f t="shared" ca="1" si="202"/>
        <v>0</v>
      </c>
      <c r="CY76" s="189">
        <f t="shared" ca="1" si="202"/>
        <v>0</v>
      </c>
      <c r="CZ76" s="189">
        <f t="shared" ca="1" si="202"/>
        <v>0</v>
      </c>
      <c r="DA76" s="189">
        <f t="shared" ca="1" si="202"/>
        <v>0</v>
      </c>
      <c r="DB76" s="189">
        <f t="shared" ca="1" si="202"/>
        <v>0</v>
      </c>
      <c r="DC76" s="189">
        <f t="shared" ca="1" si="202"/>
        <v>0</v>
      </c>
      <c r="DD76" s="189">
        <f t="shared" ca="1" si="202"/>
        <v>0</v>
      </c>
      <c r="DE76" s="189">
        <f t="shared" ca="1" si="202"/>
        <v>0</v>
      </c>
      <c r="DF76" s="189">
        <f t="shared" ca="1" si="202"/>
        <v>0</v>
      </c>
      <c r="DG76" s="189">
        <f t="shared" ca="1" si="202"/>
        <v>0</v>
      </c>
      <c r="DH76" s="189">
        <f t="shared" ca="1" si="202"/>
        <v>0</v>
      </c>
      <c r="DI76" s="189">
        <f t="shared" ca="1" si="202"/>
        <v>0</v>
      </c>
      <c r="DJ76" s="189">
        <f t="shared" ca="1" si="202"/>
        <v>0</v>
      </c>
      <c r="DK76" s="189">
        <f t="shared" ca="1" si="202"/>
        <v>0</v>
      </c>
      <c r="DL76" s="189">
        <f t="shared" ca="1" si="202"/>
        <v>0</v>
      </c>
      <c r="DM76" s="189">
        <f t="shared" ca="1" si="202"/>
        <v>0</v>
      </c>
      <c r="DN76" s="189">
        <f t="shared" ca="1" si="202"/>
        <v>0</v>
      </c>
      <c r="DO76" s="189">
        <f t="shared" ca="1" si="202"/>
        <v>0</v>
      </c>
      <c r="DP76" s="189">
        <f t="shared" ca="1" si="202"/>
        <v>0</v>
      </c>
      <c r="DQ76" s="189">
        <f t="shared" ca="1" si="202"/>
        <v>0</v>
      </c>
      <c r="DR76" s="189">
        <f t="shared" ref="DR76:FB76" ca="1" si="203">DR73*-$E$26</f>
        <v>0</v>
      </c>
      <c r="DS76" s="189">
        <f t="shared" ca="1" si="203"/>
        <v>0</v>
      </c>
      <c r="DT76" s="189">
        <f t="shared" ca="1" si="203"/>
        <v>0</v>
      </c>
      <c r="DU76" s="189">
        <f t="shared" ca="1" si="203"/>
        <v>0</v>
      </c>
      <c r="DV76" s="189">
        <f t="shared" ca="1" si="203"/>
        <v>0</v>
      </c>
      <c r="DW76" s="189">
        <f t="shared" ca="1" si="203"/>
        <v>0</v>
      </c>
      <c r="DX76" s="189">
        <f t="shared" ca="1" si="203"/>
        <v>0</v>
      </c>
      <c r="DY76" s="189">
        <f t="shared" ca="1" si="203"/>
        <v>0</v>
      </c>
      <c r="DZ76" s="189">
        <f t="shared" ca="1" si="203"/>
        <v>0</v>
      </c>
      <c r="EA76" s="189">
        <f t="shared" ca="1" si="203"/>
        <v>0</v>
      </c>
      <c r="EB76" s="189">
        <f t="shared" ca="1" si="203"/>
        <v>0</v>
      </c>
      <c r="EC76" s="189">
        <f t="shared" ca="1" si="203"/>
        <v>0</v>
      </c>
      <c r="ED76" s="189">
        <f t="shared" ca="1" si="203"/>
        <v>0</v>
      </c>
      <c r="EE76" s="189">
        <f t="shared" ca="1" si="203"/>
        <v>0</v>
      </c>
      <c r="EF76" s="189">
        <f t="shared" ca="1" si="203"/>
        <v>0</v>
      </c>
      <c r="EG76" s="189">
        <f t="shared" ca="1" si="203"/>
        <v>0</v>
      </c>
      <c r="EH76" s="189">
        <f t="shared" ca="1" si="203"/>
        <v>0</v>
      </c>
      <c r="EI76" s="189">
        <f t="shared" ca="1" si="203"/>
        <v>0</v>
      </c>
      <c r="EJ76" s="189">
        <f t="shared" ca="1" si="203"/>
        <v>0</v>
      </c>
      <c r="EK76" s="189">
        <f t="shared" ca="1" si="203"/>
        <v>0</v>
      </c>
      <c r="EL76" s="189">
        <f t="shared" ca="1" si="203"/>
        <v>0</v>
      </c>
      <c r="EM76" s="189">
        <f t="shared" ca="1" si="203"/>
        <v>0</v>
      </c>
      <c r="EN76" s="189">
        <f t="shared" ca="1" si="203"/>
        <v>0</v>
      </c>
      <c r="EO76" s="189">
        <f t="shared" ca="1" si="203"/>
        <v>0</v>
      </c>
      <c r="EP76" s="189">
        <f t="shared" ca="1" si="203"/>
        <v>-190875.52921181248</v>
      </c>
      <c r="EQ76" s="189">
        <f t="shared" ca="1" si="203"/>
        <v>0</v>
      </c>
      <c r="ER76" s="189">
        <f t="shared" ca="1" si="203"/>
        <v>0</v>
      </c>
      <c r="ES76" s="189">
        <f t="shared" ca="1" si="203"/>
        <v>0</v>
      </c>
      <c r="ET76" s="189">
        <f t="shared" ca="1" si="203"/>
        <v>0</v>
      </c>
      <c r="EU76" s="189">
        <f t="shared" ca="1" si="203"/>
        <v>0</v>
      </c>
      <c r="EV76" s="189">
        <f t="shared" ca="1" si="203"/>
        <v>0</v>
      </c>
      <c r="EW76" s="189">
        <f t="shared" ca="1" si="203"/>
        <v>0</v>
      </c>
      <c r="EX76" s="189">
        <f t="shared" ca="1" si="203"/>
        <v>0</v>
      </c>
      <c r="EY76" s="189">
        <f t="shared" ca="1" si="203"/>
        <v>0</v>
      </c>
      <c r="EZ76" s="189">
        <f t="shared" ca="1" si="203"/>
        <v>0</v>
      </c>
      <c r="FA76" s="189">
        <f t="shared" ca="1" si="203"/>
        <v>0</v>
      </c>
      <c r="FB76" s="189">
        <f t="shared" ca="1" si="203"/>
        <v>0</v>
      </c>
    </row>
    <row r="77" spans="1:158">
      <c r="B77" s="21" t="s">
        <v>20</v>
      </c>
      <c r="C77" s="45">
        <f>IF(MONTH(D15)=12,YEAR(D15)+1,YEAR(D15))</f>
        <v>2026</v>
      </c>
      <c r="D77" s="45">
        <f>C77+1</f>
        <v>2027</v>
      </c>
      <c r="E77" s="45">
        <f>D77+1</f>
        <v>2028</v>
      </c>
      <c r="F77" s="45">
        <f>E77+1</f>
        <v>2029</v>
      </c>
      <c r="G77" s="107">
        <f>F77+1</f>
        <v>2030</v>
      </c>
      <c r="I77" s="72" t="s">
        <v>45</v>
      </c>
      <c r="J77" s="73"/>
      <c r="K77" s="64"/>
      <c r="L77" s="72">
        <f ca="1">SUMIF($Z$4:$FB$4,"&lt;="&amp;$G$18,$Z77:$FB77)</f>
        <v>9352900.9313788116</v>
      </c>
      <c r="M77" s="58"/>
      <c r="N77" s="72">
        <f t="shared" ca="1" si="199"/>
        <v>0</v>
      </c>
      <c r="O77" s="72">
        <f t="shared" ca="1" si="199"/>
        <v>0</v>
      </c>
      <c r="P77" s="72">
        <f t="shared" ca="1" si="199"/>
        <v>0</v>
      </c>
      <c r="Q77" s="72">
        <f t="shared" ca="1" si="199"/>
        <v>0</v>
      </c>
      <c r="R77" s="72">
        <f t="shared" ca="1" si="199"/>
        <v>0</v>
      </c>
      <c r="S77" s="72">
        <f t="shared" ca="1" si="199"/>
        <v>0</v>
      </c>
      <c r="T77" s="72">
        <f t="shared" ca="1" si="199"/>
        <v>0</v>
      </c>
      <c r="U77" s="72">
        <f t="shared" ca="1" si="199"/>
        <v>0</v>
      </c>
      <c r="V77" s="72">
        <f t="shared" ca="1" si="199"/>
        <v>0</v>
      </c>
      <c r="W77" s="72">
        <f t="shared" ca="1" si="199"/>
        <v>0</v>
      </c>
      <c r="X77" s="72">
        <f t="shared" ca="1" si="199"/>
        <v>9352900.9313788116</v>
      </c>
      <c r="Y77" s="58"/>
      <c r="Z77" s="72">
        <f t="shared" ref="Z77:BE77" ca="1" si="204">SUM(Z73,Z76)</f>
        <v>0</v>
      </c>
      <c r="AA77" s="72">
        <f t="shared" ca="1" si="204"/>
        <v>0</v>
      </c>
      <c r="AB77" s="72">
        <f t="shared" ca="1" si="204"/>
        <v>0</v>
      </c>
      <c r="AC77" s="72">
        <f t="shared" ca="1" si="204"/>
        <v>0</v>
      </c>
      <c r="AD77" s="72">
        <f t="shared" ca="1" si="204"/>
        <v>0</v>
      </c>
      <c r="AE77" s="72">
        <f t="shared" ca="1" si="204"/>
        <v>0</v>
      </c>
      <c r="AF77" s="72">
        <f t="shared" ca="1" si="204"/>
        <v>0</v>
      </c>
      <c r="AG77" s="72">
        <f t="shared" ca="1" si="204"/>
        <v>0</v>
      </c>
      <c r="AH77" s="72">
        <f t="shared" ca="1" si="204"/>
        <v>0</v>
      </c>
      <c r="AI77" s="72">
        <f t="shared" ca="1" si="204"/>
        <v>0</v>
      </c>
      <c r="AJ77" s="72">
        <f t="shared" ca="1" si="204"/>
        <v>0</v>
      </c>
      <c r="AK77" s="72">
        <f t="shared" ca="1" si="204"/>
        <v>0</v>
      </c>
      <c r="AL77" s="72">
        <f t="shared" ca="1" si="204"/>
        <v>0</v>
      </c>
      <c r="AM77" s="72">
        <f t="shared" ca="1" si="204"/>
        <v>0</v>
      </c>
      <c r="AN77" s="72">
        <f t="shared" ca="1" si="204"/>
        <v>0</v>
      </c>
      <c r="AO77" s="72">
        <f t="shared" ca="1" si="204"/>
        <v>0</v>
      </c>
      <c r="AP77" s="72">
        <f t="shared" ca="1" si="204"/>
        <v>0</v>
      </c>
      <c r="AQ77" s="72">
        <f t="shared" ca="1" si="204"/>
        <v>0</v>
      </c>
      <c r="AR77" s="72">
        <f t="shared" ca="1" si="204"/>
        <v>0</v>
      </c>
      <c r="AS77" s="72">
        <f t="shared" ca="1" si="204"/>
        <v>0</v>
      </c>
      <c r="AT77" s="72">
        <f t="shared" ca="1" si="204"/>
        <v>0</v>
      </c>
      <c r="AU77" s="72">
        <f t="shared" ca="1" si="204"/>
        <v>0</v>
      </c>
      <c r="AV77" s="72">
        <f t="shared" ca="1" si="204"/>
        <v>0</v>
      </c>
      <c r="AW77" s="72">
        <f t="shared" ca="1" si="204"/>
        <v>0</v>
      </c>
      <c r="AX77" s="72">
        <f t="shared" ca="1" si="204"/>
        <v>0</v>
      </c>
      <c r="AY77" s="72">
        <f t="shared" ca="1" si="204"/>
        <v>0</v>
      </c>
      <c r="AZ77" s="72">
        <f t="shared" ca="1" si="204"/>
        <v>0</v>
      </c>
      <c r="BA77" s="72">
        <f t="shared" ca="1" si="204"/>
        <v>0</v>
      </c>
      <c r="BB77" s="72">
        <f t="shared" ca="1" si="204"/>
        <v>0</v>
      </c>
      <c r="BC77" s="72">
        <f t="shared" ca="1" si="204"/>
        <v>0</v>
      </c>
      <c r="BD77" s="72">
        <f t="shared" ca="1" si="204"/>
        <v>0</v>
      </c>
      <c r="BE77" s="72">
        <f t="shared" ca="1" si="204"/>
        <v>0</v>
      </c>
      <c r="BF77" s="72">
        <f t="shared" ref="BF77:CK77" ca="1" si="205">SUM(BF73,BF76)</f>
        <v>0</v>
      </c>
      <c r="BG77" s="72">
        <f t="shared" ca="1" si="205"/>
        <v>0</v>
      </c>
      <c r="BH77" s="72">
        <f t="shared" ca="1" si="205"/>
        <v>0</v>
      </c>
      <c r="BI77" s="72">
        <f t="shared" ca="1" si="205"/>
        <v>0</v>
      </c>
      <c r="BJ77" s="72">
        <f t="shared" ca="1" si="205"/>
        <v>0</v>
      </c>
      <c r="BK77" s="72">
        <f t="shared" ca="1" si="205"/>
        <v>0</v>
      </c>
      <c r="BL77" s="72">
        <f t="shared" ca="1" si="205"/>
        <v>0</v>
      </c>
      <c r="BM77" s="72">
        <f t="shared" ca="1" si="205"/>
        <v>0</v>
      </c>
      <c r="BN77" s="72">
        <f t="shared" ca="1" si="205"/>
        <v>0</v>
      </c>
      <c r="BO77" s="72">
        <f t="shared" ca="1" si="205"/>
        <v>0</v>
      </c>
      <c r="BP77" s="72">
        <f t="shared" ca="1" si="205"/>
        <v>0</v>
      </c>
      <c r="BQ77" s="72">
        <f t="shared" ca="1" si="205"/>
        <v>0</v>
      </c>
      <c r="BR77" s="72">
        <f t="shared" ca="1" si="205"/>
        <v>0</v>
      </c>
      <c r="BS77" s="72">
        <f t="shared" ca="1" si="205"/>
        <v>0</v>
      </c>
      <c r="BT77" s="72">
        <f t="shared" ca="1" si="205"/>
        <v>0</v>
      </c>
      <c r="BU77" s="72">
        <f t="shared" ca="1" si="205"/>
        <v>0</v>
      </c>
      <c r="BV77" s="72">
        <f t="shared" ca="1" si="205"/>
        <v>0</v>
      </c>
      <c r="BW77" s="72">
        <f t="shared" ca="1" si="205"/>
        <v>0</v>
      </c>
      <c r="BX77" s="72">
        <f t="shared" ca="1" si="205"/>
        <v>0</v>
      </c>
      <c r="BY77" s="72">
        <f t="shared" ca="1" si="205"/>
        <v>0</v>
      </c>
      <c r="BZ77" s="72">
        <f t="shared" ca="1" si="205"/>
        <v>0</v>
      </c>
      <c r="CA77" s="72">
        <f t="shared" ca="1" si="205"/>
        <v>0</v>
      </c>
      <c r="CB77" s="72">
        <f t="shared" ca="1" si="205"/>
        <v>0</v>
      </c>
      <c r="CC77" s="72">
        <f t="shared" ca="1" si="205"/>
        <v>0</v>
      </c>
      <c r="CD77" s="72">
        <f t="shared" ca="1" si="205"/>
        <v>0</v>
      </c>
      <c r="CE77" s="72">
        <f t="shared" ca="1" si="205"/>
        <v>0</v>
      </c>
      <c r="CF77" s="72">
        <f t="shared" ca="1" si="205"/>
        <v>0</v>
      </c>
      <c r="CG77" s="72">
        <f t="shared" ca="1" si="205"/>
        <v>0</v>
      </c>
      <c r="CH77" s="72">
        <f t="shared" ca="1" si="205"/>
        <v>0</v>
      </c>
      <c r="CI77" s="72">
        <f t="shared" ca="1" si="205"/>
        <v>0</v>
      </c>
      <c r="CJ77" s="72">
        <f t="shared" ca="1" si="205"/>
        <v>0</v>
      </c>
      <c r="CK77" s="72">
        <f t="shared" ca="1" si="205"/>
        <v>0</v>
      </c>
      <c r="CL77" s="72">
        <f t="shared" ref="CL77:DQ77" ca="1" si="206">SUM(CL73,CL76)</f>
        <v>0</v>
      </c>
      <c r="CM77" s="72">
        <f t="shared" ca="1" si="206"/>
        <v>0</v>
      </c>
      <c r="CN77" s="72">
        <f t="shared" ca="1" si="206"/>
        <v>0</v>
      </c>
      <c r="CO77" s="72">
        <f t="shared" ca="1" si="206"/>
        <v>0</v>
      </c>
      <c r="CP77" s="72">
        <f t="shared" ca="1" si="206"/>
        <v>0</v>
      </c>
      <c r="CQ77" s="72">
        <f t="shared" ca="1" si="206"/>
        <v>0</v>
      </c>
      <c r="CR77" s="72">
        <f t="shared" ca="1" si="206"/>
        <v>0</v>
      </c>
      <c r="CS77" s="72">
        <f t="shared" ca="1" si="206"/>
        <v>0</v>
      </c>
      <c r="CT77" s="72">
        <f t="shared" ca="1" si="206"/>
        <v>0</v>
      </c>
      <c r="CU77" s="72">
        <f t="shared" ca="1" si="206"/>
        <v>0</v>
      </c>
      <c r="CV77" s="72">
        <f t="shared" ca="1" si="206"/>
        <v>0</v>
      </c>
      <c r="CW77" s="72">
        <f t="shared" ca="1" si="206"/>
        <v>0</v>
      </c>
      <c r="CX77" s="72">
        <f t="shared" ca="1" si="206"/>
        <v>0</v>
      </c>
      <c r="CY77" s="72">
        <f t="shared" ca="1" si="206"/>
        <v>0</v>
      </c>
      <c r="CZ77" s="72">
        <f t="shared" ca="1" si="206"/>
        <v>0</v>
      </c>
      <c r="DA77" s="72">
        <f t="shared" ca="1" si="206"/>
        <v>0</v>
      </c>
      <c r="DB77" s="72">
        <f t="shared" ca="1" si="206"/>
        <v>0</v>
      </c>
      <c r="DC77" s="72">
        <f t="shared" ca="1" si="206"/>
        <v>0</v>
      </c>
      <c r="DD77" s="72">
        <f t="shared" ca="1" si="206"/>
        <v>0</v>
      </c>
      <c r="DE77" s="72">
        <f t="shared" ca="1" si="206"/>
        <v>0</v>
      </c>
      <c r="DF77" s="72">
        <f t="shared" ca="1" si="206"/>
        <v>0</v>
      </c>
      <c r="DG77" s="72">
        <f t="shared" ca="1" si="206"/>
        <v>0</v>
      </c>
      <c r="DH77" s="72">
        <f t="shared" ca="1" si="206"/>
        <v>0</v>
      </c>
      <c r="DI77" s="72">
        <f t="shared" ca="1" si="206"/>
        <v>0</v>
      </c>
      <c r="DJ77" s="72">
        <f t="shared" ca="1" si="206"/>
        <v>0</v>
      </c>
      <c r="DK77" s="72">
        <f t="shared" ca="1" si="206"/>
        <v>0</v>
      </c>
      <c r="DL77" s="72">
        <f t="shared" ca="1" si="206"/>
        <v>0</v>
      </c>
      <c r="DM77" s="72">
        <f t="shared" ca="1" si="206"/>
        <v>0</v>
      </c>
      <c r="DN77" s="72">
        <f t="shared" ca="1" si="206"/>
        <v>0</v>
      </c>
      <c r="DO77" s="72">
        <f t="shared" ca="1" si="206"/>
        <v>0</v>
      </c>
      <c r="DP77" s="72">
        <f t="shared" ca="1" si="206"/>
        <v>0</v>
      </c>
      <c r="DQ77" s="72">
        <f t="shared" ca="1" si="206"/>
        <v>0</v>
      </c>
      <c r="DR77" s="72">
        <f t="shared" ref="DR77:EW77" ca="1" si="207">SUM(DR73,DR76)</f>
        <v>0</v>
      </c>
      <c r="DS77" s="72">
        <f t="shared" ca="1" si="207"/>
        <v>0</v>
      </c>
      <c r="DT77" s="72">
        <f t="shared" ca="1" si="207"/>
        <v>0</v>
      </c>
      <c r="DU77" s="72">
        <f t="shared" ca="1" si="207"/>
        <v>0</v>
      </c>
      <c r="DV77" s="72">
        <f t="shared" ca="1" si="207"/>
        <v>0</v>
      </c>
      <c r="DW77" s="72">
        <f t="shared" ca="1" si="207"/>
        <v>0</v>
      </c>
      <c r="DX77" s="72">
        <f t="shared" ca="1" si="207"/>
        <v>0</v>
      </c>
      <c r="DY77" s="72">
        <f t="shared" ca="1" si="207"/>
        <v>0</v>
      </c>
      <c r="DZ77" s="72">
        <f t="shared" ca="1" si="207"/>
        <v>0</v>
      </c>
      <c r="EA77" s="72">
        <f t="shared" ca="1" si="207"/>
        <v>0</v>
      </c>
      <c r="EB77" s="72">
        <f t="shared" ca="1" si="207"/>
        <v>0</v>
      </c>
      <c r="EC77" s="72">
        <f t="shared" ca="1" si="207"/>
        <v>0</v>
      </c>
      <c r="ED77" s="72">
        <f t="shared" ca="1" si="207"/>
        <v>0</v>
      </c>
      <c r="EE77" s="72">
        <f t="shared" ca="1" si="207"/>
        <v>0</v>
      </c>
      <c r="EF77" s="72">
        <f t="shared" ca="1" si="207"/>
        <v>0</v>
      </c>
      <c r="EG77" s="72">
        <f t="shared" ca="1" si="207"/>
        <v>0</v>
      </c>
      <c r="EH77" s="72">
        <f t="shared" ca="1" si="207"/>
        <v>0</v>
      </c>
      <c r="EI77" s="72">
        <f t="shared" ca="1" si="207"/>
        <v>0</v>
      </c>
      <c r="EJ77" s="72">
        <f t="shared" ca="1" si="207"/>
        <v>0</v>
      </c>
      <c r="EK77" s="72">
        <f t="shared" ca="1" si="207"/>
        <v>0</v>
      </c>
      <c r="EL77" s="72">
        <f t="shared" ca="1" si="207"/>
        <v>0</v>
      </c>
      <c r="EM77" s="72">
        <f t="shared" ca="1" si="207"/>
        <v>0</v>
      </c>
      <c r="EN77" s="72">
        <f t="shared" ca="1" si="207"/>
        <v>0</v>
      </c>
      <c r="EO77" s="72">
        <f t="shared" ca="1" si="207"/>
        <v>0</v>
      </c>
      <c r="EP77" s="72">
        <f t="shared" ca="1" si="207"/>
        <v>9352900.9313788116</v>
      </c>
      <c r="EQ77" s="72">
        <f t="shared" ca="1" si="207"/>
        <v>0</v>
      </c>
      <c r="ER77" s="72">
        <f t="shared" ca="1" si="207"/>
        <v>0</v>
      </c>
      <c r="ES77" s="72">
        <f t="shared" ca="1" si="207"/>
        <v>0</v>
      </c>
      <c r="ET77" s="72">
        <f t="shared" ca="1" si="207"/>
        <v>0</v>
      </c>
      <c r="EU77" s="72">
        <f t="shared" ca="1" si="207"/>
        <v>0</v>
      </c>
      <c r="EV77" s="72">
        <f t="shared" ca="1" si="207"/>
        <v>0</v>
      </c>
      <c r="EW77" s="72">
        <f t="shared" ca="1" si="207"/>
        <v>0</v>
      </c>
      <c r="EX77" s="72">
        <f t="shared" ref="EX77:FB77" ca="1" si="208">SUM(EX73,EX76)</f>
        <v>0</v>
      </c>
      <c r="EY77" s="72">
        <f t="shared" ca="1" si="208"/>
        <v>0</v>
      </c>
      <c r="EZ77" s="72">
        <f t="shared" ca="1" si="208"/>
        <v>0</v>
      </c>
      <c r="FA77" s="72">
        <f t="shared" ca="1" si="208"/>
        <v>0</v>
      </c>
      <c r="FB77" s="72">
        <f t="shared" ca="1" si="208"/>
        <v>0</v>
      </c>
    </row>
    <row r="78" spans="1:158">
      <c r="A78" s="64"/>
      <c r="B78" s="11" t="s">
        <v>118</v>
      </c>
      <c r="C78" s="109">
        <f>C107</f>
        <v>0.02</v>
      </c>
      <c r="D78" s="109">
        <f t="shared" ref="D78:G81" si="209">C78</f>
        <v>0.02</v>
      </c>
      <c r="E78" s="109">
        <f t="shared" si="209"/>
        <v>0.02</v>
      </c>
      <c r="F78" s="109">
        <f t="shared" si="209"/>
        <v>0.02</v>
      </c>
      <c r="G78" s="109">
        <f t="shared" si="209"/>
        <v>0.02</v>
      </c>
      <c r="H78" s="64"/>
    </row>
    <row r="79" spans="1:158" s="46" customFormat="1">
      <c r="A79" s="9"/>
      <c r="B79" s="11" t="s">
        <v>47</v>
      </c>
      <c r="C79" s="109">
        <f>C78</f>
        <v>0.02</v>
      </c>
      <c r="D79" s="109">
        <f t="shared" si="209"/>
        <v>0.02</v>
      </c>
      <c r="E79" s="109">
        <f t="shared" si="209"/>
        <v>0.02</v>
      </c>
      <c r="F79" s="109">
        <f t="shared" si="209"/>
        <v>0.02</v>
      </c>
      <c r="G79" s="109">
        <f t="shared" si="209"/>
        <v>0.02</v>
      </c>
      <c r="H79" s="11"/>
      <c r="I79" s="35" t="s">
        <v>153</v>
      </c>
      <c r="J79" s="116"/>
      <c r="K79" s="11"/>
      <c r="L79" s="146"/>
      <c r="M79" s="11"/>
      <c r="N79" s="116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11"/>
      <c r="Z79" s="116"/>
      <c r="AA79" s="116"/>
      <c r="AB79" s="116"/>
      <c r="AC79" s="116"/>
      <c r="AD79" s="116"/>
      <c r="AE79" s="116"/>
      <c r="AF79" s="116"/>
      <c r="AG79" s="116"/>
      <c r="AH79" s="116"/>
      <c r="AI79" s="116"/>
      <c r="AJ79" s="116"/>
      <c r="AK79" s="116"/>
      <c r="AL79" s="116"/>
      <c r="AM79" s="116"/>
      <c r="AN79" s="116"/>
      <c r="AO79" s="116"/>
      <c r="AP79" s="116"/>
      <c r="AQ79" s="116"/>
      <c r="AR79" s="116"/>
      <c r="AS79" s="116"/>
      <c r="AT79" s="116"/>
      <c r="AU79" s="116"/>
      <c r="AV79" s="116"/>
      <c r="AW79" s="116"/>
      <c r="AX79" s="116"/>
      <c r="AY79" s="116"/>
      <c r="AZ79" s="116"/>
      <c r="BA79" s="116"/>
      <c r="BB79" s="116"/>
      <c r="BC79" s="116"/>
      <c r="BD79" s="116"/>
      <c r="BE79" s="116"/>
      <c r="BF79" s="116"/>
      <c r="BG79" s="116"/>
      <c r="BH79" s="116"/>
      <c r="BI79" s="116"/>
      <c r="BJ79" s="116"/>
      <c r="BK79" s="116"/>
      <c r="BL79" s="116"/>
      <c r="BM79" s="116"/>
      <c r="BN79" s="116"/>
      <c r="BO79" s="116"/>
      <c r="BP79" s="116"/>
      <c r="BQ79" s="116"/>
      <c r="BR79" s="116"/>
      <c r="BS79" s="116"/>
      <c r="BT79" s="116"/>
      <c r="BU79" s="116"/>
      <c r="BV79" s="116"/>
      <c r="BW79" s="116"/>
      <c r="BX79" s="116"/>
      <c r="BY79" s="116"/>
      <c r="BZ79" s="116"/>
      <c r="CA79" s="116"/>
      <c r="CB79" s="116"/>
      <c r="CC79" s="116"/>
      <c r="CD79" s="116"/>
      <c r="CE79" s="116"/>
      <c r="CF79" s="116"/>
      <c r="CG79" s="116"/>
      <c r="CH79" s="116"/>
      <c r="CI79" s="116"/>
      <c r="CJ79" s="116"/>
      <c r="CK79" s="116"/>
      <c r="CL79" s="116"/>
      <c r="CM79" s="116"/>
      <c r="CN79" s="116"/>
      <c r="CO79" s="116"/>
      <c r="CP79" s="116"/>
      <c r="CQ79" s="116"/>
      <c r="CR79" s="116"/>
      <c r="CS79" s="116"/>
      <c r="CT79" s="116"/>
      <c r="CU79" s="116"/>
      <c r="CV79" s="116"/>
      <c r="CW79" s="116"/>
      <c r="CX79" s="116"/>
      <c r="CY79" s="116"/>
      <c r="CZ79" s="116"/>
      <c r="DA79" s="116"/>
      <c r="DB79" s="116"/>
      <c r="DC79" s="116"/>
      <c r="DD79" s="116"/>
      <c r="DE79" s="116"/>
      <c r="DF79" s="116"/>
      <c r="DG79" s="116"/>
      <c r="DH79" s="116"/>
      <c r="DI79" s="116"/>
      <c r="DJ79" s="116"/>
      <c r="DK79" s="116"/>
      <c r="DL79" s="116"/>
      <c r="DM79" s="116"/>
      <c r="DN79" s="116"/>
      <c r="DO79" s="116"/>
      <c r="DP79" s="116"/>
      <c r="DQ79" s="116"/>
      <c r="DR79" s="116"/>
      <c r="DS79" s="116"/>
      <c r="DT79" s="116"/>
      <c r="DU79" s="116"/>
      <c r="DV79" s="116"/>
      <c r="DW79" s="116"/>
      <c r="DX79" s="116"/>
      <c r="DY79" s="116"/>
      <c r="DZ79" s="116"/>
      <c r="EA79" s="116"/>
      <c r="EB79" s="116"/>
      <c r="EC79" s="116"/>
      <c r="ED79" s="116"/>
      <c r="EE79" s="116"/>
      <c r="EF79" s="116"/>
      <c r="EG79" s="116"/>
      <c r="EH79" s="116"/>
      <c r="EI79" s="116"/>
      <c r="EJ79" s="116"/>
      <c r="EK79" s="116"/>
      <c r="EL79" s="116"/>
      <c r="EM79" s="116"/>
      <c r="EN79" s="116"/>
      <c r="EO79" s="116"/>
      <c r="EP79" s="116"/>
      <c r="EQ79" s="116"/>
      <c r="ER79" s="116"/>
      <c r="ES79" s="116"/>
      <c r="ET79" s="116"/>
      <c r="EU79" s="116"/>
      <c r="EV79" s="116"/>
      <c r="EW79" s="116"/>
      <c r="EX79" s="116"/>
      <c r="EY79" s="116"/>
      <c r="EZ79" s="116"/>
      <c r="FA79" s="116"/>
      <c r="FB79" s="116"/>
    </row>
    <row r="80" spans="1:158">
      <c r="B80" s="11" t="s">
        <v>66</v>
      </c>
      <c r="C80" s="109">
        <f>C108</f>
        <v>0.02</v>
      </c>
      <c r="D80" s="109">
        <f t="shared" si="209"/>
        <v>0.02</v>
      </c>
      <c r="E80" s="109">
        <f t="shared" si="209"/>
        <v>0.02</v>
      </c>
      <c r="F80" s="109">
        <f t="shared" si="209"/>
        <v>0.02</v>
      </c>
      <c r="G80" s="109">
        <f t="shared" si="209"/>
        <v>0.02</v>
      </c>
      <c r="I80" s="11" t="s">
        <v>151</v>
      </c>
      <c r="J80" s="11"/>
      <c r="L80" s="24">
        <f t="shared" ref="L80:L85" si="210">SUMIF($Z$4:$FB$4,"&lt;="&amp;$G$18,$Z80:$FB80)</f>
        <v>5850673.9451366728</v>
      </c>
      <c r="N80" s="55">
        <f t="shared" ref="N80:N84" si="211">SUMIF($Z$3:$FB$3,N$7,$Z80:$FB80)</f>
        <v>0</v>
      </c>
      <c r="O80" s="55">
        <f t="shared" ref="O80:X84" si="212">SUMIF($Z$3:$FB$3,O$7,$Z80:$FB80)</f>
        <v>510504.42738641205</v>
      </c>
      <c r="P80" s="55">
        <f t="shared" si="212"/>
        <v>534918.48090242269</v>
      </c>
      <c r="Q80" s="55">
        <f t="shared" si="212"/>
        <v>554820.79641616461</v>
      </c>
      <c r="R80" s="55">
        <f t="shared" si="212"/>
        <v>571415.57637479075</v>
      </c>
      <c r="S80" s="55">
        <f t="shared" si="212"/>
        <v>582949.23161029001</v>
      </c>
      <c r="T80" s="55">
        <f t="shared" si="212"/>
        <v>594715.68624537031</v>
      </c>
      <c r="U80" s="55">
        <f t="shared" si="212"/>
        <v>606719.63918591512</v>
      </c>
      <c r="V80" s="55">
        <f t="shared" si="212"/>
        <v>618965.88418219599</v>
      </c>
      <c r="W80" s="55">
        <f t="shared" si="212"/>
        <v>631459.31174324488</v>
      </c>
      <c r="X80" s="55">
        <f t="shared" si="212"/>
        <v>644204.91108986712</v>
      </c>
      <c r="Z80" s="55">
        <f t="shared" ref="Z80:BE80" si="213">Z67*(Z4&lt;=$G$18)</f>
        <v>0</v>
      </c>
      <c r="AA80" s="55">
        <f t="shared" si="213"/>
        <v>41547.970966946123</v>
      </c>
      <c r="AB80" s="55">
        <f t="shared" si="213"/>
        <v>41617.21758522436</v>
      </c>
      <c r="AC80" s="55">
        <f t="shared" si="213"/>
        <v>41686.579614533068</v>
      </c>
      <c r="AD80" s="55">
        <f t="shared" si="213"/>
        <v>41756.057247223958</v>
      </c>
      <c r="AE80" s="55">
        <f t="shared" si="213"/>
        <v>41825.650675969337</v>
      </c>
      <c r="AF80" s="55">
        <f t="shared" si="213"/>
        <v>41895.360093762632</v>
      </c>
      <c r="AG80" s="55">
        <f t="shared" si="213"/>
        <v>41965.185693918895</v>
      </c>
      <c r="AH80" s="55">
        <f t="shared" si="213"/>
        <v>43496.849751986723</v>
      </c>
      <c r="AI80" s="55">
        <f t="shared" si="213"/>
        <v>43569.344501573367</v>
      </c>
      <c r="AJ80" s="55">
        <f t="shared" si="213"/>
        <v>43641.960075742682</v>
      </c>
      <c r="AK80" s="55">
        <f t="shared" si="213"/>
        <v>43714.696675868909</v>
      </c>
      <c r="AL80" s="55">
        <f t="shared" si="213"/>
        <v>43787.554503662024</v>
      </c>
      <c r="AM80" s="55">
        <f t="shared" si="213"/>
        <v>43860.533761168124</v>
      </c>
      <c r="AN80" s="55">
        <f t="shared" si="213"/>
        <v>43933.634650770073</v>
      </c>
      <c r="AO80" s="55">
        <f t="shared" si="213"/>
        <v>44006.857375188025</v>
      </c>
      <c r="AP80" s="55">
        <f t="shared" si="213"/>
        <v>44080.20213748001</v>
      </c>
      <c r="AQ80" s="55">
        <f t="shared" si="213"/>
        <v>44153.66914104249</v>
      </c>
      <c r="AR80" s="55">
        <f t="shared" si="213"/>
        <v>44227.258589610887</v>
      </c>
      <c r="AS80" s="55">
        <f t="shared" si="213"/>
        <v>44300.970687260255</v>
      </c>
      <c r="AT80" s="55">
        <f t="shared" si="213"/>
        <v>45120.418638565752</v>
      </c>
      <c r="AU80" s="55">
        <f t="shared" si="213"/>
        <v>45195.61933629671</v>
      </c>
      <c r="AV80" s="55">
        <f t="shared" si="213"/>
        <v>45270.94536852387</v>
      </c>
      <c r="AW80" s="55">
        <f t="shared" si="213"/>
        <v>45346.396944138076</v>
      </c>
      <c r="AX80" s="55">
        <f t="shared" si="213"/>
        <v>45421.974272378313</v>
      </c>
      <c r="AY80" s="55">
        <f t="shared" si="213"/>
        <v>45497.677562832265</v>
      </c>
      <c r="AZ80" s="55">
        <f t="shared" si="213"/>
        <v>45573.507025437</v>
      </c>
      <c r="BA80" s="55">
        <f t="shared" si="213"/>
        <v>45649.462870479409</v>
      </c>
      <c r="BB80" s="55">
        <f t="shared" si="213"/>
        <v>45725.545308596862</v>
      </c>
      <c r="BC80" s="55">
        <f t="shared" si="213"/>
        <v>45801.754550777856</v>
      </c>
      <c r="BD80" s="55">
        <f t="shared" si="213"/>
        <v>45878.090808362518</v>
      </c>
      <c r="BE80" s="55">
        <f t="shared" si="213"/>
        <v>45954.554293043104</v>
      </c>
      <c r="BF80" s="55">
        <f t="shared" ref="BF80:CK80" si="214">BF67*(BF4&lt;=$G$18)</f>
        <v>46791.807935020894</v>
      </c>
      <c r="BG80" s="55">
        <f t="shared" si="214"/>
        <v>46869.794281579256</v>
      </c>
      <c r="BH80" s="55">
        <f t="shared" si="214"/>
        <v>46947.910605381905</v>
      </c>
      <c r="BI80" s="55">
        <f t="shared" si="214"/>
        <v>47026.157123057536</v>
      </c>
      <c r="BJ80" s="55">
        <f t="shared" si="214"/>
        <v>47104.534051595954</v>
      </c>
      <c r="BK80" s="55">
        <f t="shared" si="214"/>
        <v>47183.041608348634</v>
      </c>
      <c r="BL80" s="55">
        <f t="shared" si="214"/>
        <v>47261.680011029195</v>
      </c>
      <c r="BM80" s="55">
        <f t="shared" si="214"/>
        <v>47340.449477714261</v>
      </c>
      <c r="BN80" s="55">
        <f t="shared" si="214"/>
        <v>47419.350226843781</v>
      </c>
      <c r="BO80" s="55">
        <f t="shared" si="214"/>
        <v>47498.382477221872</v>
      </c>
      <c r="BP80" s="55">
        <f t="shared" si="214"/>
        <v>47577.546448017238</v>
      </c>
      <c r="BQ80" s="55">
        <f t="shared" si="214"/>
        <v>47656.842358763934</v>
      </c>
      <c r="BR80" s="55">
        <f t="shared" si="214"/>
        <v>47736.270429361874</v>
      </c>
      <c r="BS80" s="55">
        <f t="shared" si="214"/>
        <v>47815.830880077498</v>
      </c>
      <c r="BT80" s="55">
        <f t="shared" si="214"/>
        <v>47895.523931544281</v>
      </c>
      <c r="BU80" s="55">
        <f t="shared" si="214"/>
        <v>47975.349804763515</v>
      </c>
      <c r="BV80" s="55">
        <f t="shared" si="214"/>
        <v>48055.308721104782</v>
      </c>
      <c r="BW80" s="55">
        <f t="shared" si="214"/>
        <v>48135.400902306639</v>
      </c>
      <c r="BX80" s="55">
        <f t="shared" si="214"/>
        <v>48215.626570477158</v>
      </c>
      <c r="BY80" s="55">
        <f t="shared" si="214"/>
        <v>48295.985948094603</v>
      </c>
      <c r="BZ80" s="55">
        <f t="shared" si="214"/>
        <v>48376.479258008105</v>
      </c>
      <c r="CA80" s="55">
        <f t="shared" si="214"/>
        <v>48457.106723438126</v>
      </c>
      <c r="CB80" s="55">
        <f t="shared" si="214"/>
        <v>48537.868567977188</v>
      </c>
      <c r="CC80" s="55">
        <f t="shared" si="214"/>
        <v>48618.765015590485</v>
      </c>
      <c r="CD80" s="55">
        <f t="shared" si="214"/>
        <v>48699.796290616483</v>
      </c>
      <c r="CE80" s="55">
        <f t="shared" si="214"/>
        <v>48780.962617767509</v>
      </c>
      <c r="CF80" s="55">
        <f t="shared" si="214"/>
        <v>48862.264222130456</v>
      </c>
      <c r="CG80" s="55">
        <f t="shared" si="214"/>
        <v>48943.701329167328</v>
      </c>
      <c r="CH80" s="55">
        <f t="shared" si="214"/>
        <v>49025.274164715942</v>
      </c>
      <c r="CI80" s="55">
        <f t="shared" si="214"/>
        <v>49106.982954990483</v>
      </c>
      <c r="CJ80" s="55">
        <f t="shared" si="214"/>
        <v>49188.827926582133</v>
      </c>
      <c r="CK80" s="55">
        <f t="shared" si="214"/>
        <v>49270.809306459756</v>
      </c>
      <c r="CL80" s="55">
        <f t="shared" ref="CL80:DQ80" si="215">CL67*(CL4&lt;=$G$18)</f>
        <v>49352.92732197055</v>
      </c>
      <c r="CM80" s="55">
        <f t="shared" si="215"/>
        <v>49435.182200840485</v>
      </c>
      <c r="CN80" s="55">
        <f t="shared" si="215"/>
        <v>49517.57417117522</v>
      </c>
      <c r="CO80" s="55">
        <f t="shared" si="215"/>
        <v>49600.103461460509</v>
      </c>
      <c r="CP80" s="55">
        <f t="shared" si="215"/>
        <v>49682.770300562945</v>
      </c>
      <c r="CQ80" s="55">
        <f t="shared" si="215"/>
        <v>49765.574917730548</v>
      </c>
      <c r="CR80" s="55">
        <f t="shared" si="215"/>
        <v>49848.517542593443</v>
      </c>
      <c r="CS80" s="55">
        <f t="shared" si="215"/>
        <v>49931.598405164426</v>
      </c>
      <c r="CT80" s="55">
        <f t="shared" si="215"/>
        <v>50014.817735839708</v>
      </c>
      <c r="CU80" s="55">
        <f t="shared" si="215"/>
        <v>50098.175765399428</v>
      </c>
      <c r="CV80" s="55">
        <f t="shared" si="215"/>
        <v>50181.672725008422</v>
      </c>
      <c r="CW80" s="55">
        <f t="shared" si="215"/>
        <v>50265.308846216794</v>
      </c>
      <c r="CX80" s="55">
        <f t="shared" si="215"/>
        <v>50349.084360960471</v>
      </c>
      <c r="CY80" s="55">
        <f t="shared" si="215"/>
        <v>50432.999501562103</v>
      </c>
      <c r="CZ80" s="55">
        <f t="shared" si="215"/>
        <v>50517.054500731349</v>
      </c>
      <c r="DA80" s="55">
        <f t="shared" si="215"/>
        <v>50601.249591565916</v>
      </c>
      <c r="DB80" s="55">
        <f t="shared" si="215"/>
        <v>50685.585007551854</v>
      </c>
      <c r="DC80" s="55">
        <f t="shared" si="215"/>
        <v>50770.060982564442</v>
      </c>
      <c r="DD80" s="55">
        <f t="shared" si="215"/>
        <v>50854.677750868708</v>
      </c>
      <c r="DE80" s="55">
        <f t="shared" si="215"/>
        <v>50939.435547120163</v>
      </c>
      <c r="DF80" s="55">
        <f t="shared" si="215"/>
        <v>51024.334606365366</v>
      </c>
      <c r="DG80" s="55">
        <f t="shared" si="215"/>
        <v>51109.375164042649</v>
      </c>
      <c r="DH80" s="55">
        <f t="shared" si="215"/>
        <v>51194.557455982736</v>
      </c>
      <c r="DI80" s="55">
        <f t="shared" si="215"/>
        <v>51279.881718409357</v>
      </c>
      <c r="DJ80" s="55">
        <f t="shared" si="215"/>
        <v>51365.34818794005</v>
      </c>
      <c r="DK80" s="55">
        <f t="shared" si="215"/>
        <v>51450.957101586609</v>
      </c>
      <c r="DL80" s="55">
        <f t="shared" si="215"/>
        <v>51536.708696755923</v>
      </c>
      <c r="DM80" s="55">
        <f t="shared" si="215"/>
        <v>51622.60321125052</v>
      </c>
      <c r="DN80" s="55">
        <f t="shared" si="215"/>
        <v>51708.640883269269</v>
      </c>
      <c r="DO80" s="55">
        <f t="shared" si="215"/>
        <v>51794.82195140807</v>
      </c>
      <c r="DP80" s="55">
        <f t="shared" si="215"/>
        <v>51881.146654660413</v>
      </c>
      <c r="DQ80" s="55">
        <f t="shared" si="215"/>
        <v>51967.615232418182</v>
      </c>
      <c r="DR80" s="55">
        <f t="shared" ref="DR80:FB80" si="216">DR67*(DR4&lt;=$G$18)</f>
        <v>52054.227924472238</v>
      </c>
      <c r="DS80" s="55">
        <f t="shared" si="216"/>
        <v>52140.984971013022</v>
      </c>
      <c r="DT80" s="55">
        <f t="shared" si="216"/>
        <v>52227.886612631366</v>
      </c>
      <c r="DU80" s="55">
        <f t="shared" si="216"/>
        <v>52314.933090319093</v>
      </c>
      <c r="DV80" s="55">
        <f t="shared" si="216"/>
        <v>52402.124645469616</v>
      </c>
      <c r="DW80" s="55">
        <f t="shared" si="216"/>
        <v>52489.461519878736</v>
      </c>
      <c r="DX80" s="55">
        <f t="shared" si="216"/>
        <v>52576.943955745213</v>
      </c>
      <c r="DY80" s="55">
        <f t="shared" si="216"/>
        <v>52664.572195671455</v>
      </c>
      <c r="DZ80" s="55">
        <f t="shared" si="216"/>
        <v>52752.346482664245</v>
      </c>
      <c r="EA80" s="55">
        <f t="shared" si="216"/>
        <v>52840.267060135353</v>
      </c>
      <c r="EB80" s="55">
        <f t="shared" si="216"/>
        <v>52928.334171902257</v>
      </c>
      <c r="EC80" s="55">
        <f t="shared" si="216"/>
        <v>53016.548062188755</v>
      </c>
      <c r="ED80" s="55">
        <f t="shared" si="216"/>
        <v>53104.908975625753</v>
      </c>
      <c r="EE80" s="55">
        <f t="shared" si="216"/>
        <v>53193.417157251788</v>
      </c>
      <c r="EF80" s="55">
        <f t="shared" si="216"/>
        <v>53282.072852513884</v>
      </c>
      <c r="EG80" s="55">
        <f t="shared" si="216"/>
        <v>53370.876307268067</v>
      </c>
      <c r="EH80" s="55">
        <f t="shared" si="216"/>
        <v>53459.827767780174</v>
      </c>
      <c r="EI80" s="55">
        <f t="shared" si="216"/>
        <v>53548.927480726503</v>
      </c>
      <c r="EJ80" s="55">
        <f t="shared" si="216"/>
        <v>53638.175693194382</v>
      </c>
      <c r="EK80" s="55">
        <f t="shared" si="216"/>
        <v>53727.57265268304</v>
      </c>
      <c r="EL80" s="55">
        <f t="shared" si="216"/>
        <v>53817.118607104188</v>
      </c>
      <c r="EM80" s="55">
        <f t="shared" si="216"/>
        <v>53906.813804782701</v>
      </c>
      <c r="EN80" s="55">
        <f t="shared" si="216"/>
        <v>53996.658494457341</v>
      </c>
      <c r="EO80" s="55">
        <f t="shared" si="216"/>
        <v>54086.652925281422</v>
      </c>
      <c r="EP80" s="55">
        <f t="shared" si="216"/>
        <v>54176.79734682358</v>
      </c>
      <c r="EQ80" s="55">
        <f t="shared" si="216"/>
        <v>0</v>
      </c>
      <c r="ER80" s="55">
        <f t="shared" si="216"/>
        <v>0</v>
      </c>
      <c r="ES80" s="55">
        <f t="shared" si="216"/>
        <v>0</v>
      </c>
      <c r="ET80" s="55">
        <f t="shared" si="216"/>
        <v>0</v>
      </c>
      <c r="EU80" s="55">
        <f t="shared" si="216"/>
        <v>0</v>
      </c>
      <c r="EV80" s="55">
        <f t="shared" si="216"/>
        <v>0</v>
      </c>
      <c r="EW80" s="55">
        <f t="shared" si="216"/>
        <v>0</v>
      </c>
      <c r="EX80" s="55">
        <f t="shared" si="216"/>
        <v>0</v>
      </c>
      <c r="EY80" s="55">
        <f t="shared" si="216"/>
        <v>0</v>
      </c>
      <c r="EZ80" s="55">
        <f t="shared" si="216"/>
        <v>0</v>
      </c>
      <c r="FA80" s="55">
        <f t="shared" si="216"/>
        <v>0</v>
      </c>
      <c r="FB80" s="55">
        <f t="shared" si="216"/>
        <v>0</v>
      </c>
    </row>
    <row r="81" spans="1:158">
      <c r="B81" s="11" t="s">
        <v>119</v>
      </c>
      <c r="C81" s="109">
        <f>C80</f>
        <v>0.02</v>
      </c>
      <c r="D81" s="109">
        <f t="shared" si="209"/>
        <v>0.02</v>
      </c>
      <c r="E81" s="109">
        <f t="shared" si="209"/>
        <v>0.02</v>
      </c>
      <c r="F81" s="109">
        <f t="shared" si="209"/>
        <v>0.02</v>
      </c>
      <c r="G81" s="109">
        <f t="shared" si="209"/>
        <v>0.02</v>
      </c>
      <c r="I81" s="11" t="s">
        <v>45</v>
      </c>
      <c r="J81" s="11"/>
      <c r="L81" s="24">
        <f t="shared" ca="1" si="210"/>
        <v>9352900.9313788116</v>
      </c>
      <c r="N81" s="55">
        <f t="shared" ref="N81:X81" ca="1" si="217">SUMIF($Z$3:$FB$3,N$7,$Z81:$FB81)</f>
        <v>0</v>
      </c>
      <c r="O81" s="55">
        <f t="shared" ca="1" si="217"/>
        <v>0</v>
      </c>
      <c r="P81" s="55">
        <f t="shared" ca="1" si="217"/>
        <v>0</v>
      </c>
      <c r="Q81" s="55">
        <f t="shared" ca="1" si="217"/>
        <v>0</v>
      </c>
      <c r="R81" s="55">
        <f t="shared" ca="1" si="217"/>
        <v>0</v>
      </c>
      <c r="S81" s="55">
        <f t="shared" ca="1" si="217"/>
        <v>0</v>
      </c>
      <c r="T81" s="55">
        <f t="shared" ca="1" si="217"/>
        <v>0</v>
      </c>
      <c r="U81" s="55">
        <f t="shared" ca="1" si="217"/>
        <v>0</v>
      </c>
      <c r="V81" s="55">
        <f t="shared" ca="1" si="217"/>
        <v>0</v>
      </c>
      <c r="W81" s="55">
        <f t="shared" ca="1" si="217"/>
        <v>0</v>
      </c>
      <c r="X81" s="55">
        <f t="shared" ca="1" si="217"/>
        <v>9352900.9313788116</v>
      </c>
      <c r="Z81" s="55">
        <f t="shared" ref="Z81:BE81" ca="1" si="218">Z77</f>
        <v>0</v>
      </c>
      <c r="AA81" s="55">
        <f t="shared" ca="1" si="218"/>
        <v>0</v>
      </c>
      <c r="AB81" s="55">
        <f t="shared" ca="1" si="218"/>
        <v>0</v>
      </c>
      <c r="AC81" s="55">
        <f t="shared" ca="1" si="218"/>
        <v>0</v>
      </c>
      <c r="AD81" s="55">
        <f t="shared" ca="1" si="218"/>
        <v>0</v>
      </c>
      <c r="AE81" s="55">
        <f t="shared" ca="1" si="218"/>
        <v>0</v>
      </c>
      <c r="AF81" s="55">
        <f t="shared" ca="1" si="218"/>
        <v>0</v>
      </c>
      <c r="AG81" s="55">
        <f t="shared" ca="1" si="218"/>
        <v>0</v>
      </c>
      <c r="AH81" s="55">
        <f t="shared" ca="1" si="218"/>
        <v>0</v>
      </c>
      <c r="AI81" s="55">
        <f t="shared" ca="1" si="218"/>
        <v>0</v>
      </c>
      <c r="AJ81" s="55">
        <f t="shared" ca="1" si="218"/>
        <v>0</v>
      </c>
      <c r="AK81" s="55">
        <f t="shared" ca="1" si="218"/>
        <v>0</v>
      </c>
      <c r="AL81" s="55">
        <f t="shared" ca="1" si="218"/>
        <v>0</v>
      </c>
      <c r="AM81" s="55">
        <f t="shared" ca="1" si="218"/>
        <v>0</v>
      </c>
      <c r="AN81" s="55">
        <f t="shared" ca="1" si="218"/>
        <v>0</v>
      </c>
      <c r="AO81" s="55">
        <f t="shared" ca="1" si="218"/>
        <v>0</v>
      </c>
      <c r="AP81" s="55">
        <f t="shared" ca="1" si="218"/>
        <v>0</v>
      </c>
      <c r="AQ81" s="55">
        <f t="shared" ca="1" si="218"/>
        <v>0</v>
      </c>
      <c r="AR81" s="55">
        <f t="shared" ca="1" si="218"/>
        <v>0</v>
      </c>
      <c r="AS81" s="55">
        <f t="shared" ca="1" si="218"/>
        <v>0</v>
      </c>
      <c r="AT81" s="55">
        <f t="shared" ca="1" si="218"/>
        <v>0</v>
      </c>
      <c r="AU81" s="55">
        <f t="shared" ca="1" si="218"/>
        <v>0</v>
      </c>
      <c r="AV81" s="55">
        <f t="shared" ca="1" si="218"/>
        <v>0</v>
      </c>
      <c r="AW81" s="55">
        <f t="shared" ca="1" si="218"/>
        <v>0</v>
      </c>
      <c r="AX81" s="55">
        <f t="shared" ca="1" si="218"/>
        <v>0</v>
      </c>
      <c r="AY81" s="55">
        <f t="shared" ca="1" si="218"/>
        <v>0</v>
      </c>
      <c r="AZ81" s="55">
        <f t="shared" ca="1" si="218"/>
        <v>0</v>
      </c>
      <c r="BA81" s="55">
        <f t="shared" ca="1" si="218"/>
        <v>0</v>
      </c>
      <c r="BB81" s="55">
        <f t="shared" ca="1" si="218"/>
        <v>0</v>
      </c>
      <c r="BC81" s="55">
        <f t="shared" ca="1" si="218"/>
        <v>0</v>
      </c>
      <c r="BD81" s="55">
        <f t="shared" ca="1" si="218"/>
        <v>0</v>
      </c>
      <c r="BE81" s="55">
        <f t="shared" ca="1" si="218"/>
        <v>0</v>
      </c>
      <c r="BF81" s="55">
        <f t="shared" ref="BF81:CK81" ca="1" si="219">BF77</f>
        <v>0</v>
      </c>
      <c r="BG81" s="55">
        <f t="shared" ca="1" si="219"/>
        <v>0</v>
      </c>
      <c r="BH81" s="55">
        <f t="shared" ca="1" si="219"/>
        <v>0</v>
      </c>
      <c r="BI81" s="55">
        <f t="shared" ca="1" si="219"/>
        <v>0</v>
      </c>
      <c r="BJ81" s="55">
        <f t="shared" ca="1" si="219"/>
        <v>0</v>
      </c>
      <c r="BK81" s="55">
        <f t="shared" ca="1" si="219"/>
        <v>0</v>
      </c>
      <c r="BL81" s="55">
        <f t="shared" ca="1" si="219"/>
        <v>0</v>
      </c>
      <c r="BM81" s="55">
        <f t="shared" ca="1" si="219"/>
        <v>0</v>
      </c>
      <c r="BN81" s="55">
        <f t="shared" ca="1" si="219"/>
        <v>0</v>
      </c>
      <c r="BO81" s="55">
        <f t="shared" ca="1" si="219"/>
        <v>0</v>
      </c>
      <c r="BP81" s="55">
        <f t="shared" ca="1" si="219"/>
        <v>0</v>
      </c>
      <c r="BQ81" s="55">
        <f t="shared" ca="1" si="219"/>
        <v>0</v>
      </c>
      <c r="BR81" s="55">
        <f t="shared" ca="1" si="219"/>
        <v>0</v>
      </c>
      <c r="BS81" s="55">
        <f t="shared" ca="1" si="219"/>
        <v>0</v>
      </c>
      <c r="BT81" s="55">
        <f t="shared" ca="1" si="219"/>
        <v>0</v>
      </c>
      <c r="BU81" s="55">
        <f t="shared" ca="1" si="219"/>
        <v>0</v>
      </c>
      <c r="BV81" s="55">
        <f t="shared" ca="1" si="219"/>
        <v>0</v>
      </c>
      <c r="BW81" s="55">
        <f t="shared" ca="1" si="219"/>
        <v>0</v>
      </c>
      <c r="BX81" s="55">
        <f t="shared" ca="1" si="219"/>
        <v>0</v>
      </c>
      <c r="BY81" s="55">
        <f t="shared" ca="1" si="219"/>
        <v>0</v>
      </c>
      <c r="BZ81" s="55">
        <f t="shared" ca="1" si="219"/>
        <v>0</v>
      </c>
      <c r="CA81" s="55">
        <f t="shared" ca="1" si="219"/>
        <v>0</v>
      </c>
      <c r="CB81" s="55">
        <f t="shared" ca="1" si="219"/>
        <v>0</v>
      </c>
      <c r="CC81" s="55">
        <f t="shared" ca="1" si="219"/>
        <v>0</v>
      </c>
      <c r="CD81" s="55">
        <f t="shared" ca="1" si="219"/>
        <v>0</v>
      </c>
      <c r="CE81" s="55">
        <f t="shared" ca="1" si="219"/>
        <v>0</v>
      </c>
      <c r="CF81" s="55">
        <f t="shared" ca="1" si="219"/>
        <v>0</v>
      </c>
      <c r="CG81" s="55">
        <f t="shared" ca="1" si="219"/>
        <v>0</v>
      </c>
      <c r="CH81" s="55">
        <f t="shared" ca="1" si="219"/>
        <v>0</v>
      </c>
      <c r="CI81" s="55">
        <f t="shared" ca="1" si="219"/>
        <v>0</v>
      </c>
      <c r="CJ81" s="55">
        <f t="shared" ca="1" si="219"/>
        <v>0</v>
      </c>
      <c r="CK81" s="55">
        <f t="shared" ca="1" si="219"/>
        <v>0</v>
      </c>
      <c r="CL81" s="55">
        <f t="shared" ref="CL81:DQ81" ca="1" si="220">CL77</f>
        <v>0</v>
      </c>
      <c r="CM81" s="55">
        <f t="shared" ca="1" si="220"/>
        <v>0</v>
      </c>
      <c r="CN81" s="55">
        <f t="shared" ca="1" si="220"/>
        <v>0</v>
      </c>
      <c r="CO81" s="55">
        <f t="shared" ca="1" si="220"/>
        <v>0</v>
      </c>
      <c r="CP81" s="55">
        <f t="shared" ca="1" si="220"/>
        <v>0</v>
      </c>
      <c r="CQ81" s="55">
        <f t="shared" ca="1" si="220"/>
        <v>0</v>
      </c>
      <c r="CR81" s="55">
        <f t="shared" ca="1" si="220"/>
        <v>0</v>
      </c>
      <c r="CS81" s="55">
        <f t="shared" ca="1" si="220"/>
        <v>0</v>
      </c>
      <c r="CT81" s="55">
        <f t="shared" ca="1" si="220"/>
        <v>0</v>
      </c>
      <c r="CU81" s="55">
        <f t="shared" ca="1" si="220"/>
        <v>0</v>
      </c>
      <c r="CV81" s="55">
        <f t="shared" ca="1" si="220"/>
        <v>0</v>
      </c>
      <c r="CW81" s="55">
        <f t="shared" ca="1" si="220"/>
        <v>0</v>
      </c>
      <c r="CX81" s="55">
        <f t="shared" ca="1" si="220"/>
        <v>0</v>
      </c>
      <c r="CY81" s="55">
        <f t="shared" ca="1" si="220"/>
        <v>0</v>
      </c>
      <c r="CZ81" s="55">
        <f t="shared" ca="1" si="220"/>
        <v>0</v>
      </c>
      <c r="DA81" s="55">
        <f t="shared" ca="1" si="220"/>
        <v>0</v>
      </c>
      <c r="DB81" s="55">
        <f t="shared" ca="1" si="220"/>
        <v>0</v>
      </c>
      <c r="DC81" s="55">
        <f t="shared" ca="1" si="220"/>
        <v>0</v>
      </c>
      <c r="DD81" s="55">
        <f t="shared" ca="1" si="220"/>
        <v>0</v>
      </c>
      <c r="DE81" s="55">
        <f t="shared" ca="1" si="220"/>
        <v>0</v>
      </c>
      <c r="DF81" s="55">
        <f t="shared" ca="1" si="220"/>
        <v>0</v>
      </c>
      <c r="DG81" s="55">
        <f t="shared" ca="1" si="220"/>
        <v>0</v>
      </c>
      <c r="DH81" s="55">
        <f t="shared" ca="1" si="220"/>
        <v>0</v>
      </c>
      <c r="DI81" s="55">
        <f t="shared" ca="1" si="220"/>
        <v>0</v>
      </c>
      <c r="DJ81" s="55">
        <f t="shared" ca="1" si="220"/>
        <v>0</v>
      </c>
      <c r="DK81" s="55">
        <f t="shared" ca="1" si="220"/>
        <v>0</v>
      </c>
      <c r="DL81" s="55">
        <f t="shared" ca="1" si="220"/>
        <v>0</v>
      </c>
      <c r="DM81" s="55">
        <f t="shared" ca="1" si="220"/>
        <v>0</v>
      </c>
      <c r="DN81" s="55">
        <f t="shared" ca="1" si="220"/>
        <v>0</v>
      </c>
      <c r="DO81" s="55">
        <f t="shared" ca="1" si="220"/>
        <v>0</v>
      </c>
      <c r="DP81" s="55">
        <f t="shared" ca="1" si="220"/>
        <v>0</v>
      </c>
      <c r="DQ81" s="55">
        <f t="shared" ca="1" si="220"/>
        <v>0</v>
      </c>
      <c r="DR81" s="55">
        <f t="shared" ref="DR81:FB81" ca="1" si="221">DR77</f>
        <v>0</v>
      </c>
      <c r="DS81" s="55">
        <f t="shared" ca="1" si="221"/>
        <v>0</v>
      </c>
      <c r="DT81" s="55">
        <f t="shared" ca="1" si="221"/>
        <v>0</v>
      </c>
      <c r="DU81" s="55">
        <f t="shared" ca="1" si="221"/>
        <v>0</v>
      </c>
      <c r="DV81" s="55">
        <f t="shared" ca="1" si="221"/>
        <v>0</v>
      </c>
      <c r="DW81" s="55">
        <f t="shared" ca="1" si="221"/>
        <v>0</v>
      </c>
      <c r="DX81" s="55">
        <f t="shared" ca="1" si="221"/>
        <v>0</v>
      </c>
      <c r="DY81" s="55">
        <f t="shared" ca="1" si="221"/>
        <v>0</v>
      </c>
      <c r="DZ81" s="55">
        <f t="shared" ca="1" si="221"/>
        <v>0</v>
      </c>
      <c r="EA81" s="55">
        <f t="shared" ca="1" si="221"/>
        <v>0</v>
      </c>
      <c r="EB81" s="55">
        <f t="shared" ca="1" si="221"/>
        <v>0</v>
      </c>
      <c r="EC81" s="55">
        <f t="shared" ca="1" si="221"/>
        <v>0</v>
      </c>
      <c r="ED81" s="55">
        <f t="shared" ca="1" si="221"/>
        <v>0</v>
      </c>
      <c r="EE81" s="55">
        <f t="shared" ca="1" si="221"/>
        <v>0</v>
      </c>
      <c r="EF81" s="55">
        <f t="shared" ca="1" si="221"/>
        <v>0</v>
      </c>
      <c r="EG81" s="55">
        <f t="shared" ca="1" si="221"/>
        <v>0</v>
      </c>
      <c r="EH81" s="55">
        <f t="shared" ca="1" si="221"/>
        <v>0</v>
      </c>
      <c r="EI81" s="55">
        <f t="shared" ca="1" si="221"/>
        <v>0</v>
      </c>
      <c r="EJ81" s="55">
        <f t="shared" ca="1" si="221"/>
        <v>0</v>
      </c>
      <c r="EK81" s="55">
        <f t="shared" ca="1" si="221"/>
        <v>0</v>
      </c>
      <c r="EL81" s="55">
        <f t="shared" ca="1" si="221"/>
        <v>0</v>
      </c>
      <c r="EM81" s="55">
        <f t="shared" ca="1" si="221"/>
        <v>0</v>
      </c>
      <c r="EN81" s="55">
        <f t="shared" ca="1" si="221"/>
        <v>0</v>
      </c>
      <c r="EO81" s="55">
        <f t="shared" ca="1" si="221"/>
        <v>0</v>
      </c>
      <c r="EP81" s="55">
        <f t="shared" ca="1" si="221"/>
        <v>9352900.9313788116</v>
      </c>
      <c r="EQ81" s="55">
        <f t="shared" ca="1" si="221"/>
        <v>0</v>
      </c>
      <c r="ER81" s="55">
        <f t="shared" ca="1" si="221"/>
        <v>0</v>
      </c>
      <c r="ES81" s="55">
        <f t="shared" ca="1" si="221"/>
        <v>0</v>
      </c>
      <c r="ET81" s="55">
        <f t="shared" ca="1" si="221"/>
        <v>0</v>
      </c>
      <c r="EU81" s="55">
        <f t="shared" ca="1" si="221"/>
        <v>0</v>
      </c>
      <c r="EV81" s="55">
        <f t="shared" ca="1" si="221"/>
        <v>0</v>
      </c>
      <c r="EW81" s="55">
        <f t="shared" ca="1" si="221"/>
        <v>0</v>
      </c>
      <c r="EX81" s="55">
        <f t="shared" ca="1" si="221"/>
        <v>0</v>
      </c>
      <c r="EY81" s="55">
        <f t="shared" ca="1" si="221"/>
        <v>0</v>
      </c>
      <c r="EZ81" s="55">
        <f t="shared" ca="1" si="221"/>
        <v>0</v>
      </c>
      <c r="FA81" s="55">
        <f t="shared" ca="1" si="221"/>
        <v>0</v>
      </c>
      <c r="FB81" s="55">
        <f t="shared" ca="1" si="221"/>
        <v>0</v>
      </c>
    </row>
    <row r="82" spans="1:158">
      <c r="I82" s="9" t="str">
        <f>B37</f>
        <v>Acquisition Price</v>
      </c>
      <c r="L82" s="24">
        <f t="shared" si="210"/>
        <v>-6700000.0000000028</v>
      </c>
      <c r="N82" s="24">
        <f t="shared" si="211"/>
        <v>-6700000.0000000028</v>
      </c>
      <c r="O82" s="24">
        <f t="shared" si="212"/>
        <v>0</v>
      </c>
      <c r="P82" s="24">
        <f t="shared" si="212"/>
        <v>0</v>
      </c>
      <c r="Q82" s="24">
        <f t="shared" si="212"/>
        <v>0</v>
      </c>
      <c r="R82" s="24">
        <f t="shared" si="212"/>
        <v>0</v>
      </c>
      <c r="S82" s="24">
        <f t="shared" si="212"/>
        <v>0</v>
      </c>
      <c r="T82" s="24">
        <f t="shared" si="212"/>
        <v>0</v>
      </c>
      <c r="U82" s="24">
        <f t="shared" si="212"/>
        <v>0</v>
      </c>
      <c r="V82" s="24">
        <f t="shared" si="212"/>
        <v>0</v>
      </c>
      <c r="W82" s="24">
        <f t="shared" si="212"/>
        <v>0</v>
      </c>
      <c r="X82" s="24">
        <f t="shared" si="212"/>
        <v>0</v>
      </c>
      <c r="Z82" s="24">
        <f t="shared" ref="Z82:BE82" si="222">IF(Z$4=0,-$D37*$E37,-($D37*(1-$E37))/$G37*(Z$4&gt;=$F37)*(Z$4&lt;=($F37+$G37-1)))</f>
        <v>-6700000.0000000028</v>
      </c>
      <c r="AA82" s="24">
        <f t="shared" si="222"/>
        <v>0</v>
      </c>
      <c r="AB82" s="24">
        <f t="shared" si="222"/>
        <v>0</v>
      </c>
      <c r="AC82" s="24">
        <f t="shared" si="222"/>
        <v>0</v>
      </c>
      <c r="AD82" s="24">
        <f t="shared" si="222"/>
        <v>0</v>
      </c>
      <c r="AE82" s="24">
        <f t="shared" si="222"/>
        <v>0</v>
      </c>
      <c r="AF82" s="24">
        <f t="shared" si="222"/>
        <v>0</v>
      </c>
      <c r="AG82" s="24">
        <f t="shared" si="222"/>
        <v>0</v>
      </c>
      <c r="AH82" s="24">
        <f t="shared" si="222"/>
        <v>0</v>
      </c>
      <c r="AI82" s="24">
        <f t="shared" si="222"/>
        <v>0</v>
      </c>
      <c r="AJ82" s="24">
        <f t="shared" si="222"/>
        <v>0</v>
      </c>
      <c r="AK82" s="24">
        <f t="shared" si="222"/>
        <v>0</v>
      </c>
      <c r="AL82" s="24">
        <f t="shared" si="222"/>
        <v>0</v>
      </c>
      <c r="AM82" s="24">
        <f t="shared" si="222"/>
        <v>0</v>
      </c>
      <c r="AN82" s="24">
        <f t="shared" si="222"/>
        <v>0</v>
      </c>
      <c r="AO82" s="24">
        <f t="shared" si="222"/>
        <v>0</v>
      </c>
      <c r="AP82" s="24">
        <f t="shared" si="222"/>
        <v>0</v>
      </c>
      <c r="AQ82" s="24">
        <f t="shared" si="222"/>
        <v>0</v>
      </c>
      <c r="AR82" s="24">
        <f t="shared" si="222"/>
        <v>0</v>
      </c>
      <c r="AS82" s="24">
        <f t="shared" si="222"/>
        <v>0</v>
      </c>
      <c r="AT82" s="24">
        <f t="shared" si="222"/>
        <v>0</v>
      </c>
      <c r="AU82" s="24">
        <f t="shared" si="222"/>
        <v>0</v>
      </c>
      <c r="AV82" s="24">
        <f t="shared" si="222"/>
        <v>0</v>
      </c>
      <c r="AW82" s="24">
        <f t="shared" si="222"/>
        <v>0</v>
      </c>
      <c r="AX82" s="24">
        <f t="shared" si="222"/>
        <v>0</v>
      </c>
      <c r="AY82" s="24">
        <f t="shared" si="222"/>
        <v>0</v>
      </c>
      <c r="AZ82" s="24">
        <f t="shared" si="222"/>
        <v>0</v>
      </c>
      <c r="BA82" s="24">
        <f t="shared" si="222"/>
        <v>0</v>
      </c>
      <c r="BB82" s="24">
        <f t="shared" si="222"/>
        <v>0</v>
      </c>
      <c r="BC82" s="24">
        <f t="shared" si="222"/>
        <v>0</v>
      </c>
      <c r="BD82" s="24">
        <f t="shared" si="222"/>
        <v>0</v>
      </c>
      <c r="BE82" s="24">
        <f t="shared" si="222"/>
        <v>0</v>
      </c>
      <c r="BF82" s="24">
        <f t="shared" ref="BF82:CK82" si="223">IF(BF$4=0,-$D37*$E37,-($D37*(1-$E37))/$G37*(BF$4&gt;=$F37)*(BF$4&lt;=($F37+$G37-1)))</f>
        <v>0</v>
      </c>
      <c r="BG82" s="24">
        <f t="shared" si="223"/>
        <v>0</v>
      </c>
      <c r="BH82" s="24">
        <f t="shared" si="223"/>
        <v>0</v>
      </c>
      <c r="BI82" s="24">
        <f t="shared" si="223"/>
        <v>0</v>
      </c>
      <c r="BJ82" s="24">
        <f t="shared" si="223"/>
        <v>0</v>
      </c>
      <c r="BK82" s="24">
        <f t="shared" si="223"/>
        <v>0</v>
      </c>
      <c r="BL82" s="24">
        <f t="shared" si="223"/>
        <v>0</v>
      </c>
      <c r="BM82" s="24">
        <f t="shared" si="223"/>
        <v>0</v>
      </c>
      <c r="BN82" s="24">
        <f t="shared" si="223"/>
        <v>0</v>
      </c>
      <c r="BO82" s="24">
        <f t="shared" si="223"/>
        <v>0</v>
      </c>
      <c r="BP82" s="24">
        <f t="shared" si="223"/>
        <v>0</v>
      </c>
      <c r="BQ82" s="24">
        <f t="shared" si="223"/>
        <v>0</v>
      </c>
      <c r="BR82" s="24">
        <f t="shared" si="223"/>
        <v>0</v>
      </c>
      <c r="BS82" s="24">
        <f t="shared" si="223"/>
        <v>0</v>
      </c>
      <c r="BT82" s="24">
        <f t="shared" si="223"/>
        <v>0</v>
      </c>
      <c r="BU82" s="24">
        <f t="shared" si="223"/>
        <v>0</v>
      </c>
      <c r="BV82" s="24">
        <f t="shared" si="223"/>
        <v>0</v>
      </c>
      <c r="BW82" s="24">
        <f t="shared" si="223"/>
        <v>0</v>
      </c>
      <c r="BX82" s="24">
        <f t="shared" si="223"/>
        <v>0</v>
      </c>
      <c r="BY82" s="24">
        <f t="shared" si="223"/>
        <v>0</v>
      </c>
      <c r="BZ82" s="24">
        <f t="shared" si="223"/>
        <v>0</v>
      </c>
      <c r="CA82" s="24">
        <f t="shared" si="223"/>
        <v>0</v>
      </c>
      <c r="CB82" s="24">
        <f t="shared" si="223"/>
        <v>0</v>
      </c>
      <c r="CC82" s="24">
        <f t="shared" si="223"/>
        <v>0</v>
      </c>
      <c r="CD82" s="24">
        <f t="shared" si="223"/>
        <v>0</v>
      </c>
      <c r="CE82" s="24">
        <f t="shared" si="223"/>
        <v>0</v>
      </c>
      <c r="CF82" s="24">
        <f t="shared" si="223"/>
        <v>0</v>
      </c>
      <c r="CG82" s="24">
        <f t="shared" si="223"/>
        <v>0</v>
      </c>
      <c r="CH82" s="24">
        <f t="shared" si="223"/>
        <v>0</v>
      </c>
      <c r="CI82" s="24">
        <f t="shared" si="223"/>
        <v>0</v>
      </c>
      <c r="CJ82" s="24">
        <f t="shared" si="223"/>
        <v>0</v>
      </c>
      <c r="CK82" s="24">
        <f t="shared" si="223"/>
        <v>0</v>
      </c>
      <c r="CL82" s="24">
        <f t="shared" ref="CL82:DQ82" si="224">IF(CL$4=0,-$D37*$E37,-($D37*(1-$E37))/$G37*(CL$4&gt;=$F37)*(CL$4&lt;=($F37+$G37-1)))</f>
        <v>0</v>
      </c>
      <c r="CM82" s="24">
        <f t="shared" si="224"/>
        <v>0</v>
      </c>
      <c r="CN82" s="24">
        <f t="shared" si="224"/>
        <v>0</v>
      </c>
      <c r="CO82" s="24">
        <f t="shared" si="224"/>
        <v>0</v>
      </c>
      <c r="CP82" s="24">
        <f t="shared" si="224"/>
        <v>0</v>
      </c>
      <c r="CQ82" s="24">
        <f t="shared" si="224"/>
        <v>0</v>
      </c>
      <c r="CR82" s="24">
        <f t="shared" si="224"/>
        <v>0</v>
      </c>
      <c r="CS82" s="24">
        <f t="shared" si="224"/>
        <v>0</v>
      </c>
      <c r="CT82" s="24">
        <f t="shared" si="224"/>
        <v>0</v>
      </c>
      <c r="CU82" s="24">
        <f t="shared" si="224"/>
        <v>0</v>
      </c>
      <c r="CV82" s="24">
        <f t="shared" si="224"/>
        <v>0</v>
      </c>
      <c r="CW82" s="24">
        <f t="shared" si="224"/>
        <v>0</v>
      </c>
      <c r="CX82" s="24">
        <f t="shared" si="224"/>
        <v>0</v>
      </c>
      <c r="CY82" s="24">
        <f t="shared" si="224"/>
        <v>0</v>
      </c>
      <c r="CZ82" s="24">
        <f t="shared" si="224"/>
        <v>0</v>
      </c>
      <c r="DA82" s="24">
        <f t="shared" si="224"/>
        <v>0</v>
      </c>
      <c r="DB82" s="24">
        <f t="shared" si="224"/>
        <v>0</v>
      </c>
      <c r="DC82" s="24">
        <f t="shared" si="224"/>
        <v>0</v>
      </c>
      <c r="DD82" s="24">
        <f t="shared" si="224"/>
        <v>0</v>
      </c>
      <c r="DE82" s="24">
        <f t="shared" si="224"/>
        <v>0</v>
      </c>
      <c r="DF82" s="24">
        <f t="shared" si="224"/>
        <v>0</v>
      </c>
      <c r="DG82" s="24">
        <f t="shared" si="224"/>
        <v>0</v>
      </c>
      <c r="DH82" s="24">
        <f t="shared" si="224"/>
        <v>0</v>
      </c>
      <c r="DI82" s="24">
        <f t="shared" si="224"/>
        <v>0</v>
      </c>
      <c r="DJ82" s="24">
        <f t="shared" si="224"/>
        <v>0</v>
      </c>
      <c r="DK82" s="24">
        <f t="shared" si="224"/>
        <v>0</v>
      </c>
      <c r="DL82" s="24">
        <f t="shared" si="224"/>
        <v>0</v>
      </c>
      <c r="DM82" s="24">
        <f t="shared" si="224"/>
        <v>0</v>
      </c>
      <c r="DN82" s="24">
        <f t="shared" si="224"/>
        <v>0</v>
      </c>
      <c r="DO82" s="24">
        <f t="shared" si="224"/>
        <v>0</v>
      </c>
      <c r="DP82" s="24">
        <f t="shared" si="224"/>
        <v>0</v>
      </c>
      <c r="DQ82" s="24">
        <f t="shared" si="224"/>
        <v>0</v>
      </c>
      <c r="DR82" s="24">
        <f t="shared" ref="DR82:FB82" si="225">IF(DR$4=0,-$D37*$E37,-($D37*(1-$E37))/$G37*(DR$4&gt;=$F37)*(DR$4&lt;=($F37+$G37-1)))</f>
        <v>0</v>
      </c>
      <c r="DS82" s="24">
        <f t="shared" si="225"/>
        <v>0</v>
      </c>
      <c r="DT82" s="24">
        <f t="shared" si="225"/>
        <v>0</v>
      </c>
      <c r="DU82" s="24">
        <f t="shared" si="225"/>
        <v>0</v>
      </c>
      <c r="DV82" s="24">
        <f t="shared" si="225"/>
        <v>0</v>
      </c>
      <c r="DW82" s="24">
        <f t="shared" si="225"/>
        <v>0</v>
      </c>
      <c r="DX82" s="24">
        <f t="shared" si="225"/>
        <v>0</v>
      </c>
      <c r="DY82" s="24">
        <f t="shared" si="225"/>
        <v>0</v>
      </c>
      <c r="DZ82" s="24">
        <f t="shared" si="225"/>
        <v>0</v>
      </c>
      <c r="EA82" s="24">
        <f t="shared" si="225"/>
        <v>0</v>
      </c>
      <c r="EB82" s="24">
        <f t="shared" si="225"/>
        <v>0</v>
      </c>
      <c r="EC82" s="24">
        <f t="shared" si="225"/>
        <v>0</v>
      </c>
      <c r="ED82" s="24">
        <f t="shared" si="225"/>
        <v>0</v>
      </c>
      <c r="EE82" s="24">
        <f t="shared" si="225"/>
        <v>0</v>
      </c>
      <c r="EF82" s="24">
        <f t="shared" si="225"/>
        <v>0</v>
      </c>
      <c r="EG82" s="24">
        <f t="shared" si="225"/>
        <v>0</v>
      </c>
      <c r="EH82" s="24">
        <f t="shared" si="225"/>
        <v>0</v>
      </c>
      <c r="EI82" s="24">
        <f t="shared" si="225"/>
        <v>0</v>
      </c>
      <c r="EJ82" s="24">
        <f t="shared" si="225"/>
        <v>0</v>
      </c>
      <c r="EK82" s="24">
        <f t="shared" si="225"/>
        <v>0</v>
      </c>
      <c r="EL82" s="24">
        <f t="shared" si="225"/>
        <v>0</v>
      </c>
      <c r="EM82" s="24">
        <f t="shared" si="225"/>
        <v>0</v>
      </c>
      <c r="EN82" s="24">
        <f t="shared" si="225"/>
        <v>0</v>
      </c>
      <c r="EO82" s="24">
        <f t="shared" si="225"/>
        <v>0</v>
      </c>
      <c r="EP82" s="24">
        <f t="shared" si="225"/>
        <v>0</v>
      </c>
      <c r="EQ82" s="24">
        <f t="shared" si="225"/>
        <v>0</v>
      </c>
      <c r="ER82" s="24">
        <f t="shared" si="225"/>
        <v>0</v>
      </c>
      <c r="ES82" s="24">
        <f t="shared" si="225"/>
        <v>0</v>
      </c>
      <c r="ET82" s="24">
        <f t="shared" si="225"/>
        <v>0</v>
      </c>
      <c r="EU82" s="24">
        <f t="shared" si="225"/>
        <v>0</v>
      </c>
      <c r="EV82" s="24">
        <f t="shared" si="225"/>
        <v>0</v>
      </c>
      <c r="EW82" s="24">
        <f t="shared" si="225"/>
        <v>0</v>
      </c>
      <c r="EX82" s="24">
        <f t="shared" si="225"/>
        <v>0</v>
      </c>
      <c r="EY82" s="24">
        <f t="shared" si="225"/>
        <v>0</v>
      </c>
      <c r="EZ82" s="24">
        <f t="shared" si="225"/>
        <v>0</v>
      </c>
      <c r="FA82" s="24">
        <f t="shared" si="225"/>
        <v>0</v>
      </c>
      <c r="FB82" s="24">
        <f t="shared" si="225"/>
        <v>0</v>
      </c>
    </row>
    <row r="83" spans="1:158">
      <c r="B83" s="7" t="s">
        <v>119</v>
      </c>
      <c r="C83" s="7"/>
      <c r="D83" s="7"/>
      <c r="E83" s="7"/>
      <c r="F83" s="7"/>
      <c r="G83" s="7"/>
      <c r="I83" s="9" t="s">
        <v>152</v>
      </c>
      <c r="L83" s="24">
        <f t="shared" si="210"/>
        <v>-50250.000000000022</v>
      </c>
      <c r="N83" s="24">
        <f t="shared" si="211"/>
        <v>-50250.000000000022</v>
      </c>
      <c r="O83" s="24">
        <f t="shared" si="212"/>
        <v>0</v>
      </c>
      <c r="P83" s="24">
        <f t="shared" si="212"/>
        <v>0</v>
      </c>
      <c r="Q83" s="24">
        <f t="shared" si="212"/>
        <v>0</v>
      </c>
      <c r="R83" s="24">
        <f t="shared" si="212"/>
        <v>0</v>
      </c>
      <c r="S83" s="24">
        <f t="shared" si="212"/>
        <v>0</v>
      </c>
      <c r="T83" s="24">
        <f t="shared" si="212"/>
        <v>0</v>
      </c>
      <c r="U83" s="24">
        <f t="shared" si="212"/>
        <v>0</v>
      </c>
      <c r="V83" s="24">
        <f t="shared" si="212"/>
        <v>0</v>
      </c>
      <c r="W83" s="24">
        <f t="shared" si="212"/>
        <v>0</v>
      </c>
      <c r="X83" s="24">
        <f t="shared" si="212"/>
        <v>0</v>
      </c>
      <c r="Z83" s="24">
        <f t="shared" ref="Z83:BE83" si="226">IF(Z$4=0,-$D38*$E38,-($D38*(1-$E38))/$G38*(Z$4&gt;=$F38)*(Z$4&lt;=($F38+$G38-1)))</f>
        <v>-50250.000000000022</v>
      </c>
      <c r="AA83" s="24">
        <f t="shared" si="226"/>
        <v>0</v>
      </c>
      <c r="AB83" s="24">
        <f t="shared" si="226"/>
        <v>0</v>
      </c>
      <c r="AC83" s="24">
        <f t="shared" si="226"/>
        <v>0</v>
      </c>
      <c r="AD83" s="24">
        <f t="shared" si="226"/>
        <v>0</v>
      </c>
      <c r="AE83" s="24">
        <f t="shared" si="226"/>
        <v>0</v>
      </c>
      <c r="AF83" s="24">
        <f t="shared" si="226"/>
        <v>0</v>
      </c>
      <c r="AG83" s="24">
        <f t="shared" si="226"/>
        <v>0</v>
      </c>
      <c r="AH83" s="24">
        <f t="shared" si="226"/>
        <v>0</v>
      </c>
      <c r="AI83" s="24">
        <f t="shared" si="226"/>
        <v>0</v>
      </c>
      <c r="AJ83" s="24">
        <f t="shared" si="226"/>
        <v>0</v>
      </c>
      <c r="AK83" s="24">
        <f t="shared" si="226"/>
        <v>0</v>
      </c>
      <c r="AL83" s="24">
        <f t="shared" si="226"/>
        <v>0</v>
      </c>
      <c r="AM83" s="24">
        <f t="shared" si="226"/>
        <v>0</v>
      </c>
      <c r="AN83" s="24">
        <f t="shared" si="226"/>
        <v>0</v>
      </c>
      <c r="AO83" s="24">
        <f t="shared" si="226"/>
        <v>0</v>
      </c>
      <c r="AP83" s="24">
        <f t="shared" si="226"/>
        <v>0</v>
      </c>
      <c r="AQ83" s="24">
        <f t="shared" si="226"/>
        <v>0</v>
      </c>
      <c r="AR83" s="24">
        <f t="shared" si="226"/>
        <v>0</v>
      </c>
      <c r="AS83" s="24">
        <f t="shared" si="226"/>
        <v>0</v>
      </c>
      <c r="AT83" s="24">
        <f t="shared" si="226"/>
        <v>0</v>
      </c>
      <c r="AU83" s="24">
        <f t="shared" si="226"/>
        <v>0</v>
      </c>
      <c r="AV83" s="24">
        <f t="shared" si="226"/>
        <v>0</v>
      </c>
      <c r="AW83" s="24">
        <f t="shared" si="226"/>
        <v>0</v>
      </c>
      <c r="AX83" s="24">
        <f t="shared" si="226"/>
        <v>0</v>
      </c>
      <c r="AY83" s="24">
        <f t="shared" si="226"/>
        <v>0</v>
      </c>
      <c r="AZ83" s="24">
        <f t="shared" si="226"/>
        <v>0</v>
      </c>
      <c r="BA83" s="24">
        <f t="shared" si="226"/>
        <v>0</v>
      </c>
      <c r="BB83" s="24">
        <f t="shared" si="226"/>
        <v>0</v>
      </c>
      <c r="BC83" s="24">
        <f t="shared" si="226"/>
        <v>0</v>
      </c>
      <c r="BD83" s="24">
        <f t="shared" si="226"/>
        <v>0</v>
      </c>
      <c r="BE83" s="24">
        <f t="shared" si="226"/>
        <v>0</v>
      </c>
      <c r="BF83" s="24">
        <f t="shared" ref="BF83:CK83" si="227">IF(BF$4=0,-$D38*$E38,-($D38*(1-$E38))/$G38*(BF$4&gt;=$F38)*(BF$4&lt;=($F38+$G38-1)))</f>
        <v>0</v>
      </c>
      <c r="BG83" s="24">
        <f t="shared" si="227"/>
        <v>0</v>
      </c>
      <c r="BH83" s="24">
        <f t="shared" si="227"/>
        <v>0</v>
      </c>
      <c r="BI83" s="24">
        <f t="shared" si="227"/>
        <v>0</v>
      </c>
      <c r="BJ83" s="24">
        <f t="shared" si="227"/>
        <v>0</v>
      </c>
      <c r="BK83" s="24">
        <f t="shared" si="227"/>
        <v>0</v>
      </c>
      <c r="BL83" s="24">
        <f t="shared" si="227"/>
        <v>0</v>
      </c>
      <c r="BM83" s="24">
        <f t="shared" si="227"/>
        <v>0</v>
      </c>
      <c r="BN83" s="24">
        <f t="shared" si="227"/>
        <v>0</v>
      </c>
      <c r="BO83" s="24">
        <f t="shared" si="227"/>
        <v>0</v>
      </c>
      <c r="BP83" s="24">
        <f t="shared" si="227"/>
        <v>0</v>
      </c>
      <c r="BQ83" s="24">
        <f t="shared" si="227"/>
        <v>0</v>
      </c>
      <c r="BR83" s="24">
        <f t="shared" si="227"/>
        <v>0</v>
      </c>
      <c r="BS83" s="24">
        <f t="shared" si="227"/>
        <v>0</v>
      </c>
      <c r="BT83" s="24">
        <f t="shared" si="227"/>
        <v>0</v>
      </c>
      <c r="BU83" s="24">
        <f t="shared" si="227"/>
        <v>0</v>
      </c>
      <c r="BV83" s="24">
        <f t="shared" si="227"/>
        <v>0</v>
      </c>
      <c r="BW83" s="24">
        <f t="shared" si="227"/>
        <v>0</v>
      </c>
      <c r="BX83" s="24">
        <f t="shared" si="227"/>
        <v>0</v>
      </c>
      <c r="BY83" s="24">
        <f t="shared" si="227"/>
        <v>0</v>
      </c>
      <c r="BZ83" s="24">
        <f t="shared" si="227"/>
        <v>0</v>
      </c>
      <c r="CA83" s="24">
        <f t="shared" si="227"/>
        <v>0</v>
      </c>
      <c r="CB83" s="24">
        <f t="shared" si="227"/>
        <v>0</v>
      </c>
      <c r="CC83" s="24">
        <f t="shared" si="227"/>
        <v>0</v>
      </c>
      <c r="CD83" s="24">
        <f t="shared" si="227"/>
        <v>0</v>
      </c>
      <c r="CE83" s="24">
        <f t="shared" si="227"/>
        <v>0</v>
      </c>
      <c r="CF83" s="24">
        <f t="shared" si="227"/>
        <v>0</v>
      </c>
      <c r="CG83" s="24">
        <f t="shared" si="227"/>
        <v>0</v>
      </c>
      <c r="CH83" s="24">
        <f t="shared" si="227"/>
        <v>0</v>
      </c>
      <c r="CI83" s="24">
        <f t="shared" si="227"/>
        <v>0</v>
      </c>
      <c r="CJ83" s="24">
        <f t="shared" si="227"/>
        <v>0</v>
      </c>
      <c r="CK83" s="24">
        <f t="shared" si="227"/>
        <v>0</v>
      </c>
      <c r="CL83" s="24">
        <f t="shared" ref="CL83:DQ83" si="228">IF(CL$4=0,-$D38*$E38,-($D38*(1-$E38))/$G38*(CL$4&gt;=$F38)*(CL$4&lt;=($F38+$G38-1)))</f>
        <v>0</v>
      </c>
      <c r="CM83" s="24">
        <f t="shared" si="228"/>
        <v>0</v>
      </c>
      <c r="CN83" s="24">
        <f t="shared" si="228"/>
        <v>0</v>
      </c>
      <c r="CO83" s="24">
        <f t="shared" si="228"/>
        <v>0</v>
      </c>
      <c r="CP83" s="24">
        <f t="shared" si="228"/>
        <v>0</v>
      </c>
      <c r="CQ83" s="24">
        <f t="shared" si="228"/>
        <v>0</v>
      </c>
      <c r="CR83" s="24">
        <f t="shared" si="228"/>
        <v>0</v>
      </c>
      <c r="CS83" s="24">
        <f t="shared" si="228"/>
        <v>0</v>
      </c>
      <c r="CT83" s="24">
        <f t="shared" si="228"/>
        <v>0</v>
      </c>
      <c r="CU83" s="24">
        <f t="shared" si="228"/>
        <v>0</v>
      </c>
      <c r="CV83" s="24">
        <f t="shared" si="228"/>
        <v>0</v>
      </c>
      <c r="CW83" s="24">
        <f t="shared" si="228"/>
        <v>0</v>
      </c>
      <c r="CX83" s="24">
        <f t="shared" si="228"/>
        <v>0</v>
      </c>
      <c r="CY83" s="24">
        <f t="shared" si="228"/>
        <v>0</v>
      </c>
      <c r="CZ83" s="24">
        <f t="shared" si="228"/>
        <v>0</v>
      </c>
      <c r="DA83" s="24">
        <f t="shared" si="228"/>
        <v>0</v>
      </c>
      <c r="DB83" s="24">
        <f t="shared" si="228"/>
        <v>0</v>
      </c>
      <c r="DC83" s="24">
        <f t="shared" si="228"/>
        <v>0</v>
      </c>
      <c r="DD83" s="24">
        <f t="shared" si="228"/>
        <v>0</v>
      </c>
      <c r="DE83" s="24">
        <f t="shared" si="228"/>
        <v>0</v>
      </c>
      <c r="DF83" s="24">
        <f t="shared" si="228"/>
        <v>0</v>
      </c>
      <c r="DG83" s="24">
        <f t="shared" si="228"/>
        <v>0</v>
      </c>
      <c r="DH83" s="24">
        <f t="shared" si="228"/>
        <v>0</v>
      </c>
      <c r="DI83" s="24">
        <f t="shared" si="228"/>
        <v>0</v>
      </c>
      <c r="DJ83" s="24">
        <f t="shared" si="228"/>
        <v>0</v>
      </c>
      <c r="DK83" s="24">
        <f t="shared" si="228"/>
        <v>0</v>
      </c>
      <c r="DL83" s="24">
        <f t="shared" si="228"/>
        <v>0</v>
      </c>
      <c r="DM83" s="24">
        <f t="shared" si="228"/>
        <v>0</v>
      </c>
      <c r="DN83" s="24">
        <f t="shared" si="228"/>
        <v>0</v>
      </c>
      <c r="DO83" s="24">
        <f t="shared" si="228"/>
        <v>0</v>
      </c>
      <c r="DP83" s="24">
        <f t="shared" si="228"/>
        <v>0</v>
      </c>
      <c r="DQ83" s="24">
        <f t="shared" si="228"/>
        <v>0</v>
      </c>
      <c r="DR83" s="24">
        <f t="shared" ref="DR83:FB83" si="229">IF(DR$4=0,-$D38*$E38,-($D38*(1-$E38))/$G38*(DR$4&gt;=$F38)*(DR$4&lt;=($F38+$G38-1)))</f>
        <v>0</v>
      </c>
      <c r="DS83" s="24">
        <f t="shared" si="229"/>
        <v>0</v>
      </c>
      <c r="DT83" s="24">
        <f t="shared" si="229"/>
        <v>0</v>
      </c>
      <c r="DU83" s="24">
        <f t="shared" si="229"/>
        <v>0</v>
      </c>
      <c r="DV83" s="24">
        <f t="shared" si="229"/>
        <v>0</v>
      </c>
      <c r="DW83" s="24">
        <f t="shared" si="229"/>
        <v>0</v>
      </c>
      <c r="DX83" s="24">
        <f t="shared" si="229"/>
        <v>0</v>
      </c>
      <c r="DY83" s="24">
        <f t="shared" si="229"/>
        <v>0</v>
      </c>
      <c r="DZ83" s="24">
        <f t="shared" si="229"/>
        <v>0</v>
      </c>
      <c r="EA83" s="24">
        <f t="shared" si="229"/>
        <v>0</v>
      </c>
      <c r="EB83" s="24">
        <f t="shared" si="229"/>
        <v>0</v>
      </c>
      <c r="EC83" s="24">
        <f t="shared" si="229"/>
        <v>0</v>
      </c>
      <c r="ED83" s="24">
        <f t="shared" si="229"/>
        <v>0</v>
      </c>
      <c r="EE83" s="24">
        <f t="shared" si="229"/>
        <v>0</v>
      </c>
      <c r="EF83" s="24">
        <f t="shared" si="229"/>
        <v>0</v>
      </c>
      <c r="EG83" s="24">
        <f t="shared" si="229"/>
        <v>0</v>
      </c>
      <c r="EH83" s="24">
        <f t="shared" si="229"/>
        <v>0</v>
      </c>
      <c r="EI83" s="24">
        <f t="shared" si="229"/>
        <v>0</v>
      </c>
      <c r="EJ83" s="24">
        <f t="shared" si="229"/>
        <v>0</v>
      </c>
      <c r="EK83" s="24">
        <f t="shared" si="229"/>
        <v>0</v>
      </c>
      <c r="EL83" s="24">
        <f t="shared" si="229"/>
        <v>0</v>
      </c>
      <c r="EM83" s="24">
        <f t="shared" si="229"/>
        <v>0</v>
      </c>
      <c r="EN83" s="24">
        <f t="shared" si="229"/>
        <v>0</v>
      </c>
      <c r="EO83" s="24">
        <f t="shared" si="229"/>
        <v>0</v>
      </c>
      <c r="EP83" s="24">
        <f t="shared" si="229"/>
        <v>0</v>
      </c>
      <c r="EQ83" s="24">
        <f t="shared" si="229"/>
        <v>0</v>
      </c>
      <c r="ER83" s="24">
        <f t="shared" si="229"/>
        <v>0</v>
      </c>
      <c r="ES83" s="24">
        <f t="shared" si="229"/>
        <v>0</v>
      </c>
      <c r="ET83" s="24">
        <f t="shared" si="229"/>
        <v>0</v>
      </c>
      <c r="EU83" s="24">
        <f t="shared" si="229"/>
        <v>0</v>
      </c>
      <c r="EV83" s="24">
        <f t="shared" si="229"/>
        <v>0</v>
      </c>
      <c r="EW83" s="24">
        <f t="shared" si="229"/>
        <v>0</v>
      </c>
      <c r="EX83" s="24">
        <f t="shared" si="229"/>
        <v>0</v>
      </c>
      <c r="EY83" s="24">
        <f t="shared" si="229"/>
        <v>0</v>
      </c>
      <c r="EZ83" s="24">
        <f t="shared" si="229"/>
        <v>0</v>
      </c>
      <c r="FA83" s="24">
        <f t="shared" si="229"/>
        <v>0</v>
      </c>
      <c r="FB83" s="24">
        <f t="shared" si="229"/>
        <v>0</v>
      </c>
    </row>
    <row r="84" spans="1:158">
      <c r="B84" s="35"/>
      <c r="C84" s="22"/>
      <c r="D84" s="22" t="s">
        <v>123</v>
      </c>
      <c r="E84" s="22" t="s">
        <v>124</v>
      </c>
      <c r="F84" s="59" t="s">
        <v>125</v>
      </c>
      <c r="G84" s="36"/>
      <c r="I84" s="9" t="s">
        <v>158</v>
      </c>
      <c r="L84" s="24">
        <f t="shared" si="210"/>
        <v>-495432.59</v>
      </c>
      <c r="N84" s="24">
        <f t="shared" si="211"/>
        <v>-495432.59</v>
      </c>
      <c r="O84" s="24">
        <f t="shared" si="212"/>
        <v>0</v>
      </c>
      <c r="P84" s="24">
        <f t="shared" si="212"/>
        <v>0</v>
      </c>
      <c r="Q84" s="24">
        <f t="shared" si="212"/>
        <v>0</v>
      </c>
      <c r="R84" s="24">
        <f t="shared" si="212"/>
        <v>0</v>
      </c>
      <c r="S84" s="24">
        <f t="shared" si="212"/>
        <v>0</v>
      </c>
      <c r="T84" s="24">
        <f t="shared" si="212"/>
        <v>0</v>
      </c>
      <c r="U84" s="24">
        <f t="shared" si="212"/>
        <v>0</v>
      </c>
      <c r="V84" s="24">
        <f t="shared" si="212"/>
        <v>0</v>
      </c>
      <c r="W84" s="24">
        <f t="shared" si="212"/>
        <v>0</v>
      </c>
      <c r="X84" s="24">
        <f t="shared" si="212"/>
        <v>0</v>
      </c>
      <c r="Z84" s="24">
        <f t="shared" ref="Z84:BE84" si="230">IF(Z$4=0,-$D39*$E39,-($D39*(1-$E39))/$G39*(Z$4&gt;=$F39)*(Z$4&lt;=($F39+$G39-1)))</f>
        <v>-495432.59</v>
      </c>
      <c r="AA84" s="24">
        <f t="shared" si="230"/>
        <v>0</v>
      </c>
      <c r="AB84" s="24">
        <f t="shared" si="230"/>
        <v>0</v>
      </c>
      <c r="AC84" s="24">
        <f t="shared" si="230"/>
        <v>0</v>
      </c>
      <c r="AD84" s="24">
        <f t="shared" si="230"/>
        <v>0</v>
      </c>
      <c r="AE84" s="24">
        <f t="shared" si="230"/>
        <v>0</v>
      </c>
      <c r="AF84" s="24">
        <f t="shared" si="230"/>
        <v>0</v>
      </c>
      <c r="AG84" s="24">
        <f t="shared" si="230"/>
        <v>0</v>
      </c>
      <c r="AH84" s="24">
        <f t="shared" si="230"/>
        <v>0</v>
      </c>
      <c r="AI84" s="24">
        <f t="shared" si="230"/>
        <v>0</v>
      </c>
      <c r="AJ84" s="24">
        <f t="shared" si="230"/>
        <v>0</v>
      </c>
      <c r="AK84" s="24">
        <f t="shared" si="230"/>
        <v>0</v>
      </c>
      <c r="AL84" s="24">
        <f t="shared" si="230"/>
        <v>0</v>
      </c>
      <c r="AM84" s="24">
        <f t="shared" si="230"/>
        <v>0</v>
      </c>
      <c r="AN84" s="24">
        <f t="shared" si="230"/>
        <v>0</v>
      </c>
      <c r="AO84" s="24">
        <f t="shared" si="230"/>
        <v>0</v>
      </c>
      <c r="AP84" s="24">
        <f t="shared" si="230"/>
        <v>0</v>
      </c>
      <c r="AQ84" s="24">
        <f t="shared" si="230"/>
        <v>0</v>
      </c>
      <c r="AR84" s="24">
        <f t="shared" si="230"/>
        <v>0</v>
      </c>
      <c r="AS84" s="24">
        <f t="shared" si="230"/>
        <v>0</v>
      </c>
      <c r="AT84" s="24">
        <f t="shared" si="230"/>
        <v>0</v>
      </c>
      <c r="AU84" s="24">
        <f t="shared" si="230"/>
        <v>0</v>
      </c>
      <c r="AV84" s="24">
        <f t="shared" si="230"/>
        <v>0</v>
      </c>
      <c r="AW84" s="24">
        <f t="shared" si="230"/>
        <v>0</v>
      </c>
      <c r="AX84" s="24">
        <f t="shared" si="230"/>
        <v>0</v>
      </c>
      <c r="AY84" s="24">
        <f t="shared" si="230"/>
        <v>0</v>
      </c>
      <c r="AZ84" s="24">
        <f t="shared" si="230"/>
        <v>0</v>
      </c>
      <c r="BA84" s="24">
        <f t="shared" si="230"/>
        <v>0</v>
      </c>
      <c r="BB84" s="24">
        <f t="shared" si="230"/>
        <v>0</v>
      </c>
      <c r="BC84" s="24">
        <f t="shared" si="230"/>
        <v>0</v>
      </c>
      <c r="BD84" s="24">
        <f t="shared" si="230"/>
        <v>0</v>
      </c>
      <c r="BE84" s="24">
        <f t="shared" si="230"/>
        <v>0</v>
      </c>
      <c r="BF84" s="24">
        <f t="shared" ref="BF84:CK84" si="231">IF(BF$4=0,-$D39*$E39,-($D39*(1-$E39))/$G39*(BF$4&gt;=$F39)*(BF$4&lt;=($F39+$G39-1)))</f>
        <v>0</v>
      </c>
      <c r="BG84" s="24">
        <f t="shared" si="231"/>
        <v>0</v>
      </c>
      <c r="BH84" s="24">
        <f t="shared" si="231"/>
        <v>0</v>
      </c>
      <c r="BI84" s="24">
        <f t="shared" si="231"/>
        <v>0</v>
      </c>
      <c r="BJ84" s="24">
        <f t="shared" si="231"/>
        <v>0</v>
      </c>
      <c r="BK84" s="24">
        <f t="shared" si="231"/>
        <v>0</v>
      </c>
      <c r="BL84" s="24">
        <f t="shared" si="231"/>
        <v>0</v>
      </c>
      <c r="BM84" s="24">
        <f t="shared" si="231"/>
        <v>0</v>
      </c>
      <c r="BN84" s="24">
        <f t="shared" si="231"/>
        <v>0</v>
      </c>
      <c r="BO84" s="24">
        <f t="shared" si="231"/>
        <v>0</v>
      </c>
      <c r="BP84" s="24">
        <f t="shared" si="231"/>
        <v>0</v>
      </c>
      <c r="BQ84" s="24">
        <f t="shared" si="231"/>
        <v>0</v>
      </c>
      <c r="BR84" s="24">
        <f t="shared" si="231"/>
        <v>0</v>
      </c>
      <c r="BS84" s="24">
        <f t="shared" si="231"/>
        <v>0</v>
      </c>
      <c r="BT84" s="24">
        <f t="shared" si="231"/>
        <v>0</v>
      </c>
      <c r="BU84" s="24">
        <f t="shared" si="231"/>
        <v>0</v>
      </c>
      <c r="BV84" s="24">
        <f t="shared" si="231"/>
        <v>0</v>
      </c>
      <c r="BW84" s="24">
        <f t="shared" si="231"/>
        <v>0</v>
      </c>
      <c r="BX84" s="24">
        <f t="shared" si="231"/>
        <v>0</v>
      </c>
      <c r="BY84" s="24">
        <f t="shared" si="231"/>
        <v>0</v>
      </c>
      <c r="BZ84" s="24">
        <f t="shared" si="231"/>
        <v>0</v>
      </c>
      <c r="CA84" s="24">
        <f t="shared" si="231"/>
        <v>0</v>
      </c>
      <c r="CB84" s="24">
        <f t="shared" si="231"/>
        <v>0</v>
      </c>
      <c r="CC84" s="24">
        <f t="shared" si="231"/>
        <v>0</v>
      </c>
      <c r="CD84" s="24">
        <f t="shared" si="231"/>
        <v>0</v>
      </c>
      <c r="CE84" s="24">
        <f t="shared" si="231"/>
        <v>0</v>
      </c>
      <c r="CF84" s="24">
        <f t="shared" si="231"/>
        <v>0</v>
      </c>
      <c r="CG84" s="24">
        <f t="shared" si="231"/>
        <v>0</v>
      </c>
      <c r="CH84" s="24">
        <f t="shared" si="231"/>
        <v>0</v>
      </c>
      <c r="CI84" s="24">
        <f t="shared" si="231"/>
        <v>0</v>
      </c>
      <c r="CJ84" s="24">
        <f t="shared" si="231"/>
        <v>0</v>
      </c>
      <c r="CK84" s="24">
        <f t="shared" si="231"/>
        <v>0</v>
      </c>
      <c r="CL84" s="24">
        <f t="shared" ref="CL84:DQ84" si="232">IF(CL$4=0,-$D39*$E39,-($D39*(1-$E39))/$G39*(CL$4&gt;=$F39)*(CL$4&lt;=($F39+$G39-1)))</f>
        <v>0</v>
      </c>
      <c r="CM84" s="24">
        <f t="shared" si="232"/>
        <v>0</v>
      </c>
      <c r="CN84" s="24">
        <f t="shared" si="232"/>
        <v>0</v>
      </c>
      <c r="CO84" s="24">
        <f t="shared" si="232"/>
        <v>0</v>
      </c>
      <c r="CP84" s="24">
        <f t="shared" si="232"/>
        <v>0</v>
      </c>
      <c r="CQ84" s="24">
        <f t="shared" si="232"/>
        <v>0</v>
      </c>
      <c r="CR84" s="24">
        <f t="shared" si="232"/>
        <v>0</v>
      </c>
      <c r="CS84" s="24">
        <f t="shared" si="232"/>
        <v>0</v>
      </c>
      <c r="CT84" s="24">
        <f t="shared" si="232"/>
        <v>0</v>
      </c>
      <c r="CU84" s="24">
        <f t="shared" si="232"/>
        <v>0</v>
      </c>
      <c r="CV84" s="24">
        <f t="shared" si="232"/>
        <v>0</v>
      </c>
      <c r="CW84" s="24">
        <f t="shared" si="232"/>
        <v>0</v>
      </c>
      <c r="CX84" s="24">
        <f t="shared" si="232"/>
        <v>0</v>
      </c>
      <c r="CY84" s="24">
        <f t="shared" si="232"/>
        <v>0</v>
      </c>
      <c r="CZ84" s="24">
        <f t="shared" si="232"/>
        <v>0</v>
      </c>
      <c r="DA84" s="24">
        <f t="shared" si="232"/>
        <v>0</v>
      </c>
      <c r="DB84" s="24">
        <f t="shared" si="232"/>
        <v>0</v>
      </c>
      <c r="DC84" s="24">
        <f t="shared" si="232"/>
        <v>0</v>
      </c>
      <c r="DD84" s="24">
        <f t="shared" si="232"/>
        <v>0</v>
      </c>
      <c r="DE84" s="24">
        <f t="shared" si="232"/>
        <v>0</v>
      </c>
      <c r="DF84" s="24">
        <f t="shared" si="232"/>
        <v>0</v>
      </c>
      <c r="DG84" s="24">
        <f t="shared" si="232"/>
        <v>0</v>
      </c>
      <c r="DH84" s="24">
        <f t="shared" si="232"/>
        <v>0</v>
      </c>
      <c r="DI84" s="24">
        <f t="shared" si="232"/>
        <v>0</v>
      </c>
      <c r="DJ84" s="24">
        <f t="shared" si="232"/>
        <v>0</v>
      </c>
      <c r="DK84" s="24">
        <f t="shared" si="232"/>
        <v>0</v>
      </c>
      <c r="DL84" s="24">
        <f t="shared" si="232"/>
        <v>0</v>
      </c>
      <c r="DM84" s="24">
        <f t="shared" si="232"/>
        <v>0</v>
      </c>
      <c r="DN84" s="24">
        <f t="shared" si="232"/>
        <v>0</v>
      </c>
      <c r="DO84" s="24">
        <f t="shared" si="232"/>
        <v>0</v>
      </c>
      <c r="DP84" s="24">
        <f t="shared" si="232"/>
        <v>0</v>
      </c>
      <c r="DQ84" s="24">
        <f t="shared" si="232"/>
        <v>0</v>
      </c>
      <c r="DR84" s="24">
        <f t="shared" ref="DR84:FB84" si="233">IF(DR$4=0,-$D39*$E39,-($D39*(1-$E39))/$G39*(DR$4&gt;=$F39)*(DR$4&lt;=($F39+$G39-1)))</f>
        <v>0</v>
      </c>
      <c r="DS84" s="24">
        <f t="shared" si="233"/>
        <v>0</v>
      </c>
      <c r="DT84" s="24">
        <f t="shared" si="233"/>
        <v>0</v>
      </c>
      <c r="DU84" s="24">
        <f t="shared" si="233"/>
        <v>0</v>
      </c>
      <c r="DV84" s="24">
        <f t="shared" si="233"/>
        <v>0</v>
      </c>
      <c r="DW84" s="24">
        <f t="shared" si="233"/>
        <v>0</v>
      </c>
      <c r="DX84" s="24">
        <f t="shared" si="233"/>
        <v>0</v>
      </c>
      <c r="DY84" s="24">
        <f t="shared" si="233"/>
        <v>0</v>
      </c>
      <c r="DZ84" s="24">
        <f t="shared" si="233"/>
        <v>0</v>
      </c>
      <c r="EA84" s="24">
        <f t="shared" si="233"/>
        <v>0</v>
      </c>
      <c r="EB84" s="24">
        <f t="shared" si="233"/>
        <v>0</v>
      </c>
      <c r="EC84" s="24">
        <f t="shared" si="233"/>
        <v>0</v>
      </c>
      <c r="ED84" s="24">
        <f t="shared" si="233"/>
        <v>0</v>
      </c>
      <c r="EE84" s="24">
        <f t="shared" si="233"/>
        <v>0</v>
      </c>
      <c r="EF84" s="24">
        <f t="shared" si="233"/>
        <v>0</v>
      </c>
      <c r="EG84" s="24">
        <f t="shared" si="233"/>
        <v>0</v>
      </c>
      <c r="EH84" s="24">
        <f t="shared" si="233"/>
        <v>0</v>
      </c>
      <c r="EI84" s="24">
        <f t="shared" si="233"/>
        <v>0</v>
      </c>
      <c r="EJ84" s="24">
        <f t="shared" si="233"/>
        <v>0</v>
      </c>
      <c r="EK84" s="24">
        <f t="shared" si="233"/>
        <v>0</v>
      </c>
      <c r="EL84" s="24">
        <f t="shared" si="233"/>
        <v>0</v>
      </c>
      <c r="EM84" s="24">
        <f t="shared" si="233"/>
        <v>0</v>
      </c>
      <c r="EN84" s="24">
        <f t="shared" si="233"/>
        <v>0</v>
      </c>
      <c r="EO84" s="24">
        <f t="shared" si="233"/>
        <v>0</v>
      </c>
      <c r="EP84" s="24">
        <f t="shared" si="233"/>
        <v>0</v>
      </c>
      <c r="EQ84" s="24">
        <f t="shared" si="233"/>
        <v>0</v>
      </c>
      <c r="ER84" s="24">
        <f t="shared" si="233"/>
        <v>0</v>
      </c>
      <c r="ES84" s="24">
        <f t="shared" si="233"/>
        <v>0</v>
      </c>
      <c r="ET84" s="24">
        <f t="shared" si="233"/>
        <v>0</v>
      </c>
      <c r="EU84" s="24">
        <f t="shared" si="233"/>
        <v>0</v>
      </c>
      <c r="EV84" s="24">
        <f t="shared" si="233"/>
        <v>0</v>
      </c>
      <c r="EW84" s="24">
        <f t="shared" si="233"/>
        <v>0</v>
      </c>
      <c r="EX84" s="24">
        <f t="shared" si="233"/>
        <v>0</v>
      </c>
      <c r="EY84" s="24">
        <f t="shared" si="233"/>
        <v>0</v>
      </c>
      <c r="EZ84" s="24">
        <f t="shared" si="233"/>
        <v>0</v>
      </c>
      <c r="FA84" s="24">
        <f t="shared" si="233"/>
        <v>0</v>
      </c>
      <c r="FB84" s="24">
        <f t="shared" si="233"/>
        <v>0</v>
      </c>
    </row>
    <row r="85" spans="1:158" s="46" customFormat="1">
      <c r="A85" s="9"/>
      <c r="B85" s="11" t="s">
        <v>127</v>
      </c>
      <c r="C85" s="9"/>
      <c r="D85" s="117">
        <v>0</v>
      </c>
      <c r="E85" s="117">
        <v>0</v>
      </c>
      <c r="F85" s="54"/>
      <c r="G85" s="9"/>
      <c r="H85" s="11"/>
      <c r="I85" s="126" t="s">
        <v>153</v>
      </c>
      <c r="J85" s="126"/>
      <c r="K85" s="13"/>
      <c r="L85" s="57">
        <f t="shared" ca="1" si="210"/>
        <v>7957892.286515479</v>
      </c>
      <c r="M85" s="13"/>
      <c r="N85" s="57">
        <f t="shared" ref="N85:X85" ca="1" si="234">SUMIF($Z$3:$FB$3,N$7,$Z85:$FB85)</f>
        <v>-7245682.5900000026</v>
      </c>
      <c r="O85" s="57">
        <f t="shared" ca="1" si="234"/>
        <v>510504.42738641205</v>
      </c>
      <c r="P85" s="57">
        <f t="shared" ca="1" si="234"/>
        <v>534918.48090242269</v>
      </c>
      <c r="Q85" s="57">
        <f t="shared" ca="1" si="234"/>
        <v>554820.79641616461</v>
      </c>
      <c r="R85" s="57">
        <f t="shared" ca="1" si="234"/>
        <v>571415.57637479075</v>
      </c>
      <c r="S85" s="57">
        <f t="shared" ca="1" si="234"/>
        <v>582949.23161029001</v>
      </c>
      <c r="T85" s="57">
        <f t="shared" ca="1" si="234"/>
        <v>594715.68624537031</v>
      </c>
      <c r="U85" s="57">
        <f t="shared" ca="1" si="234"/>
        <v>606719.63918591512</v>
      </c>
      <c r="V85" s="57">
        <f t="shared" ca="1" si="234"/>
        <v>618965.88418219599</v>
      </c>
      <c r="W85" s="57">
        <f t="shared" ca="1" si="234"/>
        <v>631459.31174324488</v>
      </c>
      <c r="X85" s="57">
        <f t="shared" ca="1" si="234"/>
        <v>9997105.842468679</v>
      </c>
      <c r="Y85" s="13"/>
      <c r="Z85" s="57">
        <f t="shared" ref="Z85:BE85" ca="1" si="235">SUM(Z80:Z84)</f>
        <v>-7245682.5900000026</v>
      </c>
      <c r="AA85" s="57">
        <f t="shared" ca="1" si="235"/>
        <v>41547.970966946123</v>
      </c>
      <c r="AB85" s="57">
        <f t="shared" ca="1" si="235"/>
        <v>41617.21758522436</v>
      </c>
      <c r="AC85" s="57">
        <f t="shared" ca="1" si="235"/>
        <v>41686.579614533068</v>
      </c>
      <c r="AD85" s="57">
        <f t="shared" ca="1" si="235"/>
        <v>41756.057247223958</v>
      </c>
      <c r="AE85" s="57">
        <f t="shared" ca="1" si="235"/>
        <v>41825.650675969337</v>
      </c>
      <c r="AF85" s="57">
        <f t="shared" ca="1" si="235"/>
        <v>41895.360093762632</v>
      </c>
      <c r="AG85" s="57">
        <f t="shared" ca="1" si="235"/>
        <v>41965.185693918895</v>
      </c>
      <c r="AH85" s="57">
        <f t="shared" ca="1" si="235"/>
        <v>43496.849751986723</v>
      </c>
      <c r="AI85" s="57">
        <f t="shared" ca="1" si="235"/>
        <v>43569.344501573367</v>
      </c>
      <c r="AJ85" s="57">
        <f t="shared" ca="1" si="235"/>
        <v>43641.960075742682</v>
      </c>
      <c r="AK85" s="57">
        <f t="shared" ca="1" si="235"/>
        <v>43714.696675868909</v>
      </c>
      <c r="AL85" s="57">
        <f t="shared" ca="1" si="235"/>
        <v>43787.554503662024</v>
      </c>
      <c r="AM85" s="57">
        <f t="shared" ca="1" si="235"/>
        <v>43860.533761168124</v>
      </c>
      <c r="AN85" s="57">
        <f t="shared" ca="1" si="235"/>
        <v>43933.634650770073</v>
      </c>
      <c r="AO85" s="57">
        <f t="shared" ca="1" si="235"/>
        <v>44006.857375188025</v>
      </c>
      <c r="AP85" s="57">
        <f t="shared" ca="1" si="235"/>
        <v>44080.20213748001</v>
      </c>
      <c r="AQ85" s="57">
        <f t="shared" ca="1" si="235"/>
        <v>44153.66914104249</v>
      </c>
      <c r="AR85" s="57">
        <f t="shared" ca="1" si="235"/>
        <v>44227.258589610887</v>
      </c>
      <c r="AS85" s="57">
        <f t="shared" ca="1" si="235"/>
        <v>44300.970687260255</v>
      </c>
      <c r="AT85" s="57">
        <f t="shared" ca="1" si="235"/>
        <v>45120.418638565752</v>
      </c>
      <c r="AU85" s="57">
        <f t="shared" ca="1" si="235"/>
        <v>45195.61933629671</v>
      </c>
      <c r="AV85" s="57">
        <f t="shared" ca="1" si="235"/>
        <v>45270.94536852387</v>
      </c>
      <c r="AW85" s="57">
        <f t="shared" ca="1" si="235"/>
        <v>45346.396944138076</v>
      </c>
      <c r="AX85" s="57">
        <f t="shared" ca="1" si="235"/>
        <v>45421.974272378313</v>
      </c>
      <c r="AY85" s="57">
        <f t="shared" ca="1" si="235"/>
        <v>45497.677562832265</v>
      </c>
      <c r="AZ85" s="57">
        <f t="shared" ca="1" si="235"/>
        <v>45573.507025437</v>
      </c>
      <c r="BA85" s="57">
        <f t="shared" ca="1" si="235"/>
        <v>45649.462870479409</v>
      </c>
      <c r="BB85" s="57">
        <f t="shared" ca="1" si="235"/>
        <v>45725.545308596862</v>
      </c>
      <c r="BC85" s="57">
        <f t="shared" ca="1" si="235"/>
        <v>45801.754550777856</v>
      </c>
      <c r="BD85" s="57">
        <f t="shared" ca="1" si="235"/>
        <v>45878.090808362518</v>
      </c>
      <c r="BE85" s="57">
        <f t="shared" ca="1" si="235"/>
        <v>45954.554293043104</v>
      </c>
      <c r="BF85" s="57">
        <f t="shared" ref="BF85:CK85" ca="1" si="236">SUM(BF80:BF84)</f>
        <v>46791.807935020894</v>
      </c>
      <c r="BG85" s="57">
        <f t="shared" ca="1" si="236"/>
        <v>46869.794281579256</v>
      </c>
      <c r="BH85" s="57">
        <f t="shared" ca="1" si="236"/>
        <v>46947.910605381905</v>
      </c>
      <c r="BI85" s="57">
        <f t="shared" ca="1" si="236"/>
        <v>47026.157123057536</v>
      </c>
      <c r="BJ85" s="57">
        <f t="shared" ca="1" si="236"/>
        <v>47104.534051595954</v>
      </c>
      <c r="BK85" s="57">
        <f t="shared" ca="1" si="236"/>
        <v>47183.041608348634</v>
      </c>
      <c r="BL85" s="57">
        <f t="shared" ca="1" si="236"/>
        <v>47261.680011029195</v>
      </c>
      <c r="BM85" s="57">
        <f t="shared" ca="1" si="236"/>
        <v>47340.449477714261</v>
      </c>
      <c r="BN85" s="57">
        <f t="shared" ca="1" si="236"/>
        <v>47419.350226843781</v>
      </c>
      <c r="BO85" s="57">
        <f t="shared" ca="1" si="236"/>
        <v>47498.382477221872</v>
      </c>
      <c r="BP85" s="57">
        <f t="shared" ca="1" si="236"/>
        <v>47577.546448017238</v>
      </c>
      <c r="BQ85" s="57">
        <f t="shared" ca="1" si="236"/>
        <v>47656.842358763934</v>
      </c>
      <c r="BR85" s="57">
        <f t="shared" ca="1" si="236"/>
        <v>47736.270429361874</v>
      </c>
      <c r="BS85" s="57">
        <f t="shared" ca="1" si="236"/>
        <v>47815.830880077498</v>
      </c>
      <c r="BT85" s="57">
        <f t="shared" ca="1" si="236"/>
        <v>47895.523931544281</v>
      </c>
      <c r="BU85" s="57">
        <f t="shared" ca="1" si="236"/>
        <v>47975.349804763515</v>
      </c>
      <c r="BV85" s="57">
        <f t="shared" ca="1" si="236"/>
        <v>48055.308721104782</v>
      </c>
      <c r="BW85" s="57">
        <f t="shared" ca="1" si="236"/>
        <v>48135.400902306639</v>
      </c>
      <c r="BX85" s="57">
        <f t="shared" ca="1" si="236"/>
        <v>48215.626570477158</v>
      </c>
      <c r="BY85" s="57">
        <f t="shared" ca="1" si="236"/>
        <v>48295.985948094603</v>
      </c>
      <c r="BZ85" s="57">
        <f t="shared" ca="1" si="236"/>
        <v>48376.479258008105</v>
      </c>
      <c r="CA85" s="57">
        <f t="shared" ca="1" si="236"/>
        <v>48457.106723438126</v>
      </c>
      <c r="CB85" s="57">
        <f t="shared" ca="1" si="236"/>
        <v>48537.868567977188</v>
      </c>
      <c r="CC85" s="57">
        <f t="shared" ca="1" si="236"/>
        <v>48618.765015590485</v>
      </c>
      <c r="CD85" s="57">
        <f t="shared" ca="1" si="236"/>
        <v>48699.796290616483</v>
      </c>
      <c r="CE85" s="57">
        <f t="shared" ca="1" si="236"/>
        <v>48780.962617767509</v>
      </c>
      <c r="CF85" s="57">
        <f t="shared" ca="1" si="236"/>
        <v>48862.264222130456</v>
      </c>
      <c r="CG85" s="57">
        <f t="shared" ca="1" si="236"/>
        <v>48943.701329167328</v>
      </c>
      <c r="CH85" s="57">
        <f t="shared" ca="1" si="236"/>
        <v>49025.274164715942</v>
      </c>
      <c r="CI85" s="57">
        <f t="shared" ca="1" si="236"/>
        <v>49106.982954990483</v>
      </c>
      <c r="CJ85" s="57">
        <f t="shared" ca="1" si="236"/>
        <v>49188.827926582133</v>
      </c>
      <c r="CK85" s="57">
        <f t="shared" ca="1" si="236"/>
        <v>49270.809306459756</v>
      </c>
      <c r="CL85" s="57">
        <f t="shared" ref="CL85:DQ85" ca="1" si="237">SUM(CL80:CL84)</f>
        <v>49352.92732197055</v>
      </c>
      <c r="CM85" s="57">
        <f t="shared" ca="1" si="237"/>
        <v>49435.182200840485</v>
      </c>
      <c r="CN85" s="57">
        <f t="shared" ca="1" si="237"/>
        <v>49517.57417117522</v>
      </c>
      <c r="CO85" s="57">
        <f t="shared" ca="1" si="237"/>
        <v>49600.103461460509</v>
      </c>
      <c r="CP85" s="57">
        <f t="shared" ca="1" si="237"/>
        <v>49682.770300562945</v>
      </c>
      <c r="CQ85" s="57">
        <f t="shared" ca="1" si="237"/>
        <v>49765.574917730548</v>
      </c>
      <c r="CR85" s="57">
        <f t="shared" ca="1" si="237"/>
        <v>49848.517542593443</v>
      </c>
      <c r="CS85" s="57">
        <f t="shared" ca="1" si="237"/>
        <v>49931.598405164426</v>
      </c>
      <c r="CT85" s="57">
        <f t="shared" ca="1" si="237"/>
        <v>50014.817735839708</v>
      </c>
      <c r="CU85" s="57">
        <f t="shared" ca="1" si="237"/>
        <v>50098.175765399428</v>
      </c>
      <c r="CV85" s="57">
        <f t="shared" ca="1" si="237"/>
        <v>50181.672725008422</v>
      </c>
      <c r="CW85" s="57">
        <f t="shared" ca="1" si="237"/>
        <v>50265.308846216794</v>
      </c>
      <c r="CX85" s="57">
        <f t="shared" ca="1" si="237"/>
        <v>50349.084360960471</v>
      </c>
      <c r="CY85" s="57">
        <f t="shared" ca="1" si="237"/>
        <v>50432.999501562103</v>
      </c>
      <c r="CZ85" s="57">
        <f t="shared" ca="1" si="237"/>
        <v>50517.054500731349</v>
      </c>
      <c r="DA85" s="57">
        <f t="shared" ca="1" si="237"/>
        <v>50601.249591565916</v>
      </c>
      <c r="DB85" s="57">
        <f t="shared" ca="1" si="237"/>
        <v>50685.585007551854</v>
      </c>
      <c r="DC85" s="57">
        <f t="shared" ca="1" si="237"/>
        <v>50770.060982564442</v>
      </c>
      <c r="DD85" s="57">
        <f t="shared" ca="1" si="237"/>
        <v>50854.677750868708</v>
      </c>
      <c r="DE85" s="57">
        <f t="shared" ca="1" si="237"/>
        <v>50939.435547120163</v>
      </c>
      <c r="DF85" s="57">
        <f t="shared" ca="1" si="237"/>
        <v>51024.334606365366</v>
      </c>
      <c r="DG85" s="57">
        <f t="shared" ca="1" si="237"/>
        <v>51109.375164042649</v>
      </c>
      <c r="DH85" s="57">
        <f t="shared" ca="1" si="237"/>
        <v>51194.557455982736</v>
      </c>
      <c r="DI85" s="57">
        <f t="shared" ca="1" si="237"/>
        <v>51279.881718409357</v>
      </c>
      <c r="DJ85" s="57">
        <f t="shared" ca="1" si="237"/>
        <v>51365.34818794005</v>
      </c>
      <c r="DK85" s="57">
        <f t="shared" ca="1" si="237"/>
        <v>51450.957101586609</v>
      </c>
      <c r="DL85" s="57">
        <f t="shared" ca="1" si="237"/>
        <v>51536.708696755923</v>
      </c>
      <c r="DM85" s="57">
        <f t="shared" ca="1" si="237"/>
        <v>51622.60321125052</v>
      </c>
      <c r="DN85" s="57">
        <f t="shared" ca="1" si="237"/>
        <v>51708.640883269269</v>
      </c>
      <c r="DO85" s="57">
        <f t="shared" ca="1" si="237"/>
        <v>51794.82195140807</v>
      </c>
      <c r="DP85" s="57">
        <f t="shared" ca="1" si="237"/>
        <v>51881.146654660413</v>
      </c>
      <c r="DQ85" s="57">
        <f t="shared" ca="1" si="237"/>
        <v>51967.615232418182</v>
      </c>
      <c r="DR85" s="57">
        <f t="shared" ref="DR85:EW85" ca="1" si="238">SUM(DR80:DR84)</f>
        <v>52054.227924472238</v>
      </c>
      <c r="DS85" s="57">
        <f t="shared" ca="1" si="238"/>
        <v>52140.984971013022</v>
      </c>
      <c r="DT85" s="57">
        <f t="shared" ca="1" si="238"/>
        <v>52227.886612631366</v>
      </c>
      <c r="DU85" s="57">
        <f t="shared" ca="1" si="238"/>
        <v>52314.933090319093</v>
      </c>
      <c r="DV85" s="57">
        <f t="shared" ca="1" si="238"/>
        <v>52402.124645469616</v>
      </c>
      <c r="DW85" s="57">
        <f t="shared" ca="1" si="238"/>
        <v>52489.461519878736</v>
      </c>
      <c r="DX85" s="57">
        <f t="shared" ca="1" si="238"/>
        <v>52576.943955745213</v>
      </c>
      <c r="DY85" s="57">
        <f t="shared" ca="1" si="238"/>
        <v>52664.572195671455</v>
      </c>
      <c r="DZ85" s="57">
        <f t="shared" ca="1" si="238"/>
        <v>52752.346482664245</v>
      </c>
      <c r="EA85" s="57">
        <f t="shared" ca="1" si="238"/>
        <v>52840.267060135353</v>
      </c>
      <c r="EB85" s="57">
        <f t="shared" ca="1" si="238"/>
        <v>52928.334171902257</v>
      </c>
      <c r="EC85" s="57">
        <f t="shared" ca="1" si="238"/>
        <v>53016.548062188755</v>
      </c>
      <c r="ED85" s="57">
        <f t="shared" ca="1" si="238"/>
        <v>53104.908975625753</v>
      </c>
      <c r="EE85" s="57">
        <f t="shared" ca="1" si="238"/>
        <v>53193.417157251788</v>
      </c>
      <c r="EF85" s="57">
        <f t="shared" ca="1" si="238"/>
        <v>53282.072852513884</v>
      </c>
      <c r="EG85" s="57">
        <f t="shared" ca="1" si="238"/>
        <v>53370.876307268067</v>
      </c>
      <c r="EH85" s="57">
        <f t="shared" ca="1" si="238"/>
        <v>53459.827767780174</v>
      </c>
      <c r="EI85" s="57">
        <f t="shared" ca="1" si="238"/>
        <v>53548.927480726503</v>
      </c>
      <c r="EJ85" s="57">
        <f t="shared" ca="1" si="238"/>
        <v>53638.175693194382</v>
      </c>
      <c r="EK85" s="57">
        <f t="shared" ca="1" si="238"/>
        <v>53727.57265268304</v>
      </c>
      <c r="EL85" s="57">
        <f t="shared" ca="1" si="238"/>
        <v>53817.118607104188</v>
      </c>
      <c r="EM85" s="57">
        <f t="shared" ca="1" si="238"/>
        <v>53906.813804782701</v>
      </c>
      <c r="EN85" s="57">
        <f t="shared" ca="1" si="238"/>
        <v>53996.658494457341</v>
      </c>
      <c r="EO85" s="57">
        <f t="shared" ca="1" si="238"/>
        <v>54086.652925281422</v>
      </c>
      <c r="EP85" s="57">
        <f t="shared" ca="1" si="238"/>
        <v>9407077.7287256345</v>
      </c>
      <c r="EQ85" s="57">
        <f t="shared" ca="1" si="238"/>
        <v>0</v>
      </c>
      <c r="ER85" s="57">
        <f t="shared" ca="1" si="238"/>
        <v>0</v>
      </c>
      <c r="ES85" s="57">
        <f t="shared" ca="1" si="238"/>
        <v>0</v>
      </c>
      <c r="ET85" s="57">
        <f t="shared" ca="1" si="238"/>
        <v>0</v>
      </c>
      <c r="EU85" s="57">
        <f t="shared" ca="1" si="238"/>
        <v>0</v>
      </c>
      <c r="EV85" s="57">
        <f t="shared" ca="1" si="238"/>
        <v>0</v>
      </c>
      <c r="EW85" s="57">
        <f t="shared" ca="1" si="238"/>
        <v>0</v>
      </c>
      <c r="EX85" s="57">
        <f t="shared" ref="EX85:FB85" ca="1" si="239">SUM(EX80:EX84)</f>
        <v>0</v>
      </c>
      <c r="EY85" s="57">
        <f t="shared" ca="1" si="239"/>
        <v>0</v>
      </c>
      <c r="EZ85" s="57">
        <f t="shared" ca="1" si="239"/>
        <v>0</v>
      </c>
      <c r="FA85" s="57">
        <f t="shared" ca="1" si="239"/>
        <v>0</v>
      </c>
      <c r="FB85" s="57">
        <f t="shared" ca="1" si="239"/>
        <v>0</v>
      </c>
    </row>
    <row r="86" spans="1:158">
      <c r="B86" s="11" t="s">
        <v>129</v>
      </c>
      <c r="D86" s="118">
        <v>0</v>
      </c>
      <c r="E86" s="118">
        <v>0</v>
      </c>
      <c r="F86" s="54"/>
      <c r="J86" s="14" t="s">
        <v>11</v>
      </c>
      <c r="L86" s="46">
        <f ca="1">L85</f>
        <v>7957892.286515479</v>
      </c>
    </row>
    <row r="87" spans="1:158" s="64" customFormat="1">
      <c r="A87" s="9"/>
      <c r="B87" s="11" t="s">
        <v>131</v>
      </c>
      <c r="C87" s="9"/>
      <c r="D87" s="119">
        <v>1</v>
      </c>
      <c r="E87" s="119">
        <f>D87</f>
        <v>1</v>
      </c>
      <c r="F87" s="54"/>
      <c r="G87" s="9"/>
      <c r="H87" s="11"/>
      <c r="I87" s="9"/>
      <c r="J87" s="14" t="s">
        <v>13</v>
      </c>
      <c r="K87" s="11"/>
      <c r="L87" s="46">
        <f ca="1">SUMIF(Z85:FB85,"&lt;0",Z85:FB85)</f>
        <v>-7245682.5900000026</v>
      </c>
      <c r="M87" s="11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1"/>
      <c r="Z87" s="46">
        <f>IF(Z$4=0,-$D37*$E37,($D37-$Z82)/$G37)*(Z$4&gt;=$F$37)*(Z$4&lt;=($F37+$G37-1))</f>
        <v>0</v>
      </c>
      <c r="AA87" s="46">
        <f>IF(AA$4=0,-$D37*$E37,($D37-$Z82)/$G37)*(AA$4&gt;=$F$37)*(AA$4&lt;=($F37+$G37-1))</f>
        <v>13400000.000000006</v>
      </c>
      <c r="AB87" s="46">
        <f>IF(AB$4=0,-$D37*$E37,($D37-$Z82)/$G37)*(AB$4&gt;=$F$37)*(AB$4&lt;=($F37+$G37-1))</f>
        <v>0</v>
      </c>
      <c r="AC87" s="46">
        <f>IF(AC$4=0,-$D37*$E37,($D37-$Z82)/$G37)*(AC$4&gt;=$F$37)*(AC$4&lt;=($F37+$G37-1))</f>
        <v>0</v>
      </c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</row>
    <row r="88" spans="1:158">
      <c r="B88" s="11" t="s">
        <v>133</v>
      </c>
      <c r="C88" s="11"/>
      <c r="D88" s="120">
        <v>1.8926798044730162E-2</v>
      </c>
      <c r="E88" s="120">
        <v>1.8926798044730162E-2</v>
      </c>
      <c r="F88" s="54"/>
      <c r="J88" s="14" t="s">
        <v>16</v>
      </c>
      <c r="L88" s="31">
        <f ca="1">(1+IRR(Z85:FB85,0))^12-1</f>
        <v>0.10095623213126181</v>
      </c>
    </row>
    <row r="89" spans="1:158">
      <c r="A89" s="46"/>
      <c r="B89" s="11" t="s">
        <v>134</v>
      </c>
      <c r="C89" s="11"/>
      <c r="D89" s="121">
        <v>0</v>
      </c>
      <c r="E89" s="121">
        <v>0</v>
      </c>
      <c r="F89" s="54"/>
      <c r="J89" s="14" t="s">
        <v>19</v>
      </c>
      <c r="L89" s="85">
        <f ca="1">(L86-L87)/-L87</f>
        <v>2.0982943549719413</v>
      </c>
    </row>
    <row r="90" spans="1:158">
      <c r="B90" s="13" t="s">
        <v>135</v>
      </c>
      <c r="C90" s="13"/>
      <c r="D90" s="100">
        <f>D85*D88</f>
        <v>0</v>
      </c>
      <c r="E90" s="100">
        <f>E85*E88</f>
        <v>0</v>
      </c>
      <c r="F90" s="54"/>
    </row>
    <row r="91" spans="1:158">
      <c r="B91" s="13" t="s">
        <v>136</v>
      </c>
      <c r="C91" s="11"/>
      <c r="D91" s="100">
        <f>D90/$C$63</f>
        <v>0</v>
      </c>
      <c r="E91" s="100">
        <f>E90/$C$63</f>
        <v>0</v>
      </c>
      <c r="F91" s="54"/>
      <c r="I91" s="35" t="s">
        <v>154</v>
      </c>
      <c r="J91" s="116"/>
      <c r="L91" s="146"/>
      <c r="N91" s="116"/>
      <c r="O91" s="116"/>
      <c r="P91" s="116"/>
      <c r="Q91" s="116"/>
      <c r="R91" s="116"/>
      <c r="S91" s="116"/>
      <c r="T91" s="116"/>
      <c r="U91" s="116"/>
      <c r="V91" s="116"/>
      <c r="W91" s="116"/>
      <c r="X91" s="116"/>
      <c r="Z91" s="116"/>
      <c r="AA91" s="116"/>
      <c r="AB91" s="116"/>
      <c r="AC91" s="116"/>
      <c r="AD91" s="116"/>
      <c r="AE91" s="116"/>
      <c r="AF91" s="116"/>
      <c r="AG91" s="116"/>
      <c r="AH91" s="116"/>
      <c r="AI91" s="116"/>
      <c r="AJ91" s="116"/>
      <c r="AK91" s="116"/>
      <c r="AL91" s="116"/>
      <c r="AM91" s="116"/>
      <c r="AN91" s="116"/>
      <c r="AO91" s="116"/>
      <c r="AP91" s="116"/>
      <c r="AQ91" s="116"/>
      <c r="AR91" s="116"/>
      <c r="AS91" s="116"/>
      <c r="AT91" s="116"/>
      <c r="AU91" s="116"/>
      <c r="AV91" s="116"/>
      <c r="AW91" s="116"/>
      <c r="AX91" s="116"/>
      <c r="AY91" s="116"/>
      <c r="AZ91" s="116"/>
      <c r="BA91" s="116"/>
      <c r="BB91" s="116"/>
      <c r="BC91" s="116"/>
      <c r="BD91" s="116"/>
      <c r="BE91" s="116"/>
      <c r="BF91" s="116"/>
      <c r="BG91" s="116"/>
      <c r="BH91" s="116"/>
      <c r="BI91" s="116"/>
      <c r="BJ91" s="116"/>
      <c r="BK91" s="116"/>
      <c r="BL91" s="116"/>
      <c r="BM91" s="116"/>
      <c r="BN91" s="116"/>
      <c r="BO91" s="116"/>
      <c r="BP91" s="116"/>
      <c r="BQ91" s="116"/>
      <c r="BR91" s="116"/>
      <c r="BS91" s="116"/>
      <c r="BT91" s="116"/>
      <c r="BU91" s="116"/>
      <c r="BV91" s="116"/>
      <c r="BW91" s="116"/>
      <c r="BX91" s="116"/>
      <c r="BY91" s="116"/>
      <c r="BZ91" s="116"/>
      <c r="CA91" s="116"/>
      <c r="CB91" s="116"/>
      <c r="CC91" s="116"/>
      <c r="CD91" s="116"/>
      <c r="CE91" s="116"/>
      <c r="CF91" s="116"/>
      <c r="CG91" s="116"/>
      <c r="CH91" s="116"/>
      <c r="CI91" s="116"/>
      <c r="CJ91" s="116"/>
      <c r="CK91" s="116"/>
      <c r="CL91" s="116"/>
      <c r="CM91" s="116"/>
      <c r="CN91" s="116"/>
      <c r="CO91" s="116"/>
      <c r="CP91" s="116"/>
      <c r="CQ91" s="116"/>
      <c r="CR91" s="116"/>
      <c r="CS91" s="116"/>
      <c r="CT91" s="116"/>
      <c r="CU91" s="116"/>
      <c r="CV91" s="116"/>
      <c r="CW91" s="116"/>
      <c r="CX91" s="116"/>
      <c r="CY91" s="116"/>
      <c r="CZ91" s="116"/>
      <c r="DA91" s="116"/>
      <c r="DB91" s="116"/>
      <c r="DC91" s="116"/>
      <c r="DD91" s="116"/>
      <c r="DE91" s="116"/>
      <c r="DF91" s="116"/>
      <c r="DG91" s="116"/>
      <c r="DH91" s="116"/>
      <c r="DI91" s="116"/>
      <c r="DJ91" s="116"/>
      <c r="DK91" s="116"/>
      <c r="DL91" s="116"/>
      <c r="DM91" s="116"/>
      <c r="DN91" s="116"/>
      <c r="DO91" s="116"/>
      <c r="DP91" s="116"/>
      <c r="DQ91" s="116"/>
      <c r="DR91" s="116"/>
      <c r="DS91" s="116"/>
      <c r="DT91" s="116"/>
      <c r="DU91" s="116"/>
      <c r="DV91" s="116"/>
      <c r="DW91" s="116"/>
      <c r="DX91" s="116"/>
      <c r="DY91" s="116"/>
      <c r="DZ91" s="116"/>
      <c r="EA91" s="116"/>
      <c r="EB91" s="116"/>
      <c r="EC91" s="116"/>
      <c r="ED91" s="116"/>
      <c r="EE91" s="116"/>
      <c r="EF91" s="116"/>
      <c r="EG91" s="116"/>
      <c r="EH91" s="116"/>
      <c r="EI91" s="116"/>
      <c r="EJ91" s="116"/>
      <c r="EK91" s="116"/>
      <c r="EL91" s="116"/>
      <c r="EM91" s="116"/>
      <c r="EN91" s="116"/>
      <c r="EO91" s="116"/>
      <c r="EP91" s="116"/>
      <c r="EQ91" s="116"/>
      <c r="ER91" s="116"/>
      <c r="ES91" s="116"/>
      <c r="ET91" s="116"/>
      <c r="EU91" s="116"/>
      <c r="EV91" s="116"/>
      <c r="EW91" s="116"/>
      <c r="EX91" s="116"/>
      <c r="EY91" s="116"/>
      <c r="EZ91" s="116"/>
      <c r="FA91" s="116"/>
      <c r="FB91" s="116"/>
    </row>
    <row r="92" spans="1:158">
      <c r="I92" s="9" t="s">
        <v>153</v>
      </c>
      <c r="L92" s="24">
        <f t="shared" ref="L92:L101" ca="1" si="240">SUMIF($Z$4:$FB$4,"&lt;="&amp;$G$18,$Z92:$FB92)</f>
        <v>7957892.286515479</v>
      </c>
      <c r="M92" s="55"/>
      <c r="N92" s="24">
        <f t="shared" ref="N92:X92" ca="1" si="241">SUMIF($Z$3:$FB$3,N$7,$Z92:$FB92)</f>
        <v>-7245682.5900000026</v>
      </c>
      <c r="O92" s="24">
        <f t="shared" ca="1" si="241"/>
        <v>510504.42738641205</v>
      </c>
      <c r="P92" s="24">
        <f t="shared" ca="1" si="241"/>
        <v>534918.48090242269</v>
      </c>
      <c r="Q92" s="24">
        <f t="shared" ca="1" si="241"/>
        <v>554820.79641616461</v>
      </c>
      <c r="R92" s="24">
        <f t="shared" ca="1" si="241"/>
        <v>571415.57637479075</v>
      </c>
      <c r="S92" s="24">
        <f t="shared" ca="1" si="241"/>
        <v>582949.23161029001</v>
      </c>
      <c r="T92" s="24">
        <f t="shared" ca="1" si="241"/>
        <v>594715.68624537031</v>
      </c>
      <c r="U92" s="24">
        <f t="shared" ca="1" si="241"/>
        <v>606719.63918591512</v>
      </c>
      <c r="V92" s="24">
        <f t="shared" ca="1" si="241"/>
        <v>618965.88418219599</v>
      </c>
      <c r="W92" s="24">
        <f t="shared" ca="1" si="241"/>
        <v>631459.31174324488</v>
      </c>
      <c r="X92" s="24">
        <f t="shared" ca="1" si="241"/>
        <v>9997105.842468679</v>
      </c>
      <c r="Y92" s="55"/>
      <c r="Z92" s="24">
        <f t="shared" ref="Z92:BE92" ca="1" si="242">Z85</f>
        <v>-7245682.5900000026</v>
      </c>
      <c r="AA92" s="24">
        <f t="shared" ca="1" si="242"/>
        <v>41547.970966946123</v>
      </c>
      <c r="AB92" s="24">
        <f t="shared" ca="1" si="242"/>
        <v>41617.21758522436</v>
      </c>
      <c r="AC92" s="24">
        <f t="shared" ca="1" si="242"/>
        <v>41686.579614533068</v>
      </c>
      <c r="AD92" s="24">
        <f t="shared" ca="1" si="242"/>
        <v>41756.057247223958</v>
      </c>
      <c r="AE92" s="24">
        <f t="shared" ca="1" si="242"/>
        <v>41825.650675969337</v>
      </c>
      <c r="AF92" s="24">
        <f t="shared" ca="1" si="242"/>
        <v>41895.360093762632</v>
      </c>
      <c r="AG92" s="24">
        <f t="shared" ca="1" si="242"/>
        <v>41965.185693918895</v>
      </c>
      <c r="AH92" s="24">
        <f t="shared" ca="1" si="242"/>
        <v>43496.849751986723</v>
      </c>
      <c r="AI92" s="24">
        <f t="shared" ca="1" si="242"/>
        <v>43569.344501573367</v>
      </c>
      <c r="AJ92" s="24">
        <f t="shared" ca="1" si="242"/>
        <v>43641.960075742682</v>
      </c>
      <c r="AK92" s="24">
        <f t="shared" ca="1" si="242"/>
        <v>43714.696675868909</v>
      </c>
      <c r="AL92" s="24">
        <f t="shared" ca="1" si="242"/>
        <v>43787.554503662024</v>
      </c>
      <c r="AM92" s="24">
        <f t="shared" ca="1" si="242"/>
        <v>43860.533761168124</v>
      </c>
      <c r="AN92" s="24">
        <f t="shared" ca="1" si="242"/>
        <v>43933.634650770073</v>
      </c>
      <c r="AO92" s="24">
        <f t="shared" ca="1" si="242"/>
        <v>44006.857375188025</v>
      </c>
      <c r="AP92" s="24">
        <f t="shared" ca="1" si="242"/>
        <v>44080.20213748001</v>
      </c>
      <c r="AQ92" s="24">
        <f t="shared" ca="1" si="242"/>
        <v>44153.66914104249</v>
      </c>
      <c r="AR92" s="24">
        <f t="shared" ca="1" si="242"/>
        <v>44227.258589610887</v>
      </c>
      <c r="AS92" s="24">
        <f t="shared" ca="1" si="242"/>
        <v>44300.970687260255</v>
      </c>
      <c r="AT92" s="24">
        <f t="shared" ca="1" si="242"/>
        <v>45120.418638565752</v>
      </c>
      <c r="AU92" s="24">
        <f t="shared" ca="1" si="242"/>
        <v>45195.61933629671</v>
      </c>
      <c r="AV92" s="24">
        <f t="shared" ca="1" si="242"/>
        <v>45270.94536852387</v>
      </c>
      <c r="AW92" s="24">
        <f t="shared" ca="1" si="242"/>
        <v>45346.396944138076</v>
      </c>
      <c r="AX92" s="24">
        <f t="shared" ca="1" si="242"/>
        <v>45421.974272378313</v>
      </c>
      <c r="AY92" s="24">
        <f t="shared" ca="1" si="242"/>
        <v>45497.677562832265</v>
      </c>
      <c r="AZ92" s="24">
        <f t="shared" ca="1" si="242"/>
        <v>45573.507025437</v>
      </c>
      <c r="BA92" s="24">
        <f t="shared" ca="1" si="242"/>
        <v>45649.462870479409</v>
      </c>
      <c r="BB92" s="24">
        <f t="shared" ca="1" si="242"/>
        <v>45725.545308596862</v>
      </c>
      <c r="BC92" s="24">
        <f t="shared" ca="1" si="242"/>
        <v>45801.754550777856</v>
      </c>
      <c r="BD92" s="24">
        <f t="shared" ca="1" si="242"/>
        <v>45878.090808362518</v>
      </c>
      <c r="BE92" s="24">
        <f t="shared" ca="1" si="242"/>
        <v>45954.554293043104</v>
      </c>
      <c r="BF92" s="24">
        <f t="shared" ref="BF92:CK92" ca="1" si="243">BF85</f>
        <v>46791.807935020894</v>
      </c>
      <c r="BG92" s="24">
        <f t="shared" ca="1" si="243"/>
        <v>46869.794281579256</v>
      </c>
      <c r="BH92" s="24">
        <f t="shared" ca="1" si="243"/>
        <v>46947.910605381905</v>
      </c>
      <c r="BI92" s="24">
        <f t="shared" ca="1" si="243"/>
        <v>47026.157123057536</v>
      </c>
      <c r="BJ92" s="24">
        <f t="shared" ca="1" si="243"/>
        <v>47104.534051595954</v>
      </c>
      <c r="BK92" s="24">
        <f t="shared" ca="1" si="243"/>
        <v>47183.041608348634</v>
      </c>
      <c r="BL92" s="24">
        <f t="shared" ca="1" si="243"/>
        <v>47261.680011029195</v>
      </c>
      <c r="BM92" s="24">
        <f t="shared" ca="1" si="243"/>
        <v>47340.449477714261</v>
      </c>
      <c r="BN92" s="24">
        <f t="shared" ca="1" si="243"/>
        <v>47419.350226843781</v>
      </c>
      <c r="BO92" s="24">
        <f t="shared" ca="1" si="243"/>
        <v>47498.382477221872</v>
      </c>
      <c r="BP92" s="24">
        <f t="shared" ca="1" si="243"/>
        <v>47577.546448017238</v>
      </c>
      <c r="BQ92" s="24">
        <f t="shared" ca="1" si="243"/>
        <v>47656.842358763934</v>
      </c>
      <c r="BR92" s="24">
        <f t="shared" ca="1" si="243"/>
        <v>47736.270429361874</v>
      </c>
      <c r="BS92" s="24">
        <f t="shared" ca="1" si="243"/>
        <v>47815.830880077498</v>
      </c>
      <c r="BT92" s="24">
        <f t="shared" ca="1" si="243"/>
        <v>47895.523931544281</v>
      </c>
      <c r="BU92" s="24">
        <f t="shared" ca="1" si="243"/>
        <v>47975.349804763515</v>
      </c>
      <c r="BV92" s="24">
        <f t="shared" ca="1" si="243"/>
        <v>48055.308721104782</v>
      </c>
      <c r="BW92" s="24">
        <f t="shared" ca="1" si="243"/>
        <v>48135.400902306639</v>
      </c>
      <c r="BX92" s="24">
        <f t="shared" ca="1" si="243"/>
        <v>48215.626570477158</v>
      </c>
      <c r="BY92" s="24">
        <f t="shared" ca="1" si="243"/>
        <v>48295.985948094603</v>
      </c>
      <c r="BZ92" s="24">
        <f t="shared" ca="1" si="243"/>
        <v>48376.479258008105</v>
      </c>
      <c r="CA92" s="24">
        <f t="shared" ca="1" si="243"/>
        <v>48457.106723438126</v>
      </c>
      <c r="CB92" s="24">
        <f t="shared" ca="1" si="243"/>
        <v>48537.868567977188</v>
      </c>
      <c r="CC92" s="24">
        <f t="shared" ca="1" si="243"/>
        <v>48618.765015590485</v>
      </c>
      <c r="CD92" s="24">
        <f t="shared" ca="1" si="243"/>
        <v>48699.796290616483</v>
      </c>
      <c r="CE92" s="24">
        <f t="shared" ca="1" si="243"/>
        <v>48780.962617767509</v>
      </c>
      <c r="CF92" s="24">
        <f t="shared" ca="1" si="243"/>
        <v>48862.264222130456</v>
      </c>
      <c r="CG92" s="24">
        <f t="shared" ca="1" si="243"/>
        <v>48943.701329167328</v>
      </c>
      <c r="CH92" s="24">
        <f t="shared" ca="1" si="243"/>
        <v>49025.274164715942</v>
      </c>
      <c r="CI92" s="24">
        <f t="shared" ca="1" si="243"/>
        <v>49106.982954990483</v>
      </c>
      <c r="CJ92" s="24">
        <f t="shared" ca="1" si="243"/>
        <v>49188.827926582133</v>
      </c>
      <c r="CK92" s="24">
        <f t="shared" ca="1" si="243"/>
        <v>49270.809306459756</v>
      </c>
      <c r="CL92" s="24">
        <f t="shared" ref="CL92:DQ92" ca="1" si="244">CL85</f>
        <v>49352.92732197055</v>
      </c>
      <c r="CM92" s="24">
        <f t="shared" ca="1" si="244"/>
        <v>49435.182200840485</v>
      </c>
      <c r="CN92" s="24">
        <f t="shared" ca="1" si="244"/>
        <v>49517.57417117522</v>
      </c>
      <c r="CO92" s="24">
        <f t="shared" ca="1" si="244"/>
        <v>49600.103461460509</v>
      </c>
      <c r="CP92" s="24">
        <f t="shared" ca="1" si="244"/>
        <v>49682.770300562945</v>
      </c>
      <c r="CQ92" s="24">
        <f t="shared" ca="1" si="244"/>
        <v>49765.574917730548</v>
      </c>
      <c r="CR92" s="24">
        <f t="shared" ca="1" si="244"/>
        <v>49848.517542593443</v>
      </c>
      <c r="CS92" s="24">
        <f t="shared" ca="1" si="244"/>
        <v>49931.598405164426</v>
      </c>
      <c r="CT92" s="24">
        <f t="shared" ca="1" si="244"/>
        <v>50014.817735839708</v>
      </c>
      <c r="CU92" s="24">
        <f t="shared" ca="1" si="244"/>
        <v>50098.175765399428</v>
      </c>
      <c r="CV92" s="24">
        <f t="shared" ca="1" si="244"/>
        <v>50181.672725008422</v>
      </c>
      <c r="CW92" s="24">
        <f t="shared" ca="1" si="244"/>
        <v>50265.308846216794</v>
      </c>
      <c r="CX92" s="24">
        <f t="shared" ca="1" si="244"/>
        <v>50349.084360960471</v>
      </c>
      <c r="CY92" s="24">
        <f t="shared" ca="1" si="244"/>
        <v>50432.999501562103</v>
      </c>
      <c r="CZ92" s="24">
        <f t="shared" ca="1" si="244"/>
        <v>50517.054500731349</v>
      </c>
      <c r="DA92" s="24">
        <f t="shared" ca="1" si="244"/>
        <v>50601.249591565916</v>
      </c>
      <c r="DB92" s="24">
        <f t="shared" ca="1" si="244"/>
        <v>50685.585007551854</v>
      </c>
      <c r="DC92" s="24">
        <f t="shared" ca="1" si="244"/>
        <v>50770.060982564442</v>
      </c>
      <c r="DD92" s="24">
        <f t="shared" ca="1" si="244"/>
        <v>50854.677750868708</v>
      </c>
      <c r="DE92" s="24">
        <f t="shared" ca="1" si="244"/>
        <v>50939.435547120163</v>
      </c>
      <c r="DF92" s="24">
        <f t="shared" ca="1" si="244"/>
        <v>51024.334606365366</v>
      </c>
      <c r="DG92" s="24">
        <f t="shared" ca="1" si="244"/>
        <v>51109.375164042649</v>
      </c>
      <c r="DH92" s="24">
        <f t="shared" ca="1" si="244"/>
        <v>51194.557455982736</v>
      </c>
      <c r="DI92" s="24">
        <f t="shared" ca="1" si="244"/>
        <v>51279.881718409357</v>
      </c>
      <c r="DJ92" s="24">
        <f t="shared" ca="1" si="244"/>
        <v>51365.34818794005</v>
      </c>
      <c r="DK92" s="24">
        <f t="shared" ca="1" si="244"/>
        <v>51450.957101586609</v>
      </c>
      <c r="DL92" s="24">
        <f t="shared" ca="1" si="244"/>
        <v>51536.708696755923</v>
      </c>
      <c r="DM92" s="24">
        <f t="shared" ca="1" si="244"/>
        <v>51622.60321125052</v>
      </c>
      <c r="DN92" s="24">
        <f t="shared" ca="1" si="244"/>
        <v>51708.640883269269</v>
      </c>
      <c r="DO92" s="24">
        <f t="shared" ca="1" si="244"/>
        <v>51794.82195140807</v>
      </c>
      <c r="DP92" s="24">
        <f t="shared" ca="1" si="244"/>
        <v>51881.146654660413</v>
      </c>
      <c r="DQ92" s="24">
        <f t="shared" ca="1" si="244"/>
        <v>51967.615232418182</v>
      </c>
      <c r="DR92" s="24">
        <f t="shared" ref="DR92:FB92" ca="1" si="245">DR85</f>
        <v>52054.227924472238</v>
      </c>
      <c r="DS92" s="24">
        <f t="shared" ca="1" si="245"/>
        <v>52140.984971013022</v>
      </c>
      <c r="DT92" s="24">
        <f t="shared" ca="1" si="245"/>
        <v>52227.886612631366</v>
      </c>
      <c r="DU92" s="24">
        <f t="shared" ca="1" si="245"/>
        <v>52314.933090319093</v>
      </c>
      <c r="DV92" s="24">
        <f t="shared" ca="1" si="245"/>
        <v>52402.124645469616</v>
      </c>
      <c r="DW92" s="24">
        <f t="shared" ca="1" si="245"/>
        <v>52489.461519878736</v>
      </c>
      <c r="DX92" s="24">
        <f t="shared" ca="1" si="245"/>
        <v>52576.943955745213</v>
      </c>
      <c r="DY92" s="24">
        <f t="shared" ca="1" si="245"/>
        <v>52664.572195671455</v>
      </c>
      <c r="DZ92" s="24">
        <f t="shared" ca="1" si="245"/>
        <v>52752.346482664245</v>
      </c>
      <c r="EA92" s="24">
        <f t="shared" ca="1" si="245"/>
        <v>52840.267060135353</v>
      </c>
      <c r="EB92" s="24">
        <f t="shared" ca="1" si="245"/>
        <v>52928.334171902257</v>
      </c>
      <c r="EC92" s="24">
        <f t="shared" ca="1" si="245"/>
        <v>53016.548062188755</v>
      </c>
      <c r="ED92" s="24">
        <f t="shared" ca="1" si="245"/>
        <v>53104.908975625753</v>
      </c>
      <c r="EE92" s="24">
        <f t="shared" ca="1" si="245"/>
        <v>53193.417157251788</v>
      </c>
      <c r="EF92" s="24">
        <f t="shared" ca="1" si="245"/>
        <v>53282.072852513884</v>
      </c>
      <c r="EG92" s="24">
        <f t="shared" ca="1" si="245"/>
        <v>53370.876307268067</v>
      </c>
      <c r="EH92" s="24">
        <f t="shared" ca="1" si="245"/>
        <v>53459.827767780174</v>
      </c>
      <c r="EI92" s="24">
        <f t="shared" ca="1" si="245"/>
        <v>53548.927480726503</v>
      </c>
      <c r="EJ92" s="24">
        <f t="shared" ca="1" si="245"/>
        <v>53638.175693194382</v>
      </c>
      <c r="EK92" s="24">
        <f t="shared" ca="1" si="245"/>
        <v>53727.57265268304</v>
      </c>
      <c r="EL92" s="24">
        <f t="shared" ca="1" si="245"/>
        <v>53817.118607104188</v>
      </c>
      <c r="EM92" s="24">
        <f t="shared" ca="1" si="245"/>
        <v>53906.813804782701</v>
      </c>
      <c r="EN92" s="24">
        <f t="shared" ca="1" si="245"/>
        <v>53996.658494457341</v>
      </c>
      <c r="EO92" s="24">
        <f t="shared" ca="1" si="245"/>
        <v>54086.652925281422</v>
      </c>
      <c r="EP92" s="24">
        <f t="shared" ca="1" si="245"/>
        <v>9407077.7287256345</v>
      </c>
      <c r="EQ92" s="24">
        <f t="shared" ca="1" si="245"/>
        <v>0</v>
      </c>
      <c r="ER92" s="24">
        <f t="shared" ca="1" si="245"/>
        <v>0</v>
      </c>
      <c r="ES92" s="24">
        <f t="shared" ca="1" si="245"/>
        <v>0</v>
      </c>
      <c r="ET92" s="24">
        <f t="shared" ca="1" si="245"/>
        <v>0</v>
      </c>
      <c r="EU92" s="24">
        <f t="shared" ca="1" si="245"/>
        <v>0</v>
      </c>
      <c r="EV92" s="24">
        <f t="shared" ca="1" si="245"/>
        <v>0</v>
      </c>
      <c r="EW92" s="24">
        <f t="shared" ca="1" si="245"/>
        <v>0</v>
      </c>
      <c r="EX92" s="24">
        <f t="shared" ca="1" si="245"/>
        <v>0</v>
      </c>
      <c r="EY92" s="24">
        <f t="shared" ca="1" si="245"/>
        <v>0</v>
      </c>
      <c r="EZ92" s="24">
        <f t="shared" ca="1" si="245"/>
        <v>0</v>
      </c>
      <c r="FA92" s="24">
        <f t="shared" ca="1" si="245"/>
        <v>0</v>
      </c>
      <c r="FB92" s="24">
        <f t="shared" ca="1" si="245"/>
        <v>0</v>
      </c>
    </row>
    <row r="93" spans="1:158">
      <c r="B93" s="284"/>
      <c r="C93" s="285"/>
      <c r="D93" s="285"/>
      <c r="E93" s="285"/>
      <c r="F93" s="285"/>
      <c r="G93" s="285"/>
      <c r="I93" s="148" t="s">
        <v>120</v>
      </c>
      <c r="J93" s="148"/>
      <c r="L93" s="149">
        <f t="shared" si="240"/>
        <v>-47000</v>
      </c>
      <c r="M93" s="55"/>
      <c r="N93" s="149">
        <f t="shared" ref="N93:X100" si="246">SUMIF($Z$3:$FB$3,N$7,$Z93:$FB93)</f>
        <v>-47000</v>
      </c>
      <c r="O93" s="149">
        <f t="shared" si="246"/>
        <v>0</v>
      </c>
      <c r="P93" s="149">
        <f t="shared" si="246"/>
        <v>0</v>
      </c>
      <c r="Q93" s="149">
        <f t="shared" si="246"/>
        <v>0</v>
      </c>
      <c r="R93" s="149">
        <f t="shared" si="246"/>
        <v>0</v>
      </c>
      <c r="S93" s="149">
        <f t="shared" si="246"/>
        <v>0</v>
      </c>
      <c r="T93" s="149">
        <f t="shared" si="246"/>
        <v>0</v>
      </c>
      <c r="U93" s="149">
        <f t="shared" si="246"/>
        <v>0</v>
      </c>
      <c r="V93" s="149">
        <f t="shared" si="246"/>
        <v>0</v>
      </c>
      <c r="W93" s="149">
        <f t="shared" si="246"/>
        <v>0</v>
      </c>
      <c r="X93" s="149">
        <f t="shared" si="246"/>
        <v>0</v>
      </c>
      <c r="Y93" s="55"/>
      <c r="Z93" s="149">
        <f t="shared" ref="Z93:BE93" si="247">(Z4=0)*-$D$49</f>
        <v>-47000</v>
      </c>
      <c r="AA93" s="149">
        <f t="shared" si="247"/>
        <v>0</v>
      </c>
      <c r="AB93" s="149">
        <f t="shared" si="247"/>
        <v>0</v>
      </c>
      <c r="AC93" s="149">
        <f t="shared" si="247"/>
        <v>0</v>
      </c>
      <c r="AD93" s="149">
        <f t="shared" si="247"/>
        <v>0</v>
      </c>
      <c r="AE93" s="149">
        <f t="shared" si="247"/>
        <v>0</v>
      </c>
      <c r="AF93" s="149">
        <f t="shared" si="247"/>
        <v>0</v>
      </c>
      <c r="AG93" s="149">
        <f t="shared" si="247"/>
        <v>0</v>
      </c>
      <c r="AH93" s="149">
        <f t="shared" si="247"/>
        <v>0</v>
      </c>
      <c r="AI93" s="149">
        <f t="shared" si="247"/>
        <v>0</v>
      </c>
      <c r="AJ93" s="149">
        <f t="shared" si="247"/>
        <v>0</v>
      </c>
      <c r="AK93" s="149">
        <f t="shared" si="247"/>
        <v>0</v>
      </c>
      <c r="AL93" s="149">
        <f t="shared" si="247"/>
        <v>0</v>
      </c>
      <c r="AM93" s="149">
        <f t="shared" si="247"/>
        <v>0</v>
      </c>
      <c r="AN93" s="149">
        <f t="shared" si="247"/>
        <v>0</v>
      </c>
      <c r="AO93" s="149">
        <f t="shared" si="247"/>
        <v>0</v>
      </c>
      <c r="AP93" s="149">
        <f t="shared" si="247"/>
        <v>0</v>
      </c>
      <c r="AQ93" s="149">
        <f t="shared" si="247"/>
        <v>0</v>
      </c>
      <c r="AR93" s="149">
        <f t="shared" si="247"/>
        <v>0</v>
      </c>
      <c r="AS93" s="149">
        <f t="shared" si="247"/>
        <v>0</v>
      </c>
      <c r="AT93" s="149">
        <f t="shared" si="247"/>
        <v>0</v>
      </c>
      <c r="AU93" s="149">
        <f t="shared" si="247"/>
        <v>0</v>
      </c>
      <c r="AV93" s="149">
        <f t="shared" si="247"/>
        <v>0</v>
      </c>
      <c r="AW93" s="149">
        <f t="shared" si="247"/>
        <v>0</v>
      </c>
      <c r="AX93" s="149">
        <f t="shared" si="247"/>
        <v>0</v>
      </c>
      <c r="AY93" s="149">
        <f t="shared" si="247"/>
        <v>0</v>
      </c>
      <c r="AZ93" s="149">
        <f t="shared" si="247"/>
        <v>0</v>
      </c>
      <c r="BA93" s="149">
        <f t="shared" si="247"/>
        <v>0</v>
      </c>
      <c r="BB93" s="149">
        <f t="shared" si="247"/>
        <v>0</v>
      </c>
      <c r="BC93" s="149">
        <f t="shared" si="247"/>
        <v>0</v>
      </c>
      <c r="BD93" s="149">
        <f t="shared" si="247"/>
        <v>0</v>
      </c>
      <c r="BE93" s="149">
        <f t="shared" si="247"/>
        <v>0</v>
      </c>
      <c r="BF93" s="149">
        <f t="shared" ref="BF93:CK93" si="248">(BF4=0)*-$D$49</f>
        <v>0</v>
      </c>
      <c r="BG93" s="149">
        <f t="shared" si="248"/>
        <v>0</v>
      </c>
      <c r="BH93" s="149">
        <f t="shared" si="248"/>
        <v>0</v>
      </c>
      <c r="BI93" s="149">
        <f t="shared" si="248"/>
        <v>0</v>
      </c>
      <c r="BJ93" s="149">
        <f t="shared" si="248"/>
        <v>0</v>
      </c>
      <c r="BK93" s="149">
        <f t="shared" si="248"/>
        <v>0</v>
      </c>
      <c r="BL93" s="149">
        <f t="shared" si="248"/>
        <v>0</v>
      </c>
      <c r="BM93" s="149">
        <f t="shared" si="248"/>
        <v>0</v>
      </c>
      <c r="BN93" s="149">
        <f t="shared" si="248"/>
        <v>0</v>
      </c>
      <c r="BO93" s="149">
        <f t="shared" si="248"/>
        <v>0</v>
      </c>
      <c r="BP93" s="149">
        <f t="shared" si="248"/>
        <v>0</v>
      </c>
      <c r="BQ93" s="149">
        <f t="shared" si="248"/>
        <v>0</v>
      </c>
      <c r="BR93" s="149">
        <f t="shared" si="248"/>
        <v>0</v>
      </c>
      <c r="BS93" s="149">
        <f t="shared" si="248"/>
        <v>0</v>
      </c>
      <c r="BT93" s="149">
        <f t="shared" si="248"/>
        <v>0</v>
      </c>
      <c r="BU93" s="149">
        <f t="shared" si="248"/>
        <v>0</v>
      </c>
      <c r="BV93" s="149">
        <f t="shared" si="248"/>
        <v>0</v>
      </c>
      <c r="BW93" s="149">
        <f t="shared" si="248"/>
        <v>0</v>
      </c>
      <c r="BX93" s="149">
        <f t="shared" si="248"/>
        <v>0</v>
      </c>
      <c r="BY93" s="149">
        <f t="shared" si="248"/>
        <v>0</v>
      </c>
      <c r="BZ93" s="149">
        <f t="shared" si="248"/>
        <v>0</v>
      </c>
      <c r="CA93" s="149">
        <f t="shared" si="248"/>
        <v>0</v>
      </c>
      <c r="CB93" s="149">
        <f t="shared" si="248"/>
        <v>0</v>
      </c>
      <c r="CC93" s="149">
        <f t="shared" si="248"/>
        <v>0</v>
      </c>
      <c r="CD93" s="149">
        <f t="shared" si="248"/>
        <v>0</v>
      </c>
      <c r="CE93" s="149">
        <f t="shared" si="248"/>
        <v>0</v>
      </c>
      <c r="CF93" s="149">
        <f t="shared" si="248"/>
        <v>0</v>
      </c>
      <c r="CG93" s="149">
        <f t="shared" si="248"/>
        <v>0</v>
      </c>
      <c r="CH93" s="149">
        <f t="shared" si="248"/>
        <v>0</v>
      </c>
      <c r="CI93" s="149">
        <f t="shared" si="248"/>
        <v>0</v>
      </c>
      <c r="CJ93" s="149">
        <f t="shared" si="248"/>
        <v>0</v>
      </c>
      <c r="CK93" s="149">
        <f t="shared" si="248"/>
        <v>0</v>
      </c>
      <c r="CL93" s="149">
        <f t="shared" ref="CL93:DQ93" si="249">(CL4=0)*-$D$49</f>
        <v>0</v>
      </c>
      <c r="CM93" s="149">
        <f t="shared" si="249"/>
        <v>0</v>
      </c>
      <c r="CN93" s="149">
        <f t="shared" si="249"/>
        <v>0</v>
      </c>
      <c r="CO93" s="149">
        <f t="shared" si="249"/>
        <v>0</v>
      </c>
      <c r="CP93" s="149">
        <f t="shared" si="249"/>
        <v>0</v>
      </c>
      <c r="CQ93" s="149">
        <f t="shared" si="249"/>
        <v>0</v>
      </c>
      <c r="CR93" s="149">
        <f t="shared" si="249"/>
        <v>0</v>
      </c>
      <c r="CS93" s="149">
        <f t="shared" si="249"/>
        <v>0</v>
      </c>
      <c r="CT93" s="149">
        <f t="shared" si="249"/>
        <v>0</v>
      </c>
      <c r="CU93" s="149">
        <f t="shared" si="249"/>
        <v>0</v>
      </c>
      <c r="CV93" s="149">
        <f t="shared" si="249"/>
        <v>0</v>
      </c>
      <c r="CW93" s="149">
        <f t="shared" si="249"/>
        <v>0</v>
      </c>
      <c r="CX93" s="149">
        <f t="shared" si="249"/>
        <v>0</v>
      </c>
      <c r="CY93" s="149">
        <f t="shared" si="249"/>
        <v>0</v>
      </c>
      <c r="CZ93" s="149">
        <f t="shared" si="249"/>
        <v>0</v>
      </c>
      <c r="DA93" s="149">
        <f t="shared" si="249"/>
        <v>0</v>
      </c>
      <c r="DB93" s="149">
        <f t="shared" si="249"/>
        <v>0</v>
      </c>
      <c r="DC93" s="149">
        <f t="shared" si="249"/>
        <v>0</v>
      </c>
      <c r="DD93" s="149">
        <f t="shared" si="249"/>
        <v>0</v>
      </c>
      <c r="DE93" s="149">
        <f t="shared" si="249"/>
        <v>0</v>
      </c>
      <c r="DF93" s="149">
        <f t="shared" si="249"/>
        <v>0</v>
      </c>
      <c r="DG93" s="149">
        <f t="shared" si="249"/>
        <v>0</v>
      </c>
      <c r="DH93" s="149">
        <f t="shared" si="249"/>
        <v>0</v>
      </c>
      <c r="DI93" s="149">
        <f t="shared" si="249"/>
        <v>0</v>
      </c>
      <c r="DJ93" s="149">
        <f t="shared" si="249"/>
        <v>0</v>
      </c>
      <c r="DK93" s="149">
        <f t="shared" si="249"/>
        <v>0</v>
      </c>
      <c r="DL93" s="149">
        <f t="shared" si="249"/>
        <v>0</v>
      </c>
      <c r="DM93" s="149">
        <f t="shared" si="249"/>
        <v>0</v>
      </c>
      <c r="DN93" s="149">
        <f t="shared" si="249"/>
        <v>0</v>
      </c>
      <c r="DO93" s="149">
        <f t="shared" si="249"/>
        <v>0</v>
      </c>
      <c r="DP93" s="149">
        <f t="shared" si="249"/>
        <v>0</v>
      </c>
      <c r="DQ93" s="149">
        <f t="shared" si="249"/>
        <v>0</v>
      </c>
      <c r="DR93" s="149">
        <f t="shared" ref="DR93:FB93" si="250">(DR4=0)*-$D$49</f>
        <v>0</v>
      </c>
      <c r="DS93" s="149">
        <f t="shared" si="250"/>
        <v>0</v>
      </c>
      <c r="DT93" s="149">
        <f t="shared" si="250"/>
        <v>0</v>
      </c>
      <c r="DU93" s="149">
        <f t="shared" si="250"/>
        <v>0</v>
      </c>
      <c r="DV93" s="149">
        <f t="shared" si="250"/>
        <v>0</v>
      </c>
      <c r="DW93" s="149">
        <f t="shared" si="250"/>
        <v>0</v>
      </c>
      <c r="DX93" s="149">
        <f t="shared" si="250"/>
        <v>0</v>
      </c>
      <c r="DY93" s="149">
        <f t="shared" si="250"/>
        <v>0</v>
      </c>
      <c r="DZ93" s="149">
        <f t="shared" si="250"/>
        <v>0</v>
      </c>
      <c r="EA93" s="149">
        <f t="shared" si="250"/>
        <v>0</v>
      </c>
      <c r="EB93" s="149">
        <f t="shared" si="250"/>
        <v>0</v>
      </c>
      <c r="EC93" s="149">
        <f t="shared" si="250"/>
        <v>0</v>
      </c>
      <c r="ED93" s="149">
        <f t="shared" si="250"/>
        <v>0</v>
      </c>
      <c r="EE93" s="149">
        <f t="shared" si="250"/>
        <v>0</v>
      </c>
      <c r="EF93" s="149">
        <f t="shared" si="250"/>
        <v>0</v>
      </c>
      <c r="EG93" s="149">
        <f t="shared" si="250"/>
        <v>0</v>
      </c>
      <c r="EH93" s="149">
        <f t="shared" si="250"/>
        <v>0</v>
      </c>
      <c r="EI93" s="149">
        <f t="shared" si="250"/>
        <v>0</v>
      </c>
      <c r="EJ93" s="149">
        <f t="shared" si="250"/>
        <v>0</v>
      </c>
      <c r="EK93" s="149">
        <f t="shared" si="250"/>
        <v>0</v>
      </c>
      <c r="EL93" s="149">
        <f t="shared" si="250"/>
        <v>0</v>
      </c>
      <c r="EM93" s="149">
        <f t="shared" si="250"/>
        <v>0</v>
      </c>
      <c r="EN93" s="149">
        <f t="shared" si="250"/>
        <v>0</v>
      </c>
      <c r="EO93" s="149">
        <f t="shared" si="250"/>
        <v>0</v>
      </c>
      <c r="EP93" s="149">
        <f t="shared" si="250"/>
        <v>0</v>
      </c>
      <c r="EQ93" s="149">
        <f t="shared" si="250"/>
        <v>0</v>
      </c>
      <c r="ER93" s="149">
        <f t="shared" si="250"/>
        <v>0</v>
      </c>
      <c r="ES93" s="149">
        <f t="shared" si="250"/>
        <v>0</v>
      </c>
      <c r="ET93" s="149">
        <f t="shared" si="250"/>
        <v>0</v>
      </c>
      <c r="EU93" s="149">
        <f t="shared" si="250"/>
        <v>0</v>
      </c>
      <c r="EV93" s="149">
        <f t="shared" si="250"/>
        <v>0</v>
      </c>
      <c r="EW93" s="149">
        <f t="shared" si="250"/>
        <v>0</v>
      </c>
      <c r="EX93" s="149">
        <f t="shared" si="250"/>
        <v>0</v>
      </c>
      <c r="EY93" s="149">
        <f t="shared" si="250"/>
        <v>0</v>
      </c>
      <c r="EZ93" s="149">
        <f t="shared" si="250"/>
        <v>0</v>
      </c>
      <c r="FA93" s="149">
        <f t="shared" si="250"/>
        <v>0</v>
      </c>
      <c r="FB93" s="149">
        <f t="shared" si="250"/>
        <v>0</v>
      </c>
    </row>
    <row r="94" spans="1:158">
      <c r="B94" s="286"/>
      <c r="C94" s="287"/>
      <c r="D94" s="287"/>
      <c r="E94" s="287"/>
      <c r="F94" s="287"/>
      <c r="G94" s="287"/>
      <c r="H94" s="58"/>
      <c r="I94" s="9" t="s">
        <v>155</v>
      </c>
      <c r="L94" s="24">
        <f t="shared" si="240"/>
        <v>4700000</v>
      </c>
      <c r="M94" s="55"/>
      <c r="N94" s="24">
        <f t="shared" si="246"/>
        <v>4700000</v>
      </c>
      <c r="O94" s="24">
        <f t="shared" si="246"/>
        <v>0</v>
      </c>
      <c r="P94" s="24">
        <f t="shared" si="246"/>
        <v>0</v>
      </c>
      <c r="Q94" s="24">
        <f t="shared" si="246"/>
        <v>0</v>
      </c>
      <c r="R94" s="24">
        <f t="shared" si="246"/>
        <v>0</v>
      </c>
      <c r="S94" s="24">
        <f t="shared" si="246"/>
        <v>0</v>
      </c>
      <c r="T94" s="24">
        <f t="shared" si="246"/>
        <v>0</v>
      </c>
      <c r="U94" s="24">
        <f t="shared" si="246"/>
        <v>0</v>
      </c>
      <c r="V94" s="24">
        <f t="shared" si="246"/>
        <v>0</v>
      </c>
      <c r="W94" s="24">
        <f t="shared" si="246"/>
        <v>0</v>
      </c>
      <c r="X94" s="24">
        <f t="shared" si="246"/>
        <v>0</v>
      </c>
      <c r="Y94" s="55"/>
      <c r="Z94" s="24">
        <f>Z144</f>
        <v>4700000</v>
      </c>
      <c r="AA94" s="24">
        <f t="shared" ref="AA94:CL94" si="251">AA144</f>
        <v>0</v>
      </c>
      <c r="AB94" s="24">
        <f t="shared" si="251"/>
        <v>0</v>
      </c>
      <c r="AC94" s="24">
        <f t="shared" si="251"/>
        <v>0</v>
      </c>
      <c r="AD94" s="24">
        <f t="shared" si="251"/>
        <v>0</v>
      </c>
      <c r="AE94" s="24">
        <f t="shared" si="251"/>
        <v>0</v>
      </c>
      <c r="AF94" s="24">
        <f t="shared" si="251"/>
        <v>0</v>
      </c>
      <c r="AG94" s="24">
        <f t="shared" si="251"/>
        <v>0</v>
      </c>
      <c r="AH94" s="24">
        <f t="shared" si="251"/>
        <v>0</v>
      </c>
      <c r="AI94" s="24">
        <f t="shared" si="251"/>
        <v>0</v>
      </c>
      <c r="AJ94" s="24">
        <f t="shared" si="251"/>
        <v>0</v>
      </c>
      <c r="AK94" s="24">
        <f t="shared" si="251"/>
        <v>0</v>
      </c>
      <c r="AL94" s="24">
        <f t="shared" si="251"/>
        <v>0</v>
      </c>
      <c r="AM94" s="24">
        <f t="shared" si="251"/>
        <v>0</v>
      </c>
      <c r="AN94" s="24">
        <f t="shared" si="251"/>
        <v>0</v>
      </c>
      <c r="AO94" s="24">
        <f t="shared" si="251"/>
        <v>0</v>
      </c>
      <c r="AP94" s="24">
        <f t="shared" si="251"/>
        <v>0</v>
      </c>
      <c r="AQ94" s="24">
        <f t="shared" si="251"/>
        <v>0</v>
      </c>
      <c r="AR94" s="24">
        <f t="shared" si="251"/>
        <v>0</v>
      </c>
      <c r="AS94" s="24">
        <f t="shared" si="251"/>
        <v>0</v>
      </c>
      <c r="AT94" s="24">
        <f t="shared" si="251"/>
        <v>0</v>
      </c>
      <c r="AU94" s="24">
        <f t="shared" si="251"/>
        <v>0</v>
      </c>
      <c r="AV94" s="24">
        <f t="shared" si="251"/>
        <v>0</v>
      </c>
      <c r="AW94" s="24">
        <f t="shared" si="251"/>
        <v>0</v>
      </c>
      <c r="AX94" s="24">
        <f t="shared" si="251"/>
        <v>0</v>
      </c>
      <c r="AY94" s="24">
        <f t="shared" si="251"/>
        <v>0</v>
      </c>
      <c r="AZ94" s="24">
        <f t="shared" si="251"/>
        <v>0</v>
      </c>
      <c r="BA94" s="24">
        <f t="shared" si="251"/>
        <v>0</v>
      </c>
      <c r="BB94" s="24">
        <f t="shared" si="251"/>
        <v>0</v>
      </c>
      <c r="BC94" s="24">
        <f t="shared" si="251"/>
        <v>0</v>
      </c>
      <c r="BD94" s="24">
        <f t="shared" si="251"/>
        <v>0</v>
      </c>
      <c r="BE94" s="24">
        <f t="shared" si="251"/>
        <v>0</v>
      </c>
      <c r="BF94" s="24">
        <f t="shared" si="251"/>
        <v>0</v>
      </c>
      <c r="BG94" s="24">
        <f t="shared" si="251"/>
        <v>0</v>
      </c>
      <c r="BH94" s="24">
        <f t="shared" si="251"/>
        <v>0</v>
      </c>
      <c r="BI94" s="24">
        <f t="shared" si="251"/>
        <v>0</v>
      </c>
      <c r="BJ94" s="24">
        <f t="shared" si="251"/>
        <v>0</v>
      </c>
      <c r="BK94" s="24">
        <f t="shared" si="251"/>
        <v>0</v>
      </c>
      <c r="BL94" s="24">
        <f t="shared" si="251"/>
        <v>0</v>
      </c>
      <c r="BM94" s="24">
        <f t="shared" si="251"/>
        <v>0</v>
      </c>
      <c r="BN94" s="24">
        <f t="shared" si="251"/>
        <v>0</v>
      </c>
      <c r="BO94" s="24">
        <f t="shared" si="251"/>
        <v>0</v>
      </c>
      <c r="BP94" s="24">
        <f t="shared" si="251"/>
        <v>0</v>
      </c>
      <c r="BQ94" s="24">
        <f t="shared" si="251"/>
        <v>0</v>
      </c>
      <c r="BR94" s="24">
        <f t="shared" si="251"/>
        <v>0</v>
      </c>
      <c r="BS94" s="24">
        <f t="shared" si="251"/>
        <v>0</v>
      </c>
      <c r="BT94" s="24">
        <f t="shared" si="251"/>
        <v>0</v>
      </c>
      <c r="BU94" s="24">
        <f t="shared" si="251"/>
        <v>0</v>
      </c>
      <c r="BV94" s="24">
        <f t="shared" si="251"/>
        <v>0</v>
      </c>
      <c r="BW94" s="24">
        <f t="shared" si="251"/>
        <v>0</v>
      </c>
      <c r="BX94" s="24">
        <f t="shared" si="251"/>
        <v>0</v>
      </c>
      <c r="BY94" s="24">
        <f t="shared" si="251"/>
        <v>0</v>
      </c>
      <c r="BZ94" s="24">
        <f t="shared" si="251"/>
        <v>0</v>
      </c>
      <c r="CA94" s="24">
        <f t="shared" si="251"/>
        <v>0</v>
      </c>
      <c r="CB94" s="24">
        <f t="shared" si="251"/>
        <v>0</v>
      </c>
      <c r="CC94" s="24">
        <f t="shared" si="251"/>
        <v>0</v>
      </c>
      <c r="CD94" s="24">
        <f t="shared" si="251"/>
        <v>0</v>
      </c>
      <c r="CE94" s="24">
        <f t="shared" si="251"/>
        <v>0</v>
      </c>
      <c r="CF94" s="24">
        <f t="shared" si="251"/>
        <v>0</v>
      </c>
      <c r="CG94" s="24">
        <f t="shared" si="251"/>
        <v>0</v>
      </c>
      <c r="CH94" s="24">
        <f t="shared" si="251"/>
        <v>0</v>
      </c>
      <c r="CI94" s="24">
        <f t="shared" si="251"/>
        <v>0</v>
      </c>
      <c r="CJ94" s="24">
        <f t="shared" si="251"/>
        <v>0</v>
      </c>
      <c r="CK94" s="24">
        <f t="shared" si="251"/>
        <v>0</v>
      </c>
      <c r="CL94" s="24">
        <f t="shared" si="251"/>
        <v>0</v>
      </c>
      <c r="CM94" s="24">
        <f t="shared" ref="CM94:EX94" si="252">CM144</f>
        <v>0</v>
      </c>
      <c r="CN94" s="24">
        <f t="shared" si="252"/>
        <v>0</v>
      </c>
      <c r="CO94" s="24">
        <f t="shared" si="252"/>
        <v>0</v>
      </c>
      <c r="CP94" s="24">
        <f t="shared" si="252"/>
        <v>0</v>
      </c>
      <c r="CQ94" s="24">
        <f t="shared" si="252"/>
        <v>0</v>
      </c>
      <c r="CR94" s="24">
        <f t="shared" si="252"/>
        <v>0</v>
      </c>
      <c r="CS94" s="24">
        <f t="shared" si="252"/>
        <v>0</v>
      </c>
      <c r="CT94" s="24">
        <f t="shared" si="252"/>
        <v>0</v>
      </c>
      <c r="CU94" s="24">
        <f t="shared" si="252"/>
        <v>0</v>
      </c>
      <c r="CV94" s="24">
        <f t="shared" si="252"/>
        <v>0</v>
      </c>
      <c r="CW94" s="24">
        <f t="shared" si="252"/>
        <v>0</v>
      </c>
      <c r="CX94" s="24">
        <f t="shared" si="252"/>
        <v>0</v>
      </c>
      <c r="CY94" s="24">
        <f t="shared" si="252"/>
        <v>0</v>
      </c>
      <c r="CZ94" s="24">
        <f t="shared" si="252"/>
        <v>0</v>
      </c>
      <c r="DA94" s="24">
        <f t="shared" si="252"/>
        <v>0</v>
      </c>
      <c r="DB94" s="24">
        <f t="shared" si="252"/>
        <v>0</v>
      </c>
      <c r="DC94" s="24">
        <f t="shared" si="252"/>
        <v>0</v>
      </c>
      <c r="DD94" s="24">
        <f t="shared" si="252"/>
        <v>0</v>
      </c>
      <c r="DE94" s="24">
        <f t="shared" si="252"/>
        <v>0</v>
      </c>
      <c r="DF94" s="24">
        <f t="shared" si="252"/>
        <v>0</v>
      </c>
      <c r="DG94" s="24">
        <f t="shared" si="252"/>
        <v>0</v>
      </c>
      <c r="DH94" s="24">
        <f t="shared" si="252"/>
        <v>0</v>
      </c>
      <c r="DI94" s="24">
        <f t="shared" si="252"/>
        <v>0</v>
      </c>
      <c r="DJ94" s="24">
        <f t="shared" si="252"/>
        <v>0</v>
      </c>
      <c r="DK94" s="24">
        <f t="shared" si="252"/>
        <v>0</v>
      </c>
      <c r="DL94" s="24">
        <f t="shared" si="252"/>
        <v>0</v>
      </c>
      <c r="DM94" s="24">
        <f t="shared" si="252"/>
        <v>0</v>
      </c>
      <c r="DN94" s="24">
        <f t="shared" si="252"/>
        <v>0</v>
      </c>
      <c r="DO94" s="24">
        <f t="shared" si="252"/>
        <v>0</v>
      </c>
      <c r="DP94" s="24">
        <f t="shared" si="252"/>
        <v>0</v>
      </c>
      <c r="DQ94" s="24">
        <f t="shared" si="252"/>
        <v>0</v>
      </c>
      <c r="DR94" s="24">
        <f t="shared" si="252"/>
        <v>0</v>
      </c>
      <c r="DS94" s="24">
        <f t="shared" si="252"/>
        <v>0</v>
      </c>
      <c r="DT94" s="24">
        <f t="shared" si="252"/>
        <v>0</v>
      </c>
      <c r="DU94" s="24">
        <f t="shared" si="252"/>
        <v>0</v>
      </c>
      <c r="DV94" s="24">
        <f t="shared" si="252"/>
        <v>0</v>
      </c>
      <c r="DW94" s="24">
        <f t="shared" si="252"/>
        <v>0</v>
      </c>
      <c r="DX94" s="24">
        <f t="shared" si="252"/>
        <v>0</v>
      </c>
      <c r="DY94" s="24">
        <f t="shared" si="252"/>
        <v>0</v>
      </c>
      <c r="DZ94" s="24">
        <f t="shared" si="252"/>
        <v>0</v>
      </c>
      <c r="EA94" s="24">
        <f t="shared" si="252"/>
        <v>0</v>
      </c>
      <c r="EB94" s="24">
        <f t="shared" si="252"/>
        <v>0</v>
      </c>
      <c r="EC94" s="24">
        <f t="shared" si="252"/>
        <v>0</v>
      </c>
      <c r="ED94" s="24">
        <f t="shared" si="252"/>
        <v>0</v>
      </c>
      <c r="EE94" s="24">
        <f t="shared" si="252"/>
        <v>0</v>
      </c>
      <c r="EF94" s="24">
        <f t="shared" si="252"/>
        <v>0</v>
      </c>
      <c r="EG94" s="24">
        <f t="shared" si="252"/>
        <v>0</v>
      </c>
      <c r="EH94" s="24">
        <f t="shared" si="252"/>
        <v>0</v>
      </c>
      <c r="EI94" s="24">
        <f t="shared" si="252"/>
        <v>0</v>
      </c>
      <c r="EJ94" s="24">
        <f t="shared" si="252"/>
        <v>0</v>
      </c>
      <c r="EK94" s="24">
        <f t="shared" si="252"/>
        <v>0</v>
      </c>
      <c r="EL94" s="24">
        <f t="shared" si="252"/>
        <v>0</v>
      </c>
      <c r="EM94" s="24">
        <f t="shared" si="252"/>
        <v>0</v>
      </c>
      <c r="EN94" s="24">
        <f t="shared" si="252"/>
        <v>0</v>
      </c>
      <c r="EO94" s="24">
        <f t="shared" si="252"/>
        <v>0</v>
      </c>
      <c r="EP94" s="24">
        <f t="shared" si="252"/>
        <v>0</v>
      </c>
      <c r="EQ94" s="24">
        <f t="shared" si="252"/>
        <v>0</v>
      </c>
      <c r="ER94" s="24">
        <f t="shared" si="252"/>
        <v>0</v>
      </c>
      <c r="ES94" s="24">
        <f t="shared" si="252"/>
        <v>0</v>
      </c>
      <c r="ET94" s="24">
        <f t="shared" si="252"/>
        <v>0</v>
      </c>
      <c r="EU94" s="24">
        <f t="shared" si="252"/>
        <v>0</v>
      </c>
      <c r="EV94" s="24">
        <f t="shared" si="252"/>
        <v>0</v>
      </c>
      <c r="EW94" s="24">
        <f t="shared" si="252"/>
        <v>0</v>
      </c>
      <c r="EX94" s="24">
        <f t="shared" si="252"/>
        <v>0</v>
      </c>
      <c r="EY94" s="24">
        <f t="shared" ref="EY94:FB94" si="253">EY144</f>
        <v>0</v>
      </c>
      <c r="EZ94" s="24">
        <f t="shared" si="253"/>
        <v>0</v>
      </c>
      <c r="FA94" s="24">
        <f t="shared" si="253"/>
        <v>0</v>
      </c>
      <c r="FB94" s="24">
        <f t="shared" si="253"/>
        <v>0</v>
      </c>
    </row>
    <row r="95" spans="1:158">
      <c r="B95" s="288"/>
      <c r="C95" s="288"/>
      <c r="D95" s="288"/>
      <c r="E95" s="288"/>
      <c r="F95" s="288"/>
      <c r="G95" s="288"/>
      <c r="H95" s="33"/>
      <c r="I95" s="9" t="s">
        <v>121</v>
      </c>
      <c r="L95" s="24">
        <f t="shared" si="240"/>
        <v>-612880</v>
      </c>
      <c r="M95" s="55"/>
      <c r="N95" s="24">
        <f t="shared" si="246"/>
        <v>0</v>
      </c>
      <c r="O95" s="24">
        <f t="shared" si="246"/>
        <v>-306440</v>
      </c>
      <c r="P95" s="24">
        <f t="shared" si="246"/>
        <v>-306440</v>
      </c>
      <c r="Q95" s="24">
        <f t="shared" si="246"/>
        <v>0</v>
      </c>
      <c r="R95" s="24">
        <f t="shared" si="246"/>
        <v>0</v>
      </c>
      <c r="S95" s="24">
        <f t="shared" si="246"/>
        <v>0</v>
      </c>
      <c r="T95" s="24">
        <f t="shared" si="246"/>
        <v>0</v>
      </c>
      <c r="U95" s="24">
        <f t="shared" si="246"/>
        <v>0</v>
      </c>
      <c r="V95" s="24">
        <f t="shared" si="246"/>
        <v>0</v>
      </c>
      <c r="W95" s="24">
        <f t="shared" si="246"/>
        <v>0</v>
      </c>
      <c r="X95" s="24">
        <f t="shared" si="246"/>
        <v>0</v>
      </c>
      <c r="Y95" s="55"/>
      <c r="Z95" s="24">
        <f t="shared" ref="Z95:BE95" si="254">SUM(Z146:Z147)</f>
        <v>0</v>
      </c>
      <c r="AA95" s="24">
        <f t="shared" si="254"/>
        <v>-25536.666666666668</v>
      </c>
      <c r="AB95" s="24">
        <f t="shared" si="254"/>
        <v>-25536.666666666668</v>
      </c>
      <c r="AC95" s="24">
        <f t="shared" si="254"/>
        <v>-25536.666666666668</v>
      </c>
      <c r="AD95" s="24">
        <f t="shared" si="254"/>
        <v>-25536.666666666668</v>
      </c>
      <c r="AE95" s="24">
        <f t="shared" si="254"/>
        <v>-25536.666666666668</v>
      </c>
      <c r="AF95" s="24">
        <f t="shared" si="254"/>
        <v>-25536.666666666668</v>
      </c>
      <c r="AG95" s="24">
        <f t="shared" si="254"/>
        <v>-25536.666666666668</v>
      </c>
      <c r="AH95" s="24">
        <f t="shared" si="254"/>
        <v>-25536.666666666668</v>
      </c>
      <c r="AI95" s="24">
        <f t="shared" si="254"/>
        <v>-25536.666666666668</v>
      </c>
      <c r="AJ95" s="24">
        <f t="shared" si="254"/>
        <v>-25536.666666666668</v>
      </c>
      <c r="AK95" s="24">
        <f t="shared" si="254"/>
        <v>-25536.666666666668</v>
      </c>
      <c r="AL95" s="24">
        <f t="shared" si="254"/>
        <v>-25536.666666666668</v>
      </c>
      <c r="AM95" s="24">
        <f t="shared" si="254"/>
        <v>-25536.666666666668</v>
      </c>
      <c r="AN95" s="24">
        <f t="shared" si="254"/>
        <v>-25536.666666666668</v>
      </c>
      <c r="AO95" s="24">
        <f t="shared" si="254"/>
        <v>-25536.666666666668</v>
      </c>
      <c r="AP95" s="24">
        <f t="shared" si="254"/>
        <v>-25536.666666666668</v>
      </c>
      <c r="AQ95" s="24">
        <f t="shared" si="254"/>
        <v>-25536.666666666668</v>
      </c>
      <c r="AR95" s="24">
        <f t="shared" si="254"/>
        <v>-25536.666666666668</v>
      </c>
      <c r="AS95" s="24">
        <f t="shared" si="254"/>
        <v>-25536.666666666668</v>
      </c>
      <c r="AT95" s="24">
        <f t="shared" si="254"/>
        <v>-25536.666666666668</v>
      </c>
      <c r="AU95" s="24">
        <f t="shared" si="254"/>
        <v>-25536.666666666668</v>
      </c>
      <c r="AV95" s="24">
        <f t="shared" si="254"/>
        <v>-25536.666666666668</v>
      </c>
      <c r="AW95" s="24">
        <f t="shared" si="254"/>
        <v>-25536.666666666668</v>
      </c>
      <c r="AX95" s="24">
        <f t="shared" si="254"/>
        <v>-25536.666666666668</v>
      </c>
      <c r="AY95" s="24">
        <f t="shared" si="254"/>
        <v>0</v>
      </c>
      <c r="AZ95" s="24">
        <f t="shared" si="254"/>
        <v>0</v>
      </c>
      <c r="BA95" s="24">
        <f t="shared" si="254"/>
        <v>0</v>
      </c>
      <c r="BB95" s="24">
        <f t="shared" si="254"/>
        <v>0</v>
      </c>
      <c r="BC95" s="24">
        <f t="shared" si="254"/>
        <v>0</v>
      </c>
      <c r="BD95" s="24">
        <f t="shared" si="254"/>
        <v>0</v>
      </c>
      <c r="BE95" s="24">
        <f t="shared" si="254"/>
        <v>0</v>
      </c>
      <c r="BF95" s="24">
        <f t="shared" ref="BF95:CK95" si="255">SUM(BF146:BF147)</f>
        <v>0</v>
      </c>
      <c r="BG95" s="24">
        <f t="shared" si="255"/>
        <v>0</v>
      </c>
      <c r="BH95" s="24">
        <f t="shared" si="255"/>
        <v>0</v>
      </c>
      <c r="BI95" s="24">
        <f t="shared" si="255"/>
        <v>0</v>
      </c>
      <c r="BJ95" s="24">
        <f t="shared" si="255"/>
        <v>0</v>
      </c>
      <c r="BK95" s="24">
        <f t="shared" si="255"/>
        <v>0</v>
      </c>
      <c r="BL95" s="24">
        <f t="shared" si="255"/>
        <v>0</v>
      </c>
      <c r="BM95" s="24">
        <f t="shared" si="255"/>
        <v>0</v>
      </c>
      <c r="BN95" s="24">
        <f t="shared" si="255"/>
        <v>0</v>
      </c>
      <c r="BO95" s="24">
        <f t="shared" si="255"/>
        <v>0</v>
      </c>
      <c r="BP95" s="24">
        <f t="shared" si="255"/>
        <v>0</v>
      </c>
      <c r="BQ95" s="24">
        <f t="shared" si="255"/>
        <v>0</v>
      </c>
      <c r="BR95" s="24">
        <f t="shared" si="255"/>
        <v>0</v>
      </c>
      <c r="BS95" s="24">
        <f t="shared" si="255"/>
        <v>0</v>
      </c>
      <c r="BT95" s="24">
        <f t="shared" si="255"/>
        <v>0</v>
      </c>
      <c r="BU95" s="24">
        <f t="shared" si="255"/>
        <v>0</v>
      </c>
      <c r="BV95" s="24">
        <f t="shared" si="255"/>
        <v>0</v>
      </c>
      <c r="BW95" s="24">
        <f t="shared" si="255"/>
        <v>0</v>
      </c>
      <c r="BX95" s="24">
        <f t="shared" si="255"/>
        <v>0</v>
      </c>
      <c r="BY95" s="24">
        <f t="shared" si="255"/>
        <v>0</v>
      </c>
      <c r="BZ95" s="24">
        <f t="shared" si="255"/>
        <v>0</v>
      </c>
      <c r="CA95" s="24">
        <f t="shared" si="255"/>
        <v>0</v>
      </c>
      <c r="CB95" s="24">
        <f t="shared" si="255"/>
        <v>0</v>
      </c>
      <c r="CC95" s="24">
        <f t="shared" si="255"/>
        <v>0</v>
      </c>
      <c r="CD95" s="24">
        <f t="shared" si="255"/>
        <v>0</v>
      </c>
      <c r="CE95" s="24">
        <f t="shared" si="255"/>
        <v>0</v>
      </c>
      <c r="CF95" s="24">
        <f t="shared" si="255"/>
        <v>0</v>
      </c>
      <c r="CG95" s="24">
        <f t="shared" si="255"/>
        <v>0</v>
      </c>
      <c r="CH95" s="24">
        <f t="shared" si="255"/>
        <v>0</v>
      </c>
      <c r="CI95" s="24">
        <f t="shared" si="255"/>
        <v>0</v>
      </c>
      <c r="CJ95" s="24">
        <f t="shared" si="255"/>
        <v>0</v>
      </c>
      <c r="CK95" s="24">
        <f t="shared" si="255"/>
        <v>0</v>
      </c>
      <c r="CL95" s="24">
        <f t="shared" ref="CL95:DQ95" si="256">SUM(CL146:CL147)</f>
        <v>0</v>
      </c>
      <c r="CM95" s="24">
        <f t="shared" si="256"/>
        <v>0</v>
      </c>
      <c r="CN95" s="24">
        <f t="shared" si="256"/>
        <v>0</v>
      </c>
      <c r="CO95" s="24">
        <f t="shared" si="256"/>
        <v>0</v>
      </c>
      <c r="CP95" s="24">
        <f t="shared" si="256"/>
        <v>0</v>
      </c>
      <c r="CQ95" s="24">
        <f t="shared" si="256"/>
        <v>0</v>
      </c>
      <c r="CR95" s="24">
        <f t="shared" si="256"/>
        <v>0</v>
      </c>
      <c r="CS95" s="24">
        <f t="shared" si="256"/>
        <v>0</v>
      </c>
      <c r="CT95" s="24">
        <f t="shared" si="256"/>
        <v>0</v>
      </c>
      <c r="CU95" s="24">
        <f t="shared" si="256"/>
        <v>0</v>
      </c>
      <c r="CV95" s="24">
        <f t="shared" si="256"/>
        <v>0</v>
      </c>
      <c r="CW95" s="24">
        <f t="shared" si="256"/>
        <v>0</v>
      </c>
      <c r="CX95" s="24">
        <f t="shared" si="256"/>
        <v>0</v>
      </c>
      <c r="CY95" s="24">
        <f t="shared" si="256"/>
        <v>0</v>
      </c>
      <c r="CZ95" s="24">
        <f t="shared" si="256"/>
        <v>0</v>
      </c>
      <c r="DA95" s="24">
        <f t="shared" si="256"/>
        <v>0</v>
      </c>
      <c r="DB95" s="24">
        <f t="shared" si="256"/>
        <v>0</v>
      </c>
      <c r="DC95" s="24">
        <f t="shared" si="256"/>
        <v>0</v>
      </c>
      <c r="DD95" s="24">
        <f t="shared" si="256"/>
        <v>0</v>
      </c>
      <c r="DE95" s="24">
        <f t="shared" si="256"/>
        <v>0</v>
      </c>
      <c r="DF95" s="24">
        <f t="shared" si="256"/>
        <v>0</v>
      </c>
      <c r="DG95" s="24">
        <f t="shared" si="256"/>
        <v>0</v>
      </c>
      <c r="DH95" s="24">
        <f t="shared" si="256"/>
        <v>0</v>
      </c>
      <c r="DI95" s="24">
        <f t="shared" si="256"/>
        <v>0</v>
      </c>
      <c r="DJ95" s="24">
        <f t="shared" si="256"/>
        <v>0</v>
      </c>
      <c r="DK95" s="24">
        <f t="shared" si="256"/>
        <v>0</v>
      </c>
      <c r="DL95" s="24">
        <f t="shared" si="256"/>
        <v>0</v>
      </c>
      <c r="DM95" s="24">
        <f t="shared" si="256"/>
        <v>0</v>
      </c>
      <c r="DN95" s="24">
        <f t="shared" si="256"/>
        <v>0</v>
      </c>
      <c r="DO95" s="24">
        <f t="shared" si="256"/>
        <v>0</v>
      </c>
      <c r="DP95" s="24">
        <f t="shared" si="256"/>
        <v>0</v>
      </c>
      <c r="DQ95" s="24">
        <f t="shared" si="256"/>
        <v>0</v>
      </c>
      <c r="DR95" s="24">
        <f t="shared" ref="DR95:FB95" si="257">SUM(DR146:DR147)</f>
        <v>0</v>
      </c>
      <c r="DS95" s="24">
        <f t="shared" si="257"/>
        <v>0</v>
      </c>
      <c r="DT95" s="24">
        <f t="shared" si="257"/>
        <v>0</v>
      </c>
      <c r="DU95" s="24">
        <f t="shared" si="257"/>
        <v>0</v>
      </c>
      <c r="DV95" s="24">
        <f t="shared" si="257"/>
        <v>0</v>
      </c>
      <c r="DW95" s="24">
        <f t="shared" si="257"/>
        <v>0</v>
      </c>
      <c r="DX95" s="24">
        <f t="shared" si="257"/>
        <v>0</v>
      </c>
      <c r="DY95" s="24">
        <f t="shared" si="257"/>
        <v>0</v>
      </c>
      <c r="DZ95" s="24">
        <f t="shared" si="257"/>
        <v>0</v>
      </c>
      <c r="EA95" s="24">
        <f t="shared" si="257"/>
        <v>0</v>
      </c>
      <c r="EB95" s="24">
        <f t="shared" si="257"/>
        <v>0</v>
      </c>
      <c r="EC95" s="24">
        <f t="shared" si="257"/>
        <v>0</v>
      </c>
      <c r="ED95" s="24">
        <f t="shared" si="257"/>
        <v>0</v>
      </c>
      <c r="EE95" s="24">
        <f t="shared" si="257"/>
        <v>0</v>
      </c>
      <c r="EF95" s="24">
        <f t="shared" si="257"/>
        <v>0</v>
      </c>
      <c r="EG95" s="24">
        <f t="shared" si="257"/>
        <v>0</v>
      </c>
      <c r="EH95" s="24">
        <f t="shared" si="257"/>
        <v>0</v>
      </c>
      <c r="EI95" s="24">
        <f t="shared" si="257"/>
        <v>0</v>
      </c>
      <c r="EJ95" s="24">
        <f t="shared" si="257"/>
        <v>0</v>
      </c>
      <c r="EK95" s="24">
        <f t="shared" si="257"/>
        <v>0</v>
      </c>
      <c r="EL95" s="24">
        <f t="shared" si="257"/>
        <v>0</v>
      </c>
      <c r="EM95" s="24">
        <f t="shared" si="257"/>
        <v>0</v>
      </c>
      <c r="EN95" s="24">
        <f t="shared" si="257"/>
        <v>0</v>
      </c>
      <c r="EO95" s="24">
        <f t="shared" si="257"/>
        <v>0</v>
      </c>
      <c r="EP95" s="24">
        <f t="shared" si="257"/>
        <v>0</v>
      </c>
      <c r="EQ95" s="24">
        <f t="shared" si="257"/>
        <v>0</v>
      </c>
      <c r="ER95" s="24">
        <f t="shared" si="257"/>
        <v>0</v>
      </c>
      <c r="ES95" s="24">
        <f t="shared" si="257"/>
        <v>0</v>
      </c>
      <c r="ET95" s="24">
        <f t="shared" si="257"/>
        <v>0</v>
      </c>
      <c r="EU95" s="24">
        <f t="shared" si="257"/>
        <v>0</v>
      </c>
      <c r="EV95" s="24">
        <f t="shared" si="257"/>
        <v>0</v>
      </c>
      <c r="EW95" s="24">
        <f t="shared" si="257"/>
        <v>0</v>
      </c>
      <c r="EX95" s="24">
        <f t="shared" si="257"/>
        <v>0</v>
      </c>
      <c r="EY95" s="24">
        <f t="shared" si="257"/>
        <v>0</v>
      </c>
      <c r="EZ95" s="24">
        <f t="shared" si="257"/>
        <v>0</v>
      </c>
      <c r="FA95" s="24">
        <f t="shared" si="257"/>
        <v>0</v>
      </c>
      <c r="FB95" s="24">
        <f t="shared" si="257"/>
        <v>0</v>
      </c>
    </row>
    <row r="96" spans="1:158">
      <c r="A96" s="44"/>
      <c r="B96" s="286"/>
      <c r="C96" s="287"/>
      <c r="D96" s="287"/>
      <c r="E96" s="287"/>
      <c r="F96" s="287"/>
      <c r="G96" s="287"/>
      <c r="I96" s="150" t="s">
        <v>122</v>
      </c>
      <c r="J96" s="150"/>
      <c r="L96" s="151">
        <f t="shared" si="240"/>
        <v>-4700000</v>
      </c>
      <c r="M96" s="55"/>
      <c r="N96" s="151">
        <f t="shared" si="246"/>
        <v>0</v>
      </c>
      <c r="O96" s="151">
        <f t="shared" si="246"/>
        <v>0</v>
      </c>
      <c r="P96" s="151">
        <f t="shared" si="246"/>
        <v>-4700000</v>
      </c>
      <c r="Q96" s="151">
        <f t="shared" si="246"/>
        <v>0</v>
      </c>
      <c r="R96" s="151">
        <f t="shared" si="246"/>
        <v>0</v>
      </c>
      <c r="S96" s="151">
        <f t="shared" si="246"/>
        <v>0</v>
      </c>
      <c r="T96" s="151">
        <f t="shared" si="246"/>
        <v>0</v>
      </c>
      <c r="U96" s="151">
        <f t="shared" si="246"/>
        <v>0</v>
      </c>
      <c r="V96" s="151">
        <f t="shared" si="246"/>
        <v>0</v>
      </c>
      <c r="W96" s="151">
        <f t="shared" si="246"/>
        <v>0</v>
      </c>
      <c r="X96" s="151">
        <f t="shared" si="246"/>
        <v>0</v>
      </c>
      <c r="Y96" s="55"/>
      <c r="Z96" s="151">
        <f t="shared" ref="Z96:BE96" si="258">Z148</f>
        <v>0</v>
      </c>
      <c r="AA96" s="151">
        <f t="shared" si="258"/>
        <v>0</v>
      </c>
      <c r="AB96" s="151">
        <f t="shared" si="258"/>
        <v>0</v>
      </c>
      <c r="AC96" s="151">
        <f t="shared" si="258"/>
        <v>0</v>
      </c>
      <c r="AD96" s="151">
        <f t="shared" si="258"/>
        <v>0</v>
      </c>
      <c r="AE96" s="151">
        <f t="shared" si="258"/>
        <v>0</v>
      </c>
      <c r="AF96" s="151">
        <f t="shared" si="258"/>
        <v>0</v>
      </c>
      <c r="AG96" s="151">
        <f t="shared" si="258"/>
        <v>0</v>
      </c>
      <c r="AH96" s="151">
        <f t="shared" si="258"/>
        <v>0</v>
      </c>
      <c r="AI96" s="151">
        <f t="shared" si="258"/>
        <v>0</v>
      </c>
      <c r="AJ96" s="151">
        <f t="shared" si="258"/>
        <v>0</v>
      </c>
      <c r="AK96" s="151">
        <f t="shared" si="258"/>
        <v>0</v>
      </c>
      <c r="AL96" s="151">
        <f t="shared" si="258"/>
        <v>0</v>
      </c>
      <c r="AM96" s="151">
        <f t="shared" si="258"/>
        <v>0</v>
      </c>
      <c r="AN96" s="151">
        <f t="shared" si="258"/>
        <v>0</v>
      </c>
      <c r="AO96" s="151">
        <f t="shared" si="258"/>
        <v>0</v>
      </c>
      <c r="AP96" s="151">
        <f t="shared" si="258"/>
        <v>0</v>
      </c>
      <c r="AQ96" s="151">
        <f t="shared" si="258"/>
        <v>0</v>
      </c>
      <c r="AR96" s="151">
        <f t="shared" si="258"/>
        <v>0</v>
      </c>
      <c r="AS96" s="151">
        <f t="shared" si="258"/>
        <v>0</v>
      </c>
      <c r="AT96" s="151">
        <f t="shared" si="258"/>
        <v>0</v>
      </c>
      <c r="AU96" s="151">
        <f t="shared" si="258"/>
        <v>0</v>
      </c>
      <c r="AV96" s="151">
        <f t="shared" si="258"/>
        <v>0</v>
      </c>
      <c r="AW96" s="151">
        <f t="shared" si="258"/>
        <v>0</v>
      </c>
      <c r="AX96" s="151">
        <f t="shared" si="258"/>
        <v>-4700000</v>
      </c>
      <c r="AY96" s="151">
        <f t="shared" si="258"/>
        <v>0</v>
      </c>
      <c r="AZ96" s="151">
        <f t="shared" si="258"/>
        <v>0</v>
      </c>
      <c r="BA96" s="151">
        <f t="shared" si="258"/>
        <v>0</v>
      </c>
      <c r="BB96" s="151">
        <f t="shared" si="258"/>
        <v>0</v>
      </c>
      <c r="BC96" s="151">
        <f t="shared" si="258"/>
        <v>0</v>
      </c>
      <c r="BD96" s="151">
        <f t="shared" si="258"/>
        <v>0</v>
      </c>
      <c r="BE96" s="151">
        <f t="shared" si="258"/>
        <v>0</v>
      </c>
      <c r="BF96" s="151">
        <f t="shared" ref="BF96:CK96" si="259">BF148</f>
        <v>0</v>
      </c>
      <c r="BG96" s="151">
        <f t="shared" si="259"/>
        <v>0</v>
      </c>
      <c r="BH96" s="151">
        <f t="shared" si="259"/>
        <v>0</v>
      </c>
      <c r="BI96" s="151">
        <f t="shared" si="259"/>
        <v>0</v>
      </c>
      <c r="BJ96" s="151">
        <f t="shared" si="259"/>
        <v>0</v>
      </c>
      <c r="BK96" s="151">
        <f t="shared" si="259"/>
        <v>0</v>
      </c>
      <c r="BL96" s="151">
        <f t="shared" si="259"/>
        <v>0</v>
      </c>
      <c r="BM96" s="151">
        <f t="shared" si="259"/>
        <v>0</v>
      </c>
      <c r="BN96" s="151">
        <f t="shared" si="259"/>
        <v>0</v>
      </c>
      <c r="BO96" s="151">
        <f t="shared" si="259"/>
        <v>0</v>
      </c>
      <c r="BP96" s="151">
        <f t="shared" si="259"/>
        <v>0</v>
      </c>
      <c r="BQ96" s="151">
        <f t="shared" si="259"/>
        <v>0</v>
      </c>
      <c r="BR96" s="151">
        <f t="shared" si="259"/>
        <v>0</v>
      </c>
      <c r="BS96" s="151">
        <f t="shared" si="259"/>
        <v>0</v>
      </c>
      <c r="BT96" s="151">
        <f t="shared" si="259"/>
        <v>0</v>
      </c>
      <c r="BU96" s="151">
        <f t="shared" si="259"/>
        <v>0</v>
      </c>
      <c r="BV96" s="151">
        <f t="shared" si="259"/>
        <v>0</v>
      </c>
      <c r="BW96" s="151">
        <f t="shared" si="259"/>
        <v>0</v>
      </c>
      <c r="BX96" s="151">
        <f t="shared" si="259"/>
        <v>0</v>
      </c>
      <c r="BY96" s="151">
        <f t="shared" si="259"/>
        <v>0</v>
      </c>
      <c r="BZ96" s="151">
        <f t="shared" si="259"/>
        <v>0</v>
      </c>
      <c r="CA96" s="151">
        <f t="shared" si="259"/>
        <v>0</v>
      </c>
      <c r="CB96" s="151">
        <f t="shared" si="259"/>
        <v>0</v>
      </c>
      <c r="CC96" s="151">
        <f t="shared" si="259"/>
        <v>0</v>
      </c>
      <c r="CD96" s="151">
        <f t="shared" si="259"/>
        <v>0</v>
      </c>
      <c r="CE96" s="151">
        <f t="shared" si="259"/>
        <v>0</v>
      </c>
      <c r="CF96" s="151">
        <f t="shared" si="259"/>
        <v>0</v>
      </c>
      <c r="CG96" s="151">
        <f t="shared" si="259"/>
        <v>0</v>
      </c>
      <c r="CH96" s="151">
        <f t="shared" si="259"/>
        <v>0</v>
      </c>
      <c r="CI96" s="151">
        <f t="shared" si="259"/>
        <v>0</v>
      </c>
      <c r="CJ96" s="151">
        <f t="shared" si="259"/>
        <v>0</v>
      </c>
      <c r="CK96" s="151">
        <f t="shared" si="259"/>
        <v>0</v>
      </c>
      <c r="CL96" s="151">
        <f t="shared" ref="CL96:DQ96" si="260">CL148</f>
        <v>0</v>
      </c>
      <c r="CM96" s="151">
        <f t="shared" si="260"/>
        <v>0</v>
      </c>
      <c r="CN96" s="151">
        <f t="shared" si="260"/>
        <v>0</v>
      </c>
      <c r="CO96" s="151">
        <f t="shared" si="260"/>
        <v>0</v>
      </c>
      <c r="CP96" s="151">
        <f t="shared" si="260"/>
        <v>0</v>
      </c>
      <c r="CQ96" s="151">
        <f t="shared" si="260"/>
        <v>0</v>
      </c>
      <c r="CR96" s="151">
        <f t="shared" si="260"/>
        <v>0</v>
      </c>
      <c r="CS96" s="151">
        <f t="shared" si="260"/>
        <v>0</v>
      </c>
      <c r="CT96" s="151">
        <f t="shared" si="260"/>
        <v>0</v>
      </c>
      <c r="CU96" s="151">
        <f t="shared" si="260"/>
        <v>0</v>
      </c>
      <c r="CV96" s="151">
        <f t="shared" si="260"/>
        <v>0</v>
      </c>
      <c r="CW96" s="151">
        <f t="shared" si="260"/>
        <v>0</v>
      </c>
      <c r="CX96" s="151">
        <f t="shared" si="260"/>
        <v>0</v>
      </c>
      <c r="CY96" s="151">
        <f t="shared" si="260"/>
        <v>0</v>
      </c>
      <c r="CZ96" s="151">
        <f t="shared" si="260"/>
        <v>0</v>
      </c>
      <c r="DA96" s="151">
        <f t="shared" si="260"/>
        <v>0</v>
      </c>
      <c r="DB96" s="151">
        <f t="shared" si="260"/>
        <v>0</v>
      </c>
      <c r="DC96" s="151">
        <f t="shared" si="260"/>
        <v>0</v>
      </c>
      <c r="DD96" s="151">
        <f t="shared" si="260"/>
        <v>0</v>
      </c>
      <c r="DE96" s="151">
        <f t="shared" si="260"/>
        <v>0</v>
      </c>
      <c r="DF96" s="151">
        <f t="shared" si="260"/>
        <v>0</v>
      </c>
      <c r="DG96" s="151">
        <f t="shared" si="260"/>
        <v>0</v>
      </c>
      <c r="DH96" s="151">
        <f t="shared" si="260"/>
        <v>0</v>
      </c>
      <c r="DI96" s="151">
        <f t="shared" si="260"/>
        <v>0</v>
      </c>
      <c r="DJ96" s="151">
        <f t="shared" si="260"/>
        <v>0</v>
      </c>
      <c r="DK96" s="151">
        <f t="shared" si="260"/>
        <v>0</v>
      </c>
      <c r="DL96" s="151">
        <f t="shared" si="260"/>
        <v>0</v>
      </c>
      <c r="DM96" s="151">
        <f t="shared" si="260"/>
        <v>0</v>
      </c>
      <c r="DN96" s="151">
        <f t="shared" si="260"/>
        <v>0</v>
      </c>
      <c r="DO96" s="151">
        <f t="shared" si="260"/>
        <v>0</v>
      </c>
      <c r="DP96" s="151">
        <f t="shared" si="260"/>
        <v>0</v>
      </c>
      <c r="DQ96" s="151">
        <f t="shared" si="260"/>
        <v>0</v>
      </c>
      <c r="DR96" s="151">
        <f t="shared" ref="DR96:FB96" si="261">DR148</f>
        <v>0</v>
      </c>
      <c r="DS96" s="151">
        <f t="shared" si="261"/>
        <v>0</v>
      </c>
      <c r="DT96" s="151">
        <f t="shared" si="261"/>
        <v>0</v>
      </c>
      <c r="DU96" s="151">
        <f t="shared" si="261"/>
        <v>0</v>
      </c>
      <c r="DV96" s="151">
        <f t="shared" si="261"/>
        <v>0</v>
      </c>
      <c r="DW96" s="151">
        <f t="shared" si="261"/>
        <v>0</v>
      </c>
      <c r="DX96" s="151">
        <f t="shared" si="261"/>
        <v>0</v>
      </c>
      <c r="DY96" s="151">
        <f t="shared" si="261"/>
        <v>0</v>
      </c>
      <c r="DZ96" s="151">
        <f t="shared" si="261"/>
        <v>0</v>
      </c>
      <c r="EA96" s="151">
        <f t="shared" si="261"/>
        <v>0</v>
      </c>
      <c r="EB96" s="151">
        <f t="shared" si="261"/>
        <v>0</v>
      </c>
      <c r="EC96" s="151">
        <f t="shared" si="261"/>
        <v>0</v>
      </c>
      <c r="ED96" s="151">
        <f t="shared" si="261"/>
        <v>0</v>
      </c>
      <c r="EE96" s="151">
        <f t="shared" si="261"/>
        <v>0</v>
      </c>
      <c r="EF96" s="151">
        <f t="shared" si="261"/>
        <v>0</v>
      </c>
      <c r="EG96" s="151">
        <f t="shared" si="261"/>
        <v>0</v>
      </c>
      <c r="EH96" s="151">
        <f t="shared" si="261"/>
        <v>0</v>
      </c>
      <c r="EI96" s="151">
        <f t="shared" si="261"/>
        <v>0</v>
      </c>
      <c r="EJ96" s="151">
        <f t="shared" si="261"/>
        <v>0</v>
      </c>
      <c r="EK96" s="151">
        <f t="shared" si="261"/>
        <v>0</v>
      </c>
      <c r="EL96" s="151">
        <f t="shared" si="261"/>
        <v>0</v>
      </c>
      <c r="EM96" s="151">
        <f t="shared" si="261"/>
        <v>0</v>
      </c>
      <c r="EN96" s="151">
        <f t="shared" si="261"/>
        <v>0</v>
      </c>
      <c r="EO96" s="151">
        <f t="shared" si="261"/>
        <v>0</v>
      </c>
      <c r="EP96" s="151">
        <f t="shared" si="261"/>
        <v>0</v>
      </c>
      <c r="EQ96" s="151">
        <f t="shared" si="261"/>
        <v>0</v>
      </c>
      <c r="ER96" s="151">
        <f t="shared" si="261"/>
        <v>0</v>
      </c>
      <c r="ES96" s="151">
        <f t="shared" si="261"/>
        <v>0</v>
      </c>
      <c r="ET96" s="151">
        <f t="shared" si="261"/>
        <v>0</v>
      </c>
      <c r="EU96" s="151">
        <f t="shared" si="261"/>
        <v>0</v>
      </c>
      <c r="EV96" s="151">
        <f t="shared" si="261"/>
        <v>0</v>
      </c>
      <c r="EW96" s="151">
        <f t="shared" si="261"/>
        <v>0</v>
      </c>
      <c r="EX96" s="151">
        <f t="shared" si="261"/>
        <v>0</v>
      </c>
      <c r="EY96" s="151">
        <f t="shared" si="261"/>
        <v>0</v>
      </c>
      <c r="EZ96" s="151">
        <f t="shared" si="261"/>
        <v>0</v>
      </c>
      <c r="FA96" s="151">
        <f t="shared" si="261"/>
        <v>0</v>
      </c>
      <c r="FB96" s="151">
        <f t="shared" si="261"/>
        <v>0</v>
      </c>
    </row>
    <row r="97" spans="1:158">
      <c r="B97" s="288"/>
      <c r="C97" s="288"/>
      <c r="D97" s="288"/>
      <c r="E97" s="288"/>
      <c r="F97" s="288"/>
      <c r="G97" s="288"/>
      <c r="I97" s="9" t="s">
        <v>128</v>
      </c>
      <c r="L97" s="24">
        <f t="shared" ca="1" si="240"/>
        <v>-28959.100083175817</v>
      </c>
      <c r="M97" s="55"/>
      <c r="N97" s="24">
        <f t="shared" si="246"/>
        <v>0</v>
      </c>
      <c r="O97" s="24">
        <f t="shared" si="246"/>
        <v>0</v>
      </c>
      <c r="P97" s="24">
        <f ca="1">SUMIF($Z$3:$FB$3,P$7,$Z97:$FB97)</f>
        <v>-28959.100083175817</v>
      </c>
      <c r="Q97" s="24">
        <f t="shared" si="246"/>
        <v>0</v>
      </c>
      <c r="R97" s="24">
        <f t="shared" si="246"/>
        <v>0</v>
      </c>
      <c r="S97" s="24">
        <f t="shared" si="246"/>
        <v>0</v>
      </c>
      <c r="T97" s="24">
        <f t="shared" si="246"/>
        <v>0</v>
      </c>
      <c r="U97" s="24">
        <f t="shared" si="246"/>
        <v>0</v>
      </c>
      <c r="V97" s="24">
        <f t="shared" si="246"/>
        <v>0</v>
      </c>
      <c r="W97" s="24">
        <f t="shared" si="246"/>
        <v>0</v>
      </c>
      <c r="X97" s="24">
        <f t="shared" si="246"/>
        <v>0</v>
      </c>
      <c r="Y97" s="55"/>
      <c r="Z97" s="24">
        <f t="shared" ref="Z97:BE97" si="262">IF(Z6=$D$47,-$G$49,0)</f>
        <v>0</v>
      </c>
      <c r="AA97" s="24">
        <f t="shared" si="262"/>
        <v>0</v>
      </c>
      <c r="AB97" s="24">
        <f t="shared" si="262"/>
        <v>0</v>
      </c>
      <c r="AC97" s="24">
        <f t="shared" si="262"/>
        <v>0</v>
      </c>
      <c r="AD97" s="24">
        <f t="shared" si="262"/>
        <v>0</v>
      </c>
      <c r="AE97" s="24">
        <f t="shared" si="262"/>
        <v>0</v>
      </c>
      <c r="AF97" s="24">
        <f t="shared" si="262"/>
        <v>0</v>
      </c>
      <c r="AG97" s="24">
        <f t="shared" si="262"/>
        <v>0</v>
      </c>
      <c r="AH97" s="24">
        <f t="shared" si="262"/>
        <v>0</v>
      </c>
      <c r="AI97" s="24">
        <f t="shared" si="262"/>
        <v>0</v>
      </c>
      <c r="AJ97" s="24">
        <f t="shared" si="262"/>
        <v>0</v>
      </c>
      <c r="AK97" s="24">
        <f t="shared" si="262"/>
        <v>0</v>
      </c>
      <c r="AL97" s="24">
        <f t="shared" si="262"/>
        <v>0</v>
      </c>
      <c r="AM97" s="24">
        <f t="shared" si="262"/>
        <v>0</v>
      </c>
      <c r="AN97" s="24">
        <f t="shared" si="262"/>
        <v>0</v>
      </c>
      <c r="AO97" s="24">
        <f t="shared" si="262"/>
        <v>0</v>
      </c>
      <c r="AP97" s="24">
        <f t="shared" si="262"/>
        <v>0</v>
      </c>
      <c r="AQ97" s="24">
        <f t="shared" si="262"/>
        <v>0</v>
      </c>
      <c r="AR97" s="24">
        <f t="shared" si="262"/>
        <v>0</v>
      </c>
      <c r="AS97" s="24">
        <f t="shared" si="262"/>
        <v>0</v>
      </c>
      <c r="AT97" s="24">
        <f t="shared" si="262"/>
        <v>0</v>
      </c>
      <c r="AU97" s="24">
        <f t="shared" si="262"/>
        <v>0</v>
      </c>
      <c r="AV97" s="24">
        <f t="shared" si="262"/>
        <v>0</v>
      </c>
      <c r="AW97" s="24">
        <f t="shared" si="262"/>
        <v>0</v>
      </c>
      <c r="AX97" s="24">
        <f t="shared" ca="1" si="262"/>
        <v>-28959.100083175817</v>
      </c>
      <c r="AY97" s="24">
        <f t="shared" si="262"/>
        <v>0</v>
      </c>
      <c r="AZ97" s="24">
        <f t="shared" si="262"/>
        <v>0</v>
      </c>
      <c r="BA97" s="24">
        <f t="shared" si="262"/>
        <v>0</v>
      </c>
      <c r="BB97" s="24">
        <f t="shared" si="262"/>
        <v>0</v>
      </c>
      <c r="BC97" s="24">
        <f t="shared" si="262"/>
        <v>0</v>
      </c>
      <c r="BD97" s="24">
        <f t="shared" si="262"/>
        <v>0</v>
      </c>
      <c r="BE97" s="24">
        <f t="shared" si="262"/>
        <v>0</v>
      </c>
      <c r="BF97" s="24">
        <f t="shared" ref="BF97:CK97" si="263">IF(BF6=$D$47,-$G$49,0)</f>
        <v>0</v>
      </c>
      <c r="BG97" s="24">
        <f t="shared" si="263"/>
        <v>0</v>
      </c>
      <c r="BH97" s="24">
        <f t="shared" si="263"/>
        <v>0</v>
      </c>
      <c r="BI97" s="24">
        <f t="shared" si="263"/>
        <v>0</v>
      </c>
      <c r="BJ97" s="24">
        <f t="shared" si="263"/>
        <v>0</v>
      </c>
      <c r="BK97" s="24">
        <f t="shared" si="263"/>
        <v>0</v>
      </c>
      <c r="BL97" s="24">
        <f t="shared" si="263"/>
        <v>0</v>
      </c>
      <c r="BM97" s="24">
        <f t="shared" si="263"/>
        <v>0</v>
      </c>
      <c r="BN97" s="24">
        <f t="shared" si="263"/>
        <v>0</v>
      </c>
      <c r="BO97" s="24">
        <f t="shared" si="263"/>
        <v>0</v>
      </c>
      <c r="BP97" s="24">
        <f t="shared" si="263"/>
        <v>0</v>
      </c>
      <c r="BQ97" s="24">
        <f t="shared" si="263"/>
        <v>0</v>
      </c>
      <c r="BR97" s="24">
        <f t="shared" si="263"/>
        <v>0</v>
      </c>
      <c r="BS97" s="24">
        <f t="shared" si="263"/>
        <v>0</v>
      </c>
      <c r="BT97" s="24">
        <f t="shared" si="263"/>
        <v>0</v>
      </c>
      <c r="BU97" s="24">
        <f t="shared" si="263"/>
        <v>0</v>
      </c>
      <c r="BV97" s="24">
        <f t="shared" si="263"/>
        <v>0</v>
      </c>
      <c r="BW97" s="24">
        <f t="shared" si="263"/>
        <v>0</v>
      </c>
      <c r="BX97" s="24">
        <f t="shared" si="263"/>
        <v>0</v>
      </c>
      <c r="BY97" s="24">
        <f t="shared" si="263"/>
        <v>0</v>
      </c>
      <c r="BZ97" s="24">
        <f t="shared" si="263"/>
        <v>0</v>
      </c>
      <c r="CA97" s="24">
        <f t="shared" si="263"/>
        <v>0</v>
      </c>
      <c r="CB97" s="24">
        <f t="shared" si="263"/>
        <v>0</v>
      </c>
      <c r="CC97" s="24">
        <f t="shared" si="263"/>
        <v>0</v>
      </c>
      <c r="CD97" s="24">
        <f t="shared" si="263"/>
        <v>0</v>
      </c>
      <c r="CE97" s="24">
        <f t="shared" si="263"/>
        <v>0</v>
      </c>
      <c r="CF97" s="24">
        <f t="shared" si="263"/>
        <v>0</v>
      </c>
      <c r="CG97" s="24">
        <f t="shared" si="263"/>
        <v>0</v>
      </c>
      <c r="CH97" s="24">
        <f t="shared" si="263"/>
        <v>0</v>
      </c>
      <c r="CI97" s="24">
        <f t="shared" si="263"/>
        <v>0</v>
      </c>
      <c r="CJ97" s="24">
        <f t="shared" si="263"/>
        <v>0</v>
      </c>
      <c r="CK97" s="24">
        <f t="shared" si="263"/>
        <v>0</v>
      </c>
      <c r="CL97" s="24">
        <f t="shared" ref="CL97:DQ97" si="264">IF(CL6=$D$47,-$G$49,0)</f>
        <v>0</v>
      </c>
      <c r="CM97" s="24">
        <f t="shared" si="264"/>
        <v>0</v>
      </c>
      <c r="CN97" s="24">
        <f t="shared" si="264"/>
        <v>0</v>
      </c>
      <c r="CO97" s="24">
        <f t="shared" si="264"/>
        <v>0</v>
      </c>
      <c r="CP97" s="24">
        <f t="shared" si="264"/>
        <v>0</v>
      </c>
      <c r="CQ97" s="24">
        <f t="shared" si="264"/>
        <v>0</v>
      </c>
      <c r="CR97" s="24">
        <f t="shared" si="264"/>
        <v>0</v>
      </c>
      <c r="CS97" s="24">
        <f t="shared" si="264"/>
        <v>0</v>
      </c>
      <c r="CT97" s="24">
        <f t="shared" si="264"/>
        <v>0</v>
      </c>
      <c r="CU97" s="24">
        <f t="shared" si="264"/>
        <v>0</v>
      </c>
      <c r="CV97" s="24">
        <f t="shared" si="264"/>
        <v>0</v>
      </c>
      <c r="CW97" s="24">
        <f t="shared" si="264"/>
        <v>0</v>
      </c>
      <c r="CX97" s="24">
        <f t="shared" si="264"/>
        <v>0</v>
      </c>
      <c r="CY97" s="24">
        <f t="shared" si="264"/>
        <v>0</v>
      </c>
      <c r="CZ97" s="24">
        <f t="shared" si="264"/>
        <v>0</v>
      </c>
      <c r="DA97" s="24">
        <f t="shared" si="264"/>
        <v>0</v>
      </c>
      <c r="DB97" s="24">
        <f t="shared" si="264"/>
        <v>0</v>
      </c>
      <c r="DC97" s="24">
        <f t="shared" si="264"/>
        <v>0</v>
      </c>
      <c r="DD97" s="24">
        <f t="shared" si="264"/>
        <v>0</v>
      </c>
      <c r="DE97" s="24">
        <f t="shared" si="264"/>
        <v>0</v>
      </c>
      <c r="DF97" s="24">
        <f t="shared" si="264"/>
        <v>0</v>
      </c>
      <c r="DG97" s="24">
        <f t="shared" si="264"/>
        <v>0</v>
      </c>
      <c r="DH97" s="24">
        <f t="shared" si="264"/>
        <v>0</v>
      </c>
      <c r="DI97" s="24">
        <f t="shared" si="264"/>
        <v>0</v>
      </c>
      <c r="DJ97" s="24">
        <f t="shared" si="264"/>
        <v>0</v>
      </c>
      <c r="DK97" s="24">
        <f t="shared" si="264"/>
        <v>0</v>
      </c>
      <c r="DL97" s="24">
        <f t="shared" si="264"/>
        <v>0</v>
      </c>
      <c r="DM97" s="24">
        <f t="shared" si="264"/>
        <v>0</v>
      </c>
      <c r="DN97" s="24">
        <f t="shared" si="264"/>
        <v>0</v>
      </c>
      <c r="DO97" s="24">
        <f t="shared" si="264"/>
        <v>0</v>
      </c>
      <c r="DP97" s="24">
        <f t="shared" si="264"/>
        <v>0</v>
      </c>
      <c r="DQ97" s="24">
        <f t="shared" si="264"/>
        <v>0</v>
      </c>
      <c r="DR97" s="24">
        <f t="shared" ref="DR97:FB97" si="265">IF(DR6=$D$47,-$G$49,0)</f>
        <v>0</v>
      </c>
      <c r="DS97" s="24">
        <f t="shared" si="265"/>
        <v>0</v>
      </c>
      <c r="DT97" s="24">
        <f t="shared" si="265"/>
        <v>0</v>
      </c>
      <c r="DU97" s="24">
        <f t="shared" si="265"/>
        <v>0</v>
      </c>
      <c r="DV97" s="24">
        <f t="shared" si="265"/>
        <v>0</v>
      </c>
      <c r="DW97" s="24">
        <f t="shared" si="265"/>
        <v>0</v>
      </c>
      <c r="DX97" s="24">
        <f t="shared" si="265"/>
        <v>0</v>
      </c>
      <c r="DY97" s="24">
        <f t="shared" si="265"/>
        <v>0</v>
      </c>
      <c r="DZ97" s="24">
        <f t="shared" si="265"/>
        <v>0</v>
      </c>
      <c r="EA97" s="24">
        <f t="shared" si="265"/>
        <v>0</v>
      </c>
      <c r="EB97" s="24">
        <f t="shared" si="265"/>
        <v>0</v>
      </c>
      <c r="EC97" s="24">
        <f t="shared" si="265"/>
        <v>0</v>
      </c>
      <c r="ED97" s="24">
        <f t="shared" si="265"/>
        <v>0</v>
      </c>
      <c r="EE97" s="24">
        <f t="shared" si="265"/>
        <v>0</v>
      </c>
      <c r="EF97" s="24">
        <f t="shared" si="265"/>
        <v>0</v>
      </c>
      <c r="EG97" s="24">
        <f t="shared" si="265"/>
        <v>0</v>
      </c>
      <c r="EH97" s="24">
        <f t="shared" si="265"/>
        <v>0</v>
      </c>
      <c r="EI97" s="24">
        <f t="shared" si="265"/>
        <v>0</v>
      </c>
      <c r="EJ97" s="24">
        <f t="shared" si="265"/>
        <v>0</v>
      </c>
      <c r="EK97" s="24">
        <f t="shared" si="265"/>
        <v>0</v>
      </c>
      <c r="EL97" s="24">
        <f t="shared" si="265"/>
        <v>0</v>
      </c>
      <c r="EM97" s="24">
        <f t="shared" si="265"/>
        <v>0</v>
      </c>
      <c r="EN97" s="24">
        <f t="shared" si="265"/>
        <v>0</v>
      </c>
      <c r="EO97" s="24">
        <f t="shared" si="265"/>
        <v>0</v>
      </c>
      <c r="EP97" s="24">
        <f t="shared" si="265"/>
        <v>0</v>
      </c>
      <c r="EQ97" s="24">
        <f t="shared" si="265"/>
        <v>0</v>
      </c>
      <c r="ER97" s="24">
        <f t="shared" si="265"/>
        <v>0</v>
      </c>
      <c r="ES97" s="24">
        <f t="shared" si="265"/>
        <v>0</v>
      </c>
      <c r="ET97" s="24">
        <f t="shared" si="265"/>
        <v>0</v>
      </c>
      <c r="EU97" s="24">
        <f t="shared" si="265"/>
        <v>0</v>
      </c>
      <c r="EV97" s="24">
        <f t="shared" si="265"/>
        <v>0</v>
      </c>
      <c r="EW97" s="24">
        <f t="shared" si="265"/>
        <v>0</v>
      </c>
      <c r="EX97" s="24">
        <f t="shared" si="265"/>
        <v>0</v>
      </c>
      <c r="EY97" s="24">
        <f t="shared" si="265"/>
        <v>0</v>
      </c>
      <c r="EZ97" s="24">
        <f t="shared" si="265"/>
        <v>0</v>
      </c>
      <c r="FA97" s="24">
        <f t="shared" si="265"/>
        <v>0</v>
      </c>
      <c r="FB97" s="24">
        <f t="shared" si="265"/>
        <v>0</v>
      </c>
    </row>
    <row r="98" spans="1:158" s="46" customFormat="1">
      <c r="A98" s="64"/>
      <c r="B98" s="286"/>
      <c r="C98" s="287"/>
      <c r="D98" s="287"/>
      <c r="E98" s="287"/>
      <c r="F98" s="287"/>
      <c r="G98" s="287"/>
      <c r="H98" s="64"/>
      <c r="I98" s="9" t="s">
        <v>126</v>
      </c>
      <c r="J98" s="9"/>
      <c r="K98" s="11"/>
      <c r="L98" s="24">
        <f t="shared" ca="1" si="240"/>
        <v>5791820.0166351637</v>
      </c>
      <c r="M98" s="55"/>
      <c r="N98" s="24">
        <f t="shared" si="246"/>
        <v>0</v>
      </c>
      <c r="O98" s="24">
        <f t="shared" si="246"/>
        <v>0</v>
      </c>
      <c r="P98" s="24">
        <f ca="1">SUMIF($Z$3:$FB$3,P$7,$Z98:$FB98)</f>
        <v>5791820.0166351637</v>
      </c>
      <c r="Q98" s="24">
        <f t="shared" si="246"/>
        <v>0</v>
      </c>
      <c r="R98" s="24">
        <f t="shared" si="246"/>
        <v>0</v>
      </c>
      <c r="S98" s="24">
        <f t="shared" si="246"/>
        <v>0</v>
      </c>
      <c r="T98" s="24">
        <f t="shared" si="246"/>
        <v>0</v>
      </c>
      <c r="U98" s="24">
        <f t="shared" si="246"/>
        <v>0</v>
      </c>
      <c r="V98" s="24">
        <f t="shared" si="246"/>
        <v>0</v>
      </c>
      <c r="W98" s="24">
        <f t="shared" si="246"/>
        <v>0</v>
      </c>
      <c r="X98" s="24">
        <f t="shared" si="246"/>
        <v>0</v>
      </c>
      <c r="Y98" s="55"/>
      <c r="Z98" s="24">
        <f t="shared" ref="Z98:BE98" si="266">IF(Z6=$D$47,Z153,0)</f>
        <v>0</v>
      </c>
      <c r="AA98" s="24">
        <f t="shared" si="266"/>
        <v>0</v>
      </c>
      <c r="AB98" s="24">
        <f t="shared" si="266"/>
        <v>0</v>
      </c>
      <c r="AC98" s="24">
        <f t="shared" si="266"/>
        <v>0</v>
      </c>
      <c r="AD98" s="24">
        <f t="shared" si="266"/>
        <v>0</v>
      </c>
      <c r="AE98" s="24">
        <f t="shared" si="266"/>
        <v>0</v>
      </c>
      <c r="AF98" s="24">
        <f t="shared" si="266"/>
        <v>0</v>
      </c>
      <c r="AG98" s="24">
        <f t="shared" si="266"/>
        <v>0</v>
      </c>
      <c r="AH98" s="24">
        <f t="shared" si="266"/>
        <v>0</v>
      </c>
      <c r="AI98" s="24">
        <f t="shared" si="266"/>
        <v>0</v>
      </c>
      <c r="AJ98" s="24">
        <f t="shared" si="266"/>
        <v>0</v>
      </c>
      <c r="AK98" s="24">
        <f t="shared" si="266"/>
        <v>0</v>
      </c>
      <c r="AL98" s="24">
        <f t="shared" si="266"/>
        <v>0</v>
      </c>
      <c r="AM98" s="24">
        <f t="shared" si="266"/>
        <v>0</v>
      </c>
      <c r="AN98" s="24">
        <f t="shared" si="266"/>
        <v>0</v>
      </c>
      <c r="AO98" s="24">
        <f t="shared" si="266"/>
        <v>0</v>
      </c>
      <c r="AP98" s="24">
        <f t="shared" si="266"/>
        <v>0</v>
      </c>
      <c r="AQ98" s="24">
        <f t="shared" si="266"/>
        <v>0</v>
      </c>
      <c r="AR98" s="24">
        <f t="shared" si="266"/>
        <v>0</v>
      </c>
      <c r="AS98" s="24">
        <f t="shared" si="266"/>
        <v>0</v>
      </c>
      <c r="AT98" s="24">
        <f t="shared" si="266"/>
        <v>0</v>
      </c>
      <c r="AU98" s="24">
        <f t="shared" si="266"/>
        <v>0</v>
      </c>
      <c r="AV98" s="24">
        <f t="shared" si="266"/>
        <v>0</v>
      </c>
      <c r="AW98" s="24">
        <f t="shared" si="266"/>
        <v>0</v>
      </c>
      <c r="AX98" s="24">
        <f t="shared" ca="1" si="266"/>
        <v>5791820.0166351637</v>
      </c>
      <c r="AY98" s="24">
        <f t="shared" si="266"/>
        <v>0</v>
      </c>
      <c r="AZ98" s="24">
        <f t="shared" si="266"/>
        <v>0</v>
      </c>
      <c r="BA98" s="24">
        <f t="shared" si="266"/>
        <v>0</v>
      </c>
      <c r="BB98" s="24">
        <f t="shared" si="266"/>
        <v>0</v>
      </c>
      <c r="BC98" s="24">
        <f t="shared" si="266"/>
        <v>0</v>
      </c>
      <c r="BD98" s="24">
        <f t="shared" si="266"/>
        <v>0</v>
      </c>
      <c r="BE98" s="24">
        <f t="shared" si="266"/>
        <v>0</v>
      </c>
      <c r="BF98" s="24">
        <f t="shared" ref="BF98:CK98" si="267">IF(BF6=$D$47,BF153,0)</f>
        <v>0</v>
      </c>
      <c r="BG98" s="24">
        <f t="shared" si="267"/>
        <v>0</v>
      </c>
      <c r="BH98" s="24">
        <f t="shared" si="267"/>
        <v>0</v>
      </c>
      <c r="BI98" s="24">
        <f t="shared" si="267"/>
        <v>0</v>
      </c>
      <c r="BJ98" s="24">
        <f t="shared" si="267"/>
        <v>0</v>
      </c>
      <c r="BK98" s="24">
        <f t="shared" si="267"/>
        <v>0</v>
      </c>
      <c r="BL98" s="24">
        <f t="shared" si="267"/>
        <v>0</v>
      </c>
      <c r="BM98" s="24">
        <f t="shared" si="267"/>
        <v>0</v>
      </c>
      <c r="BN98" s="24">
        <f t="shared" si="267"/>
        <v>0</v>
      </c>
      <c r="BO98" s="24">
        <f t="shared" si="267"/>
        <v>0</v>
      </c>
      <c r="BP98" s="24">
        <f t="shared" si="267"/>
        <v>0</v>
      </c>
      <c r="BQ98" s="24">
        <f t="shared" si="267"/>
        <v>0</v>
      </c>
      <c r="BR98" s="24">
        <f t="shared" si="267"/>
        <v>0</v>
      </c>
      <c r="BS98" s="24">
        <f t="shared" si="267"/>
        <v>0</v>
      </c>
      <c r="BT98" s="24">
        <f t="shared" si="267"/>
        <v>0</v>
      </c>
      <c r="BU98" s="24">
        <f t="shared" si="267"/>
        <v>0</v>
      </c>
      <c r="BV98" s="24">
        <f t="shared" si="267"/>
        <v>0</v>
      </c>
      <c r="BW98" s="24">
        <f t="shared" si="267"/>
        <v>0</v>
      </c>
      <c r="BX98" s="24">
        <f t="shared" si="267"/>
        <v>0</v>
      </c>
      <c r="BY98" s="24">
        <f t="shared" si="267"/>
        <v>0</v>
      </c>
      <c r="BZ98" s="24">
        <f t="shared" si="267"/>
        <v>0</v>
      </c>
      <c r="CA98" s="24">
        <f t="shared" si="267"/>
        <v>0</v>
      </c>
      <c r="CB98" s="24">
        <f t="shared" si="267"/>
        <v>0</v>
      </c>
      <c r="CC98" s="24">
        <f t="shared" si="267"/>
        <v>0</v>
      </c>
      <c r="CD98" s="24">
        <f t="shared" si="267"/>
        <v>0</v>
      </c>
      <c r="CE98" s="24">
        <f t="shared" si="267"/>
        <v>0</v>
      </c>
      <c r="CF98" s="24">
        <f t="shared" si="267"/>
        <v>0</v>
      </c>
      <c r="CG98" s="24">
        <f t="shared" si="267"/>
        <v>0</v>
      </c>
      <c r="CH98" s="24">
        <f t="shared" si="267"/>
        <v>0</v>
      </c>
      <c r="CI98" s="24">
        <f t="shared" si="267"/>
        <v>0</v>
      </c>
      <c r="CJ98" s="24">
        <f t="shared" si="267"/>
        <v>0</v>
      </c>
      <c r="CK98" s="24">
        <f t="shared" si="267"/>
        <v>0</v>
      </c>
      <c r="CL98" s="24">
        <f t="shared" ref="CL98:DQ98" si="268">IF(CL6=$D$47,CL153,0)</f>
        <v>0</v>
      </c>
      <c r="CM98" s="24">
        <f t="shared" si="268"/>
        <v>0</v>
      </c>
      <c r="CN98" s="24">
        <f t="shared" si="268"/>
        <v>0</v>
      </c>
      <c r="CO98" s="24">
        <f t="shared" si="268"/>
        <v>0</v>
      </c>
      <c r="CP98" s="24">
        <f t="shared" si="268"/>
        <v>0</v>
      </c>
      <c r="CQ98" s="24">
        <f t="shared" si="268"/>
        <v>0</v>
      </c>
      <c r="CR98" s="24">
        <f t="shared" si="268"/>
        <v>0</v>
      </c>
      <c r="CS98" s="24">
        <f t="shared" si="268"/>
        <v>0</v>
      </c>
      <c r="CT98" s="24">
        <f t="shared" si="268"/>
        <v>0</v>
      </c>
      <c r="CU98" s="24">
        <f t="shared" si="268"/>
        <v>0</v>
      </c>
      <c r="CV98" s="24">
        <f t="shared" si="268"/>
        <v>0</v>
      </c>
      <c r="CW98" s="24">
        <f t="shared" si="268"/>
        <v>0</v>
      </c>
      <c r="CX98" s="24">
        <f t="shared" si="268"/>
        <v>0</v>
      </c>
      <c r="CY98" s="24">
        <f t="shared" si="268"/>
        <v>0</v>
      </c>
      <c r="CZ98" s="24">
        <f t="shared" si="268"/>
        <v>0</v>
      </c>
      <c r="DA98" s="24">
        <f t="shared" si="268"/>
        <v>0</v>
      </c>
      <c r="DB98" s="24">
        <f t="shared" si="268"/>
        <v>0</v>
      </c>
      <c r="DC98" s="24">
        <f t="shared" si="268"/>
        <v>0</v>
      </c>
      <c r="DD98" s="24">
        <f t="shared" si="268"/>
        <v>0</v>
      </c>
      <c r="DE98" s="24">
        <f t="shared" si="268"/>
        <v>0</v>
      </c>
      <c r="DF98" s="24">
        <f t="shared" si="268"/>
        <v>0</v>
      </c>
      <c r="DG98" s="24">
        <f t="shared" si="268"/>
        <v>0</v>
      </c>
      <c r="DH98" s="24">
        <f t="shared" si="268"/>
        <v>0</v>
      </c>
      <c r="DI98" s="24">
        <f t="shared" si="268"/>
        <v>0</v>
      </c>
      <c r="DJ98" s="24">
        <f t="shared" si="268"/>
        <v>0</v>
      </c>
      <c r="DK98" s="24">
        <f t="shared" si="268"/>
        <v>0</v>
      </c>
      <c r="DL98" s="24">
        <f t="shared" si="268"/>
        <v>0</v>
      </c>
      <c r="DM98" s="24">
        <f t="shared" si="268"/>
        <v>0</v>
      </c>
      <c r="DN98" s="24">
        <f t="shared" si="268"/>
        <v>0</v>
      </c>
      <c r="DO98" s="24">
        <f t="shared" si="268"/>
        <v>0</v>
      </c>
      <c r="DP98" s="24">
        <f t="shared" si="268"/>
        <v>0</v>
      </c>
      <c r="DQ98" s="24">
        <f t="shared" si="268"/>
        <v>0</v>
      </c>
      <c r="DR98" s="24">
        <f t="shared" ref="DR98:FB98" si="269">IF(DR6=$D$47,DR153,0)</f>
        <v>0</v>
      </c>
      <c r="DS98" s="24">
        <f t="shared" si="269"/>
        <v>0</v>
      </c>
      <c r="DT98" s="24">
        <f t="shared" si="269"/>
        <v>0</v>
      </c>
      <c r="DU98" s="24">
        <f t="shared" si="269"/>
        <v>0</v>
      </c>
      <c r="DV98" s="24">
        <f t="shared" si="269"/>
        <v>0</v>
      </c>
      <c r="DW98" s="24">
        <f t="shared" si="269"/>
        <v>0</v>
      </c>
      <c r="DX98" s="24">
        <f t="shared" si="269"/>
        <v>0</v>
      </c>
      <c r="DY98" s="24">
        <f t="shared" si="269"/>
        <v>0</v>
      </c>
      <c r="DZ98" s="24">
        <f t="shared" si="269"/>
        <v>0</v>
      </c>
      <c r="EA98" s="24">
        <f t="shared" si="269"/>
        <v>0</v>
      </c>
      <c r="EB98" s="24">
        <f t="shared" si="269"/>
        <v>0</v>
      </c>
      <c r="EC98" s="24">
        <f t="shared" si="269"/>
        <v>0</v>
      </c>
      <c r="ED98" s="24">
        <f t="shared" si="269"/>
        <v>0</v>
      </c>
      <c r="EE98" s="24">
        <f t="shared" si="269"/>
        <v>0</v>
      </c>
      <c r="EF98" s="24">
        <f t="shared" si="269"/>
        <v>0</v>
      </c>
      <c r="EG98" s="24">
        <f t="shared" si="269"/>
        <v>0</v>
      </c>
      <c r="EH98" s="24">
        <f t="shared" si="269"/>
        <v>0</v>
      </c>
      <c r="EI98" s="24">
        <f t="shared" si="269"/>
        <v>0</v>
      </c>
      <c r="EJ98" s="24">
        <f t="shared" si="269"/>
        <v>0</v>
      </c>
      <c r="EK98" s="24">
        <f t="shared" si="269"/>
        <v>0</v>
      </c>
      <c r="EL98" s="24">
        <f t="shared" si="269"/>
        <v>0</v>
      </c>
      <c r="EM98" s="24">
        <f t="shared" si="269"/>
        <v>0</v>
      </c>
      <c r="EN98" s="24">
        <f t="shared" si="269"/>
        <v>0</v>
      </c>
      <c r="EO98" s="24">
        <f t="shared" si="269"/>
        <v>0</v>
      </c>
      <c r="EP98" s="24">
        <f t="shared" si="269"/>
        <v>0</v>
      </c>
      <c r="EQ98" s="24">
        <f t="shared" si="269"/>
        <v>0</v>
      </c>
      <c r="ER98" s="24">
        <f t="shared" si="269"/>
        <v>0</v>
      </c>
      <c r="ES98" s="24">
        <f t="shared" si="269"/>
        <v>0</v>
      </c>
      <c r="ET98" s="24">
        <f t="shared" si="269"/>
        <v>0</v>
      </c>
      <c r="EU98" s="24">
        <f t="shared" si="269"/>
        <v>0</v>
      </c>
      <c r="EV98" s="24">
        <f t="shared" si="269"/>
        <v>0</v>
      </c>
      <c r="EW98" s="24">
        <f t="shared" si="269"/>
        <v>0</v>
      </c>
      <c r="EX98" s="24">
        <f t="shared" si="269"/>
        <v>0</v>
      </c>
      <c r="EY98" s="24">
        <f t="shared" si="269"/>
        <v>0</v>
      </c>
      <c r="EZ98" s="24">
        <f t="shared" si="269"/>
        <v>0</v>
      </c>
      <c r="FA98" s="24">
        <f t="shared" si="269"/>
        <v>0</v>
      </c>
      <c r="FB98" s="24">
        <f t="shared" si="269"/>
        <v>0</v>
      </c>
    </row>
    <row r="99" spans="1:158">
      <c r="A99" s="32"/>
      <c r="B99" s="288"/>
      <c r="C99" s="288"/>
      <c r="D99" s="288"/>
      <c r="E99" s="288"/>
      <c r="F99" s="288"/>
      <c r="G99" s="288"/>
      <c r="I99" s="9" t="s">
        <v>130</v>
      </c>
      <c r="L99" s="24">
        <f t="shared" ca="1" si="240"/>
        <v>-3291586.2104110173</v>
      </c>
      <c r="M99" s="55"/>
      <c r="N99" s="24">
        <f t="shared" si="246"/>
        <v>0</v>
      </c>
      <c r="O99" s="24">
        <f t="shared" si="246"/>
        <v>0</v>
      </c>
      <c r="P99" s="24">
        <f t="shared" si="246"/>
        <v>0</v>
      </c>
      <c r="Q99" s="24">
        <f t="shared" ref="Q99:X99" ca="1" si="270">SUMIF($Z$3:$FB$3,Q$7,$Z99:$FB99)</f>
        <v>-361988.75103969773</v>
      </c>
      <c r="R99" s="24">
        <f t="shared" ca="1" si="270"/>
        <v>-361988.75103969773</v>
      </c>
      <c r="S99" s="24">
        <f t="shared" ca="1" si="270"/>
        <v>-427934.78472193686</v>
      </c>
      <c r="T99" s="24">
        <f t="shared" ca="1" si="270"/>
        <v>-427934.78472193686</v>
      </c>
      <c r="U99" s="24">
        <f t="shared" ca="1" si="270"/>
        <v>-427934.78472193686</v>
      </c>
      <c r="V99" s="24">
        <f t="shared" ca="1" si="270"/>
        <v>-427934.78472193686</v>
      </c>
      <c r="W99" s="24">
        <f t="shared" ca="1" si="270"/>
        <v>-427934.78472193686</v>
      </c>
      <c r="X99" s="24">
        <f t="shared" ca="1" si="270"/>
        <v>-427934.78472193686</v>
      </c>
      <c r="Y99" s="55"/>
      <c r="Z99" s="24">
        <f t="shared" ref="Z99:AX99" si="271">SUM(Z155:Z156)</f>
        <v>0</v>
      </c>
      <c r="AA99" s="24">
        <f t="shared" si="271"/>
        <v>0</v>
      </c>
      <c r="AB99" s="24">
        <f t="shared" si="271"/>
        <v>0</v>
      </c>
      <c r="AC99" s="24">
        <f t="shared" si="271"/>
        <v>0</v>
      </c>
      <c r="AD99" s="24">
        <f t="shared" si="271"/>
        <v>0</v>
      </c>
      <c r="AE99" s="24">
        <f t="shared" si="271"/>
        <v>0</v>
      </c>
      <c r="AF99" s="24">
        <f t="shared" si="271"/>
        <v>0</v>
      </c>
      <c r="AG99" s="24">
        <f t="shared" si="271"/>
        <v>0</v>
      </c>
      <c r="AH99" s="24">
        <f t="shared" si="271"/>
        <v>0</v>
      </c>
      <c r="AI99" s="24">
        <f t="shared" si="271"/>
        <v>0</v>
      </c>
      <c r="AJ99" s="24">
        <f t="shared" si="271"/>
        <v>0</v>
      </c>
      <c r="AK99" s="24">
        <f t="shared" si="271"/>
        <v>0</v>
      </c>
      <c r="AL99" s="24">
        <f t="shared" si="271"/>
        <v>0</v>
      </c>
      <c r="AM99" s="24">
        <f t="shared" si="271"/>
        <v>0</v>
      </c>
      <c r="AN99" s="24">
        <f t="shared" si="271"/>
        <v>0</v>
      </c>
      <c r="AO99" s="24">
        <f t="shared" si="271"/>
        <v>0</v>
      </c>
      <c r="AP99" s="24">
        <f t="shared" si="271"/>
        <v>0</v>
      </c>
      <c r="AQ99" s="24">
        <f t="shared" si="271"/>
        <v>0</v>
      </c>
      <c r="AR99" s="24">
        <f t="shared" si="271"/>
        <v>0</v>
      </c>
      <c r="AS99" s="24">
        <f t="shared" si="271"/>
        <v>0</v>
      </c>
      <c r="AT99" s="24">
        <f t="shared" si="271"/>
        <v>0</v>
      </c>
      <c r="AU99" s="24">
        <f t="shared" si="271"/>
        <v>0</v>
      </c>
      <c r="AV99" s="24">
        <f t="shared" si="271"/>
        <v>0</v>
      </c>
      <c r="AW99" s="24">
        <f t="shared" si="271"/>
        <v>0</v>
      </c>
      <c r="AX99" s="24">
        <f t="shared" si="271"/>
        <v>0</v>
      </c>
      <c r="AY99" s="24">
        <f t="shared" ref="AY99:CD99" ca="1" si="272">SUM(AY155:AY156)</f>
        <v>-30165.729253308145</v>
      </c>
      <c r="AZ99" s="24">
        <f t="shared" ca="1" si="272"/>
        <v>-30165.729253308145</v>
      </c>
      <c r="BA99" s="24">
        <f t="shared" ca="1" si="272"/>
        <v>-30165.729253308145</v>
      </c>
      <c r="BB99" s="24">
        <f t="shared" ca="1" si="272"/>
        <v>-30165.729253308145</v>
      </c>
      <c r="BC99" s="24">
        <f t="shared" ca="1" si="272"/>
        <v>-30165.729253308145</v>
      </c>
      <c r="BD99" s="24">
        <f t="shared" ca="1" si="272"/>
        <v>-30165.729253308145</v>
      </c>
      <c r="BE99" s="24">
        <f t="shared" ca="1" si="272"/>
        <v>-30165.729253308145</v>
      </c>
      <c r="BF99" s="24">
        <f t="shared" ca="1" si="272"/>
        <v>-30165.729253308145</v>
      </c>
      <c r="BG99" s="24">
        <f t="shared" ca="1" si="272"/>
        <v>-30165.729253308145</v>
      </c>
      <c r="BH99" s="24">
        <f t="shared" ca="1" si="272"/>
        <v>-30165.729253308145</v>
      </c>
      <c r="BI99" s="24">
        <f t="shared" ca="1" si="272"/>
        <v>-30165.729253308145</v>
      </c>
      <c r="BJ99" s="24">
        <f t="shared" ca="1" si="272"/>
        <v>-30165.729253308145</v>
      </c>
      <c r="BK99" s="24">
        <f t="shared" ca="1" si="272"/>
        <v>-30165.729253308145</v>
      </c>
      <c r="BL99" s="24">
        <f t="shared" ca="1" si="272"/>
        <v>-30165.729253308145</v>
      </c>
      <c r="BM99" s="24">
        <f t="shared" ca="1" si="272"/>
        <v>-30165.729253308145</v>
      </c>
      <c r="BN99" s="24">
        <f t="shared" ca="1" si="272"/>
        <v>-30165.729253308145</v>
      </c>
      <c r="BO99" s="24">
        <f t="shared" ca="1" si="272"/>
        <v>-30165.729253308145</v>
      </c>
      <c r="BP99" s="24">
        <f t="shared" ca="1" si="272"/>
        <v>-30165.729253308145</v>
      </c>
      <c r="BQ99" s="24">
        <f t="shared" ca="1" si="272"/>
        <v>-30165.729253308145</v>
      </c>
      <c r="BR99" s="24">
        <f t="shared" ca="1" si="272"/>
        <v>-30165.729253308145</v>
      </c>
      <c r="BS99" s="24">
        <f t="shared" ca="1" si="272"/>
        <v>-30165.729253308145</v>
      </c>
      <c r="BT99" s="24">
        <f t="shared" ca="1" si="272"/>
        <v>-30165.729253308145</v>
      </c>
      <c r="BU99" s="24">
        <f t="shared" ca="1" si="272"/>
        <v>-30165.729253308145</v>
      </c>
      <c r="BV99" s="24">
        <f t="shared" ca="1" si="272"/>
        <v>-30165.729253308145</v>
      </c>
      <c r="BW99" s="24">
        <f t="shared" ca="1" si="272"/>
        <v>-35661.232060161397</v>
      </c>
      <c r="BX99" s="24">
        <f t="shared" ca="1" si="272"/>
        <v>-35661.232060161397</v>
      </c>
      <c r="BY99" s="24">
        <f t="shared" ca="1" si="272"/>
        <v>-35661.232060161397</v>
      </c>
      <c r="BZ99" s="24">
        <f t="shared" ca="1" si="272"/>
        <v>-35661.232060161397</v>
      </c>
      <c r="CA99" s="24">
        <f t="shared" ca="1" si="272"/>
        <v>-35661.232060161397</v>
      </c>
      <c r="CB99" s="24">
        <f t="shared" ca="1" si="272"/>
        <v>-35661.232060161397</v>
      </c>
      <c r="CC99" s="24">
        <f t="shared" ca="1" si="272"/>
        <v>-35661.232060161397</v>
      </c>
      <c r="CD99" s="24">
        <f t="shared" ca="1" si="272"/>
        <v>-35661.232060161397</v>
      </c>
      <c r="CE99" s="24">
        <f t="shared" ref="CE99:DJ99" ca="1" si="273">SUM(CE155:CE156)</f>
        <v>-35661.232060161397</v>
      </c>
      <c r="CF99" s="24">
        <f t="shared" ca="1" si="273"/>
        <v>-35661.232060161397</v>
      </c>
      <c r="CG99" s="24">
        <f t="shared" ca="1" si="273"/>
        <v>-35661.232060161397</v>
      </c>
      <c r="CH99" s="24">
        <f t="shared" ca="1" si="273"/>
        <v>-35661.232060161397</v>
      </c>
      <c r="CI99" s="24">
        <f t="shared" ca="1" si="273"/>
        <v>-35661.232060161397</v>
      </c>
      <c r="CJ99" s="24">
        <f t="shared" ca="1" si="273"/>
        <v>-35661.232060161397</v>
      </c>
      <c r="CK99" s="24">
        <f t="shared" ca="1" si="273"/>
        <v>-35661.232060161397</v>
      </c>
      <c r="CL99" s="24">
        <f t="shared" ca="1" si="273"/>
        <v>-35661.232060161397</v>
      </c>
      <c r="CM99" s="24">
        <f t="shared" ca="1" si="273"/>
        <v>-35661.232060161397</v>
      </c>
      <c r="CN99" s="24">
        <f t="shared" ca="1" si="273"/>
        <v>-35661.232060161397</v>
      </c>
      <c r="CO99" s="24">
        <f t="shared" ca="1" si="273"/>
        <v>-35661.232060161397</v>
      </c>
      <c r="CP99" s="24">
        <f t="shared" ca="1" si="273"/>
        <v>-35661.232060161397</v>
      </c>
      <c r="CQ99" s="24">
        <f t="shared" ca="1" si="273"/>
        <v>-35661.232060161397</v>
      </c>
      <c r="CR99" s="24">
        <f t="shared" ca="1" si="273"/>
        <v>-35661.232060161397</v>
      </c>
      <c r="CS99" s="24">
        <f t="shared" ca="1" si="273"/>
        <v>-35661.232060161397</v>
      </c>
      <c r="CT99" s="24">
        <f t="shared" ca="1" si="273"/>
        <v>-35661.232060161397</v>
      </c>
      <c r="CU99" s="24">
        <f t="shared" ca="1" si="273"/>
        <v>-35661.232060161397</v>
      </c>
      <c r="CV99" s="24">
        <f t="shared" ca="1" si="273"/>
        <v>-35661.232060161397</v>
      </c>
      <c r="CW99" s="24">
        <f t="shared" ca="1" si="273"/>
        <v>-35661.232060161397</v>
      </c>
      <c r="CX99" s="24">
        <f t="shared" ca="1" si="273"/>
        <v>-35661.232060161397</v>
      </c>
      <c r="CY99" s="24">
        <f t="shared" ca="1" si="273"/>
        <v>-35661.232060161397</v>
      </c>
      <c r="CZ99" s="24">
        <f t="shared" ca="1" si="273"/>
        <v>-35661.232060161397</v>
      </c>
      <c r="DA99" s="24">
        <f t="shared" ca="1" si="273"/>
        <v>-35661.232060161397</v>
      </c>
      <c r="DB99" s="24">
        <f t="shared" ca="1" si="273"/>
        <v>-35661.232060161397</v>
      </c>
      <c r="DC99" s="24">
        <f t="shared" ca="1" si="273"/>
        <v>-35661.232060161397</v>
      </c>
      <c r="DD99" s="24">
        <f t="shared" ca="1" si="273"/>
        <v>-35661.232060161397</v>
      </c>
      <c r="DE99" s="24">
        <f t="shared" ca="1" si="273"/>
        <v>-35661.232060161397</v>
      </c>
      <c r="DF99" s="24">
        <f t="shared" ca="1" si="273"/>
        <v>-35661.232060161397</v>
      </c>
      <c r="DG99" s="24">
        <f t="shared" ca="1" si="273"/>
        <v>-35661.232060161397</v>
      </c>
      <c r="DH99" s="24">
        <f t="shared" ca="1" si="273"/>
        <v>-35661.232060161397</v>
      </c>
      <c r="DI99" s="24">
        <f t="shared" ca="1" si="273"/>
        <v>-35661.232060161397</v>
      </c>
      <c r="DJ99" s="24">
        <f t="shared" ca="1" si="273"/>
        <v>-35661.232060161397</v>
      </c>
      <c r="DK99" s="24">
        <f t="shared" ref="DK99:EP99" ca="1" si="274">SUM(DK155:DK156)</f>
        <v>-35661.232060161397</v>
      </c>
      <c r="DL99" s="24">
        <f t="shared" ca="1" si="274"/>
        <v>-35661.232060161397</v>
      </c>
      <c r="DM99" s="24">
        <f t="shared" ca="1" si="274"/>
        <v>-35661.232060161397</v>
      </c>
      <c r="DN99" s="24">
        <f t="shared" ca="1" si="274"/>
        <v>-35661.232060161397</v>
      </c>
      <c r="DO99" s="24">
        <f t="shared" ca="1" si="274"/>
        <v>-35661.232060161397</v>
      </c>
      <c r="DP99" s="24">
        <f t="shared" ca="1" si="274"/>
        <v>-35661.232060161397</v>
      </c>
      <c r="DQ99" s="24">
        <f t="shared" ca="1" si="274"/>
        <v>-35661.232060161397</v>
      </c>
      <c r="DR99" s="24">
        <f t="shared" ca="1" si="274"/>
        <v>-35661.232060161397</v>
      </c>
      <c r="DS99" s="24">
        <f t="shared" ca="1" si="274"/>
        <v>-35661.232060161397</v>
      </c>
      <c r="DT99" s="24">
        <f t="shared" ca="1" si="274"/>
        <v>-35661.232060161397</v>
      </c>
      <c r="DU99" s="24">
        <f t="shared" ca="1" si="274"/>
        <v>-35661.232060161397</v>
      </c>
      <c r="DV99" s="24">
        <f t="shared" ca="1" si="274"/>
        <v>-35661.232060161397</v>
      </c>
      <c r="DW99" s="24">
        <f t="shared" ca="1" si="274"/>
        <v>-35661.232060161397</v>
      </c>
      <c r="DX99" s="24">
        <f t="shared" ca="1" si="274"/>
        <v>-35661.232060161397</v>
      </c>
      <c r="DY99" s="24">
        <f t="shared" ca="1" si="274"/>
        <v>-35661.232060161397</v>
      </c>
      <c r="DZ99" s="24">
        <f t="shared" ca="1" si="274"/>
        <v>-35661.232060161397</v>
      </c>
      <c r="EA99" s="24">
        <f t="shared" ca="1" si="274"/>
        <v>-35661.232060161397</v>
      </c>
      <c r="EB99" s="24">
        <f t="shared" ca="1" si="274"/>
        <v>-35661.232060161397</v>
      </c>
      <c r="EC99" s="24">
        <f t="shared" ca="1" si="274"/>
        <v>-35661.232060161397</v>
      </c>
      <c r="ED99" s="24">
        <f t="shared" ca="1" si="274"/>
        <v>-35661.232060161397</v>
      </c>
      <c r="EE99" s="24">
        <f t="shared" ca="1" si="274"/>
        <v>-35661.232060161397</v>
      </c>
      <c r="EF99" s="24">
        <f t="shared" ca="1" si="274"/>
        <v>-35661.232060161397</v>
      </c>
      <c r="EG99" s="24">
        <f t="shared" ca="1" si="274"/>
        <v>-35661.232060161397</v>
      </c>
      <c r="EH99" s="24">
        <f t="shared" ca="1" si="274"/>
        <v>-35661.232060161397</v>
      </c>
      <c r="EI99" s="24">
        <f t="shared" ca="1" si="274"/>
        <v>-35661.232060161397</v>
      </c>
      <c r="EJ99" s="24">
        <f t="shared" ca="1" si="274"/>
        <v>-35661.232060161397</v>
      </c>
      <c r="EK99" s="24">
        <f t="shared" ca="1" si="274"/>
        <v>-35661.232060161397</v>
      </c>
      <c r="EL99" s="24">
        <f t="shared" ca="1" si="274"/>
        <v>-35661.232060161397</v>
      </c>
      <c r="EM99" s="24">
        <f t="shared" ca="1" si="274"/>
        <v>-35661.232060161397</v>
      </c>
      <c r="EN99" s="24">
        <f t="shared" ca="1" si="274"/>
        <v>-35661.232060161397</v>
      </c>
      <c r="EO99" s="24">
        <f t="shared" ca="1" si="274"/>
        <v>-35661.232060161397</v>
      </c>
      <c r="EP99" s="24">
        <f t="shared" ca="1" si="274"/>
        <v>-35661.232060161397</v>
      </c>
      <c r="EQ99" s="24">
        <f t="shared" ref="EQ99:FB99" ca="1" si="275">SUM(EQ155:EQ156)</f>
        <v>0</v>
      </c>
      <c r="ER99" s="24">
        <f t="shared" ca="1" si="275"/>
        <v>0</v>
      </c>
      <c r="ES99" s="24">
        <f t="shared" ca="1" si="275"/>
        <v>0</v>
      </c>
      <c r="ET99" s="24">
        <f t="shared" ca="1" si="275"/>
        <v>0</v>
      </c>
      <c r="EU99" s="24">
        <f t="shared" ca="1" si="275"/>
        <v>0</v>
      </c>
      <c r="EV99" s="24">
        <f t="shared" ca="1" si="275"/>
        <v>0</v>
      </c>
      <c r="EW99" s="24">
        <f t="shared" ca="1" si="275"/>
        <v>0</v>
      </c>
      <c r="EX99" s="24">
        <f t="shared" ca="1" si="275"/>
        <v>0</v>
      </c>
      <c r="EY99" s="24">
        <f t="shared" ca="1" si="275"/>
        <v>0</v>
      </c>
      <c r="EZ99" s="24">
        <f t="shared" ca="1" si="275"/>
        <v>0</v>
      </c>
      <c r="FA99" s="24">
        <f t="shared" ca="1" si="275"/>
        <v>0</v>
      </c>
      <c r="FB99" s="24">
        <f t="shared" ca="1" si="275"/>
        <v>0</v>
      </c>
    </row>
    <row r="100" spans="1:158">
      <c r="B100" s="286"/>
      <c r="C100" s="289"/>
      <c r="D100" s="289"/>
      <c r="E100" s="289"/>
      <c r="F100" s="289"/>
      <c r="G100" s="289"/>
      <c r="I100" s="9" t="s">
        <v>132</v>
      </c>
      <c r="L100" s="24">
        <f t="shared" ca="1" si="240"/>
        <v>-5313235.2710151961</v>
      </c>
      <c r="M100" s="55"/>
      <c r="N100" s="24">
        <f t="shared" si="246"/>
        <v>0</v>
      </c>
      <c r="O100" s="24">
        <f t="shared" si="246"/>
        <v>0</v>
      </c>
      <c r="P100" s="24">
        <f t="shared" si="246"/>
        <v>0</v>
      </c>
      <c r="Q100" s="24">
        <f t="shared" si="246"/>
        <v>0</v>
      </c>
      <c r="R100" s="24">
        <f t="shared" si="246"/>
        <v>0</v>
      </c>
      <c r="S100" s="24">
        <f t="shared" si="246"/>
        <v>0</v>
      </c>
      <c r="T100" s="24">
        <f t="shared" si="246"/>
        <v>0</v>
      </c>
      <c r="U100" s="24">
        <f t="shared" si="246"/>
        <v>0</v>
      </c>
      <c r="V100" s="24">
        <f t="shared" si="246"/>
        <v>0</v>
      </c>
      <c r="W100" s="24">
        <f t="shared" si="246"/>
        <v>0</v>
      </c>
      <c r="X100" s="24">
        <f ca="1">SUMIF($Z$3:$FB$3,X$7,$Z100:$FB100)</f>
        <v>-5313235.2710151961</v>
      </c>
      <c r="Y100" s="55"/>
      <c r="Z100" s="24">
        <f t="shared" ref="Z100:BE100" si="276">Z157</f>
        <v>0</v>
      </c>
      <c r="AA100" s="24">
        <f t="shared" si="276"/>
        <v>0</v>
      </c>
      <c r="AB100" s="24">
        <f t="shared" si="276"/>
        <v>0</v>
      </c>
      <c r="AC100" s="24">
        <f t="shared" si="276"/>
        <v>0</v>
      </c>
      <c r="AD100" s="24">
        <f t="shared" si="276"/>
        <v>0</v>
      </c>
      <c r="AE100" s="24">
        <f t="shared" si="276"/>
        <v>0</v>
      </c>
      <c r="AF100" s="24">
        <f t="shared" si="276"/>
        <v>0</v>
      </c>
      <c r="AG100" s="24">
        <f t="shared" si="276"/>
        <v>0</v>
      </c>
      <c r="AH100" s="24">
        <f t="shared" si="276"/>
        <v>0</v>
      </c>
      <c r="AI100" s="24">
        <f t="shared" si="276"/>
        <v>0</v>
      </c>
      <c r="AJ100" s="24">
        <f t="shared" si="276"/>
        <v>0</v>
      </c>
      <c r="AK100" s="24">
        <f t="shared" si="276"/>
        <v>0</v>
      </c>
      <c r="AL100" s="24">
        <f t="shared" si="276"/>
        <v>0</v>
      </c>
      <c r="AM100" s="24">
        <f t="shared" si="276"/>
        <v>0</v>
      </c>
      <c r="AN100" s="24">
        <f t="shared" si="276"/>
        <v>0</v>
      </c>
      <c r="AO100" s="24">
        <f t="shared" si="276"/>
        <v>0</v>
      </c>
      <c r="AP100" s="24">
        <f t="shared" si="276"/>
        <v>0</v>
      </c>
      <c r="AQ100" s="24">
        <f t="shared" si="276"/>
        <v>0</v>
      </c>
      <c r="AR100" s="24">
        <f t="shared" si="276"/>
        <v>0</v>
      </c>
      <c r="AS100" s="24">
        <f t="shared" si="276"/>
        <v>0</v>
      </c>
      <c r="AT100" s="24">
        <f t="shared" si="276"/>
        <v>0</v>
      </c>
      <c r="AU100" s="24">
        <f t="shared" si="276"/>
        <v>0</v>
      </c>
      <c r="AV100" s="24">
        <f t="shared" si="276"/>
        <v>0</v>
      </c>
      <c r="AW100" s="24">
        <f t="shared" si="276"/>
        <v>0</v>
      </c>
      <c r="AX100" s="24">
        <f t="shared" si="276"/>
        <v>0</v>
      </c>
      <c r="AY100" s="24">
        <f t="shared" si="276"/>
        <v>0</v>
      </c>
      <c r="AZ100" s="24">
        <f t="shared" si="276"/>
        <v>0</v>
      </c>
      <c r="BA100" s="24">
        <f t="shared" si="276"/>
        <v>0</v>
      </c>
      <c r="BB100" s="24">
        <f t="shared" si="276"/>
        <v>0</v>
      </c>
      <c r="BC100" s="24">
        <f t="shared" si="276"/>
        <v>0</v>
      </c>
      <c r="BD100" s="24">
        <f t="shared" si="276"/>
        <v>0</v>
      </c>
      <c r="BE100" s="24">
        <f t="shared" si="276"/>
        <v>0</v>
      </c>
      <c r="BF100" s="24">
        <f t="shared" ref="BF100:CK100" si="277">BF157</f>
        <v>0</v>
      </c>
      <c r="BG100" s="24">
        <f t="shared" si="277"/>
        <v>0</v>
      </c>
      <c r="BH100" s="24">
        <f t="shared" si="277"/>
        <v>0</v>
      </c>
      <c r="BI100" s="24">
        <f t="shared" si="277"/>
        <v>0</v>
      </c>
      <c r="BJ100" s="24">
        <f t="shared" si="277"/>
        <v>0</v>
      </c>
      <c r="BK100" s="24">
        <f t="shared" si="277"/>
        <v>0</v>
      </c>
      <c r="BL100" s="24">
        <f t="shared" si="277"/>
        <v>0</v>
      </c>
      <c r="BM100" s="24">
        <f t="shared" si="277"/>
        <v>0</v>
      </c>
      <c r="BN100" s="24">
        <f t="shared" si="277"/>
        <v>0</v>
      </c>
      <c r="BO100" s="24">
        <f t="shared" si="277"/>
        <v>0</v>
      </c>
      <c r="BP100" s="24">
        <f t="shared" si="277"/>
        <v>0</v>
      </c>
      <c r="BQ100" s="24">
        <f t="shared" si="277"/>
        <v>0</v>
      </c>
      <c r="BR100" s="24">
        <f t="shared" si="277"/>
        <v>0</v>
      </c>
      <c r="BS100" s="24">
        <f t="shared" si="277"/>
        <v>0</v>
      </c>
      <c r="BT100" s="24">
        <f t="shared" si="277"/>
        <v>0</v>
      </c>
      <c r="BU100" s="24">
        <f t="shared" si="277"/>
        <v>0</v>
      </c>
      <c r="BV100" s="24">
        <f t="shared" si="277"/>
        <v>0</v>
      </c>
      <c r="BW100" s="24">
        <f t="shared" si="277"/>
        <v>0</v>
      </c>
      <c r="BX100" s="24">
        <f t="shared" si="277"/>
        <v>0</v>
      </c>
      <c r="BY100" s="24">
        <f t="shared" si="277"/>
        <v>0</v>
      </c>
      <c r="BZ100" s="24">
        <f t="shared" si="277"/>
        <v>0</v>
      </c>
      <c r="CA100" s="24">
        <f t="shared" si="277"/>
        <v>0</v>
      </c>
      <c r="CB100" s="24">
        <f t="shared" si="277"/>
        <v>0</v>
      </c>
      <c r="CC100" s="24">
        <f t="shared" si="277"/>
        <v>0</v>
      </c>
      <c r="CD100" s="24">
        <f t="shared" si="277"/>
        <v>0</v>
      </c>
      <c r="CE100" s="24">
        <f t="shared" si="277"/>
        <v>0</v>
      </c>
      <c r="CF100" s="24">
        <f t="shared" si="277"/>
        <v>0</v>
      </c>
      <c r="CG100" s="24">
        <f t="shared" si="277"/>
        <v>0</v>
      </c>
      <c r="CH100" s="24">
        <f t="shared" si="277"/>
        <v>0</v>
      </c>
      <c r="CI100" s="24">
        <f t="shared" si="277"/>
        <v>0</v>
      </c>
      <c r="CJ100" s="24">
        <f t="shared" si="277"/>
        <v>0</v>
      </c>
      <c r="CK100" s="24">
        <f t="shared" si="277"/>
        <v>0</v>
      </c>
      <c r="CL100" s="24">
        <f t="shared" ref="CL100:DQ100" si="278">CL157</f>
        <v>0</v>
      </c>
      <c r="CM100" s="24">
        <f t="shared" si="278"/>
        <v>0</v>
      </c>
      <c r="CN100" s="24">
        <f t="shared" si="278"/>
        <v>0</v>
      </c>
      <c r="CO100" s="24">
        <f t="shared" si="278"/>
        <v>0</v>
      </c>
      <c r="CP100" s="24">
        <f t="shared" si="278"/>
        <v>0</v>
      </c>
      <c r="CQ100" s="24">
        <f t="shared" si="278"/>
        <v>0</v>
      </c>
      <c r="CR100" s="24">
        <f t="shared" si="278"/>
        <v>0</v>
      </c>
      <c r="CS100" s="24">
        <f t="shared" si="278"/>
        <v>0</v>
      </c>
      <c r="CT100" s="24">
        <f t="shared" si="278"/>
        <v>0</v>
      </c>
      <c r="CU100" s="24">
        <f t="shared" si="278"/>
        <v>0</v>
      </c>
      <c r="CV100" s="24">
        <f t="shared" si="278"/>
        <v>0</v>
      </c>
      <c r="CW100" s="24">
        <f t="shared" si="278"/>
        <v>0</v>
      </c>
      <c r="CX100" s="24">
        <f t="shared" si="278"/>
        <v>0</v>
      </c>
      <c r="CY100" s="24">
        <f t="shared" si="278"/>
        <v>0</v>
      </c>
      <c r="CZ100" s="24">
        <f t="shared" si="278"/>
        <v>0</v>
      </c>
      <c r="DA100" s="24">
        <f t="shared" si="278"/>
        <v>0</v>
      </c>
      <c r="DB100" s="24">
        <f t="shared" si="278"/>
        <v>0</v>
      </c>
      <c r="DC100" s="24">
        <f t="shared" si="278"/>
        <v>0</v>
      </c>
      <c r="DD100" s="24">
        <f t="shared" si="278"/>
        <v>0</v>
      </c>
      <c r="DE100" s="24">
        <f t="shared" si="278"/>
        <v>0</v>
      </c>
      <c r="DF100" s="24">
        <f t="shared" si="278"/>
        <v>0</v>
      </c>
      <c r="DG100" s="24">
        <f t="shared" si="278"/>
        <v>0</v>
      </c>
      <c r="DH100" s="24">
        <f t="shared" si="278"/>
        <v>0</v>
      </c>
      <c r="DI100" s="24">
        <f t="shared" si="278"/>
        <v>0</v>
      </c>
      <c r="DJ100" s="24">
        <f t="shared" si="278"/>
        <v>0</v>
      </c>
      <c r="DK100" s="24">
        <f t="shared" si="278"/>
        <v>0</v>
      </c>
      <c r="DL100" s="24">
        <f t="shared" si="278"/>
        <v>0</v>
      </c>
      <c r="DM100" s="24">
        <f t="shared" si="278"/>
        <v>0</v>
      </c>
      <c r="DN100" s="24">
        <f t="shared" si="278"/>
        <v>0</v>
      </c>
      <c r="DO100" s="24">
        <f t="shared" si="278"/>
        <v>0</v>
      </c>
      <c r="DP100" s="24">
        <f t="shared" si="278"/>
        <v>0</v>
      </c>
      <c r="DQ100" s="24">
        <f t="shared" si="278"/>
        <v>0</v>
      </c>
      <c r="DR100" s="24">
        <f t="shared" ref="DR100:FB100" si="279">DR157</f>
        <v>0</v>
      </c>
      <c r="DS100" s="24">
        <f t="shared" si="279"/>
        <v>0</v>
      </c>
      <c r="DT100" s="24">
        <f t="shared" si="279"/>
        <v>0</v>
      </c>
      <c r="DU100" s="24">
        <f t="shared" si="279"/>
        <v>0</v>
      </c>
      <c r="DV100" s="24">
        <f t="shared" si="279"/>
        <v>0</v>
      </c>
      <c r="DW100" s="24">
        <f t="shared" si="279"/>
        <v>0</v>
      </c>
      <c r="DX100" s="24">
        <f t="shared" si="279"/>
        <v>0</v>
      </c>
      <c r="DY100" s="24">
        <f t="shared" si="279"/>
        <v>0</v>
      </c>
      <c r="DZ100" s="24">
        <f t="shared" si="279"/>
        <v>0</v>
      </c>
      <c r="EA100" s="24">
        <f t="shared" si="279"/>
        <v>0</v>
      </c>
      <c r="EB100" s="24">
        <f t="shared" si="279"/>
        <v>0</v>
      </c>
      <c r="EC100" s="24">
        <f t="shared" si="279"/>
        <v>0</v>
      </c>
      <c r="ED100" s="24">
        <f t="shared" si="279"/>
        <v>0</v>
      </c>
      <c r="EE100" s="24">
        <f t="shared" si="279"/>
        <v>0</v>
      </c>
      <c r="EF100" s="24">
        <f t="shared" si="279"/>
        <v>0</v>
      </c>
      <c r="EG100" s="24">
        <f t="shared" si="279"/>
        <v>0</v>
      </c>
      <c r="EH100" s="24">
        <f t="shared" si="279"/>
        <v>0</v>
      </c>
      <c r="EI100" s="24">
        <f t="shared" si="279"/>
        <v>0</v>
      </c>
      <c r="EJ100" s="24">
        <f t="shared" si="279"/>
        <v>0</v>
      </c>
      <c r="EK100" s="24">
        <f t="shared" si="279"/>
        <v>0</v>
      </c>
      <c r="EL100" s="24">
        <f t="shared" si="279"/>
        <v>0</v>
      </c>
      <c r="EM100" s="24">
        <f t="shared" si="279"/>
        <v>0</v>
      </c>
      <c r="EN100" s="24">
        <f t="shared" si="279"/>
        <v>0</v>
      </c>
      <c r="EO100" s="24">
        <f t="shared" si="279"/>
        <v>0</v>
      </c>
      <c r="EP100" s="24">
        <f ca="1">EP157</f>
        <v>-5313235.2710151961</v>
      </c>
      <c r="EQ100" s="24">
        <f t="shared" si="279"/>
        <v>0</v>
      </c>
      <c r="ER100" s="24">
        <f t="shared" si="279"/>
        <v>0</v>
      </c>
      <c r="ES100" s="24">
        <f t="shared" si="279"/>
        <v>0</v>
      </c>
      <c r="ET100" s="24">
        <f t="shared" si="279"/>
        <v>0</v>
      </c>
      <c r="EU100" s="24">
        <f t="shared" si="279"/>
        <v>0</v>
      </c>
      <c r="EV100" s="24">
        <f t="shared" si="279"/>
        <v>0</v>
      </c>
      <c r="EW100" s="24">
        <f t="shared" si="279"/>
        <v>0</v>
      </c>
      <c r="EX100" s="24">
        <f t="shared" si="279"/>
        <v>0</v>
      </c>
      <c r="EY100" s="24">
        <f t="shared" si="279"/>
        <v>0</v>
      </c>
      <c r="EZ100" s="24">
        <f t="shared" si="279"/>
        <v>0</v>
      </c>
      <c r="FA100" s="24">
        <f t="shared" si="279"/>
        <v>0</v>
      </c>
      <c r="FB100" s="24">
        <f t="shared" si="279"/>
        <v>0</v>
      </c>
    </row>
    <row r="101" spans="1:158">
      <c r="A101" s="64"/>
      <c r="B101" s="288"/>
      <c r="C101" s="288"/>
      <c r="D101" s="288"/>
      <c r="E101" s="288"/>
      <c r="F101" s="288"/>
      <c r="G101" s="288"/>
      <c r="I101" s="57" t="s">
        <v>154</v>
      </c>
      <c r="J101" s="57"/>
      <c r="K101" s="58"/>
      <c r="L101" s="57">
        <f t="shared" ca="1" si="240"/>
        <v>4456051.7216412583</v>
      </c>
      <c r="M101" s="58"/>
      <c r="N101" s="57">
        <f t="shared" ref="N101:W101" ca="1" si="280">SUMIF($Z$3:$FB$3,N$7,$Z101:$FB101)</f>
        <v>-2592682.5900000026</v>
      </c>
      <c r="O101" s="57">
        <f t="shared" ca="1" si="280"/>
        <v>204064.42738641211</v>
      </c>
      <c r="P101" s="57">
        <f t="shared" ca="1" si="280"/>
        <v>1291339.3974544103</v>
      </c>
      <c r="Q101" s="57">
        <f t="shared" ca="1" si="280"/>
        <v>192832.04537646682</v>
      </c>
      <c r="R101" s="57">
        <f t="shared" ca="1" si="280"/>
        <v>209426.8253350931</v>
      </c>
      <c r="S101" s="57">
        <f t="shared" ca="1" si="280"/>
        <v>155014.44688835324</v>
      </c>
      <c r="T101" s="57">
        <f t="shared" ca="1" si="280"/>
        <v>166780.90152343342</v>
      </c>
      <c r="U101" s="57">
        <f t="shared" ca="1" si="280"/>
        <v>178784.85446397823</v>
      </c>
      <c r="V101" s="57">
        <f t="shared" ca="1" si="280"/>
        <v>191031.09946025925</v>
      </c>
      <c r="W101" s="57">
        <f t="shared" ca="1" si="280"/>
        <v>203524.52702130808</v>
      </c>
      <c r="X101" s="57">
        <f ca="1">SUMIF($Z$3:$FB$3,X$7,$Z101:$FB101)</f>
        <v>4255935.7867315458</v>
      </c>
      <c r="Y101" s="58"/>
      <c r="Z101" s="57">
        <f t="shared" ref="Z101:BE101" ca="1" si="281">SUM(Z92:Z100)</f>
        <v>-2592682.5900000026</v>
      </c>
      <c r="AA101" s="57">
        <f t="shared" ca="1" si="281"/>
        <v>16011.304300279455</v>
      </c>
      <c r="AB101" s="57">
        <f t="shared" ca="1" si="281"/>
        <v>16080.550918557692</v>
      </c>
      <c r="AC101" s="57">
        <f t="shared" ca="1" si="281"/>
        <v>16149.9129478664</v>
      </c>
      <c r="AD101" s="57">
        <f t="shared" ca="1" si="281"/>
        <v>16219.39058055729</v>
      </c>
      <c r="AE101" s="57">
        <f t="shared" ca="1" si="281"/>
        <v>16288.984009302669</v>
      </c>
      <c r="AF101" s="57">
        <f t="shared" ca="1" si="281"/>
        <v>16358.693427095965</v>
      </c>
      <c r="AG101" s="57">
        <f t="shared" ca="1" si="281"/>
        <v>16428.519027252227</v>
      </c>
      <c r="AH101" s="57">
        <f t="shared" ca="1" si="281"/>
        <v>17960.183085320055</v>
      </c>
      <c r="AI101" s="57">
        <f t="shared" ca="1" si="281"/>
        <v>18032.677834906699</v>
      </c>
      <c r="AJ101" s="57">
        <f t="shared" ca="1" si="281"/>
        <v>18105.293409076014</v>
      </c>
      <c r="AK101" s="57">
        <f t="shared" ca="1" si="281"/>
        <v>18178.030009202241</v>
      </c>
      <c r="AL101" s="57">
        <f t="shared" ca="1" si="281"/>
        <v>18250.887836995356</v>
      </c>
      <c r="AM101" s="57">
        <f t="shared" ca="1" si="281"/>
        <v>18323.867094501456</v>
      </c>
      <c r="AN101" s="57">
        <f t="shared" ca="1" si="281"/>
        <v>18396.967984103405</v>
      </c>
      <c r="AO101" s="57">
        <f t="shared" ca="1" si="281"/>
        <v>18470.190708521357</v>
      </c>
      <c r="AP101" s="57">
        <f t="shared" ca="1" si="281"/>
        <v>18543.535470813342</v>
      </c>
      <c r="AQ101" s="57">
        <f t="shared" ca="1" si="281"/>
        <v>18617.002474375822</v>
      </c>
      <c r="AR101" s="57">
        <f t="shared" ca="1" si="281"/>
        <v>18690.591922944219</v>
      </c>
      <c r="AS101" s="57">
        <f t="shared" ca="1" si="281"/>
        <v>18764.304020593587</v>
      </c>
      <c r="AT101" s="57">
        <f t="shared" ca="1" si="281"/>
        <v>19583.751971899084</v>
      </c>
      <c r="AU101" s="57">
        <f t="shared" ca="1" si="281"/>
        <v>19658.952669630042</v>
      </c>
      <c r="AV101" s="57">
        <f t="shared" ca="1" si="281"/>
        <v>19734.278701857202</v>
      </c>
      <c r="AW101" s="57">
        <f t="shared" ca="1" si="281"/>
        <v>19809.730277471408</v>
      </c>
      <c r="AX101" s="57">
        <f t="shared" ca="1" si="281"/>
        <v>1082746.2241576994</v>
      </c>
      <c r="AY101" s="57">
        <f t="shared" ca="1" si="281"/>
        <v>15331.948309524119</v>
      </c>
      <c r="AZ101" s="57">
        <f t="shared" ca="1" si="281"/>
        <v>15407.777772128855</v>
      </c>
      <c r="BA101" s="57">
        <f t="shared" ca="1" si="281"/>
        <v>15483.733617171263</v>
      </c>
      <c r="BB101" s="57">
        <f t="shared" ca="1" si="281"/>
        <v>15559.816055288717</v>
      </c>
      <c r="BC101" s="57">
        <f t="shared" ca="1" si="281"/>
        <v>15636.02529746971</v>
      </c>
      <c r="BD101" s="57">
        <f t="shared" ca="1" si="281"/>
        <v>15712.361555054373</v>
      </c>
      <c r="BE101" s="57">
        <f t="shared" ca="1" si="281"/>
        <v>15788.825039734958</v>
      </c>
      <c r="BF101" s="57">
        <f t="shared" ref="BF101:CK101" ca="1" si="282">SUM(BF92:BF100)</f>
        <v>16626.078681712748</v>
      </c>
      <c r="BG101" s="57">
        <f t="shared" ca="1" si="282"/>
        <v>16704.06502827111</v>
      </c>
      <c r="BH101" s="57">
        <f t="shared" ca="1" si="282"/>
        <v>16782.18135207376</v>
      </c>
      <c r="BI101" s="57">
        <f t="shared" ca="1" si="282"/>
        <v>16860.42786974939</v>
      </c>
      <c r="BJ101" s="57">
        <f t="shared" ca="1" si="282"/>
        <v>16938.804798287809</v>
      </c>
      <c r="BK101" s="57">
        <f t="shared" ca="1" si="282"/>
        <v>17017.312355040489</v>
      </c>
      <c r="BL101" s="57">
        <f t="shared" ca="1" si="282"/>
        <v>17095.95075772105</v>
      </c>
      <c r="BM101" s="57">
        <f t="shared" ca="1" si="282"/>
        <v>17174.720224406115</v>
      </c>
      <c r="BN101" s="57">
        <f t="shared" ca="1" si="282"/>
        <v>17253.620973535635</v>
      </c>
      <c r="BO101" s="57">
        <f t="shared" ca="1" si="282"/>
        <v>17332.653223913727</v>
      </c>
      <c r="BP101" s="57">
        <f t="shared" ca="1" si="282"/>
        <v>17411.817194709092</v>
      </c>
      <c r="BQ101" s="57">
        <f t="shared" ca="1" si="282"/>
        <v>17491.113105455788</v>
      </c>
      <c r="BR101" s="57">
        <f t="shared" ca="1" si="282"/>
        <v>17570.541176053728</v>
      </c>
      <c r="BS101" s="57">
        <f t="shared" ca="1" si="282"/>
        <v>17650.101626769352</v>
      </c>
      <c r="BT101" s="57">
        <f t="shared" ca="1" si="282"/>
        <v>17729.794678236136</v>
      </c>
      <c r="BU101" s="57">
        <f t="shared" ca="1" si="282"/>
        <v>17809.620551455369</v>
      </c>
      <c r="BV101" s="57">
        <f t="shared" ca="1" si="282"/>
        <v>17889.579467796637</v>
      </c>
      <c r="BW101" s="57">
        <f t="shared" ca="1" si="282"/>
        <v>12474.168842145242</v>
      </c>
      <c r="BX101" s="57">
        <f t="shared" ca="1" si="282"/>
        <v>12554.39451031576</v>
      </c>
      <c r="BY101" s="57">
        <f t="shared" ca="1" si="282"/>
        <v>12634.753887933206</v>
      </c>
      <c r="BZ101" s="57">
        <f t="shared" ca="1" si="282"/>
        <v>12715.247197846707</v>
      </c>
      <c r="CA101" s="57">
        <f t="shared" ca="1" si="282"/>
        <v>12795.874663276729</v>
      </c>
      <c r="CB101" s="57">
        <f t="shared" ca="1" si="282"/>
        <v>12876.636507815791</v>
      </c>
      <c r="CC101" s="57">
        <f t="shared" ca="1" si="282"/>
        <v>12957.532955429087</v>
      </c>
      <c r="CD101" s="57">
        <f t="shared" ca="1" si="282"/>
        <v>13038.564230455086</v>
      </c>
      <c r="CE101" s="57">
        <f t="shared" ca="1" si="282"/>
        <v>13119.730557606112</v>
      </c>
      <c r="CF101" s="57">
        <f t="shared" ca="1" si="282"/>
        <v>13201.032161969059</v>
      </c>
      <c r="CG101" s="57">
        <f t="shared" ca="1" si="282"/>
        <v>13282.469269005931</v>
      </c>
      <c r="CH101" s="57">
        <f t="shared" ca="1" si="282"/>
        <v>13364.042104554544</v>
      </c>
      <c r="CI101" s="57">
        <f t="shared" ca="1" si="282"/>
        <v>13445.750894829085</v>
      </c>
      <c r="CJ101" s="57">
        <f t="shared" ca="1" si="282"/>
        <v>13527.595866420736</v>
      </c>
      <c r="CK101" s="57">
        <f t="shared" ca="1" si="282"/>
        <v>13609.577246298359</v>
      </c>
      <c r="CL101" s="57">
        <f t="shared" ref="CL101:DQ101" ca="1" si="283">SUM(CL92:CL100)</f>
        <v>13691.695261809153</v>
      </c>
      <c r="CM101" s="57">
        <f t="shared" ca="1" si="283"/>
        <v>13773.950140679088</v>
      </c>
      <c r="CN101" s="57">
        <f t="shared" ca="1" si="283"/>
        <v>13856.342111013822</v>
      </c>
      <c r="CO101" s="57">
        <f t="shared" ca="1" si="283"/>
        <v>13938.871401299111</v>
      </c>
      <c r="CP101" s="57">
        <f t="shared" ca="1" si="283"/>
        <v>14021.538240401547</v>
      </c>
      <c r="CQ101" s="57">
        <f t="shared" ca="1" si="283"/>
        <v>14104.342857569151</v>
      </c>
      <c r="CR101" s="57">
        <f t="shared" ca="1" si="283"/>
        <v>14187.285482432046</v>
      </c>
      <c r="CS101" s="57">
        <f t="shared" ca="1" si="283"/>
        <v>14270.366345003029</v>
      </c>
      <c r="CT101" s="57">
        <f t="shared" ca="1" si="283"/>
        <v>14353.585675678311</v>
      </c>
      <c r="CU101" s="57">
        <f t="shared" ca="1" si="283"/>
        <v>14436.943705238031</v>
      </c>
      <c r="CV101" s="57">
        <f t="shared" ca="1" si="283"/>
        <v>14520.440664847025</v>
      </c>
      <c r="CW101" s="57">
        <f t="shared" ca="1" si="283"/>
        <v>14604.076786055397</v>
      </c>
      <c r="CX101" s="57">
        <f t="shared" ca="1" si="283"/>
        <v>14687.852300799073</v>
      </c>
      <c r="CY101" s="57">
        <f t="shared" ca="1" si="283"/>
        <v>14771.767441400705</v>
      </c>
      <c r="CZ101" s="57">
        <f t="shared" ca="1" si="283"/>
        <v>14855.822440569951</v>
      </c>
      <c r="DA101" s="57">
        <f t="shared" ca="1" si="283"/>
        <v>14940.017531404519</v>
      </c>
      <c r="DB101" s="57">
        <f t="shared" ca="1" si="283"/>
        <v>15024.352947390456</v>
      </c>
      <c r="DC101" s="57">
        <f t="shared" ca="1" si="283"/>
        <v>15108.828922403045</v>
      </c>
      <c r="DD101" s="57">
        <f t="shared" ca="1" si="283"/>
        <v>15193.445690707311</v>
      </c>
      <c r="DE101" s="57">
        <f t="shared" ca="1" si="283"/>
        <v>15278.203486958766</v>
      </c>
      <c r="DF101" s="57">
        <f t="shared" ca="1" si="283"/>
        <v>15363.102546203969</v>
      </c>
      <c r="DG101" s="57">
        <f t="shared" ca="1" si="283"/>
        <v>15448.143103881252</v>
      </c>
      <c r="DH101" s="57">
        <f t="shared" ca="1" si="283"/>
        <v>15533.325395821339</v>
      </c>
      <c r="DI101" s="57">
        <f t="shared" ca="1" si="283"/>
        <v>15618.649658247959</v>
      </c>
      <c r="DJ101" s="57">
        <f t="shared" ca="1" si="283"/>
        <v>15704.116127778652</v>
      </c>
      <c r="DK101" s="57">
        <f t="shared" ca="1" si="283"/>
        <v>15789.725041425212</v>
      </c>
      <c r="DL101" s="57">
        <f t="shared" ca="1" si="283"/>
        <v>15875.476636594525</v>
      </c>
      <c r="DM101" s="57">
        <f t="shared" ca="1" si="283"/>
        <v>15961.371151089123</v>
      </c>
      <c r="DN101" s="57">
        <f t="shared" ca="1" si="283"/>
        <v>16047.408823107871</v>
      </c>
      <c r="DO101" s="57">
        <f t="shared" ca="1" si="283"/>
        <v>16133.589891246673</v>
      </c>
      <c r="DP101" s="57">
        <f t="shared" ca="1" si="283"/>
        <v>16219.914594499016</v>
      </c>
      <c r="DQ101" s="57">
        <f t="shared" ca="1" si="283"/>
        <v>16306.383172256785</v>
      </c>
      <c r="DR101" s="57">
        <f t="shared" ref="DR101:EW101" ca="1" si="284">SUM(DR92:DR100)</f>
        <v>16392.99586431084</v>
      </c>
      <c r="DS101" s="57">
        <f t="shared" ca="1" si="284"/>
        <v>16479.752910851625</v>
      </c>
      <c r="DT101" s="57">
        <f t="shared" ca="1" si="284"/>
        <v>16566.654552469969</v>
      </c>
      <c r="DU101" s="57">
        <f t="shared" ca="1" si="284"/>
        <v>16653.701030157696</v>
      </c>
      <c r="DV101" s="57">
        <f t="shared" ca="1" si="284"/>
        <v>16740.892585308218</v>
      </c>
      <c r="DW101" s="57">
        <f t="shared" ca="1" si="284"/>
        <v>16828.229459717339</v>
      </c>
      <c r="DX101" s="57">
        <f t="shared" ca="1" si="284"/>
        <v>16915.711895583816</v>
      </c>
      <c r="DY101" s="57">
        <f t="shared" ca="1" si="284"/>
        <v>17003.340135510058</v>
      </c>
      <c r="DZ101" s="57">
        <f t="shared" ca="1" si="284"/>
        <v>17091.114422502847</v>
      </c>
      <c r="EA101" s="57">
        <f t="shared" ca="1" si="284"/>
        <v>17179.034999973956</v>
      </c>
      <c r="EB101" s="57">
        <f t="shared" ca="1" si="284"/>
        <v>17267.10211174086</v>
      </c>
      <c r="EC101" s="57">
        <f t="shared" ca="1" si="284"/>
        <v>17355.316002027357</v>
      </c>
      <c r="ED101" s="57">
        <f t="shared" ca="1" si="284"/>
        <v>17443.676915464355</v>
      </c>
      <c r="EE101" s="57">
        <f t="shared" ca="1" si="284"/>
        <v>17532.185097090391</v>
      </c>
      <c r="EF101" s="57">
        <f t="shared" ca="1" si="284"/>
        <v>17620.840792352486</v>
      </c>
      <c r="EG101" s="57">
        <f t="shared" ca="1" si="284"/>
        <v>17709.644247106669</v>
      </c>
      <c r="EH101" s="57">
        <f t="shared" ca="1" si="284"/>
        <v>17798.595707618777</v>
      </c>
      <c r="EI101" s="57">
        <f t="shared" ca="1" si="284"/>
        <v>17887.695420565105</v>
      </c>
      <c r="EJ101" s="57">
        <f t="shared" ca="1" si="284"/>
        <v>17976.943633032985</v>
      </c>
      <c r="EK101" s="57">
        <f t="shared" ca="1" si="284"/>
        <v>18066.340592521643</v>
      </c>
      <c r="EL101" s="57">
        <f t="shared" ca="1" si="284"/>
        <v>18155.886546942791</v>
      </c>
      <c r="EM101" s="57">
        <f t="shared" ca="1" si="284"/>
        <v>18245.581744621304</v>
      </c>
      <c r="EN101" s="57">
        <f t="shared" ca="1" si="284"/>
        <v>18335.426434295943</v>
      </c>
      <c r="EO101" s="57">
        <f t="shared" ca="1" si="284"/>
        <v>18425.420865120024</v>
      </c>
      <c r="EP101" s="57">
        <f t="shared" ca="1" si="284"/>
        <v>4058181.2256502779</v>
      </c>
      <c r="EQ101" s="57">
        <f t="shared" ca="1" si="284"/>
        <v>0</v>
      </c>
      <c r="ER101" s="57">
        <f t="shared" ca="1" si="284"/>
        <v>0</v>
      </c>
      <c r="ES101" s="57">
        <f t="shared" ca="1" si="284"/>
        <v>0</v>
      </c>
      <c r="ET101" s="57">
        <f t="shared" ca="1" si="284"/>
        <v>0</v>
      </c>
      <c r="EU101" s="57">
        <f t="shared" ca="1" si="284"/>
        <v>0</v>
      </c>
      <c r="EV101" s="57">
        <f t="shared" ca="1" si="284"/>
        <v>0</v>
      </c>
      <c r="EW101" s="57">
        <f t="shared" ca="1" si="284"/>
        <v>0</v>
      </c>
      <c r="EX101" s="57">
        <f t="shared" ref="EX101:FB101" ca="1" si="285">SUM(EX92:EX100)</f>
        <v>0</v>
      </c>
      <c r="EY101" s="57">
        <f t="shared" ca="1" si="285"/>
        <v>0</v>
      </c>
      <c r="EZ101" s="57">
        <f t="shared" ca="1" si="285"/>
        <v>0</v>
      </c>
      <c r="FA101" s="57">
        <f t="shared" ca="1" si="285"/>
        <v>0</v>
      </c>
      <c r="FB101" s="57">
        <f t="shared" ca="1" si="285"/>
        <v>0</v>
      </c>
    </row>
    <row r="102" spans="1:158">
      <c r="B102" s="286"/>
      <c r="C102" s="287"/>
      <c r="D102" s="287"/>
      <c r="E102" s="287"/>
      <c r="F102" s="287"/>
      <c r="G102" s="287"/>
      <c r="I102" s="15" t="s">
        <v>226</v>
      </c>
      <c r="J102" s="269" t="s">
        <v>227</v>
      </c>
      <c r="L102" s="270">
        <f ca="1">AVERAGE(O102:X102)</f>
        <v>7.5065406858216874E-2</v>
      </c>
      <c r="N102" s="268">
        <f ca="1">IFERROR((SUMIFS($Z67:$FB67,$Z$3:$FB$3,N$7)+SUMIFS($Z95:$FB95,$Z$3:$FB$3,N$7)+SUMIFS($Z99:$FB99,$Z$3:$FB$3,N$7))/-$L$104,0)</f>
        <v>0</v>
      </c>
      <c r="O102" s="268">
        <f t="shared" ref="O102:X102" ca="1" si="286">IFERROR((SUMIFS($Z67:$FB67,$Z$3:$FB$3,O$7)+SUMIFS($Z95:$FB95,$Z$3:$FB$3,O$7)+SUMIFS($Z99:$FB99,$Z$3:$FB$3,O$7))/-$L$104,0)</f>
        <v>7.8707832641562128E-2</v>
      </c>
      <c r="P102" s="268">
        <f t="shared" ca="1" si="286"/>
        <v>8.8124354976450256E-2</v>
      </c>
      <c r="Q102" s="268">
        <f t="shared" ca="1" si="286"/>
        <v>7.4375492827475922E-2</v>
      </c>
      <c r="R102" s="268">
        <f t="shared" ca="1" si="286"/>
        <v>8.0776114339199845E-2</v>
      </c>
      <c r="S102" s="268">
        <f t="shared" ca="1" si="286"/>
        <v>5.9789211176965937E-2</v>
      </c>
      <c r="T102" s="268">
        <f t="shared" ca="1" si="286"/>
        <v>6.4327543281506472E-2</v>
      </c>
      <c r="U102" s="268">
        <f t="shared" ca="1" si="286"/>
        <v>6.8957478695445745E-2</v>
      </c>
      <c r="V102" s="268">
        <f t="shared" ca="1" si="286"/>
        <v>7.3680866372562381E-2</v>
      </c>
      <c r="W102" s="268">
        <f t="shared" ca="1" si="286"/>
        <v>7.849959258657567E-2</v>
      </c>
      <c r="X102" s="268">
        <f t="shared" ca="1" si="286"/>
        <v>8.3415581684424409E-2</v>
      </c>
      <c r="AA102" s="31">
        <f t="shared" ref="AA102:BF102" ca="1" si="287">((AA67+AA95+AA99)*12)/-$L$104</f>
        <v>7.4106893124681814E-2</v>
      </c>
      <c r="AB102" s="31">
        <f t="shared" ca="1" si="287"/>
        <v>7.4427394917899334E-2</v>
      </c>
      <c r="AC102" s="31">
        <f t="shared" ca="1" si="287"/>
        <v>7.4748430880772265E-2</v>
      </c>
      <c r="AD102" s="31">
        <f t="shared" ca="1" si="287"/>
        <v>7.5070001903583303E-2</v>
      </c>
      <c r="AE102" s="31">
        <f t="shared" ca="1" si="287"/>
        <v>7.5392108878099037E-2</v>
      </c>
      <c r="AF102" s="31">
        <f t="shared" ca="1" si="287"/>
        <v>7.5714752697572357E-2</v>
      </c>
      <c r="AG102" s="31">
        <f t="shared" ca="1" si="287"/>
        <v>7.6037934256744669E-2</v>
      </c>
      <c r="AH102" s="31">
        <f t="shared" ca="1" si="287"/>
        <v>8.3127104665689316E-2</v>
      </c>
      <c r="AI102" s="31">
        <f t="shared" ca="1" si="287"/>
        <v>8.3462640144808531E-2</v>
      </c>
      <c r="AJ102" s="31">
        <f t="shared" ca="1" si="287"/>
        <v>8.3798734849726414E-2</v>
      </c>
      <c r="AK102" s="31">
        <f t="shared" ca="1" si="287"/>
        <v>8.4135389712485659E-2</v>
      </c>
      <c r="AL102" s="31">
        <f t="shared" ca="1" si="287"/>
        <v>8.4472605666682882E-2</v>
      </c>
      <c r="AM102" s="31">
        <f t="shared" ca="1" si="287"/>
        <v>8.4810383647470414E-2</v>
      </c>
      <c r="AN102" s="31">
        <f t="shared" ca="1" si="287"/>
        <v>8.5148724591559283E-2</v>
      </c>
      <c r="AO102" s="31">
        <f t="shared" ca="1" si="287"/>
        <v>8.5487629437221643E-2</v>
      </c>
      <c r="AP102" s="31">
        <f t="shared" ca="1" si="287"/>
        <v>8.5827099124293454E-2</v>
      </c>
      <c r="AQ102" s="31">
        <f t="shared" ca="1" si="287"/>
        <v>8.6167134594177075E-2</v>
      </c>
      <c r="AR102" s="31">
        <f t="shared" ca="1" si="287"/>
        <v>8.6507736789843748E-2</v>
      </c>
      <c r="AS102" s="31">
        <f t="shared" ca="1" si="287"/>
        <v>8.6848906655836652E-2</v>
      </c>
      <c r="AT102" s="31">
        <f t="shared" ca="1" si="287"/>
        <v>9.0641648371923844E-2</v>
      </c>
      <c r="AU102" s="31">
        <f t="shared" ca="1" si="287"/>
        <v>9.0989708090553512E-2</v>
      </c>
      <c r="AV102" s="31">
        <f t="shared" ca="1" si="287"/>
        <v>9.1338347908714188E-2</v>
      </c>
      <c r="AW102" s="31">
        <f t="shared" ca="1" si="287"/>
        <v>9.1687568793238458E-2</v>
      </c>
      <c r="AX102" s="31">
        <f t="shared" ca="1" si="287"/>
        <v>9.2037371712570301E-2</v>
      </c>
      <c r="AY102" s="31">
        <f t="shared" ca="1" si="287"/>
        <v>7.0962554546366297E-2</v>
      </c>
      <c r="AZ102" s="31">
        <f t="shared" ca="1" si="287"/>
        <v>7.1313524447104051E-2</v>
      </c>
      <c r="BA102" s="31">
        <f t="shared" ca="1" si="287"/>
        <v>7.1665079297676376E-2</v>
      </c>
      <c r="BB102" s="31">
        <f t="shared" ca="1" si="287"/>
        <v>7.201722007299953E-2</v>
      </c>
      <c r="BC102" s="31">
        <f t="shared" ca="1" si="287"/>
        <v>7.2369947749614943E-2</v>
      </c>
      <c r="BD102" s="31">
        <f t="shared" ca="1" si="287"/>
        <v>7.2723263305691524E-2</v>
      </c>
      <c r="BE102" s="31">
        <f t="shared" ca="1" si="287"/>
        <v>7.3077167721028014E-2</v>
      </c>
      <c r="BF102" s="31">
        <f t="shared" ca="1" si="287"/>
        <v>7.6952321487433889E-2</v>
      </c>
      <c r="BG102" s="31">
        <f t="shared" ref="BG102:CL102" ca="1" si="288">((BG67+BG95+BG99)*12)/-$L$104</f>
        <v>7.7313274333073334E-2</v>
      </c>
      <c r="BH102" s="31">
        <f t="shared" ca="1" si="288"/>
        <v>7.7674828766788953E-2</v>
      </c>
      <c r="BI102" s="31">
        <f t="shared" ca="1" si="288"/>
        <v>7.8036985791227337E-2</v>
      </c>
      <c r="BJ102" s="31">
        <f t="shared" ca="1" si="288"/>
        <v>7.839974641070642E-2</v>
      </c>
      <c r="BK102" s="31">
        <f t="shared" ca="1" si="288"/>
        <v>7.8763111631218102E-2</v>
      </c>
      <c r="BL102" s="31">
        <f t="shared" ca="1" si="288"/>
        <v>7.9127082460430459E-2</v>
      </c>
      <c r="BM102" s="31">
        <f t="shared" ca="1" si="288"/>
        <v>7.949165990769165E-2</v>
      </c>
      <c r="BN102" s="31">
        <f t="shared" ca="1" si="288"/>
        <v>7.9856844984031533E-2</v>
      </c>
      <c r="BO102" s="31">
        <f t="shared" ca="1" si="288"/>
        <v>8.0222638702165422E-2</v>
      </c>
      <c r="BP102" s="31">
        <f t="shared" ca="1" si="288"/>
        <v>8.0589042076496115E-2</v>
      </c>
      <c r="BQ102" s="31">
        <f t="shared" ca="1" si="288"/>
        <v>8.0956056123117348E-2</v>
      </c>
      <c r="BR102" s="31">
        <f t="shared" ca="1" si="288"/>
        <v>8.1323681859816296E-2</v>
      </c>
      <c r="BS102" s="31">
        <f t="shared" ca="1" si="288"/>
        <v>8.1691920306076499E-2</v>
      </c>
      <c r="BT102" s="31">
        <f t="shared" ca="1" si="288"/>
        <v>8.2060772483080316E-2</v>
      </c>
      <c r="BU102" s="31">
        <f t="shared" ca="1" si="288"/>
        <v>8.2430239413712497E-2</v>
      </c>
      <c r="BV102" s="31">
        <f t="shared" ca="1" si="288"/>
        <v>8.2800322122562428E-2</v>
      </c>
      <c r="BW102" s="31">
        <f t="shared" ca="1" si="288"/>
        <v>5.773557730633843E-2</v>
      </c>
      <c r="BX102" s="31">
        <f t="shared" ca="1" si="288"/>
        <v>5.8106894652225426E-2</v>
      </c>
      <c r="BY102" s="31">
        <f t="shared" ca="1" si="288"/>
        <v>5.8478830860355456E-2</v>
      </c>
      <c r="BZ102" s="31">
        <f t="shared" ca="1" si="288"/>
        <v>5.8851386962165832E-2</v>
      </c>
      <c r="CA102" s="31">
        <f t="shared" ca="1" si="288"/>
        <v>5.9224563990812537E-2</v>
      </c>
      <c r="CB102" s="31">
        <f t="shared" ca="1" si="288"/>
        <v>5.9598362981173617E-2</v>
      </c>
      <c r="CC102" s="31">
        <f t="shared" ca="1" si="288"/>
        <v>5.9972784969851978E-2</v>
      </c>
      <c r="CD102" s="31">
        <f t="shared" ca="1" si="288"/>
        <v>6.0347830995178188E-2</v>
      </c>
      <c r="CE102" s="31">
        <f t="shared" ca="1" si="288"/>
        <v>6.0723502097213208E-2</v>
      </c>
      <c r="CF102" s="31">
        <f t="shared" ca="1" si="288"/>
        <v>6.1099799317751634E-2</v>
      </c>
      <c r="CG102" s="31">
        <f t="shared" ca="1" si="288"/>
        <v>6.1476723700324233E-2</v>
      </c>
      <c r="CH102" s="31">
        <f t="shared" ca="1" si="288"/>
        <v>6.1854276290201175E-2</v>
      </c>
      <c r="CI102" s="31">
        <f t="shared" ca="1" si="288"/>
        <v>6.2232458134394639E-2</v>
      </c>
      <c r="CJ102" s="31">
        <f t="shared" ca="1" si="288"/>
        <v>6.2611270281661691E-2</v>
      </c>
      <c r="CK102" s="31">
        <f t="shared" ca="1" si="288"/>
        <v>6.2990713782507465E-2</v>
      </c>
      <c r="CL102" s="31">
        <f t="shared" ca="1" si="288"/>
        <v>6.3370789689188162E-2</v>
      </c>
      <c r="CM102" s="31">
        <f t="shared" ref="CM102:DR102" ca="1" si="289">((CM67+CM95+CM99)*12)/-$L$104</f>
        <v>6.3751499055713132E-2</v>
      </c>
      <c r="CN102" s="31">
        <f t="shared" ca="1" si="289"/>
        <v>6.4132842937849058E-2</v>
      </c>
      <c r="CO102" s="31">
        <f t="shared" ca="1" si="289"/>
        <v>6.4514822393121854E-2</v>
      </c>
      <c r="CP102" s="31">
        <f t="shared" ca="1" si="289"/>
        <v>6.4897438480820122E-2</v>
      </c>
      <c r="CQ102" s="31">
        <f t="shared" ca="1" si="289"/>
        <v>6.5280692261997883E-2</v>
      </c>
      <c r="CR102" s="31">
        <f t="shared" ca="1" si="289"/>
        <v>6.5664584799477663E-2</v>
      </c>
      <c r="CS102" s="31">
        <f t="shared" ca="1" si="289"/>
        <v>6.6049117157853166E-2</v>
      </c>
      <c r="CT102" s="31">
        <f t="shared" ca="1" si="289"/>
        <v>6.6434290403492677E-2</v>
      </c>
      <c r="CU102" s="31">
        <f t="shared" ca="1" si="289"/>
        <v>6.6820105604541505E-2</v>
      </c>
      <c r="CV102" s="31">
        <f t="shared" ca="1" si="289"/>
        <v>6.720656383092545E-2</v>
      </c>
      <c r="CW102" s="31">
        <f t="shared" ca="1" si="289"/>
        <v>6.7593666154353499E-2</v>
      </c>
      <c r="CX102" s="31">
        <f t="shared" ca="1" si="289"/>
        <v>6.7981413648320402E-2</v>
      </c>
      <c r="CY102" s="31">
        <f t="shared" ca="1" si="289"/>
        <v>6.8369807388110812E-2</v>
      </c>
      <c r="CZ102" s="31">
        <f t="shared" ca="1" si="289"/>
        <v>6.8758848450800616E-2</v>
      </c>
      <c r="DA102" s="31">
        <f t="shared" ca="1" si="289"/>
        <v>6.9148537915261751E-2</v>
      </c>
      <c r="DB102" s="31">
        <f t="shared" ca="1" si="289"/>
        <v>6.9538876862163562E-2</v>
      </c>
      <c r="DC102" s="31">
        <f t="shared" ca="1" si="289"/>
        <v>6.9929866373976912E-2</v>
      </c>
      <c r="DD102" s="31">
        <f t="shared" ca="1" si="289"/>
        <v>7.0321507534976554E-2</v>
      </c>
      <c r="DE102" s="31">
        <f t="shared" ca="1" si="289"/>
        <v>7.0713801431244616E-2</v>
      </c>
      <c r="DF102" s="31">
        <f t="shared" ca="1" si="289"/>
        <v>7.1106749150673096E-2</v>
      </c>
      <c r="DG102" s="31">
        <f t="shared" ca="1" si="289"/>
        <v>7.150035178296732E-2</v>
      </c>
      <c r="DH102" s="31">
        <f t="shared" ca="1" si="289"/>
        <v>7.1894610419648744E-2</v>
      </c>
      <c r="DI102" s="31">
        <f t="shared" ca="1" si="289"/>
        <v>7.2289526154057801E-2</v>
      </c>
      <c r="DJ102" s="31">
        <f t="shared" ca="1" si="289"/>
        <v>7.2685100081357673E-2</v>
      </c>
      <c r="DK102" s="31">
        <f t="shared" ca="1" si="289"/>
        <v>7.3081333298536305E-2</v>
      </c>
      <c r="DL102" s="31">
        <f t="shared" ca="1" si="289"/>
        <v>7.3478226904410276E-2</v>
      </c>
      <c r="DM102" s="31">
        <f t="shared" ca="1" si="289"/>
        <v>7.3875781999627368E-2</v>
      </c>
      <c r="DN102" s="31">
        <f t="shared" ca="1" si="289"/>
        <v>7.4273999686669812E-2</v>
      </c>
      <c r="DO102" s="31">
        <f t="shared" ca="1" si="289"/>
        <v>7.4672881069857408E-2</v>
      </c>
      <c r="DP102" s="31">
        <f t="shared" ca="1" si="289"/>
        <v>7.5072427255350224E-2</v>
      </c>
      <c r="DQ102" s="31">
        <f t="shared" ca="1" si="289"/>
        <v>7.5472639351152199E-2</v>
      </c>
      <c r="DR102" s="31">
        <f t="shared" ca="1" si="289"/>
        <v>7.5873518467113973E-2</v>
      </c>
      <c r="DS102" s="31">
        <f t="shared" ref="DS102:FB102" ca="1" si="290">((DS67+DS95+DS99)*12)/-$L$104</f>
        <v>7.6275065714935544E-2</v>
      </c>
      <c r="DT102" s="31">
        <f t="shared" ca="1" si="290"/>
        <v>7.6677282208170119E-2</v>
      </c>
      <c r="DU102" s="31">
        <f t="shared" ca="1" si="290"/>
        <v>7.7080169062226839E-2</v>
      </c>
      <c r="DV102" s="31">
        <f t="shared" ca="1" si="290"/>
        <v>7.7483727394373564E-2</v>
      </c>
      <c r="DW102" s="31">
        <f t="shared" ca="1" si="290"/>
        <v>7.7887958323740611E-2</v>
      </c>
      <c r="DX102" s="31">
        <f t="shared" ca="1" si="290"/>
        <v>7.8292862971323304E-2</v>
      </c>
      <c r="DY102" s="31">
        <f t="shared" ca="1" si="290"/>
        <v>7.8698442459985238E-2</v>
      </c>
      <c r="DZ102" s="31">
        <f t="shared" ca="1" si="290"/>
        <v>7.9104697914461619E-2</v>
      </c>
      <c r="EA102" s="31">
        <f t="shared" ca="1" si="290"/>
        <v>7.9511630461362129E-2</v>
      </c>
      <c r="EB102" s="31">
        <f t="shared" ca="1" si="290"/>
        <v>7.9919241229174182E-2</v>
      </c>
      <c r="EC102" s="31">
        <f t="shared" ca="1" si="290"/>
        <v>8.032753134826584E-2</v>
      </c>
      <c r="ED102" s="31">
        <f t="shared" ca="1" si="290"/>
        <v>8.0736501950889425E-2</v>
      </c>
      <c r="EE102" s="31">
        <f t="shared" ca="1" si="290"/>
        <v>8.114615417118394E-2</v>
      </c>
      <c r="EF102" s="31">
        <f t="shared" ca="1" si="290"/>
        <v>8.1556489145179017E-2</v>
      </c>
      <c r="EG102" s="31">
        <f t="shared" ca="1" si="290"/>
        <v>8.1967508010797344E-2</v>
      </c>
      <c r="EH102" s="31">
        <f t="shared" ca="1" si="290"/>
        <v>8.237921190785838E-2</v>
      </c>
      <c r="EI102" s="31">
        <f t="shared" ca="1" si="290"/>
        <v>8.2791601978081344E-2</v>
      </c>
      <c r="EJ102" s="31">
        <f t="shared" ca="1" si="290"/>
        <v>8.320467936508788E-2</v>
      </c>
      <c r="EK102" s="31">
        <f t="shared" ca="1" si="290"/>
        <v>8.361844521440609E-2</v>
      </c>
      <c r="EL102" s="31">
        <f t="shared" ca="1" si="290"/>
        <v>8.4032900673473215E-2</v>
      </c>
      <c r="EM102" s="31">
        <f t="shared" ca="1" si="290"/>
        <v>8.4448046891638762E-2</v>
      </c>
      <c r="EN102" s="31">
        <f t="shared" ca="1" si="290"/>
        <v>8.4863885020167895E-2</v>
      </c>
      <c r="EO102" s="31">
        <f t="shared" ca="1" si="290"/>
        <v>8.5280416212244498E-2</v>
      </c>
      <c r="EP102" s="31">
        <f t="shared" ca="1" si="290"/>
        <v>8.5697641622974746E-2</v>
      </c>
      <c r="EQ102" s="31">
        <f t="shared" ca="1" si="290"/>
        <v>0</v>
      </c>
      <c r="ER102" s="31">
        <f t="shared" ca="1" si="290"/>
        <v>0</v>
      </c>
      <c r="ES102" s="31">
        <f t="shared" ca="1" si="290"/>
        <v>0</v>
      </c>
      <c r="ET102" s="31">
        <f t="shared" ca="1" si="290"/>
        <v>0</v>
      </c>
      <c r="EU102" s="31">
        <f t="shared" ca="1" si="290"/>
        <v>0</v>
      </c>
      <c r="EV102" s="31">
        <f t="shared" ca="1" si="290"/>
        <v>0</v>
      </c>
      <c r="EW102" s="31">
        <f t="shared" ca="1" si="290"/>
        <v>0</v>
      </c>
      <c r="EX102" s="31">
        <f t="shared" ca="1" si="290"/>
        <v>0</v>
      </c>
      <c r="EY102" s="31">
        <f t="shared" ca="1" si="290"/>
        <v>0</v>
      </c>
      <c r="EZ102" s="31">
        <f t="shared" ca="1" si="290"/>
        <v>0</v>
      </c>
      <c r="FA102" s="31">
        <f t="shared" ca="1" si="290"/>
        <v>0</v>
      </c>
      <c r="FB102" s="31">
        <f t="shared" ca="1" si="290"/>
        <v>0</v>
      </c>
    </row>
    <row r="103" spans="1:158">
      <c r="B103" s="288"/>
      <c r="C103" s="288"/>
      <c r="D103" s="288"/>
      <c r="E103" s="288"/>
      <c r="F103" s="288"/>
      <c r="G103" s="288"/>
      <c r="J103" s="14" t="s">
        <v>11</v>
      </c>
      <c r="L103" s="46">
        <f ca="1">L101</f>
        <v>4456051.7216412583</v>
      </c>
    </row>
    <row r="104" spans="1:158">
      <c r="B104" s="290"/>
      <c r="C104" s="290"/>
      <c r="D104" s="290"/>
      <c r="E104" s="290"/>
      <c r="F104" s="290"/>
      <c r="G104" s="290"/>
      <c r="J104" s="14" t="s">
        <v>13</v>
      </c>
      <c r="L104" s="46">
        <f ca="1">SUMIF(Z101:FB101,"&lt;0",Z101:FB101)</f>
        <v>-2592682.5900000026</v>
      </c>
    </row>
    <row r="105" spans="1:158" s="44" customFormat="1">
      <c r="A105" s="9"/>
      <c r="B105" s="21" t="s">
        <v>138</v>
      </c>
      <c r="C105" s="22" t="s">
        <v>139</v>
      </c>
      <c r="D105" s="9"/>
      <c r="E105" s="9"/>
      <c r="F105" s="9"/>
      <c r="G105" s="9"/>
      <c r="H105" s="11"/>
      <c r="I105" s="9"/>
      <c r="J105" s="14" t="s">
        <v>16</v>
      </c>
      <c r="K105" s="11"/>
      <c r="L105" s="31">
        <f ca="1">(1+IRR(Z101:FB101,0))^12-1</f>
        <v>0.17086737258453377</v>
      </c>
      <c r="M105" s="11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11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</row>
    <row r="106" spans="1:158">
      <c r="B106" s="9" t="s">
        <v>182</v>
      </c>
      <c r="C106" s="222">
        <v>6.25E-2</v>
      </c>
      <c r="J106" s="14" t="s">
        <v>19</v>
      </c>
      <c r="L106" s="85">
        <f ca="1">(L103-L104)/-L104</f>
        <v>2.7187031450854358</v>
      </c>
    </row>
    <row r="107" spans="1:158" s="64" customFormat="1">
      <c r="B107" s="9" t="s">
        <v>225</v>
      </c>
      <c r="C107" s="123">
        <v>0.02</v>
      </c>
      <c r="D107" s="9"/>
      <c r="E107" s="9"/>
      <c r="F107" s="9"/>
      <c r="G107" s="9"/>
      <c r="H107" s="58"/>
      <c r="I107" s="9"/>
      <c r="J107" s="9"/>
      <c r="K107" s="11"/>
      <c r="L107" s="24"/>
      <c r="M107" s="11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11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</row>
    <row r="108" spans="1:158" s="64" customFormat="1">
      <c r="B108" s="9" t="s">
        <v>224</v>
      </c>
      <c r="C108" s="123">
        <v>0.02</v>
      </c>
      <c r="D108" s="9"/>
      <c r="E108" s="9"/>
      <c r="F108" s="9"/>
      <c r="G108" s="9"/>
      <c r="H108" s="58"/>
      <c r="I108" s="9"/>
      <c r="J108" s="9"/>
      <c r="K108" s="11"/>
      <c r="L108" s="24"/>
      <c r="M108" s="11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11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</row>
    <row r="109" spans="1:158" s="64" customFormat="1">
      <c r="B109" s="9" t="s">
        <v>137</v>
      </c>
      <c r="C109" s="125">
        <v>250</v>
      </c>
      <c r="D109" s="9"/>
      <c r="E109" s="9"/>
      <c r="F109" s="9"/>
      <c r="G109" s="9"/>
      <c r="H109" s="58"/>
      <c r="I109" s="35" t="s">
        <v>228</v>
      </c>
      <c r="J109" s="116"/>
      <c r="K109" s="11"/>
      <c r="L109" s="146"/>
      <c r="M109" s="11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  <c r="X109" s="116"/>
      <c r="Y109" s="11"/>
      <c r="Z109" s="116"/>
      <c r="AA109" s="116"/>
      <c r="AB109" s="116"/>
      <c r="AC109" s="116"/>
      <c r="AD109" s="116"/>
      <c r="AE109" s="116"/>
      <c r="AF109" s="116"/>
      <c r="AG109" s="116"/>
      <c r="AH109" s="116"/>
      <c r="AI109" s="116"/>
      <c r="AJ109" s="116"/>
      <c r="AK109" s="116"/>
      <c r="AL109" s="116"/>
      <c r="AM109" s="116"/>
      <c r="AN109" s="116"/>
      <c r="AO109" s="116"/>
      <c r="AP109" s="116"/>
      <c r="AQ109" s="116"/>
      <c r="AR109" s="116"/>
      <c r="AS109" s="116"/>
      <c r="AT109" s="116"/>
      <c r="AU109" s="116"/>
      <c r="AV109" s="116"/>
      <c r="AW109" s="116"/>
      <c r="AX109" s="116"/>
      <c r="AY109" s="116"/>
      <c r="AZ109" s="116"/>
      <c r="BA109" s="116"/>
      <c r="BB109" s="116"/>
      <c r="BC109" s="116"/>
      <c r="BD109" s="116"/>
      <c r="BE109" s="116"/>
      <c r="BF109" s="116"/>
      <c r="BG109" s="116"/>
      <c r="BH109" s="116"/>
      <c r="BI109" s="116"/>
      <c r="BJ109" s="116"/>
      <c r="BK109" s="116"/>
      <c r="BL109" s="116"/>
      <c r="BM109" s="116"/>
      <c r="BN109" s="116"/>
      <c r="BO109" s="116"/>
      <c r="BP109" s="116"/>
      <c r="BQ109" s="116"/>
      <c r="BR109" s="116"/>
      <c r="BS109" s="116"/>
      <c r="BT109" s="116"/>
      <c r="BU109" s="116"/>
      <c r="BV109" s="116"/>
      <c r="BW109" s="116"/>
      <c r="BX109" s="116"/>
      <c r="BY109" s="116"/>
      <c r="BZ109" s="116"/>
      <c r="CA109" s="116"/>
      <c r="CB109" s="116"/>
      <c r="CC109" s="116"/>
      <c r="CD109" s="116"/>
      <c r="CE109" s="116"/>
      <c r="CF109" s="116"/>
      <c r="CG109" s="116"/>
      <c r="CH109" s="116"/>
      <c r="CI109" s="116"/>
      <c r="CJ109" s="116"/>
      <c r="CK109" s="116"/>
      <c r="CL109" s="116"/>
      <c r="CM109" s="116"/>
      <c r="CN109" s="116"/>
      <c r="CO109" s="116"/>
      <c r="CP109" s="116"/>
      <c r="CQ109" s="116"/>
      <c r="CR109" s="116"/>
      <c r="CS109" s="116"/>
      <c r="CT109" s="116"/>
      <c r="CU109" s="116"/>
      <c r="CV109" s="116"/>
      <c r="CW109" s="116"/>
      <c r="CX109" s="116"/>
      <c r="CY109" s="116"/>
      <c r="CZ109" s="116"/>
      <c r="DA109" s="116"/>
      <c r="DB109" s="116"/>
      <c r="DC109" s="116"/>
      <c r="DD109" s="116"/>
      <c r="DE109" s="116"/>
      <c r="DF109" s="116"/>
      <c r="DG109" s="116"/>
      <c r="DH109" s="116"/>
      <c r="DI109" s="116"/>
      <c r="DJ109" s="116"/>
      <c r="DK109" s="116"/>
      <c r="DL109" s="116"/>
      <c r="DM109" s="116"/>
      <c r="DN109" s="116"/>
      <c r="DO109" s="116"/>
      <c r="DP109" s="116"/>
      <c r="DQ109" s="116"/>
      <c r="DR109" s="116"/>
      <c r="DS109" s="116"/>
      <c r="DT109" s="116"/>
      <c r="DU109" s="116"/>
      <c r="DV109" s="116"/>
      <c r="DW109" s="116"/>
      <c r="DX109" s="116"/>
      <c r="DY109" s="116"/>
      <c r="DZ109" s="116"/>
      <c r="EA109" s="116"/>
      <c r="EB109" s="116"/>
      <c r="EC109" s="116"/>
      <c r="ED109" s="116"/>
      <c r="EE109" s="116"/>
      <c r="EF109" s="116"/>
      <c r="EG109" s="116"/>
      <c r="EH109" s="116"/>
      <c r="EI109" s="116"/>
      <c r="EJ109" s="116"/>
      <c r="EK109" s="116"/>
      <c r="EL109" s="116"/>
      <c r="EM109" s="116"/>
      <c r="EN109" s="116"/>
      <c r="EO109" s="116"/>
      <c r="EP109" s="116"/>
      <c r="EQ109" s="116"/>
      <c r="ER109" s="116"/>
      <c r="ES109" s="116"/>
      <c r="ET109" s="116"/>
      <c r="EU109" s="116"/>
      <c r="EV109" s="116"/>
      <c r="EW109" s="116"/>
      <c r="EX109" s="116"/>
      <c r="EY109" s="116"/>
      <c r="EZ109" s="116"/>
      <c r="FA109" s="116"/>
      <c r="FB109" s="116"/>
    </row>
    <row r="110" spans="1:158" s="64" customFormat="1">
      <c r="B110" s="9" t="s">
        <v>183</v>
      </c>
      <c r="C110" s="222">
        <v>6.7500000000000004E-2</v>
      </c>
      <c r="D110" s="9"/>
      <c r="E110" s="9"/>
      <c r="F110" s="276"/>
      <c r="G110" s="9"/>
      <c r="H110" s="58"/>
      <c r="I110" s="272" t="s">
        <v>185</v>
      </c>
      <c r="J110" s="273">
        <v>0.01</v>
      </c>
      <c r="K110" s="11"/>
      <c r="L110" s="24">
        <f>SUMIF($Z$4:$FB$4,"&lt;="&amp;$G$18,$Z110:$FB110)</f>
        <v>220378.02015000055</v>
      </c>
      <c r="M110" s="11"/>
      <c r="N110" s="24">
        <f>SUMIF($Z$3:$FB$3,N$7,$Z110:$FB110)</f>
        <v>0</v>
      </c>
      <c r="O110" s="55">
        <f>SUMIF($Z$3:$FB$3,O$7,$Z110:$FB110)</f>
        <v>22037.802015000019</v>
      </c>
      <c r="P110" s="55">
        <f t="shared" ref="P110:X110" si="291">SUMIF($Z$3:$FB$3,P$7,$Z110:$FB110)</f>
        <v>22037.802015000019</v>
      </c>
      <c r="Q110" s="55">
        <f t="shared" si="291"/>
        <v>22037.802015000019</v>
      </c>
      <c r="R110" s="55">
        <f t="shared" si="291"/>
        <v>22037.802015000019</v>
      </c>
      <c r="S110" s="55">
        <f t="shared" si="291"/>
        <v>22037.802015000019</v>
      </c>
      <c r="T110" s="55">
        <f t="shared" si="291"/>
        <v>22037.802015000019</v>
      </c>
      <c r="U110" s="55">
        <f t="shared" si="291"/>
        <v>22037.802015000019</v>
      </c>
      <c r="V110" s="55">
        <f t="shared" si="291"/>
        <v>22037.802015000019</v>
      </c>
      <c r="W110" s="55">
        <f t="shared" si="291"/>
        <v>22037.802015000019</v>
      </c>
      <c r="X110" s="55">
        <f t="shared" si="291"/>
        <v>22037.802015000019</v>
      </c>
      <c r="Y110" s="11"/>
      <c r="Z110" s="24">
        <v>0</v>
      </c>
      <c r="AA110" s="24">
        <f t="shared" ref="AA110:BF110" si="292">$D$32*$J$110/12*(AA$4&lt;=$G$18)</f>
        <v>1836.4835012500018</v>
      </c>
      <c r="AB110" s="24">
        <f t="shared" si="292"/>
        <v>1836.4835012500018</v>
      </c>
      <c r="AC110" s="24">
        <f t="shared" si="292"/>
        <v>1836.4835012500018</v>
      </c>
      <c r="AD110" s="24">
        <f t="shared" si="292"/>
        <v>1836.4835012500018</v>
      </c>
      <c r="AE110" s="24">
        <f t="shared" si="292"/>
        <v>1836.4835012500018</v>
      </c>
      <c r="AF110" s="24">
        <f t="shared" si="292"/>
        <v>1836.4835012500018</v>
      </c>
      <c r="AG110" s="24">
        <f t="shared" si="292"/>
        <v>1836.4835012500018</v>
      </c>
      <c r="AH110" s="24">
        <f t="shared" si="292"/>
        <v>1836.4835012500018</v>
      </c>
      <c r="AI110" s="24">
        <f t="shared" si="292"/>
        <v>1836.4835012500018</v>
      </c>
      <c r="AJ110" s="24">
        <f t="shared" si="292"/>
        <v>1836.4835012500018</v>
      </c>
      <c r="AK110" s="24">
        <f t="shared" si="292"/>
        <v>1836.4835012500018</v>
      </c>
      <c r="AL110" s="24">
        <f t="shared" si="292"/>
        <v>1836.4835012500018</v>
      </c>
      <c r="AM110" s="24">
        <f t="shared" si="292"/>
        <v>1836.4835012500018</v>
      </c>
      <c r="AN110" s="24">
        <f t="shared" si="292"/>
        <v>1836.4835012500018</v>
      </c>
      <c r="AO110" s="24">
        <f t="shared" si="292"/>
        <v>1836.4835012500018</v>
      </c>
      <c r="AP110" s="24">
        <f t="shared" si="292"/>
        <v>1836.4835012500018</v>
      </c>
      <c r="AQ110" s="24">
        <f t="shared" si="292"/>
        <v>1836.4835012500018</v>
      </c>
      <c r="AR110" s="24">
        <f t="shared" si="292"/>
        <v>1836.4835012500018</v>
      </c>
      <c r="AS110" s="24">
        <f t="shared" si="292"/>
        <v>1836.4835012500018</v>
      </c>
      <c r="AT110" s="24">
        <f t="shared" si="292"/>
        <v>1836.4835012500018</v>
      </c>
      <c r="AU110" s="24">
        <f t="shared" si="292"/>
        <v>1836.4835012500018</v>
      </c>
      <c r="AV110" s="24">
        <f t="shared" si="292"/>
        <v>1836.4835012500018</v>
      </c>
      <c r="AW110" s="24">
        <f t="shared" si="292"/>
        <v>1836.4835012500018</v>
      </c>
      <c r="AX110" s="24">
        <f t="shared" si="292"/>
        <v>1836.4835012500018</v>
      </c>
      <c r="AY110" s="24">
        <f t="shared" si="292"/>
        <v>1836.4835012500018</v>
      </c>
      <c r="AZ110" s="24">
        <f t="shared" si="292"/>
        <v>1836.4835012500018</v>
      </c>
      <c r="BA110" s="24">
        <f t="shared" si="292"/>
        <v>1836.4835012500018</v>
      </c>
      <c r="BB110" s="24">
        <f t="shared" si="292"/>
        <v>1836.4835012500018</v>
      </c>
      <c r="BC110" s="24">
        <f t="shared" si="292"/>
        <v>1836.4835012500018</v>
      </c>
      <c r="BD110" s="24">
        <f t="shared" si="292"/>
        <v>1836.4835012500018</v>
      </c>
      <c r="BE110" s="24">
        <f t="shared" si="292"/>
        <v>1836.4835012500018</v>
      </c>
      <c r="BF110" s="24">
        <f t="shared" si="292"/>
        <v>1836.4835012500018</v>
      </c>
      <c r="BG110" s="24">
        <f t="shared" ref="BG110:CL110" si="293">$D$32*$J$110/12*(BG$4&lt;=$G$18)</f>
        <v>1836.4835012500018</v>
      </c>
      <c r="BH110" s="24">
        <f t="shared" si="293"/>
        <v>1836.4835012500018</v>
      </c>
      <c r="BI110" s="24">
        <f t="shared" si="293"/>
        <v>1836.4835012500018</v>
      </c>
      <c r="BJ110" s="24">
        <f t="shared" si="293"/>
        <v>1836.4835012500018</v>
      </c>
      <c r="BK110" s="24">
        <f t="shared" si="293"/>
        <v>1836.4835012500018</v>
      </c>
      <c r="BL110" s="24">
        <f t="shared" si="293"/>
        <v>1836.4835012500018</v>
      </c>
      <c r="BM110" s="24">
        <f t="shared" si="293"/>
        <v>1836.4835012500018</v>
      </c>
      <c r="BN110" s="24">
        <f t="shared" si="293"/>
        <v>1836.4835012500018</v>
      </c>
      <c r="BO110" s="24">
        <f t="shared" si="293"/>
        <v>1836.4835012500018</v>
      </c>
      <c r="BP110" s="24">
        <f t="shared" si="293"/>
        <v>1836.4835012500018</v>
      </c>
      <c r="BQ110" s="24">
        <f t="shared" si="293"/>
        <v>1836.4835012500018</v>
      </c>
      <c r="BR110" s="24">
        <f t="shared" si="293"/>
        <v>1836.4835012500018</v>
      </c>
      <c r="BS110" s="24">
        <f t="shared" si="293"/>
        <v>1836.4835012500018</v>
      </c>
      <c r="BT110" s="24">
        <f t="shared" si="293"/>
        <v>1836.4835012500018</v>
      </c>
      <c r="BU110" s="24">
        <f t="shared" si="293"/>
        <v>1836.4835012500018</v>
      </c>
      <c r="BV110" s="24">
        <f t="shared" si="293"/>
        <v>1836.4835012500018</v>
      </c>
      <c r="BW110" s="24">
        <f t="shared" si="293"/>
        <v>1836.4835012500018</v>
      </c>
      <c r="BX110" s="24">
        <f t="shared" si="293"/>
        <v>1836.4835012500018</v>
      </c>
      <c r="BY110" s="24">
        <f t="shared" si="293"/>
        <v>1836.4835012500018</v>
      </c>
      <c r="BZ110" s="24">
        <f t="shared" si="293"/>
        <v>1836.4835012500018</v>
      </c>
      <c r="CA110" s="24">
        <f t="shared" si="293"/>
        <v>1836.4835012500018</v>
      </c>
      <c r="CB110" s="24">
        <f t="shared" si="293"/>
        <v>1836.4835012500018</v>
      </c>
      <c r="CC110" s="24">
        <f t="shared" si="293"/>
        <v>1836.4835012500018</v>
      </c>
      <c r="CD110" s="24">
        <f t="shared" si="293"/>
        <v>1836.4835012500018</v>
      </c>
      <c r="CE110" s="24">
        <f t="shared" si="293"/>
        <v>1836.4835012500018</v>
      </c>
      <c r="CF110" s="24">
        <f t="shared" si="293"/>
        <v>1836.4835012500018</v>
      </c>
      <c r="CG110" s="24">
        <f t="shared" si="293"/>
        <v>1836.4835012500018</v>
      </c>
      <c r="CH110" s="24">
        <f t="shared" si="293"/>
        <v>1836.4835012500018</v>
      </c>
      <c r="CI110" s="24">
        <f t="shared" si="293"/>
        <v>1836.4835012500018</v>
      </c>
      <c r="CJ110" s="24">
        <f t="shared" si="293"/>
        <v>1836.4835012500018</v>
      </c>
      <c r="CK110" s="24">
        <f t="shared" si="293"/>
        <v>1836.4835012500018</v>
      </c>
      <c r="CL110" s="24">
        <f t="shared" si="293"/>
        <v>1836.4835012500018</v>
      </c>
      <c r="CM110" s="24">
        <f t="shared" ref="CM110:DR110" si="294">$D$32*$J$110/12*(CM$4&lt;=$G$18)</f>
        <v>1836.4835012500018</v>
      </c>
      <c r="CN110" s="24">
        <f t="shared" si="294"/>
        <v>1836.4835012500018</v>
      </c>
      <c r="CO110" s="24">
        <f t="shared" si="294"/>
        <v>1836.4835012500018</v>
      </c>
      <c r="CP110" s="24">
        <f t="shared" si="294"/>
        <v>1836.4835012500018</v>
      </c>
      <c r="CQ110" s="24">
        <f t="shared" si="294"/>
        <v>1836.4835012500018</v>
      </c>
      <c r="CR110" s="24">
        <f t="shared" si="294"/>
        <v>1836.4835012500018</v>
      </c>
      <c r="CS110" s="24">
        <f t="shared" si="294"/>
        <v>1836.4835012500018</v>
      </c>
      <c r="CT110" s="24">
        <f t="shared" si="294"/>
        <v>1836.4835012500018</v>
      </c>
      <c r="CU110" s="24">
        <f t="shared" si="294"/>
        <v>1836.4835012500018</v>
      </c>
      <c r="CV110" s="24">
        <f t="shared" si="294"/>
        <v>1836.4835012500018</v>
      </c>
      <c r="CW110" s="24">
        <f t="shared" si="294"/>
        <v>1836.4835012500018</v>
      </c>
      <c r="CX110" s="24">
        <f t="shared" si="294"/>
        <v>1836.4835012500018</v>
      </c>
      <c r="CY110" s="24">
        <f t="shared" si="294"/>
        <v>1836.4835012500018</v>
      </c>
      <c r="CZ110" s="24">
        <f t="shared" si="294"/>
        <v>1836.4835012500018</v>
      </c>
      <c r="DA110" s="24">
        <f t="shared" si="294"/>
        <v>1836.4835012500018</v>
      </c>
      <c r="DB110" s="24">
        <f t="shared" si="294"/>
        <v>1836.4835012500018</v>
      </c>
      <c r="DC110" s="24">
        <f t="shared" si="294"/>
        <v>1836.4835012500018</v>
      </c>
      <c r="DD110" s="24">
        <f t="shared" si="294"/>
        <v>1836.4835012500018</v>
      </c>
      <c r="DE110" s="24">
        <f t="shared" si="294"/>
        <v>1836.4835012500018</v>
      </c>
      <c r="DF110" s="24">
        <f t="shared" si="294"/>
        <v>1836.4835012500018</v>
      </c>
      <c r="DG110" s="24">
        <f t="shared" si="294"/>
        <v>1836.4835012500018</v>
      </c>
      <c r="DH110" s="24">
        <f t="shared" si="294"/>
        <v>1836.4835012500018</v>
      </c>
      <c r="DI110" s="24">
        <f t="shared" si="294"/>
        <v>1836.4835012500018</v>
      </c>
      <c r="DJ110" s="24">
        <f t="shared" si="294"/>
        <v>1836.4835012500018</v>
      </c>
      <c r="DK110" s="24">
        <f t="shared" si="294"/>
        <v>1836.4835012500018</v>
      </c>
      <c r="DL110" s="24">
        <f t="shared" si="294"/>
        <v>1836.4835012500018</v>
      </c>
      <c r="DM110" s="24">
        <f t="shared" si="294"/>
        <v>1836.4835012500018</v>
      </c>
      <c r="DN110" s="24">
        <f t="shared" si="294"/>
        <v>1836.4835012500018</v>
      </c>
      <c r="DO110" s="24">
        <f t="shared" si="294"/>
        <v>1836.4835012500018</v>
      </c>
      <c r="DP110" s="24">
        <f t="shared" si="294"/>
        <v>1836.4835012500018</v>
      </c>
      <c r="DQ110" s="24">
        <f t="shared" si="294"/>
        <v>1836.4835012500018</v>
      </c>
      <c r="DR110" s="24">
        <f t="shared" si="294"/>
        <v>1836.4835012500018</v>
      </c>
      <c r="DS110" s="24">
        <f t="shared" ref="DS110:FB110" si="295">$D$32*$J$110/12*(DS$4&lt;=$G$18)</f>
        <v>1836.4835012500018</v>
      </c>
      <c r="DT110" s="24">
        <f t="shared" si="295"/>
        <v>1836.4835012500018</v>
      </c>
      <c r="DU110" s="24">
        <f t="shared" si="295"/>
        <v>1836.4835012500018</v>
      </c>
      <c r="DV110" s="24">
        <f t="shared" si="295"/>
        <v>1836.4835012500018</v>
      </c>
      <c r="DW110" s="24">
        <f t="shared" si="295"/>
        <v>1836.4835012500018</v>
      </c>
      <c r="DX110" s="24">
        <f t="shared" si="295"/>
        <v>1836.4835012500018</v>
      </c>
      <c r="DY110" s="24">
        <f t="shared" si="295"/>
        <v>1836.4835012500018</v>
      </c>
      <c r="DZ110" s="24">
        <f t="shared" si="295"/>
        <v>1836.4835012500018</v>
      </c>
      <c r="EA110" s="24">
        <f t="shared" si="295"/>
        <v>1836.4835012500018</v>
      </c>
      <c r="EB110" s="24">
        <f t="shared" si="295"/>
        <v>1836.4835012500018</v>
      </c>
      <c r="EC110" s="24">
        <f t="shared" si="295"/>
        <v>1836.4835012500018</v>
      </c>
      <c r="ED110" s="24">
        <f t="shared" si="295"/>
        <v>1836.4835012500018</v>
      </c>
      <c r="EE110" s="24">
        <f t="shared" si="295"/>
        <v>1836.4835012500018</v>
      </c>
      <c r="EF110" s="24">
        <f t="shared" si="295"/>
        <v>1836.4835012500018</v>
      </c>
      <c r="EG110" s="24">
        <f t="shared" si="295"/>
        <v>1836.4835012500018</v>
      </c>
      <c r="EH110" s="24">
        <f t="shared" si="295"/>
        <v>1836.4835012500018</v>
      </c>
      <c r="EI110" s="24">
        <f t="shared" si="295"/>
        <v>1836.4835012500018</v>
      </c>
      <c r="EJ110" s="24">
        <f t="shared" si="295"/>
        <v>1836.4835012500018</v>
      </c>
      <c r="EK110" s="24">
        <f t="shared" si="295"/>
        <v>1836.4835012500018</v>
      </c>
      <c r="EL110" s="24">
        <f t="shared" si="295"/>
        <v>1836.4835012500018</v>
      </c>
      <c r="EM110" s="24">
        <f t="shared" si="295"/>
        <v>1836.4835012500018</v>
      </c>
      <c r="EN110" s="24">
        <f t="shared" si="295"/>
        <v>1836.4835012500018</v>
      </c>
      <c r="EO110" s="24">
        <f t="shared" si="295"/>
        <v>1836.4835012500018</v>
      </c>
      <c r="EP110" s="24">
        <f t="shared" si="295"/>
        <v>1836.4835012500018</v>
      </c>
      <c r="EQ110" s="24">
        <f t="shared" si="295"/>
        <v>0</v>
      </c>
      <c r="ER110" s="24">
        <f t="shared" si="295"/>
        <v>0</v>
      </c>
      <c r="ES110" s="24">
        <f t="shared" si="295"/>
        <v>0</v>
      </c>
      <c r="ET110" s="24">
        <f t="shared" si="295"/>
        <v>0</v>
      </c>
      <c r="EU110" s="24">
        <f t="shared" si="295"/>
        <v>0</v>
      </c>
      <c r="EV110" s="24">
        <f t="shared" si="295"/>
        <v>0</v>
      </c>
      <c r="EW110" s="24">
        <f t="shared" si="295"/>
        <v>0</v>
      </c>
      <c r="EX110" s="24">
        <f t="shared" si="295"/>
        <v>0</v>
      </c>
      <c r="EY110" s="24">
        <f t="shared" si="295"/>
        <v>0</v>
      </c>
      <c r="EZ110" s="24">
        <f t="shared" si="295"/>
        <v>0</v>
      </c>
      <c r="FA110" s="24">
        <f t="shared" si="295"/>
        <v>0</v>
      </c>
      <c r="FB110" s="24">
        <f t="shared" si="295"/>
        <v>0</v>
      </c>
    </row>
    <row r="111" spans="1:158" s="32" customFormat="1">
      <c r="A111" s="9"/>
      <c r="B111" s="9"/>
      <c r="C111" s="9"/>
      <c r="D111" s="9"/>
      <c r="E111" s="9"/>
      <c r="F111" s="9"/>
      <c r="G111" s="9"/>
      <c r="H111" s="9"/>
      <c r="I111" s="274" t="s">
        <v>186</v>
      </c>
      <c r="J111" s="231"/>
      <c r="K111" s="11"/>
      <c r="L111" s="275">
        <f ca="1">SUMIF($Z$4:$FB$4,"&lt;="&amp;$G$18,$Z111:$FB111)</f>
        <v>4235673.7014912572</v>
      </c>
      <c r="M111" s="11"/>
      <c r="N111" s="275">
        <f ca="1">SUMIF($Z$3:$FB$3,N$7,$Z111:$FB111)</f>
        <v>-2592682.5900000026</v>
      </c>
      <c r="O111" s="72">
        <f ca="1">SUMIF($Z$3:$FB$3,O$7,$Z111:$FB111)</f>
        <v>182026.62537141202</v>
      </c>
      <c r="P111" s="72">
        <f t="shared" ref="P111:X111" ca="1" si="296">SUMIF($Z$3:$FB$3,P$7,$Z111:$FB111)</f>
        <v>1269301.5954394103</v>
      </c>
      <c r="Q111" s="72">
        <f t="shared" ca="1" si="296"/>
        <v>170794.24336146674</v>
      </c>
      <c r="R111" s="72">
        <f t="shared" ca="1" si="296"/>
        <v>187389.02332009308</v>
      </c>
      <c r="S111" s="72">
        <f t="shared" ca="1" si="296"/>
        <v>132976.64487335325</v>
      </c>
      <c r="T111" s="72">
        <f t="shared" ca="1" si="296"/>
        <v>144743.09950843343</v>
      </c>
      <c r="U111" s="72">
        <f t="shared" ca="1" si="296"/>
        <v>156747.05244897821</v>
      </c>
      <c r="V111" s="72">
        <f t="shared" ca="1" si="296"/>
        <v>168993.2974452592</v>
      </c>
      <c r="W111" s="72">
        <f t="shared" ca="1" si="296"/>
        <v>181486.72500630809</v>
      </c>
      <c r="X111" s="72">
        <f t="shared" ca="1" si="296"/>
        <v>4233897.9847165458</v>
      </c>
      <c r="Y111" s="11"/>
      <c r="Z111" s="275">
        <f t="shared" ref="Z111:BE111" ca="1" si="297">Z101-Z110</f>
        <v>-2592682.5900000026</v>
      </c>
      <c r="AA111" s="275">
        <f t="shared" ca="1" si="297"/>
        <v>14174.820799029452</v>
      </c>
      <c r="AB111" s="275">
        <f t="shared" ca="1" si="297"/>
        <v>14244.06741730769</v>
      </c>
      <c r="AC111" s="275">
        <f t="shared" ca="1" si="297"/>
        <v>14313.429446616397</v>
      </c>
      <c r="AD111" s="275">
        <f t="shared" ca="1" si="297"/>
        <v>14382.907079307288</v>
      </c>
      <c r="AE111" s="275">
        <f t="shared" ca="1" si="297"/>
        <v>14452.500508052666</v>
      </c>
      <c r="AF111" s="275">
        <f t="shared" ca="1" si="297"/>
        <v>14522.209925845962</v>
      </c>
      <c r="AG111" s="275">
        <f t="shared" ca="1" si="297"/>
        <v>14592.035526002224</v>
      </c>
      <c r="AH111" s="275">
        <f t="shared" ca="1" si="297"/>
        <v>16123.699584070053</v>
      </c>
      <c r="AI111" s="275">
        <f t="shared" ca="1" si="297"/>
        <v>16196.194333656696</v>
      </c>
      <c r="AJ111" s="275">
        <f t="shared" ca="1" si="297"/>
        <v>16268.809907826011</v>
      </c>
      <c r="AK111" s="275">
        <f t="shared" ca="1" si="297"/>
        <v>16341.546507952238</v>
      </c>
      <c r="AL111" s="275">
        <f t="shared" ca="1" si="297"/>
        <v>16414.404335745356</v>
      </c>
      <c r="AM111" s="275">
        <f t="shared" ca="1" si="297"/>
        <v>16487.383593251456</v>
      </c>
      <c r="AN111" s="275">
        <f t="shared" ca="1" si="297"/>
        <v>16560.484482853404</v>
      </c>
      <c r="AO111" s="275">
        <f t="shared" ca="1" si="297"/>
        <v>16633.707207271356</v>
      </c>
      <c r="AP111" s="275">
        <f t="shared" ca="1" si="297"/>
        <v>16707.051969563341</v>
      </c>
      <c r="AQ111" s="275">
        <f t="shared" ca="1" si="297"/>
        <v>16780.518973125822</v>
      </c>
      <c r="AR111" s="275">
        <f t="shared" ca="1" si="297"/>
        <v>16854.108421694218</v>
      </c>
      <c r="AS111" s="275">
        <f t="shared" ca="1" si="297"/>
        <v>16927.820519343586</v>
      </c>
      <c r="AT111" s="275">
        <f t="shared" ca="1" si="297"/>
        <v>17747.268470649084</v>
      </c>
      <c r="AU111" s="275">
        <f t="shared" ca="1" si="297"/>
        <v>17822.469168380041</v>
      </c>
      <c r="AV111" s="275">
        <f t="shared" ca="1" si="297"/>
        <v>17897.795200607201</v>
      </c>
      <c r="AW111" s="275">
        <f t="shared" ca="1" si="297"/>
        <v>17973.246776221407</v>
      </c>
      <c r="AX111" s="275">
        <f t="shared" ca="1" si="297"/>
        <v>1080909.7406564495</v>
      </c>
      <c r="AY111" s="275">
        <f t="shared" ca="1" si="297"/>
        <v>13495.464808274117</v>
      </c>
      <c r="AZ111" s="275">
        <f t="shared" ca="1" si="297"/>
        <v>13571.294270878852</v>
      </c>
      <c r="BA111" s="275">
        <f t="shared" ca="1" si="297"/>
        <v>13647.250115921261</v>
      </c>
      <c r="BB111" s="275">
        <f t="shared" ca="1" si="297"/>
        <v>13723.332554038714</v>
      </c>
      <c r="BC111" s="275">
        <f t="shared" ca="1" si="297"/>
        <v>13799.541796219708</v>
      </c>
      <c r="BD111" s="275">
        <f t="shared" ca="1" si="297"/>
        <v>13875.87805380437</v>
      </c>
      <c r="BE111" s="275">
        <f t="shared" ca="1" si="297"/>
        <v>13952.341538484956</v>
      </c>
      <c r="BF111" s="275">
        <f t="shared" ref="BF111:CK111" ca="1" si="298">BF101-BF110</f>
        <v>14789.595180462746</v>
      </c>
      <c r="BG111" s="275">
        <f t="shared" ca="1" si="298"/>
        <v>14867.581527021108</v>
      </c>
      <c r="BH111" s="275">
        <f t="shared" ca="1" si="298"/>
        <v>14945.697850823757</v>
      </c>
      <c r="BI111" s="275">
        <f t="shared" ca="1" si="298"/>
        <v>15023.944368499388</v>
      </c>
      <c r="BJ111" s="275">
        <f t="shared" ca="1" si="298"/>
        <v>15102.321297037806</v>
      </c>
      <c r="BK111" s="275">
        <f t="shared" ca="1" si="298"/>
        <v>15180.828853790486</v>
      </c>
      <c r="BL111" s="275">
        <f t="shared" ca="1" si="298"/>
        <v>15259.467256471047</v>
      </c>
      <c r="BM111" s="275">
        <f t="shared" ca="1" si="298"/>
        <v>15338.236723156113</v>
      </c>
      <c r="BN111" s="275">
        <f t="shared" ca="1" si="298"/>
        <v>15417.137472285633</v>
      </c>
      <c r="BO111" s="275">
        <f t="shared" ca="1" si="298"/>
        <v>15496.169722663724</v>
      </c>
      <c r="BP111" s="275">
        <f t="shared" ca="1" si="298"/>
        <v>15575.33369345909</v>
      </c>
      <c r="BQ111" s="275">
        <f t="shared" ca="1" si="298"/>
        <v>15654.629604205786</v>
      </c>
      <c r="BR111" s="275">
        <f t="shared" ca="1" si="298"/>
        <v>15734.057674803726</v>
      </c>
      <c r="BS111" s="275">
        <f t="shared" ca="1" si="298"/>
        <v>15813.61812551935</v>
      </c>
      <c r="BT111" s="275">
        <f t="shared" ca="1" si="298"/>
        <v>15893.311176986133</v>
      </c>
      <c r="BU111" s="275">
        <f t="shared" ca="1" si="298"/>
        <v>15973.137050205367</v>
      </c>
      <c r="BV111" s="275">
        <f t="shared" ca="1" si="298"/>
        <v>16053.095966546634</v>
      </c>
      <c r="BW111" s="275">
        <f t="shared" ca="1" si="298"/>
        <v>10637.685340895239</v>
      </c>
      <c r="BX111" s="275">
        <f t="shared" ca="1" si="298"/>
        <v>10717.911009065758</v>
      </c>
      <c r="BY111" s="275">
        <f t="shared" ca="1" si="298"/>
        <v>10798.270386683203</v>
      </c>
      <c r="BZ111" s="275">
        <f t="shared" ca="1" si="298"/>
        <v>10878.763696596705</v>
      </c>
      <c r="CA111" s="275">
        <f t="shared" ca="1" si="298"/>
        <v>10959.391162026726</v>
      </c>
      <c r="CB111" s="275">
        <f t="shared" ca="1" si="298"/>
        <v>11040.153006565788</v>
      </c>
      <c r="CC111" s="275">
        <f t="shared" ca="1" si="298"/>
        <v>11121.049454179085</v>
      </c>
      <c r="CD111" s="275">
        <f t="shared" ca="1" si="298"/>
        <v>11202.080729205083</v>
      </c>
      <c r="CE111" s="275">
        <f t="shared" ca="1" si="298"/>
        <v>11283.247056356109</v>
      </c>
      <c r="CF111" s="275">
        <f t="shared" ca="1" si="298"/>
        <v>11364.548660719056</v>
      </c>
      <c r="CG111" s="275">
        <f t="shared" ca="1" si="298"/>
        <v>11445.985767755928</v>
      </c>
      <c r="CH111" s="275">
        <f t="shared" ca="1" si="298"/>
        <v>11527.558603304542</v>
      </c>
      <c r="CI111" s="275">
        <f t="shared" ca="1" si="298"/>
        <v>11609.267393579083</v>
      </c>
      <c r="CJ111" s="275">
        <f t="shared" ca="1" si="298"/>
        <v>11691.112365170733</v>
      </c>
      <c r="CK111" s="275">
        <f t="shared" ca="1" si="298"/>
        <v>11773.093745048356</v>
      </c>
      <c r="CL111" s="275">
        <f t="shared" ref="CL111:DQ111" ca="1" si="299">CL101-CL110</f>
        <v>11855.21176055915</v>
      </c>
      <c r="CM111" s="275">
        <f t="shared" ca="1" si="299"/>
        <v>11937.466639429085</v>
      </c>
      <c r="CN111" s="275">
        <f t="shared" ca="1" si="299"/>
        <v>12019.85860976382</v>
      </c>
      <c r="CO111" s="275">
        <f t="shared" ca="1" si="299"/>
        <v>12102.387900049109</v>
      </c>
      <c r="CP111" s="275">
        <f t="shared" ca="1" si="299"/>
        <v>12185.054739151545</v>
      </c>
      <c r="CQ111" s="275">
        <f t="shared" ca="1" si="299"/>
        <v>12267.859356319148</v>
      </c>
      <c r="CR111" s="275">
        <f t="shared" ca="1" si="299"/>
        <v>12350.801981182043</v>
      </c>
      <c r="CS111" s="275">
        <f t="shared" ca="1" si="299"/>
        <v>12433.882843753026</v>
      </c>
      <c r="CT111" s="275">
        <f t="shared" ca="1" si="299"/>
        <v>12517.102174428308</v>
      </c>
      <c r="CU111" s="275">
        <f t="shared" ca="1" si="299"/>
        <v>12600.460203988028</v>
      </c>
      <c r="CV111" s="275">
        <f t="shared" ca="1" si="299"/>
        <v>12683.957163597022</v>
      </c>
      <c r="CW111" s="275">
        <f t="shared" ca="1" si="299"/>
        <v>12767.593284805394</v>
      </c>
      <c r="CX111" s="275">
        <f t="shared" ca="1" si="299"/>
        <v>12851.368799549071</v>
      </c>
      <c r="CY111" s="275">
        <f t="shared" ca="1" si="299"/>
        <v>12935.283940150703</v>
      </c>
      <c r="CZ111" s="275">
        <f t="shared" ca="1" si="299"/>
        <v>13019.338939319949</v>
      </c>
      <c r="DA111" s="275">
        <f t="shared" ca="1" si="299"/>
        <v>13103.534030154517</v>
      </c>
      <c r="DB111" s="275">
        <f t="shared" ca="1" si="299"/>
        <v>13187.869446140454</v>
      </c>
      <c r="DC111" s="275">
        <f t="shared" ca="1" si="299"/>
        <v>13272.345421153042</v>
      </c>
      <c r="DD111" s="275">
        <f t="shared" ca="1" si="299"/>
        <v>13356.962189457308</v>
      </c>
      <c r="DE111" s="275">
        <f t="shared" ca="1" si="299"/>
        <v>13441.719985708763</v>
      </c>
      <c r="DF111" s="275">
        <f t="shared" ca="1" si="299"/>
        <v>13526.619044953966</v>
      </c>
      <c r="DG111" s="275">
        <f t="shared" ca="1" si="299"/>
        <v>13611.659602631249</v>
      </c>
      <c r="DH111" s="275">
        <f t="shared" ca="1" si="299"/>
        <v>13696.841894571337</v>
      </c>
      <c r="DI111" s="275">
        <f t="shared" ca="1" si="299"/>
        <v>13782.166156997957</v>
      </c>
      <c r="DJ111" s="275">
        <f t="shared" ca="1" si="299"/>
        <v>13867.63262652865</v>
      </c>
      <c r="DK111" s="275">
        <f t="shared" ca="1" si="299"/>
        <v>13953.24154017521</v>
      </c>
      <c r="DL111" s="275">
        <f t="shared" ca="1" si="299"/>
        <v>14038.993135344523</v>
      </c>
      <c r="DM111" s="275">
        <f t="shared" ca="1" si="299"/>
        <v>14124.88764983912</v>
      </c>
      <c r="DN111" s="275">
        <f t="shared" ca="1" si="299"/>
        <v>14210.925321857869</v>
      </c>
      <c r="DO111" s="275">
        <f t="shared" ca="1" si="299"/>
        <v>14297.10638999667</v>
      </c>
      <c r="DP111" s="275">
        <f t="shared" ca="1" si="299"/>
        <v>14383.431093249013</v>
      </c>
      <c r="DQ111" s="275">
        <f t="shared" ca="1" si="299"/>
        <v>14469.899671006782</v>
      </c>
      <c r="DR111" s="275">
        <f t="shared" ref="DR111:EW111" ca="1" si="300">DR101-DR110</f>
        <v>14556.512363060838</v>
      </c>
      <c r="DS111" s="275">
        <f t="shared" ca="1" si="300"/>
        <v>14643.269409601622</v>
      </c>
      <c r="DT111" s="275">
        <f t="shared" ca="1" si="300"/>
        <v>14730.171051219966</v>
      </c>
      <c r="DU111" s="275">
        <f t="shared" ca="1" si="300"/>
        <v>14817.217528907693</v>
      </c>
      <c r="DV111" s="275">
        <f t="shared" ca="1" si="300"/>
        <v>14904.409084058216</v>
      </c>
      <c r="DW111" s="275">
        <f t="shared" ca="1" si="300"/>
        <v>14991.745958467336</v>
      </c>
      <c r="DX111" s="275">
        <f t="shared" ca="1" si="300"/>
        <v>15079.228394333813</v>
      </c>
      <c r="DY111" s="275">
        <f t="shared" ca="1" si="300"/>
        <v>15166.856634260055</v>
      </c>
      <c r="DZ111" s="275">
        <f t="shared" ca="1" si="300"/>
        <v>15254.630921252845</v>
      </c>
      <c r="EA111" s="275">
        <f t="shared" ca="1" si="300"/>
        <v>15342.551498723953</v>
      </c>
      <c r="EB111" s="275">
        <f t="shared" ca="1" si="300"/>
        <v>15430.618610490857</v>
      </c>
      <c r="EC111" s="275">
        <f t="shared" ca="1" si="300"/>
        <v>15518.832500777355</v>
      </c>
      <c r="ED111" s="275">
        <f t="shared" ca="1" si="300"/>
        <v>15607.193414214353</v>
      </c>
      <c r="EE111" s="275">
        <f t="shared" ca="1" si="300"/>
        <v>15695.701595840388</v>
      </c>
      <c r="EF111" s="275">
        <f t="shared" ca="1" si="300"/>
        <v>15784.357291102484</v>
      </c>
      <c r="EG111" s="275">
        <f t="shared" ca="1" si="300"/>
        <v>15873.160745856667</v>
      </c>
      <c r="EH111" s="275">
        <f t="shared" ca="1" si="300"/>
        <v>15962.112206368774</v>
      </c>
      <c r="EI111" s="275">
        <f t="shared" ca="1" si="300"/>
        <v>16051.211919315103</v>
      </c>
      <c r="EJ111" s="275">
        <f t="shared" ca="1" si="300"/>
        <v>16140.460131782982</v>
      </c>
      <c r="EK111" s="275">
        <f t="shared" ca="1" si="300"/>
        <v>16229.85709127164</v>
      </c>
      <c r="EL111" s="275">
        <f t="shared" ca="1" si="300"/>
        <v>16319.403045692789</v>
      </c>
      <c r="EM111" s="275">
        <f t="shared" ca="1" si="300"/>
        <v>16409.098243371303</v>
      </c>
      <c r="EN111" s="275">
        <f t="shared" ca="1" si="300"/>
        <v>16498.942933045942</v>
      </c>
      <c r="EO111" s="275">
        <f t="shared" ca="1" si="300"/>
        <v>16588.937363870024</v>
      </c>
      <c r="EP111" s="275">
        <f t="shared" ca="1" si="300"/>
        <v>4056344.742149028</v>
      </c>
      <c r="EQ111" s="275">
        <f t="shared" ca="1" si="300"/>
        <v>0</v>
      </c>
      <c r="ER111" s="275">
        <f t="shared" ca="1" si="300"/>
        <v>0</v>
      </c>
      <c r="ES111" s="275">
        <f t="shared" ca="1" si="300"/>
        <v>0</v>
      </c>
      <c r="ET111" s="275">
        <f t="shared" ca="1" si="300"/>
        <v>0</v>
      </c>
      <c r="EU111" s="275">
        <f t="shared" ca="1" si="300"/>
        <v>0</v>
      </c>
      <c r="EV111" s="275">
        <f t="shared" ca="1" si="300"/>
        <v>0</v>
      </c>
      <c r="EW111" s="275">
        <f t="shared" ca="1" si="300"/>
        <v>0</v>
      </c>
      <c r="EX111" s="275">
        <f t="shared" ref="EX111:FB111" ca="1" si="301">EX101-EX110</f>
        <v>0</v>
      </c>
      <c r="EY111" s="275">
        <f t="shared" ca="1" si="301"/>
        <v>0</v>
      </c>
      <c r="EZ111" s="275">
        <f t="shared" ca="1" si="301"/>
        <v>0</v>
      </c>
      <c r="FA111" s="275">
        <f t="shared" ca="1" si="301"/>
        <v>0</v>
      </c>
      <c r="FB111" s="275">
        <f t="shared" ca="1" si="301"/>
        <v>0</v>
      </c>
    </row>
    <row r="112" spans="1:158">
      <c r="H112" s="9"/>
    </row>
    <row r="113" spans="1:158">
      <c r="H113" s="9"/>
      <c r="I113" s="9" t="s">
        <v>179</v>
      </c>
      <c r="J113" s="278">
        <v>0</v>
      </c>
      <c r="K113" s="9"/>
      <c r="L113" s="9"/>
      <c r="M113" s="9"/>
      <c r="Y113" s="9"/>
    </row>
    <row r="114" spans="1:158">
      <c r="H114" s="9"/>
      <c r="J114" s="278"/>
      <c r="K114" s="9"/>
      <c r="L114" s="9"/>
      <c r="M114" s="9"/>
      <c r="Y114" s="9"/>
    </row>
    <row r="115" spans="1:158">
      <c r="H115" s="9"/>
      <c r="I115" s="15" t="s">
        <v>172</v>
      </c>
      <c r="K115" s="9"/>
      <c r="L115" s="9"/>
      <c r="M115" s="9"/>
      <c r="Y115" s="9"/>
    </row>
    <row r="116" spans="1:158" s="64" customFormat="1">
      <c r="A116" s="9"/>
      <c r="B116" s="9"/>
      <c r="C116" s="9"/>
      <c r="D116" s="9"/>
      <c r="E116" s="9"/>
      <c r="F116" s="9"/>
      <c r="G116" s="9"/>
      <c r="H116" s="9"/>
      <c r="I116" s="9" t="s">
        <v>180</v>
      </c>
      <c r="J116" s="9"/>
      <c r="K116" s="9"/>
      <c r="L116" s="9"/>
      <c r="M116" s="9"/>
      <c r="N116" s="24">
        <f>INDEX($Z116:$FB116,MATCH(N$7,$Z$3:$FB$3,0))</f>
        <v>2203780.2015000023</v>
      </c>
      <c r="O116" s="24">
        <f t="shared" ref="O116:X116" si="302">INDEX($Z116:$FB116,MATCH(O$7,$Z$3:$FB$3,0))</f>
        <v>2203780.2015000023</v>
      </c>
      <c r="P116" s="24">
        <f t="shared" ca="1" si="302"/>
        <v>2191715.7799672303</v>
      </c>
      <c r="Q116" s="24">
        <f t="shared" ca="1" si="302"/>
        <v>1090444.0512859134</v>
      </c>
      <c r="R116" s="24">
        <f t="shared" ca="1" si="302"/>
        <v>1000871.1799022525</v>
      </c>
      <c r="S116" s="24">
        <f t="shared" ca="1" si="302"/>
        <v>886851.73196896096</v>
      </c>
      <c r="T116" s="24">
        <f t="shared" ca="1" si="302"/>
        <v>820092.02704593795</v>
      </c>
      <c r="U116" s="24">
        <f t="shared" ca="1" si="302"/>
        <v>735801.20044067281</v>
      </c>
      <c r="V116" s="24">
        <f t="shared" ca="1" si="302"/>
        <v>632330.70815340453</v>
      </c>
      <c r="W116" s="24">
        <f t="shared" ca="1" si="302"/>
        <v>507895.15621758607</v>
      </c>
      <c r="X116" s="24">
        <f t="shared" ca="1" si="302"/>
        <v>360561.2524580126</v>
      </c>
      <c r="Y116" s="9"/>
      <c r="Z116" s="46">
        <f>IF($J$113=1,$D$32+$D$31,$D$32)</f>
        <v>2203780.2015000023</v>
      </c>
      <c r="AA116" s="46">
        <f t="shared" ref="AA116:BF116" si="303">Z121+Z117-Z119</f>
        <v>2203780.2015000023</v>
      </c>
      <c r="AB116" s="46">
        <f t="shared" ca="1" si="303"/>
        <v>2203788.9362465041</v>
      </c>
      <c r="AC116" s="46">
        <f t="shared" ca="1" si="303"/>
        <v>2203724.113201099</v>
      </c>
      <c r="AD116" s="46">
        <f t="shared" ca="1" si="303"/>
        <v>2203589.5110529591</v>
      </c>
      <c r="AE116" s="46">
        <f t="shared" ca="1" si="303"/>
        <v>2203384.5652378541</v>
      </c>
      <c r="AF116" s="46">
        <f t="shared" ca="1" si="303"/>
        <v>2203108.7073664586</v>
      </c>
      <c r="AG116" s="46">
        <f t="shared" ca="1" si="303"/>
        <v>2202761.3651994192</v>
      </c>
      <c r="AH116" s="46">
        <f t="shared" ca="1" si="303"/>
        <v>2202341.9626222625</v>
      </c>
      <c r="AI116" s="46">
        <f t="shared" ca="1" si="303"/>
        <v>2200388.1975382282</v>
      </c>
      <c r="AJ116" s="46">
        <f t="shared" ca="1" si="303"/>
        <v>2198349.3671212285</v>
      </c>
      <c r="AK116" s="46">
        <f t="shared" ca="1" si="303"/>
        <v>2196224.8032337674</v>
      </c>
      <c r="AL116" s="46">
        <f t="shared" ca="1" si="303"/>
        <v>2194013.8332381574</v>
      </c>
      <c r="AM116" s="46">
        <f t="shared" ca="1" si="303"/>
        <v>2191715.7799672303</v>
      </c>
      <c r="AN116" s="46">
        <f t="shared" ca="1" si="303"/>
        <v>2189329.9616948576</v>
      </c>
      <c r="AO116" s="46">
        <f t="shared" ca="1" si="303"/>
        <v>2186855.6921062814</v>
      </c>
      <c r="AP116" s="46">
        <f t="shared" ca="1" si="303"/>
        <v>2184292.2802682542</v>
      </c>
      <c r="AQ116" s="46">
        <f t="shared" ca="1" si="303"/>
        <v>2181639.030598985</v>
      </c>
      <c r="AR116" s="46">
        <f t="shared" ca="1" si="303"/>
        <v>2178895.2428378919</v>
      </c>
      <c r="AS116" s="46">
        <f t="shared" ca="1" si="303"/>
        <v>2176060.2120151599</v>
      </c>
      <c r="AT116" s="46">
        <f t="shared" ca="1" si="303"/>
        <v>2173133.2284211023</v>
      </c>
      <c r="AU116" s="46">
        <f t="shared" ca="1" si="303"/>
        <v>2169367.9645751636</v>
      </c>
      <c r="AV116" s="46">
        <f t="shared" ca="1" si="303"/>
        <v>2165503.2742105369</v>
      </c>
      <c r="AW116" s="46">
        <f t="shared" ca="1" si="303"/>
        <v>2161538.3922795113</v>
      </c>
      <c r="AX116" s="46">
        <f t="shared" ca="1" si="303"/>
        <v>2157472.5486031445</v>
      </c>
      <c r="AY116" s="46">
        <f t="shared" ca="1" si="303"/>
        <v>1090444.0512859134</v>
      </c>
      <c r="AZ116" s="46">
        <f t="shared" ca="1" si="303"/>
        <v>1083964.5363368869</v>
      </c>
      <c r="BA116" s="46">
        <f t="shared" ca="1" si="303"/>
        <v>1077367.5025309755</v>
      </c>
      <c r="BB116" s="46">
        <f t="shared" ca="1" si="303"/>
        <v>1070652.0673658778</v>
      </c>
      <c r="BC116" s="46">
        <f t="shared" ca="1" si="303"/>
        <v>1063817.3424506085</v>
      </c>
      <c r="BD116" s="46">
        <f t="shared" ca="1" si="303"/>
        <v>1056862.4334672599</v>
      </c>
      <c r="BE116" s="46">
        <f t="shared" ca="1" si="303"/>
        <v>1049786.4401325153</v>
      </c>
      <c r="BF116" s="46">
        <f t="shared" ca="1" si="303"/>
        <v>1042588.4561589162</v>
      </c>
      <c r="BG116" s="46">
        <f t="shared" ref="BG116:CL116" ca="1" si="304">BF121+BF117-BF119</f>
        <v>1034506.9064977219</v>
      </c>
      <c r="BH116" s="46">
        <f t="shared" ca="1" si="304"/>
        <v>1026295.3735561137</v>
      </c>
      <c r="BI116" s="46">
        <f t="shared" ca="1" si="304"/>
        <v>1017952.8910405072</v>
      </c>
      <c r="BJ116" s="46">
        <f t="shared" ca="1" si="304"/>
        <v>1009478.4862235275</v>
      </c>
      <c r="BK116" s="46">
        <f t="shared" ca="1" si="304"/>
        <v>1000871.1799022525</v>
      </c>
      <c r="BL116" s="46">
        <f t="shared" ca="1" si="304"/>
        <v>992129.98635618773</v>
      </c>
      <c r="BM116" s="46">
        <f t="shared" ca="1" si="304"/>
        <v>983253.91330496967</v>
      </c>
      <c r="BN116" s="46">
        <f t="shared" ca="1" si="304"/>
        <v>974241.96186579647</v>
      </c>
      <c r="BO116" s="46">
        <f t="shared" ca="1" si="304"/>
        <v>965093.12651058414</v>
      </c>
      <c r="BP116" s="46">
        <f t="shared" ca="1" si="304"/>
        <v>955806.39502284687</v>
      </c>
      <c r="BQ116" s="46">
        <f t="shared" ca="1" si="304"/>
        <v>946380.74845429859</v>
      </c>
      <c r="BR116" s="46">
        <f t="shared" ca="1" si="304"/>
        <v>936815.16108117532</v>
      </c>
      <c r="BS116" s="46">
        <f t="shared" ca="1" si="304"/>
        <v>927108.6003602756</v>
      </c>
      <c r="BT116" s="46">
        <f t="shared" ca="1" si="304"/>
        <v>917260.0268847174</v>
      </c>
      <c r="BU116" s="46">
        <f t="shared" ca="1" si="304"/>
        <v>907268.39433941012</v>
      </c>
      <c r="BV116" s="46">
        <f t="shared" ca="1" si="304"/>
        <v>897132.64945623896</v>
      </c>
      <c r="BW116" s="46">
        <f t="shared" ca="1" si="304"/>
        <v>886851.73196896096</v>
      </c>
      <c r="BX116" s="46">
        <f t="shared" ca="1" si="304"/>
        <v>881920.07737466274</v>
      </c>
      <c r="BY116" s="46">
        <f t="shared" ca="1" si="304"/>
        <v>876876.46669804212</v>
      </c>
      <c r="BZ116" s="46">
        <f t="shared" ca="1" si="304"/>
        <v>871720.04590084753</v>
      </c>
      <c r="CA116" s="46">
        <f t="shared" ca="1" si="304"/>
        <v>866449.95522707049</v>
      </c>
      <c r="CB116" s="46">
        <f t="shared" ca="1" si="304"/>
        <v>861065.32916578581</v>
      </c>
      <c r="CC116" s="46">
        <f t="shared" ca="1" si="304"/>
        <v>855565.29641375272</v>
      </c>
      <c r="CD116" s="46">
        <f t="shared" ca="1" si="304"/>
        <v>849948.97983777372</v>
      </c>
      <c r="CE116" s="46">
        <f t="shared" ca="1" si="304"/>
        <v>844215.49643681152</v>
      </c>
      <c r="CF116" s="46">
        <f t="shared" ca="1" si="304"/>
        <v>838363.95730386139</v>
      </c>
      <c r="CG116" s="46">
        <f t="shared" ca="1" si="304"/>
        <v>832393.46758757706</v>
      </c>
      <c r="CH116" s="46">
        <f t="shared" ca="1" si="304"/>
        <v>826303.12645364972</v>
      </c>
      <c r="CI116" s="46">
        <f t="shared" ca="1" si="304"/>
        <v>820092.02704593795</v>
      </c>
      <c r="CJ116" s="46">
        <f t="shared" ca="1" si="304"/>
        <v>813759.25644734618</v>
      </c>
      <c r="CK116" s="46">
        <f t="shared" ca="1" si="304"/>
        <v>807303.89564045169</v>
      </c>
      <c r="CL116" s="46">
        <f t="shared" ca="1" si="304"/>
        <v>800725.01946787711</v>
      </c>
      <c r="CM116" s="46">
        <f t="shared" ref="CM116:DR116" ca="1" si="305">CL121+CL117-CL119</f>
        <v>794021.69659240742</v>
      </c>
      <c r="CN116" s="46">
        <f t="shared" ca="1" si="305"/>
        <v>787192.98945684987</v>
      </c>
      <c r="CO116" s="46">
        <f t="shared" ca="1" si="305"/>
        <v>780237.95424363506</v>
      </c>
      <c r="CP116" s="46">
        <f t="shared" ca="1" si="305"/>
        <v>773155.64083415701</v>
      </c>
      <c r="CQ116" s="46">
        <f t="shared" ca="1" si="305"/>
        <v>765945.09276785143</v>
      </c>
      <c r="CR116" s="46">
        <f t="shared" ca="1" si="305"/>
        <v>758605.34720100998</v>
      </c>
      <c r="CS116" s="46">
        <f t="shared" ca="1" si="305"/>
        <v>751135.43486532883</v>
      </c>
      <c r="CT116" s="46">
        <f t="shared" ca="1" si="305"/>
        <v>743534.38002618984</v>
      </c>
      <c r="CU116" s="46">
        <f t="shared" ca="1" si="305"/>
        <v>735801.20044067281</v>
      </c>
      <c r="CV116" s="46">
        <f t="shared" ca="1" si="305"/>
        <v>727934.9073152967</v>
      </c>
      <c r="CW116" s="46">
        <f t="shared" ca="1" si="305"/>
        <v>719934.50526348886</v>
      </c>
      <c r="CX116" s="46">
        <f t="shared" ca="1" si="305"/>
        <v>711798.99226277915</v>
      </c>
      <c r="CY116" s="46">
        <f t="shared" ca="1" si="305"/>
        <v>703527.35961171892</v>
      </c>
      <c r="CZ116" s="46">
        <f t="shared" ca="1" si="305"/>
        <v>695118.5918865212</v>
      </c>
      <c r="DA116" s="46">
        <f t="shared" ca="1" si="305"/>
        <v>686571.66689742228</v>
      </c>
      <c r="DB116" s="46">
        <f t="shared" ca="1" si="305"/>
        <v>677885.55564476107</v>
      </c>
      <c r="DC116" s="46">
        <f t="shared" ca="1" si="305"/>
        <v>669059.22227477538</v>
      </c>
      <c r="DD116" s="46">
        <f t="shared" ca="1" si="305"/>
        <v>660091.62403511372</v>
      </c>
      <c r="DE116" s="46">
        <f t="shared" ca="1" si="305"/>
        <v>650981.71123005939</v>
      </c>
      <c r="DF116" s="46">
        <f t="shared" ca="1" si="305"/>
        <v>641728.42717546644</v>
      </c>
      <c r="DG116" s="46">
        <f t="shared" ca="1" si="305"/>
        <v>632330.70815340453</v>
      </c>
      <c r="DH116" s="46">
        <f t="shared" ca="1" si="305"/>
        <v>622787.48336651211</v>
      </c>
      <c r="DI116" s="46">
        <f t="shared" ca="1" si="305"/>
        <v>613097.67489205417</v>
      </c>
      <c r="DJ116" s="46">
        <f t="shared" ca="1" si="305"/>
        <v>603260.19763568474</v>
      </c>
      <c r="DK116" s="46">
        <f t="shared" ca="1" si="305"/>
        <v>593273.9592849107</v>
      </c>
      <c r="DL116" s="46">
        <f t="shared" ca="1" si="305"/>
        <v>583137.86026225553</v>
      </c>
      <c r="DM116" s="46">
        <f t="shared" ca="1" si="305"/>
        <v>572850.79367812129</v>
      </c>
      <c r="DN116" s="46">
        <f t="shared" ca="1" si="305"/>
        <v>562411.64528334653</v>
      </c>
      <c r="DO116" s="46">
        <f t="shared" ca="1" si="305"/>
        <v>551819.29342145834</v>
      </c>
      <c r="DP116" s="46">
        <f t="shared" ca="1" si="305"/>
        <v>541072.60898061609</v>
      </c>
      <c r="DQ116" s="46">
        <f t="shared" ca="1" si="305"/>
        <v>530170.45534524648</v>
      </c>
      <c r="DR116" s="46">
        <f t="shared" ca="1" si="305"/>
        <v>519111.68834736524</v>
      </c>
      <c r="DS116" s="46">
        <f t="shared" ref="DS116:FB116" ca="1" si="306">DR121+DR117-DR119</f>
        <v>507895.15621758607</v>
      </c>
      <c r="DT116" s="46">
        <f t="shared" ca="1" si="306"/>
        <v>496519.6995358133</v>
      </c>
      <c r="DU116" s="46">
        <f t="shared" ca="1" si="306"/>
        <v>484984.15118161659</v>
      </c>
      <c r="DV116" s="46">
        <f t="shared" ca="1" si="306"/>
        <v>473287.33628428588</v>
      </c>
      <c r="DW116" s="46">
        <f t="shared" ca="1" si="306"/>
        <v>461428.07217256411</v>
      </c>
      <c r="DX116" s="46">
        <f t="shared" ca="1" si="306"/>
        <v>449405.16832405591</v>
      </c>
      <c r="DY116" s="46">
        <f t="shared" ca="1" si="306"/>
        <v>437217.42631431023</v>
      </c>
      <c r="DZ116" s="46">
        <f t="shared" ca="1" si="306"/>
        <v>424863.63976557466</v>
      </c>
      <c r="EA116" s="46">
        <f t="shared" ca="1" si="306"/>
        <v>412342.59429521917</v>
      </c>
      <c r="EB116" s="46">
        <f t="shared" ca="1" si="306"/>
        <v>399653.06746382761</v>
      </c>
      <c r="EC116" s="46">
        <f t="shared" ca="1" si="306"/>
        <v>386793.82872295426</v>
      </c>
      <c r="ED116" s="46">
        <f t="shared" ca="1" si="306"/>
        <v>373763.63936254388</v>
      </c>
      <c r="EE116" s="46">
        <f t="shared" ca="1" si="306"/>
        <v>360561.2524580126</v>
      </c>
      <c r="EF116" s="46">
        <f t="shared" ca="1" si="306"/>
        <v>347185.41281698761</v>
      </c>
      <c r="EG116" s="46">
        <f t="shared" ca="1" si="306"/>
        <v>333634.85692570359</v>
      </c>
      <c r="EH116" s="46">
        <f t="shared" ca="1" si="306"/>
        <v>319908.31289505359</v>
      </c>
      <c r="EI116" s="46">
        <f t="shared" ca="1" si="306"/>
        <v>306004.50040629198</v>
      </c>
      <c r="EJ116" s="46">
        <f t="shared" ca="1" si="306"/>
        <v>291922.13065638754</v>
      </c>
      <c r="EK116" s="46">
        <f t="shared" ca="1" si="306"/>
        <v>277659.90630302409</v>
      </c>
      <c r="EL116" s="46">
        <f t="shared" ca="1" si="306"/>
        <v>263216.52140924684</v>
      </c>
      <c r="EM116" s="46">
        <f t="shared" ca="1" si="306"/>
        <v>248590.66138775152</v>
      </c>
      <c r="EN116" s="46">
        <f t="shared" ca="1" si="306"/>
        <v>233781.00294481468</v>
      </c>
      <c r="EO116" s="46">
        <f t="shared" ca="1" si="306"/>
        <v>218786.21402386247</v>
      </c>
      <c r="EP116" s="46">
        <f t="shared" ca="1" si="306"/>
        <v>203604.95374867565</v>
      </c>
      <c r="EQ116" s="46">
        <f t="shared" ca="1" si="306"/>
        <v>0</v>
      </c>
      <c r="ER116" s="46">
        <f t="shared" ca="1" si="306"/>
        <v>0</v>
      </c>
      <c r="ES116" s="46">
        <f t="shared" ca="1" si="306"/>
        <v>0</v>
      </c>
      <c r="ET116" s="46">
        <f t="shared" ca="1" si="306"/>
        <v>0</v>
      </c>
      <c r="EU116" s="46">
        <f t="shared" ca="1" si="306"/>
        <v>0</v>
      </c>
      <c r="EV116" s="46">
        <f t="shared" ca="1" si="306"/>
        <v>0</v>
      </c>
      <c r="EW116" s="46">
        <f t="shared" ca="1" si="306"/>
        <v>0</v>
      </c>
      <c r="EX116" s="46">
        <f t="shared" ca="1" si="306"/>
        <v>0</v>
      </c>
      <c r="EY116" s="46">
        <f t="shared" ca="1" si="306"/>
        <v>0</v>
      </c>
      <c r="EZ116" s="46">
        <f t="shared" ca="1" si="306"/>
        <v>0</v>
      </c>
      <c r="FA116" s="46">
        <f t="shared" ca="1" si="306"/>
        <v>0</v>
      </c>
      <c r="FB116" s="46">
        <f t="shared" ca="1" si="306"/>
        <v>0</v>
      </c>
    </row>
    <row r="117" spans="1:158">
      <c r="H117" s="9"/>
      <c r="I117" s="9" t="s">
        <v>169</v>
      </c>
      <c r="J117" s="273">
        <v>0.08</v>
      </c>
      <c r="K117" s="9"/>
      <c r="L117" s="46">
        <f ca="1">SUM(Z117:FB117)</f>
        <v>773141.93462062103</v>
      </c>
      <c r="M117" s="9"/>
      <c r="N117" s="24">
        <f>SUMIF($Z$3:$FB$3,N$7,$Z117:$FB117)</f>
        <v>0</v>
      </c>
      <c r="O117" s="24">
        <f t="shared" ref="O117:X120" ca="1" si="307">SUMIF($Z$3:$FB$3,O$7,$Z117:$FB117)</f>
        <v>169957.83646538941</v>
      </c>
      <c r="P117" s="24">
        <f t="shared" ca="1" si="307"/>
        <v>168029.86675809385</v>
      </c>
      <c r="Q117" s="24">
        <f t="shared" ca="1" si="307"/>
        <v>81221.371977805989</v>
      </c>
      <c r="R117" s="24">
        <f t="shared" ca="1" si="307"/>
        <v>73369.575386801589</v>
      </c>
      <c r="S117" s="24">
        <f t="shared" ca="1" si="307"/>
        <v>66216.939950330183</v>
      </c>
      <c r="T117" s="24">
        <f t="shared" ca="1" si="307"/>
        <v>60452.272903168123</v>
      </c>
      <c r="U117" s="24">
        <f t="shared" ca="1" si="307"/>
        <v>53276.560161710018</v>
      </c>
      <c r="V117" s="24">
        <f t="shared" ca="1" si="307"/>
        <v>44557.745509440872</v>
      </c>
      <c r="W117" s="24">
        <f t="shared" ca="1" si="307"/>
        <v>34152.821246734529</v>
      </c>
      <c r="X117" s="24">
        <f t="shared" ca="1" si="307"/>
        <v>21906.944261145964</v>
      </c>
      <c r="Y117" s="9"/>
      <c r="Z117" s="46">
        <v>0</v>
      </c>
      <c r="AA117" s="46">
        <f t="shared" ref="AA117:BF117" si="308">AA116*((1+$J$117)^(1/12)-1)</f>
        <v>14179.188172280441</v>
      </c>
      <c r="AB117" s="46">
        <f t="shared" ca="1" si="308"/>
        <v>14179.244371902438</v>
      </c>
      <c r="AC117" s="46">
        <f t="shared" ca="1" si="308"/>
        <v>14178.827298476479</v>
      </c>
      <c r="AD117" s="46">
        <f t="shared" ca="1" si="308"/>
        <v>14177.961264202475</v>
      </c>
      <c r="AE117" s="46">
        <f t="shared" ca="1" si="308"/>
        <v>14176.64263665717</v>
      </c>
      <c r="AF117" s="46">
        <f t="shared" ca="1" si="308"/>
        <v>14174.867758806531</v>
      </c>
      <c r="AG117" s="46">
        <f t="shared" ca="1" si="308"/>
        <v>14172.632948845325</v>
      </c>
      <c r="AH117" s="46">
        <f t="shared" ca="1" si="308"/>
        <v>14169.934500035686</v>
      </c>
      <c r="AI117" s="46">
        <f t="shared" ca="1" si="308"/>
        <v>14157.363916657136</v>
      </c>
      <c r="AJ117" s="46">
        <f t="shared" ca="1" si="308"/>
        <v>14144.24602036497</v>
      </c>
      <c r="AK117" s="46">
        <f t="shared" ca="1" si="308"/>
        <v>14130.576512342419</v>
      </c>
      <c r="AL117" s="46">
        <f t="shared" ca="1" si="308"/>
        <v>14116.351064818349</v>
      </c>
      <c r="AM117" s="46">
        <f t="shared" ca="1" si="308"/>
        <v>14101.565320878814</v>
      </c>
      <c r="AN117" s="46">
        <f t="shared" ca="1" si="308"/>
        <v>14086.214894277371</v>
      </c>
      <c r="AO117" s="46">
        <f t="shared" ca="1" si="308"/>
        <v>14070.295369244206</v>
      </c>
      <c r="AP117" s="46">
        <f t="shared" ca="1" si="308"/>
        <v>14053.802300293999</v>
      </c>
      <c r="AQ117" s="46">
        <f t="shared" ca="1" si="308"/>
        <v>14036.731212032564</v>
      </c>
      <c r="AR117" s="46">
        <f t="shared" ca="1" si="308"/>
        <v>14019.077598962233</v>
      </c>
      <c r="AS117" s="46">
        <f t="shared" ca="1" si="308"/>
        <v>14000.836925285987</v>
      </c>
      <c r="AT117" s="46">
        <f t="shared" ca="1" si="308"/>
        <v>13982.004624710335</v>
      </c>
      <c r="AU117" s="46">
        <f t="shared" ca="1" si="308"/>
        <v>13957.778803753457</v>
      </c>
      <c r="AV117" s="46">
        <f t="shared" ca="1" si="308"/>
        <v>13932.91326958161</v>
      </c>
      <c r="AW117" s="46">
        <f t="shared" ca="1" si="308"/>
        <v>13907.403099854782</v>
      </c>
      <c r="AX117" s="46">
        <f t="shared" ca="1" si="308"/>
        <v>13881.24333921847</v>
      </c>
      <c r="AY117" s="46">
        <f t="shared" ca="1" si="308"/>
        <v>7015.9498592476921</v>
      </c>
      <c r="AZ117" s="46">
        <f t="shared" ca="1" si="308"/>
        <v>6974.2604649674377</v>
      </c>
      <c r="BA117" s="46">
        <f t="shared" ca="1" si="308"/>
        <v>6931.8149508234928</v>
      </c>
      <c r="BB117" s="46">
        <f t="shared" ca="1" si="308"/>
        <v>6888.6076387694784</v>
      </c>
      <c r="BC117" s="46">
        <f t="shared" ca="1" si="308"/>
        <v>6844.6328128710456</v>
      </c>
      <c r="BD117" s="46">
        <f t="shared" ca="1" si="308"/>
        <v>6799.8847190598472</v>
      </c>
      <c r="BE117" s="46">
        <f t="shared" ca="1" si="308"/>
        <v>6754.3575648859169</v>
      </c>
      <c r="BF117" s="46">
        <f t="shared" ca="1" si="308"/>
        <v>6708.0455192684585</v>
      </c>
      <c r="BG117" s="46">
        <f t="shared" ref="BG117:CL117" ca="1" si="309">BG116*((1+$J$117)^(1/12)-1)</f>
        <v>6656.0485854128465</v>
      </c>
      <c r="BH117" s="46">
        <f t="shared" ca="1" si="309"/>
        <v>6603.2153352172536</v>
      </c>
      <c r="BI117" s="46">
        <f t="shared" ca="1" si="309"/>
        <v>6549.5395515196651</v>
      </c>
      <c r="BJ117" s="46">
        <f t="shared" ca="1" si="309"/>
        <v>6495.0149757628587</v>
      </c>
      <c r="BK117" s="46">
        <f t="shared" ca="1" si="309"/>
        <v>6439.6353077257527</v>
      </c>
      <c r="BL117" s="46">
        <f t="shared" ca="1" si="309"/>
        <v>6383.3942052530047</v>
      </c>
      <c r="BM117" s="46">
        <f t="shared" ca="1" si="309"/>
        <v>6326.2852839828774</v>
      </c>
      <c r="BN117" s="46">
        <f t="shared" ca="1" si="309"/>
        <v>6268.3021170733482</v>
      </c>
      <c r="BO117" s="46">
        <f t="shared" ca="1" si="309"/>
        <v>6209.4382349264479</v>
      </c>
      <c r="BP117" s="46">
        <f t="shared" ca="1" si="309"/>
        <v>6149.6871249108299</v>
      </c>
      <c r="BQ117" s="46">
        <f t="shared" ca="1" si="309"/>
        <v>6089.0422310825397</v>
      </c>
      <c r="BR117" s="46">
        <f t="shared" ca="1" si="309"/>
        <v>6027.4969539039957</v>
      </c>
      <c r="BS117" s="46">
        <f t="shared" ca="1" si="309"/>
        <v>5965.0446499611498</v>
      </c>
      <c r="BT117" s="46">
        <f t="shared" ca="1" si="309"/>
        <v>5901.6786316788275</v>
      </c>
      <c r="BU117" s="46">
        <f t="shared" ca="1" si="309"/>
        <v>5837.3921670342306</v>
      </c>
      <c r="BV117" s="46">
        <f t="shared" ca="1" si="309"/>
        <v>5772.1784792685939</v>
      </c>
      <c r="BW117" s="46">
        <f t="shared" ca="1" si="309"/>
        <v>5706.0307465969863</v>
      </c>
      <c r="BX117" s="46">
        <f t="shared" ca="1" si="309"/>
        <v>5674.3003324451347</v>
      </c>
      <c r="BY117" s="46">
        <f t="shared" ca="1" si="309"/>
        <v>5641.8495894886228</v>
      </c>
      <c r="BZ117" s="46">
        <f t="shared" ca="1" si="309"/>
        <v>5608.6730228196257</v>
      </c>
      <c r="CA117" s="46">
        <f t="shared" ca="1" si="309"/>
        <v>5574.7651007420955</v>
      </c>
      <c r="CB117" s="46">
        <f t="shared" ca="1" si="309"/>
        <v>5540.1202545326805</v>
      </c>
      <c r="CC117" s="46">
        <f t="shared" ca="1" si="309"/>
        <v>5504.732878200095</v>
      </c>
      <c r="CD117" s="46">
        <f t="shared" ca="1" si="309"/>
        <v>5468.597328242935</v>
      </c>
      <c r="CE117" s="46">
        <f t="shared" ca="1" si="309"/>
        <v>5431.7079234059393</v>
      </c>
      <c r="CF117" s="46">
        <f t="shared" ca="1" si="309"/>
        <v>5394.0589444346742</v>
      </c>
      <c r="CG117" s="46">
        <f t="shared" ca="1" si="309"/>
        <v>5355.6446338286351</v>
      </c>
      <c r="CH117" s="46">
        <f t="shared" ca="1" si="309"/>
        <v>5316.4591955927544</v>
      </c>
      <c r="CI117" s="46">
        <f t="shared" ca="1" si="309"/>
        <v>5276.4967949873126</v>
      </c>
      <c r="CJ117" s="46">
        <f t="shared" ca="1" si="309"/>
        <v>5235.751558276228</v>
      </c>
      <c r="CK117" s="46">
        <f t="shared" ca="1" si="309"/>
        <v>5194.2175724737335</v>
      </c>
      <c r="CL117" s="46">
        <f t="shared" ca="1" si="309"/>
        <v>5151.8888850894045</v>
      </c>
      <c r="CM117" s="46">
        <f t="shared" ref="CM117:DR117" ca="1" si="310">CM116*((1+$J$117)^(1/12)-1)</f>
        <v>5108.7595038715572</v>
      </c>
      <c r="CN117" s="46">
        <f t="shared" ca="1" si="310"/>
        <v>5064.8233965489853</v>
      </c>
      <c r="CO117" s="46">
        <f t="shared" ca="1" si="310"/>
        <v>5020.0744905710271</v>
      </c>
      <c r="CP117" s="46">
        <f t="shared" ca="1" si="310"/>
        <v>4974.5066728459642</v>
      </c>
      <c r="CQ117" s="46">
        <f t="shared" ca="1" si="310"/>
        <v>4928.1137894777266</v>
      </c>
      <c r="CR117" s="46">
        <f t="shared" ca="1" si="310"/>
        <v>4880.8896455009044</v>
      </c>
      <c r="CS117" s="46">
        <f t="shared" ca="1" si="310"/>
        <v>4832.8280046140462</v>
      </c>
      <c r="CT117" s="46">
        <f t="shared" ca="1" si="310"/>
        <v>4783.9225889112386</v>
      </c>
      <c r="CU117" s="46">
        <f t="shared" ca="1" si="310"/>
        <v>4734.1670786119585</v>
      </c>
      <c r="CV117" s="46">
        <f t="shared" ca="1" si="310"/>
        <v>4683.5551117891755</v>
      </c>
      <c r="CW117" s="46">
        <f t="shared" ca="1" si="310"/>
        <v>4632.0802840957103</v>
      </c>
      <c r="CX117" s="46">
        <f t="shared" ca="1" si="310"/>
        <v>4579.7361484888197</v>
      </c>
      <c r="CY117" s="46">
        <f t="shared" ca="1" si="310"/>
        <v>4526.5162149530106</v>
      </c>
      <c r="CZ117" s="46">
        <f t="shared" ca="1" si="310"/>
        <v>4472.4139502210637</v>
      </c>
      <c r="DA117" s="46">
        <f t="shared" ca="1" si="310"/>
        <v>4417.4227774932606</v>
      </c>
      <c r="DB117" s="46">
        <f t="shared" ca="1" si="310"/>
        <v>4361.5360761547981</v>
      </c>
      <c r="DC117" s="46">
        <f t="shared" ca="1" si="310"/>
        <v>4304.7471814913824</v>
      </c>
      <c r="DD117" s="46">
        <f t="shared" ca="1" si="310"/>
        <v>4247.0493844029861</v>
      </c>
      <c r="DE117" s="46">
        <f t="shared" ca="1" si="310"/>
        <v>4188.4359311157605</v>
      </c>
      <c r="DF117" s="46">
        <f t="shared" ca="1" si="310"/>
        <v>4128.900022892095</v>
      </c>
      <c r="DG117" s="46">
        <f t="shared" ca="1" si="310"/>
        <v>4068.4348157387963</v>
      </c>
      <c r="DH117" s="46">
        <f t="shared" ca="1" si="310"/>
        <v>4007.0334201133996</v>
      </c>
      <c r="DI117" s="46">
        <f t="shared" ca="1" si="310"/>
        <v>3944.6889006285705</v>
      </c>
      <c r="DJ117" s="46">
        <f t="shared" ca="1" si="310"/>
        <v>3881.3942757546156</v>
      </c>
      <c r="DK117" s="46">
        <f t="shared" ca="1" si="310"/>
        <v>3817.1425175200648</v>
      </c>
      <c r="DL117" s="46">
        <f t="shared" ca="1" si="310"/>
        <v>3751.9265512103248</v>
      </c>
      <c r="DM117" s="46">
        <f t="shared" ca="1" si="310"/>
        <v>3685.7392550643949</v>
      </c>
      <c r="DN117" s="46">
        <f t="shared" ca="1" si="310"/>
        <v>3618.5734599696202</v>
      </c>
      <c r="DO117" s="46">
        <f t="shared" ca="1" si="310"/>
        <v>3550.4219491544809</v>
      </c>
      <c r="DP117" s="46">
        <f t="shared" ca="1" si="310"/>
        <v>3481.2774578793965</v>
      </c>
      <c r="DQ117" s="46">
        <f t="shared" ca="1" si="310"/>
        <v>3411.1326731255449</v>
      </c>
      <c r="DR117" s="46">
        <f t="shared" ca="1" si="310"/>
        <v>3339.9802332816648</v>
      </c>
      <c r="DS117" s="46">
        <f t="shared" ref="DS117:EX117" ca="1" si="311">DS116*((1+$J$117)^(1/12)-1)</f>
        <v>3267.8127278288448</v>
      </c>
      <c r="DT117" s="46">
        <f t="shared" ca="1" si="311"/>
        <v>3194.6226970232792</v>
      </c>
      <c r="DU117" s="46">
        <f t="shared" ca="1" si="311"/>
        <v>3120.402631576977</v>
      </c>
      <c r="DV117" s="46">
        <f t="shared" ca="1" si="311"/>
        <v>3045.1449723364144</v>
      </c>
      <c r="DW117" s="46">
        <f t="shared" ca="1" si="311"/>
        <v>2968.8421099591133</v>
      </c>
      <c r="DX117" s="46">
        <f t="shared" ca="1" si="311"/>
        <v>2891.4863845881355</v>
      </c>
      <c r="DY117" s="46">
        <f t="shared" ca="1" si="311"/>
        <v>2813.0700855244781</v>
      </c>
      <c r="DZ117" s="46">
        <f t="shared" ca="1" si="311"/>
        <v>2733.585450897358</v>
      </c>
      <c r="EA117" s="46">
        <f t="shared" ca="1" si="311"/>
        <v>2653.0246673323686</v>
      </c>
      <c r="EB117" s="46">
        <f t="shared" ca="1" si="311"/>
        <v>2571.379869617499</v>
      </c>
      <c r="EC117" s="46">
        <f t="shared" ca="1" si="311"/>
        <v>2488.6431403669972</v>
      </c>
      <c r="ED117" s="46">
        <f t="shared" ca="1" si="311"/>
        <v>2404.8065096830705</v>
      </c>
      <c r="EE117" s="46">
        <f t="shared" ca="1" si="311"/>
        <v>2319.8619548154015</v>
      </c>
      <c r="EF117" s="46">
        <f t="shared" ca="1" si="311"/>
        <v>2233.8013998184692</v>
      </c>
      <c r="EG117" s="46">
        <f t="shared" ca="1" si="311"/>
        <v>2146.6167152066632</v>
      </c>
      <c r="EH117" s="46">
        <f t="shared" ca="1" si="311"/>
        <v>2058.2997176071735</v>
      </c>
      <c r="EI117" s="46">
        <f t="shared" ca="1" si="311"/>
        <v>1968.8421694106396</v>
      </c>
      <c r="EJ117" s="46">
        <f t="shared" ca="1" si="311"/>
        <v>1878.2357784195528</v>
      </c>
      <c r="EK117" s="46">
        <f t="shared" ca="1" si="311"/>
        <v>1786.4721974943882</v>
      </c>
      <c r="EL117" s="46">
        <f t="shared" ca="1" si="311"/>
        <v>1693.5430241974566</v>
      </c>
      <c r="EM117" s="46">
        <f t="shared" ca="1" si="311"/>
        <v>1599.4398004344605</v>
      </c>
      <c r="EN117" s="46">
        <f t="shared" ca="1" si="311"/>
        <v>1504.1540120937382</v>
      </c>
      <c r="EO117" s="46">
        <f t="shared" ca="1" si="311"/>
        <v>1407.677088683186</v>
      </c>
      <c r="EP117" s="46">
        <f t="shared" ca="1" si="311"/>
        <v>1310.0004029648348</v>
      </c>
      <c r="EQ117" s="46">
        <f t="shared" ca="1" si="311"/>
        <v>0</v>
      </c>
      <c r="ER117" s="46">
        <f t="shared" ca="1" si="311"/>
        <v>0</v>
      </c>
      <c r="ES117" s="46">
        <f t="shared" ca="1" si="311"/>
        <v>0</v>
      </c>
      <c r="ET117" s="46">
        <f t="shared" ca="1" si="311"/>
        <v>0</v>
      </c>
      <c r="EU117" s="46">
        <f t="shared" ca="1" si="311"/>
        <v>0</v>
      </c>
      <c r="EV117" s="46">
        <f t="shared" ca="1" si="311"/>
        <v>0</v>
      </c>
      <c r="EW117" s="46">
        <f t="shared" ca="1" si="311"/>
        <v>0</v>
      </c>
      <c r="EX117" s="46">
        <f t="shared" ca="1" si="311"/>
        <v>0</v>
      </c>
      <c r="EY117" s="46">
        <f t="shared" ref="EY117:FB117" ca="1" si="312">EY116*((1+$J$117)^(1/12)-1)</f>
        <v>0</v>
      </c>
      <c r="EZ117" s="46">
        <f t="shared" ca="1" si="312"/>
        <v>0</v>
      </c>
      <c r="FA117" s="46">
        <f t="shared" ca="1" si="312"/>
        <v>0</v>
      </c>
      <c r="FB117" s="46">
        <f t="shared" ca="1" si="312"/>
        <v>0</v>
      </c>
    </row>
    <row r="118" spans="1:158">
      <c r="H118" s="9"/>
      <c r="I118" s="9" t="s">
        <v>173</v>
      </c>
      <c r="K118" s="9"/>
      <c r="L118" s="46">
        <f t="shared" ref="L118:L120" ca="1" si="313">SUM(Z118:FB118)</f>
        <v>4235673.7014912572</v>
      </c>
      <c r="M118" s="9"/>
      <c r="N118" s="24">
        <f ca="1">SUMIF($Z$3:$FB$3,N$7,$Z118:$FB118)</f>
        <v>-2592682.5900000026</v>
      </c>
      <c r="O118" s="24">
        <f t="shared" ca="1" si="307"/>
        <v>182026.62537141202</v>
      </c>
      <c r="P118" s="24">
        <f t="shared" ca="1" si="307"/>
        <v>1269301.5954394103</v>
      </c>
      <c r="Q118" s="24">
        <f t="shared" ca="1" si="307"/>
        <v>170794.24336146674</v>
      </c>
      <c r="R118" s="24">
        <f t="shared" ca="1" si="307"/>
        <v>187389.02332009308</v>
      </c>
      <c r="S118" s="24">
        <f t="shared" ca="1" si="307"/>
        <v>132976.64487335325</v>
      </c>
      <c r="T118" s="24">
        <f t="shared" ca="1" si="307"/>
        <v>144743.09950843343</v>
      </c>
      <c r="U118" s="24">
        <f t="shared" ca="1" si="307"/>
        <v>156747.05244897821</v>
      </c>
      <c r="V118" s="24">
        <f t="shared" ca="1" si="307"/>
        <v>168993.2974452592</v>
      </c>
      <c r="W118" s="24">
        <f t="shared" ca="1" si="307"/>
        <v>181486.72500630809</v>
      </c>
      <c r="X118" s="24">
        <f t="shared" ca="1" si="307"/>
        <v>4233897.9847165458</v>
      </c>
      <c r="Y118" s="9"/>
      <c r="Z118" s="46">
        <f t="shared" ref="Z118:BE118" ca="1" si="314">Z111</f>
        <v>-2592682.5900000026</v>
      </c>
      <c r="AA118" s="46">
        <f t="shared" ca="1" si="314"/>
        <v>14174.820799029452</v>
      </c>
      <c r="AB118" s="46">
        <f t="shared" ca="1" si="314"/>
        <v>14244.06741730769</v>
      </c>
      <c r="AC118" s="46">
        <f t="shared" ca="1" si="314"/>
        <v>14313.429446616397</v>
      </c>
      <c r="AD118" s="46">
        <f t="shared" ca="1" si="314"/>
        <v>14382.907079307288</v>
      </c>
      <c r="AE118" s="46">
        <f t="shared" ca="1" si="314"/>
        <v>14452.500508052666</v>
      </c>
      <c r="AF118" s="46">
        <f t="shared" ca="1" si="314"/>
        <v>14522.209925845962</v>
      </c>
      <c r="AG118" s="46">
        <f t="shared" ca="1" si="314"/>
        <v>14592.035526002224</v>
      </c>
      <c r="AH118" s="46">
        <f t="shared" ca="1" si="314"/>
        <v>16123.699584070053</v>
      </c>
      <c r="AI118" s="46">
        <f t="shared" ca="1" si="314"/>
        <v>16196.194333656696</v>
      </c>
      <c r="AJ118" s="46">
        <f t="shared" ca="1" si="314"/>
        <v>16268.809907826011</v>
      </c>
      <c r="AK118" s="46">
        <f t="shared" ca="1" si="314"/>
        <v>16341.546507952238</v>
      </c>
      <c r="AL118" s="46">
        <f t="shared" ca="1" si="314"/>
        <v>16414.404335745356</v>
      </c>
      <c r="AM118" s="46">
        <f t="shared" ca="1" si="314"/>
        <v>16487.383593251456</v>
      </c>
      <c r="AN118" s="46">
        <f t="shared" ca="1" si="314"/>
        <v>16560.484482853404</v>
      </c>
      <c r="AO118" s="46">
        <f t="shared" ca="1" si="314"/>
        <v>16633.707207271356</v>
      </c>
      <c r="AP118" s="46">
        <f t="shared" ca="1" si="314"/>
        <v>16707.051969563341</v>
      </c>
      <c r="AQ118" s="46">
        <f t="shared" ca="1" si="314"/>
        <v>16780.518973125822</v>
      </c>
      <c r="AR118" s="46">
        <f t="shared" ca="1" si="314"/>
        <v>16854.108421694218</v>
      </c>
      <c r="AS118" s="46">
        <f t="shared" ca="1" si="314"/>
        <v>16927.820519343586</v>
      </c>
      <c r="AT118" s="46">
        <f t="shared" ca="1" si="314"/>
        <v>17747.268470649084</v>
      </c>
      <c r="AU118" s="46">
        <f t="shared" ca="1" si="314"/>
        <v>17822.469168380041</v>
      </c>
      <c r="AV118" s="46">
        <f t="shared" ca="1" si="314"/>
        <v>17897.795200607201</v>
      </c>
      <c r="AW118" s="46">
        <f t="shared" ca="1" si="314"/>
        <v>17973.246776221407</v>
      </c>
      <c r="AX118" s="46">
        <f t="shared" ca="1" si="314"/>
        <v>1080909.7406564495</v>
      </c>
      <c r="AY118" s="46">
        <f t="shared" ca="1" si="314"/>
        <v>13495.464808274117</v>
      </c>
      <c r="AZ118" s="46">
        <f t="shared" ca="1" si="314"/>
        <v>13571.294270878852</v>
      </c>
      <c r="BA118" s="46">
        <f t="shared" ca="1" si="314"/>
        <v>13647.250115921261</v>
      </c>
      <c r="BB118" s="46">
        <f t="shared" ca="1" si="314"/>
        <v>13723.332554038714</v>
      </c>
      <c r="BC118" s="46">
        <f t="shared" ca="1" si="314"/>
        <v>13799.541796219708</v>
      </c>
      <c r="BD118" s="46">
        <f t="shared" ca="1" si="314"/>
        <v>13875.87805380437</v>
      </c>
      <c r="BE118" s="46">
        <f t="shared" ca="1" si="314"/>
        <v>13952.341538484956</v>
      </c>
      <c r="BF118" s="46">
        <f t="shared" ref="BF118:CK118" ca="1" si="315">BF111</f>
        <v>14789.595180462746</v>
      </c>
      <c r="BG118" s="46">
        <f t="shared" ca="1" si="315"/>
        <v>14867.581527021108</v>
      </c>
      <c r="BH118" s="46">
        <f t="shared" ca="1" si="315"/>
        <v>14945.697850823757</v>
      </c>
      <c r="BI118" s="46">
        <f t="shared" ca="1" si="315"/>
        <v>15023.944368499388</v>
      </c>
      <c r="BJ118" s="46">
        <f t="shared" ca="1" si="315"/>
        <v>15102.321297037806</v>
      </c>
      <c r="BK118" s="46">
        <f t="shared" ca="1" si="315"/>
        <v>15180.828853790486</v>
      </c>
      <c r="BL118" s="46">
        <f t="shared" ca="1" si="315"/>
        <v>15259.467256471047</v>
      </c>
      <c r="BM118" s="46">
        <f t="shared" ca="1" si="315"/>
        <v>15338.236723156113</v>
      </c>
      <c r="BN118" s="46">
        <f t="shared" ca="1" si="315"/>
        <v>15417.137472285633</v>
      </c>
      <c r="BO118" s="46">
        <f t="shared" ca="1" si="315"/>
        <v>15496.169722663724</v>
      </c>
      <c r="BP118" s="46">
        <f t="shared" ca="1" si="315"/>
        <v>15575.33369345909</v>
      </c>
      <c r="BQ118" s="46">
        <f t="shared" ca="1" si="315"/>
        <v>15654.629604205786</v>
      </c>
      <c r="BR118" s="46">
        <f t="shared" ca="1" si="315"/>
        <v>15734.057674803726</v>
      </c>
      <c r="BS118" s="46">
        <f t="shared" ca="1" si="315"/>
        <v>15813.61812551935</v>
      </c>
      <c r="BT118" s="46">
        <f t="shared" ca="1" si="315"/>
        <v>15893.311176986133</v>
      </c>
      <c r="BU118" s="46">
        <f t="shared" ca="1" si="315"/>
        <v>15973.137050205367</v>
      </c>
      <c r="BV118" s="46">
        <f t="shared" ca="1" si="315"/>
        <v>16053.095966546634</v>
      </c>
      <c r="BW118" s="46">
        <f t="shared" ca="1" si="315"/>
        <v>10637.685340895239</v>
      </c>
      <c r="BX118" s="46">
        <f t="shared" ca="1" si="315"/>
        <v>10717.911009065758</v>
      </c>
      <c r="BY118" s="46">
        <f t="shared" ca="1" si="315"/>
        <v>10798.270386683203</v>
      </c>
      <c r="BZ118" s="46">
        <f t="shared" ca="1" si="315"/>
        <v>10878.763696596705</v>
      </c>
      <c r="CA118" s="46">
        <f t="shared" ca="1" si="315"/>
        <v>10959.391162026726</v>
      </c>
      <c r="CB118" s="46">
        <f t="shared" ca="1" si="315"/>
        <v>11040.153006565788</v>
      </c>
      <c r="CC118" s="46">
        <f t="shared" ca="1" si="315"/>
        <v>11121.049454179085</v>
      </c>
      <c r="CD118" s="46">
        <f t="shared" ca="1" si="315"/>
        <v>11202.080729205083</v>
      </c>
      <c r="CE118" s="46">
        <f t="shared" ca="1" si="315"/>
        <v>11283.247056356109</v>
      </c>
      <c r="CF118" s="46">
        <f t="shared" ca="1" si="315"/>
        <v>11364.548660719056</v>
      </c>
      <c r="CG118" s="46">
        <f t="shared" ca="1" si="315"/>
        <v>11445.985767755928</v>
      </c>
      <c r="CH118" s="46">
        <f t="shared" ca="1" si="315"/>
        <v>11527.558603304542</v>
      </c>
      <c r="CI118" s="46">
        <f t="shared" ca="1" si="315"/>
        <v>11609.267393579083</v>
      </c>
      <c r="CJ118" s="46">
        <f t="shared" ca="1" si="315"/>
        <v>11691.112365170733</v>
      </c>
      <c r="CK118" s="46">
        <f t="shared" ca="1" si="315"/>
        <v>11773.093745048356</v>
      </c>
      <c r="CL118" s="46">
        <f t="shared" ref="CL118:DQ118" ca="1" si="316">CL111</f>
        <v>11855.21176055915</v>
      </c>
      <c r="CM118" s="46">
        <f t="shared" ca="1" si="316"/>
        <v>11937.466639429085</v>
      </c>
      <c r="CN118" s="46">
        <f t="shared" ca="1" si="316"/>
        <v>12019.85860976382</v>
      </c>
      <c r="CO118" s="46">
        <f t="shared" ca="1" si="316"/>
        <v>12102.387900049109</v>
      </c>
      <c r="CP118" s="46">
        <f t="shared" ca="1" si="316"/>
        <v>12185.054739151545</v>
      </c>
      <c r="CQ118" s="46">
        <f t="shared" ca="1" si="316"/>
        <v>12267.859356319148</v>
      </c>
      <c r="CR118" s="46">
        <f t="shared" ca="1" si="316"/>
        <v>12350.801981182043</v>
      </c>
      <c r="CS118" s="46">
        <f t="shared" ca="1" si="316"/>
        <v>12433.882843753026</v>
      </c>
      <c r="CT118" s="46">
        <f t="shared" ca="1" si="316"/>
        <v>12517.102174428308</v>
      </c>
      <c r="CU118" s="46">
        <f t="shared" ca="1" si="316"/>
        <v>12600.460203988028</v>
      </c>
      <c r="CV118" s="46">
        <f t="shared" ca="1" si="316"/>
        <v>12683.957163597022</v>
      </c>
      <c r="CW118" s="46">
        <f t="shared" ca="1" si="316"/>
        <v>12767.593284805394</v>
      </c>
      <c r="CX118" s="46">
        <f t="shared" ca="1" si="316"/>
        <v>12851.368799549071</v>
      </c>
      <c r="CY118" s="46">
        <f t="shared" ca="1" si="316"/>
        <v>12935.283940150703</v>
      </c>
      <c r="CZ118" s="46">
        <f t="shared" ca="1" si="316"/>
        <v>13019.338939319949</v>
      </c>
      <c r="DA118" s="46">
        <f t="shared" ca="1" si="316"/>
        <v>13103.534030154517</v>
      </c>
      <c r="DB118" s="46">
        <f t="shared" ca="1" si="316"/>
        <v>13187.869446140454</v>
      </c>
      <c r="DC118" s="46">
        <f t="shared" ca="1" si="316"/>
        <v>13272.345421153042</v>
      </c>
      <c r="DD118" s="46">
        <f t="shared" ca="1" si="316"/>
        <v>13356.962189457308</v>
      </c>
      <c r="DE118" s="46">
        <f t="shared" ca="1" si="316"/>
        <v>13441.719985708763</v>
      </c>
      <c r="DF118" s="46">
        <f t="shared" ca="1" si="316"/>
        <v>13526.619044953966</v>
      </c>
      <c r="DG118" s="46">
        <f t="shared" ca="1" si="316"/>
        <v>13611.659602631249</v>
      </c>
      <c r="DH118" s="46">
        <f t="shared" ca="1" si="316"/>
        <v>13696.841894571337</v>
      </c>
      <c r="DI118" s="46">
        <f t="shared" ca="1" si="316"/>
        <v>13782.166156997957</v>
      </c>
      <c r="DJ118" s="46">
        <f t="shared" ca="1" si="316"/>
        <v>13867.63262652865</v>
      </c>
      <c r="DK118" s="46">
        <f t="shared" ca="1" si="316"/>
        <v>13953.24154017521</v>
      </c>
      <c r="DL118" s="46">
        <f t="shared" ca="1" si="316"/>
        <v>14038.993135344523</v>
      </c>
      <c r="DM118" s="46">
        <f t="shared" ca="1" si="316"/>
        <v>14124.88764983912</v>
      </c>
      <c r="DN118" s="46">
        <f t="shared" ca="1" si="316"/>
        <v>14210.925321857869</v>
      </c>
      <c r="DO118" s="46">
        <f t="shared" ca="1" si="316"/>
        <v>14297.10638999667</v>
      </c>
      <c r="DP118" s="46">
        <f t="shared" ca="1" si="316"/>
        <v>14383.431093249013</v>
      </c>
      <c r="DQ118" s="46">
        <f t="shared" ca="1" si="316"/>
        <v>14469.899671006782</v>
      </c>
      <c r="DR118" s="46">
        <f t="shared" ref="DR118:FB118" ca="1" si="317">DR111</f>
        <v>14556.512363060838</v>
      </c>
      <c r="DS118" s="46">
        <f t="shared" ca="1" si="317"/>
        <v>14643.269409601622</v>
      </c>
      <c r="DT118" s="46">
        <f t="shared" ca="1" si="317"/>
        <v>14730.171051219966</v>
      </c>
      <c r="DU118" s="46">
        <f t="shared" ca="1" si="317"/>
        <v>14817.217528907693</v>
      </c>
      <c r="DV118" s="46">
        <f t="shared" ca="1" si="317"/>
        <v>14904.409084058216</v>
      </c>
      <c r="DW118" s="46">
        <f t="shared" ca="1" si="317"/>
        <v>14991.745958467336</v>
      </c>
      <c r="DX118" s="46">
        <f t="shared" ca="1" si="317"/>
        <v>15079.228394333813</v>
      </c>
      <c r="DY118" s="46">
        <f t="shared" ca="1" si="317"/>
        <v>15166.856634260055</v>
      </c>
      <c r="DZ118" s="46">
        <f t="shared" ca="1" si="317"/>
        <v>15254.630921252845</v>
      </c>
      <c r="EA118" s="46">
        <f t="shared" ca="1" si="317"/>
        <v>15342.551498723953</v>
      </c>
      <c r="EB118" s="46">
        <f t="shared" ca="1" si="317"/>
        <v>15430.618610490857</v>
      </c>
      <c r="EC118" s="46">
        <f t="shared" ca="1" si="317"/>
        <v>15518.832500777355</v>
      </c>
      <c r="ED118" s="46">
        <f t="shared" ca="1" si="317"/>
        <v>15607.193414214353</v>
      </c>
      <c r="EE118" s="46">
        <f t="shared" ca="1" si="317"/>
        <v>15695.701595840388</v>
      </c>
      <c r="EF118" s="46">
        <f t="shared" ca="1" si="317"/>
        <v>15784.357291102484</v>
      </c>
      <c r="EG118" s="46">
        <f t="shared" ca="1" si="317"/>
        <v>15873.160745856667</v>
      </c>
      <c r="EH118" s="46">
        <f t="shared" ca="1" si="317"/>
        <v>15962.112206368774</v>
      </c>
      <c r="EI118" s="46">
        <f t="shared" ca="1" si="317"/>
        <v>16051.211919315103</v>
      </c>
      <c r="EJ118" s="46">
        <f t="shared" ca="1" si="317"/>
        <v>16140.460131782982</v>
      </c>
      <c r="EK118" s="46">
        <f t="shared" ca="1" si="317"/>
        <v>16229.85709127164</v>
      </c>
      <c r="EL118" s="46">
        <f t="shared" ca="1" si="317"/>
        <v>16319.403045692789</v>
      </c>
      <c r="EM118" s="46">
        <f t="shared" ca="1" si="317"/>
        <v>16409.098243371303</v>
      </c>
      <c r="EN118" s="46">
        <f t="shared" ca="1" si="317"/>
        <v>16498.942933045942</v>
      </c>
      <c r="EO118" s="46">
        <f t="shared" ca="1" si="317"/>
        <v>16588.937363870024</v>
      </c>
      <c r="EP118" s="46">
        <f t="shared" ca="1" si="317"/>
        <v>4056344.742149028</v>
      </c>
      <c r="EQ118" s="46">
        <f t="shared" ca="1" si="317"/>
        <v>0</v>
      </c>
      <c r="ER118" s="46">
        <f t="shared" ca="1" si="317"/>
        <v>0</v>
      </c>
      <c r="ES118" s="46">
        <f t="shared" ca="1" si="317"/>
        <v>0</v>
      </c>
      <c r="ET118" s="46">
        <f t="shared" ca="1" si="317"/>
        <v>0</v>
      </c>
      <c r="EU118" s="46">
        <f t="shared" ca="1" si="317"/>
        <v>0</v>
      </c>
      <c r="EV118" s="46">
        <f t="shared" ca="1" si="317"/>
        <v>0</v>
      </c>
      <c r="EW118" s="46">
        <f t="shared" ca="1" si="317"/>
        <v>0</v>
      </c>
      <c r="EX118" s="46">
        <f t="shared" ca="1" si="317"/>
        <v>0</v>
      </c>
      <c r="EY118" s="46">
        <f t="shared" ca="1" si="317"/>
        <v>0</v>
      </c>
      <c r="EZ118" s="46">
        <f t="shared" ca="1" si="317"/>
        <v>0</v>
      </c>
      <c r="FA118" s="46">
        <f t="shared" ca="1" si="317"/>
        <v>0</v>
      </c>
      <c r="FB118" s="46">
        <f t="shared" ca="1" si="317"/>
        <v>0</v>
      </c>
    </row>
    <row r="119" spans="1:158">
      <c r="H119" s="9"/>
      <c r="I119" s="9" t="s">
        <v>162</v>
      </c>
      <c r="K119" s="9"/>
      <c r="L119" s="46">
        <f t="shared" ca="1" si="313"/>
        <v>773137.56724737003</v>
      </c>
      <c r="M119" s="9"/>
      <c r="N119" s="24">
        <f>SUMIF($Z$3:$FB$3,N$7,$Z119:$FB119)</f>
        <v>0</v>
      </c>
      <c r="O119" s="24">
        <f t="shared" ca="1" si="307"/>
        <v>169953.46909213843</v>
      </c>
      <c r="P119" s="24">
        <f t="shared" ca="1" si="307"/>
        <v>168029.86675809385</v>
      </c>
      <c r="Q119" s="24">
        <f t="shared" ca="1" si="307"/>
        <v>81221.371977805989</v>
      </c>
      <c r="R119" s="24">
        <f t="shared" ca="1" si="307"/>
        <v>73369.575386801589</v>
      </c>
      <c r="S119" s="24">
        <f t="shared" ca="1" si="307"/>
        <v>66216.939950330183</v>
      </c>
      <c r="T119" s="24">
        <f t="shared" ca="1" si="307"/>
        <v>60452.272903168123</v>
      </c>
      <c r="U119" s="24">
        <f t="shared" ca="1" si="307"/>
        <v>53276.560161710018</v>
      </c>
      <c r="V119" s="24">
        <f t="shared" ca="1" si="307"/>
        <v>44557.745509440872</v>
      </c>
      <c r="W119" s="24">
        <f t="shared" ca="1" si="307"/>
        <v>34152.821246734529</v>
      </c>
      <c r="X119" s="24">
        <f t="shared" ca="1" si="307"/>
        <v>21906.944261145964</v>
      </c>
      <c r="Y119" s="9"/>
      <c r="Z119" s="46">
        <v>0</v>
      </c>
      <c r="AA119" s="46">
        <f t="shared" ref="AA119:BF119" ca="1" si="318">MIN(AA117,MAX(AA118,0))</f>
        <v>14174.820799029452</v>
      </c>
      <c r="AB119" s="46">
        <f t="shared" ca="1" si="318"/>
        <v>14179.244371902438</v>
      </c>
      <c r="AC119" s="46">
        <f t="shared" ca="1" si="318"/>
        <v>14178.827298476479</v>
      </c>
      <c r="AD119" s="46">
        <f t="shared" ca="1" si="318"/>
        <v>14177.961264202475</v>
      </c>
      <c r="AE119" s="46">
        <f t="shared" ca="1" si="318"/>
        <v>14176.64263665717</v>
      </c>
      <c r="AF119" s="46">
        <f t="shared" ca="1" si="318"/>
        <v>14174.867758806531</v>
      </c>
      <c r="AG119" s="46">
        <f t="shared" ca="1" si="318"/>
        <v>14172.632948845325</v>
      </c>
      <c r="AH119" s="46">
        <f t="shared" ca="1" si="318"/>
        <v>14169.934500035686</v>
      </c>
      <c r="AI119" s="46">
        <f t="shared" ca="1" si="318"/>
        <v>14157.363916657136</v>
      </c>
      <c r="AJ119" s="46">
        <f t="shared" ca="1" si="318"/>
        <v>14144.24602036497</v>
      </c>
      <c r="AK119" s="46">
        <f t="shared" ca="1" si="318"/>
        <v>14130.576512342419</v>
      </c>
      <c r="AL119" s="46">
        <f t="shared" ca="1" si="318"/>
        <v>14116.351064818349</v>
      </c>
      <c r="AM119" s="46">
        <f t="shared" ca="1" si="318"/>
        <v>14101.565320878814</v>
      </c>
      <c r="AN119" s="46">
        <f t="shared" ca="1" si="318"/>
        <v>14086.214894277371</v>
      </c>
      <c r="AO119" s="46">
        <f t="shared" ca="1" si="318"/>
        <v>14070.295369244206</v>
      </c>
      <c r="AP119" s="46">
        <f t="shared" ca="1" si="318"/>
        <v>14053.802300293999</v>
      </c>
      <c r="AQ119" s="46">
        <f t="shared" ca="1" si="318"/>
        <v>14036.731212032564</v>
      </c>
      <c r="AR119" s="46">
        <f t="shared" ca="1" si="318"/>
        <v>14019.077598962233</v>
      </c>
      <c r="AS119" s="46">
        <f t="shared" ca="1" si="318"/>
        <v>14000.836925285987</v>
      </c>
      <c r="AT119" s="46">
        <f t="shared" ca="1" si="318"/>
        <v>13982.004624710335</v>
      </c>
      <c r="AU119" s="46">
        <f t="shared" ca="1" si="318"/>
        <v>13957.778803753457</v>
      </c>
      <c r="AV119" s="46">
        <f t="shared" ca="1" si="318"/>
        <v>13932.91326958161</v>
      </c>
      <c r="AW119" s="46">
        <f t="shared" ca="1" si="318"/>
        <v>13907.403099854782</v>
      </c>
      <c r="AX119" s="46">
        <f t="shared" ca="1" si="318"/>
        <v>13881.24333921847</v>
      </c>
      <c r="AY119" s="46">
        <f t="shared" ca="1" si="318"/>
        <v>7015.9498592476921</v>
      </c>
      <c r="AZ119" s="46">
        <f t="shared" ca="1" si="318"/>
        <v>6974.2604649674377</v>
      </c>
      <c r="BA119" s="46">
        <f t="shared" ca="1" si="318"/>
        <v>6931.8149508234928</v>
      </c>
      <c r="BB119" s="46">
        <f t="shared" ca="1" si="318"/>
        <v>6888.6076387694784</v>
      </c>
      <c r="BC119" s="46">
        <f t="shared" ca="1" si="318"/>
        <v>6844.6328128710456</v>
      </c>
      <c r="BD119" s="46">
        <f t="shared" ca="1" si="318"/>
        <v>6799.8847190598472</v>
      </c>
      <c r="BE119" s="46">
        <f t="shared" ca="1" si="318"/>
        <v>6754.3575648859169</v>
      </c>
      <c r="BF119" s="46">
        <f t="shared" ca="1" si="318"/>
        <v>6708.0455192684585</v>
      </c>
      <c r="BG119" s="46">
        <f t="shared" ref="BG119:CL119" ca="1" si="319">MIN(BG117,MAX(BG118,0))</f>
        <v>6656.0485854128465</v>
      </c>
      <c r="BH119" s="46">
        <f t="shared" ca="1" si="319"/>
        <v>6603.2153352172536</v>
      </c>
      <c r="BI119" s="46">
        <f t="shared" ca="1" si="319"/>
        <v>6549.5395515196651</v>
      </c>
      <c r="BJ119" s="46">
        <f t="shared" ca="1" si="319"/>
        <v>6495.0149757628587</v>
      </c>
      <c r="BK119" s="46">
        <f t="shared" ca="1" si="319"/>
        <v>6439.6353077257527</v>
      </c>
      <c r="BL119" s="46">
        <f t="shared" ca="1" si="319"/>
        <v>6383.3942052530047</v>
      </c>
      <c r="BM119" s="46">
        <f t="shared" ca="1" si="319"/>
        <v>6326.2852839828774</v>
      </c>
      <c r="BN119" s="46">
        <f t="shared" ca="1" si="319"/>
        <v>6268.3021170733482</v>
      </c>
      <c r="BO119" s="46">
        <f t="shared" ca="1" si="319"/>
        <v>6209.4382349264479</v>
      </c>
      <c r="BP119" s="46">
        <f t="shared" ca="1" si="319"/>
        <v>6149.6871249108299</v>
      </c>
      <c r="BQ119" s="46">
        <f t="shared" ca="1" si="319"/>
        <v>6089.0422310825397</v>
      </c>
      <c r="BR119" s="46">
        <f t="shared" ca="1" si="319"/>
        <v>6027.4969539039957</v>
      </c>
      <c r="BS119" s="46">
        <f t="shared" ca="1" si="319"/>
        <v>5965.0446499611498</v>
      </c>
      <c r="BT119" s="46">
        <f t="shared" ca="1" si="319"/>
        <v>5901.6786316788275</v>
      </c>
      <c r="BU119" s="46">
        <f t="shared" ca="1" si="319"/>
        <v>5837.3921670342306</v>
      </c>
      <c r="BV119" s="46">
        <f t="shared" ca="1" si="319"/>
        <v>5772.1784792685939</v>
      </c>
      <c r="BW119" s="46">
        <f t="shared" ca="1" si="319"/>
        <v>5706.0307465969863</v>
      </c>
      <c r="BX119" s="46">
        <f t="shared" ca="1" si="319"/>
        <v>5674.3003324451347</v>
      </c>
      <c r="BY119" s="46">
        <f t="shared" ca="1" si="319"/>
        <v>5641.8495894886228</v>
      </c>
      <c r="BZ119" s="46">
        <f t="shared" ca="1" si="319"/>
        <v>5608.6730228196257</v>
      </c>
      <c r="CA119" s="46">
        <f t="shared" ca="1" si="319"/>
        <v>5574.7651007420955</v>
      </c>
      <c r="CB119" s="46">
        <f t="shared" ca="1" si="319"/>
        <v>5540.1202545326805</v>
      </c>
      <c r="CC119" s="46">
        <f t="shared" ca="1" si="319"/>
        <v>5504.732878200095</v>
      </c>
      <c r="CD119" s="46">
        <f t="shared" ca="1" si="319"/>
        <v>5468.597328242935</v>
      </c>
      <c r="CE119" s="46">
        <f t="shared" ca="1" si="319"/>
        <v>5431.7079234059393</v>
      </c>
      <c r="CF119" s="46">
        <f t="shared" ca="1" si="319"/>
        <v>5394.0589444346742</v>
      </c>
      <c r="CG119" s="46">
        <f t="shared" ca="1" si="319"/>
        <v>5355.6446338286351</v>
      </c>
      <c r="CH119" s="46">
        <f t="shared" ca="1" si="319"/>
        <v>5316.4591955927544</v>
      </c>
      <c r="CI119" s="46">
        <f t="shared" ca="1" si="319"/>
        <v>5276.4967949873126</v>
      </c>
      <c r="CJ119" s="46">
        <f t="shared" ca="1" si="319"/>
        <v>5235.751558276228</v>
      </c>
      <c r="CK119" s="46">
        <f t="shared" ca="1" si="319"/>
        <v>5194.2175724737335</v>
      </c>
      <c r="CL119" s="46">
        <f t="shared" ca="1" si="319"/>
        <v>5151.8888850894045</v>
      </c>
      <c r="CM119" s="46">
        <f t="shared" ref="CM119:DR119" ca="1" si="320">MIN(CM117,MAX(CM118,0))</f>
        <v>5108.7595038715572</v>
      </c>
      <c r="CN119" s="46">
        <f t="shared" ca="1" si="320"/>
        <v>5064.8233965489853</v>
      </c>
      <c r="CO119" s="46">
        <f t="shared" ca="1" si="320"/>
        <v>5020.0744905710271</v>
      </c>
      <c r="CP119" s="46">
        <f t="shared" ca="1" si="320"/>
        <v>4974.5066728459642</v>
      </c>
      <c r="CQ119" s="46">
        <f t="shared" ca="1" si="320"/>
        <v>4928.1137894777266</v>
      </c>
      <c r="CR119" s="46">
        <f t="shared" ca="1" si="320"/>
        <v>4880.8896455009044</v>
      </c>
      <c r="CS119" s="46">
        <f t="shared" ca="1" si="320"/>
        <v>4832.8280046140462</v>
      </c>
      <c r="CT119" s="46">
        <f t="shared" ca="1" si="320"/>
        <v>4783.9225889112386</v>
      </c>
      <c r="CU119" s="46">
        <f t="shared" ca="1" si="320"/>
        <v>4734.1670786119585</v>
      </c>
      <c r="CV119" s="46">
        <f t="shared" ca="1" si="320"/>
        <v>4683.5551117891755</v>
      </c>
      <c r="CW119" s="46">
        <f t="shared" ca="1" si="320"/>
        <v>4632.0802840957103</v>
      </c>
      <c r="CX119" s="46">
        <f t="shared" ca="1" si="320"/>
        <v>4579.7361484888197</v>
      </c>
      <c r="CY119" s="46">
        <f t="shared" ca="1" si="320"/>
        <v>4526.5162149530106</v>
      </c>
      <c r="CZ119" s="46">
        <f t="shared" ca="1" si="320"/>
        <v>4472.4139502210637</v>
      </c>
      <c r="DA119" s="46">
        <f t="shared" ca="1" si="320"/>
        <v>4417.4227774932606</v>
      </c>
      <c r="DB119" s="46">
        <f t="shared" ca="1" si="320"/>
        <v>4361.5360761547981</v>
      </c>
      <c r="DC119" s="46">
        <f t="shared" ca="1" si="320"/>
        <v>4304.7471814913824</v>
      </c>
      <c r="DD119" s="46">
        <f t="shared" ca="1" si="320"/>
        <v>4247.0493844029861</v>
      </c>
      <c r="DE119" s="46">
        <f t="shared" ca="1" si="320"/>
        <v>4188.4359311157605</v>
      </c>
      <c r="DF119" s="46">
        <f t="shared" ca="1" si="320"/>
        <v>4128.900022892095</v>
      </c>
      <c r="DG119" s="46">
        <f t="shared" ca="1" si="320"/>
        <v>4068.4348157387963</v>
      </c>
      <c r="DH119" s="46">
        <f t="shared" ca="1" si="320"/>
        <v>4007.0334201133996</v>
      </c>
      <c r="DI119" s="46">
        <f t="shared" ca="1" si="320"/>
        <v>3944.6889006285705</v>
      </c>
      <c r="DJ119" s="46">
        <f t="shared" ca="1" si="320"/>
        <v>3881.3942757546156</v>
      </c>
      <c r="DK119" s="46">
        <f t="shared" ca="1" si="320"/>
        <v>3817.1425175200648</v>
      </c>
      <c r="DL119" s="46">
        <f t="shared" ca="1" si="320"/>
        <v>3751.9265512103248</v>
      </c>
      <c r="DM119" s="46">
        <f t="shared" ca="1" si="320"/>
        <v>3685.7392550643949</v>
      </c>
      <c r="DN119" s="46">
        <f t="shared" ca="1" si="320"/>
        <v>3618.5734599696202</v>
      </c>
      <c r="DO119" s="46">
        <f t="shared" ca="1" si="320"/>
        <v>3550.4219491544809</v>
      </c>
      <c r="DP119" s="46">
        <f t="shared" ca="1" si="320"/>
        <v>3481.2774578793965</v>
      </c>
      <c r="DQ119" s="46">
        <f t="shared" ca="1" si="320"/>
        <v>3411.1326731255449</v>
      </c>
      <c r="DR119" s="46">
        <f t="shared" ca="1" si="320"/>
        <v>3339.9802332816648</v>
      </c>
      <c r="DS119" s="46">
        <f t="shared" ref="DS119:EX119" ca="1" si="321">MIN(DS117,MAX(DS118,0))</f>
        <v>3267.8127278288448</v>
      </c>
      <c r="DT119" s="46">
        <f t="shared" ca="1" si="321"/>
        <v>3194.6226970232792</v>
      </c>
      <c r="DU119" s="46">
        <f t="shared" ca="1" si="321"/>
        <v>3120.402631576977</v>
      </c>
      <c r="DV119" s="46">
        <f t="shared" ca="1" si="321"/>
        <v>3045.1449723364144</v>
      </c>
      <c r="DW119" s="46">
        <f t="shared" ca="1" si="321"/>
        <v>2968.8421099591133</v>
      </c>
      <c r="DX119" s="46">
        <f t="shared" ca="1" si="321"/>
        <v>2891.4863845881355</v>
      </c>
      <c r="DY119" s="46">
        <f t="shared" ca="1" si="321"/>
        <v>2813.0700855244781</v>
      </c>
      <c r="DZ119" s="46">
        <f t="shared" ca="1" si="321"/>
        <v>2733.585450897358</v>
      </c>
      <c r="EA119" s="46">
        <f t="shared" ca="1" si="321"/>
        <v>2653.0246673323686</v>
      </c>
      <c r="EB119" s="46">
        <f t="shared" ca="1" si="321"/>
        <v>2571.379869617499</v>
      </c>
      <c r="EC119" s="46">
        <f t="shared" ca="1" si="321"/>
        <v>2488.6431403669972</v>
      </c>
      <c r="ED119" s="46">
        <f t="shared" ca="1" si="321"/>
        <v>2404.8065096830705</v>
      </c>
      <c r="EE119" s="46">
        <f t="shared" ca="1" si="321"/>
        <v>2319.8619548154015</v>
      </c>
      <c r="EF119" s="46">
        <f t="shared" ca="1" si="321"/>
        <v>2233.8013998184692</v>
      </c>
      <c r="EG119" s="46">
        <f t="shared" ca="1" si="321"/>
        <v>2146.6167152066632</v>
      </c>
      <c r="EH119" s="46">
        <f t="shared" ca="1" si="321"/>
        <v>2058.2997176071735</v>
      </c>
      <c r="EI119" s="46">
        <f t="shared" ca="1" si="321"/>
        <v>1968.8421694106396</v>
      </c>
      <c r="EJ119" s="46">
        <f t="shared" ca="1" si="321"/>
        <v>1878.2357784195528</v>
      </c>
      <c r="EK119" s="46">
        <f t="shared" ca="1" si="321"/>
        <v>1786.4721974943882</v>
      </c>
      <c r="EL119" s="46">
        <f t="shared" ca="1" si="321"/>
        <v>1693.5430241974566</v>
      </c>
      <c r="EM119" s="46">
        <f t="shared" ca="1" si="321"/>
        <v>1599.4398004344605</v>
      </c>
      <c r="EN119" s="46">
        <f t="shared" ca="1" si="321"/>
        <v>1504.1540120937382</v>
      </c>
      <c r="EO119" s="46">
        <f t="shared" ca="1" si="321"/>
        <v>1407.677088683186</v>
      </c>
      <c r="EP119" s="46">
        <f t="shared" ca="1" si="321"/>
        <v>1310.0004029648348</v>
      </c>
      <c r="EQ119" s="46">
        <f t="shared" ca="1" si="321"/>
        <v>0</v>
      </c>
      <c r="ER119" s="46">
        <f t="shared" ca="1" si="321"/>
        <v>0</v>
      </c>
      <c r="ES119" s="46">
        <f t="shared" ca="1" si="321"/>
        <v>0</v>
      </c>
      <c r="ET119" s="46">
        <f t="shared" ca="1" si="321"/>
        <v>0</v>
      </c>
      <c r="EU119" s="46">
        <f t="shared" ca="1" si="321"/>
        <v>0</v>
      </c>
      <c r="EV119" s="46">
        <f t="shared" ca="1" si="321"/>
        <v>0</v>
      </c>
      <c r="EW119" s="46">
        <f t="shared" ca="1" si="321"/>
        <v>0</v>
      </c>
      <c r="EX119" s="46">
        <f t="shared" ca="1" si="321"/>
        <v>0</v>
      </c>
      <c r="EY119" s="46">
        <f t="shared" ref="EY119:FB119" ca="1" si="322">MIN(EY117,MAX(EY118,0))</f>
        <v>0</v>
      </c>
      <c r="EZ119" s="46">
        <f t="shared" ca="1" si="322"/>
        <v>0</v>
      </c>
      <c r="FA119" s="46">
        <f t="shared" ca="1" si="322"/>
        <v>0</v>
      </c>
      <c r="FB119" s="46">
        <f t="shared" ca="1" si="322"/>
        <v>0</v>
      </c>
    </row>
    <row r="120" spans="1:158">
      <c r="H120" s="9"/>
      <c r="I120" s="9" t="s">
        <v>174</v>
      </c>
      <c r="K120" s="9"/>
      <c r="L120" s="46">
        <f t="shared" ca="1" si="313"/>
        <v>2203788.9362465031</v>
      </c>
      <c r="M120" s="9"/>
      <c r="N120" s="142">
        <f>SUMIF($Z$3:$FB$3,N$7,$Z120:$FB120)</f>
        <v>0</v>
      </c>
      <c r="O120" s="142">
        <f t="shared" ca="1" si="307"/>
        <v>12073.156279273604</v>
      </c>
      <c r="P120" s="142">
        <f t="shared" ca="1" si="307"/>
        <v>1101271.7286813166</v>
      </c>
      <c r="Q120" s="142">
        <f t="shared" ca="1" si="307"/>
        <v>89572.871383660793</v>
      </c>
      <c r="R120" s="142">
        <f t="shared" ca="1" si="307"/>
        <v>114019.44793329149</v>
      </c>
      <c r="S120" s="142">
        <f t="shared" ca="1" si="307"/>
        <v>66759.704923023048</v>
      </c>
      <c r="T120" s="142">
        <f t="shared" ca="1" si="307"/>
        <v>84290.826605265262</v>
      </c>
      <c r="U120" s="142">
        <f t="shared" ca="1" si="307"/>
        <v>103470.49228726822</v>
      </c>
      <c r="V120" s="142">
        <f t="shared" ca="1" si="307"/>
        <v>124435.55193581834</v>
      </c>
      <c r="W120" s="142">
        <f t="shared" ca="1" si="307"/>
        <v>147333.90375957353</v>
      </c>
      <c r="X120" s="142">
        <f t="shared" ca="1" si="307"/>
        <v>360561.2524580126</v>
      </c>
      <c r="Y120" s="9"/>
      <c r="Z120" s="46">
        <v>0</v>
      </c>
      <c r="AA120" s="46">
        <f t="shared" ref="AA120:BF120" ca="1" si="323">MIN(AA116,MAX(AA118-AA119,0))</f>
        <v>0</v>
      </c>
      <c r="AB120" s="46">
        <f t="shared" ca="1" si="323"/>
        <v>64.823045405251833</v>
      </c>
      <c r="AC120" s="46">
        <f t="shared" ca="1" si="323"/>
        <v>134.60214813991843</v>
      </c>
      <c r="AD120" s="46">
        <f t="shared" ca="1" si="323"/>
        <v>204.94581510481294</v>
      </c>
      <c r="AE120" s="46">
        <f t="shared" ca="1" si="323"/>
        <v>275.85787139549575</v>
      </c>
      <c r="AF120" s="46">
        <f t="shared" ca="1" si="323"/>
        <v>347.34216703943093</v>
      </c>
      <c r="AG120" s="46">
        <f t="shared" ca="1" si="323"/>
        <v>419.4025771568995</v>
      </c>
      <c r="AH120" s="46">
        <f t="shared" ca="1" si="323"/>
        <v>1953.7650840343667</v>
      </c>
      <c r="AI120" s="46">
        <f t="shared" ca="1" si="323"/>
        <v>2038.8304169995608</v>
      </c>
      <c r="AJ120" s="46">
        <f t="shared" ca="1" si="323"/>
        <v>2124.5638874610413</v>
      </c>
      <c r="AK120" s="46">
        <f t="shared" ca="1" si="323"/>
        <v>2210.9699956098193</v>
      </c>
      <c r="AL120" s="46">
        <f t="shared" ca="1" si="323"/>
        <v>2298.0532709270065</v>
      </c>
      <c r="AM120" s="46">
        <f t="shared" ca="1" si="323"/>
        <v>2385.8182723726422</v>
      </c>
      <c r="AN120" s="46">
        <f t="shared" ca="1" si="323"/>
        <v>2474.2695885760331</v>
      </c>
      <c r="AO120" s="46">
        <f t="shared" ca="1" si="323"/>
        <v>2563.4118380271502</v>
      </c>
      <c r="AP120" s="46">
        <f t="shared" ca="1" si="323"/>
        <v>2653.2496692693421</v>
      </c>
      <c r="AQ120" s="46">
        <f t="shared" ca="1" si="323"/>
        <v>2743.7877610932574</v>
      </c>
      <c r="AR120" s="46">
        <f t="shared" ca="1" si="323"/>
        <v>2835.0308227319856</v>
      </c>
      <c r="AS120" s="46">
        <f t="shared" ca="1" si="323"/>
        <v>2926.9835940575995</v>
      </c>
      <c r="AT120" s="46">
        <f t="shared" ca="1" si="323"/>
        <v>3765.263845938749</v>
      </c>
      <c r="AU120" s="46">
        <f t="shared" ca="1" si="323"/>
        <v>3864.6903646265837</v>
      </c>
      <c r="AV120" s="46">
        <f t="shared" ca="1" si="323"/>
        <v>3964.8819310255913</v>
      </c>
      <c r="AW120" s="46">
        <f t="shared" ca="1" si="323"/>
        <v>4065.843676366625</v>
      </c>
      <c r="AX120" s="46">
        <f t="shared" ca="1" si="323"/>
        <v>1067028.497317231</v>
      </c>
      <c r="AY120" s="46">
        <f t="shared" ca="1" si="323"/>
        <v>6479.5149490264248</v>
      </c>
      <c r="AZ120" s="46">
        <f t="shared" ca="1" si="323"/>
        <v>6597.0338059114147</v>
      </c>
      <c r="BA120" s="46">
        <f t="shared" ca="1" si="323"/>
        <v>6715.4351650977678</v>
      </c>
      <c r="BB120" s="46">
        <f t="shared" ca="1" si="323"/>
        <v>6834.7249152692357</v>
      </c>
      <c r="BC120" s="46">
        <f t="shared" ca="1" si="323"/>
        <v>6954.9089833486623</v>
      </c>
      <c r="BD120" s="46">
        <f t="shared" ca="1" si="323"/>
        <v>7075.9933347445231</v>
      </c>
      <c r="BE120" s="46">
        <f t="shared" ca="1" si="323"/>
        <v>7197.983973599039</v>
      </c>
      <c r="BF120" s="46">
        <f t="shared" ca="1" si="323"/>
        <v>8081.5496611942872</v>
      </c>
      <c r="BG120" s="46">
        <f t="shared" ref="BG120:CL120" ca="1" si="324">MIN(BG116,MAX(BG118-BG119,0))</f>
        <v>8211.5329416082604</v>
      </c>
      <c r="BH120" s="46">
        <f t="shared" ca="1" si="324"/>
        <v>8342.4825156065035</v>
      </c>
      <c r="BI120" s="46">
        <f t="shared" ca="1" si="324"/>
        <v>8474.4048169797225</v>
      </c>
      <c r="BJ120" s="46">
        <f t="shared" ca="1" si="324"/>
        <v>8607.3063212749475</v>
      </c>
      <c r="BK120" s="46">
        <f t="shared" ca="1" si="324"/>
        <v>8741.1935460647328</v>
      </c>
      <c r="BL120" s="46">
        <f t="shared" ca="1" si="324"/>
        <v>8876.0730512180417</v>
      </c>
      <c r="BM120" s="46">
        <f t="shared" ca="1" si="324"/>
        <v>9011.9514391732355</v>
      </c>
      <c r="BN120" s="46">
        <f t="shared" ca="1" si="324"/>
        <v>9148.8353552122844</v>
      </c>
      <c r="BO120" s="46">
        <f t="shared" ca="1" si="324"/>
        <v>9286.7314877372773</v>
      </c>
      <c r="BP120" s="46">
        <f t="shared" ca="1" si="324"/>
        <v>9425.6465685482599</v>
      </c>
      <c r="BQ120" s="46">
        <f t="shared" ca="1" si="324"/>
        <v>9565.5873731232459</v>
      </c>
      <c r="BR120" s="46">
        <f t="shared" ca="1" si="324"/>
        <v>9706.5607208997299</v>
      </c>
      <c r="BS120" s="46">
        <f t="shared" ca="1" si="324"/>
        <v>9848.5734755581998</v>
      </c>
      <c r="BT120" s="46">
        <f t="shared" ca="1" si="324"/>
        <v>9991.6325453073059</v>
      </c>
      <c r="BU120" s="46">
        <f t="shared" ca="1" si="324"/>
        <v>10135.744883171137</v>
      </c>
      <c r="BV120" s="46">
        <f t="shared" ca="1" si="324"/>
        <v>10280.91748727804</v>
      </c>
      <c r="BW120" s="46">
        <f t="shared" ca="1" si="324"/>
        <v>4931.654594298253</v>
      </c>
      <c r="BX120" s="46">
        <f t="shared" ca="1" si="324"/>
        <v>5043.6106766206231</v>
      </c>
      <c r="BY120" s="46">
        <f t="shared" ca="1" si="324"/>
        <v>5156.4207971945807</v>
      </c>
      <c r="BZ120" s="46">
        <f t="shared" ca="1" si="324"/>
        <v>5270.0906737770792</v>
      </c>
      <c r="CA120" s="46">
        <f t="shared" ca="1" si="324"/>
        <v>5384.6260612846309</v>
      </c>
      <c r="CB120" s="46">
        <f t="shared" ca="1" si="324"/>
        <v>5500.0327520331075</v>
      </c>
      <c r="CC120" s="46">
        <f t="shared" ca="1" si="324"/>
        <v>5616.3165759789899</v>
      </c>
      <c r="CD120" s="46">
        <f t="shared" ca="1" si="324"/>
        <v>5733.4834009621482</v>
      </c>
      <c r="CE120" s="46">
        <f t="shared" ca="1" si="324"/>
        <v>5851.5391329501699</v>
      </c>
      <c r="CF120" s="46">
        <f t="shared" ca="1" si="324"/>
        <v>5970.4897162843818</v>
      </c>
      <c r="CG120" s="46">
        <f t="shared" ca="1" si="324"/>
        <v>6090.3411339272934</v>
      </c>
      <c r="CH120" s="46">
        <f t="shared" ca="1" si="324"/>
        <v>6211.0994077117875</v>
      </c>
      <c r="CI120" s="46">
        <f t="shared" ca="1" si="324"/>
        <v>6332.7705985917701</v>
      </c>
      <c r="CJ120" s="46">
        <f t="shared" ca="1" si="324"/>
        <v>6455.360806894505</v>
      </c>
      <c r="CK120" s="46">
        <f t="shared" ca="1" si="324"/>
        <v>6578.8761725746226</v>
      </c>
      <c r="CL120" s="46">
        <f t="shared" ca="1" si="324"/>
        <v>6703.3228754697457</v>
      </c>
      <c r="CM120" s="46">
        <f t="shared" ref="CM120:DR120" ca="1" si="325">MIN(CM116,MAX(CM118-CM119,0))</f>
        <v>6828.7071355575281</v>
      </c>
      <c r="CN120" s="46">
        <f t="shared" ca="1" si="325"/>
        <v>6955.0352132148346</v>
      </c>
      <c r="CO120" s="46">
        <f t="shared" ca="1" si="325"/>
        <v>7082.3134094780817</v>
      </c>
      <c r="CP120" s="46">
        <f t="shared" ca="1" si="325"/>
        <v>7210.5480663055805</v>
      </c>
      <c r="CQ120" s="46">
        <f t="shared" ca="1" si="325"/>
        <v>7339.7455668414214</v>
      </c>
      <c r="CR120" s="46">
        <f t="shared" ca="1" si="325"/>
        <v>7469.9123356811388</v>
      </c>
      <c r="CS120" s="46">
        <f t="shared" ca="1" si="325"/>
        <v>7601.0548391389802</v>
      </c>
      <c r="CT120" s="46">
        <f t="shared" ca="1" si="325"/>
        <v>7733.1795855170694</v>
      </c>
      <c r="CU120" s="46">
        <f t="shared" ca="1" si="325"/>
        <v>7866.2931253760698</v>
      </c>
      <c r="CV120" s="46">
        <f t="shared" ca="1" si="325"/>
        <v>8000.4020518078469</v>
      </c>
      <c r="CW120" s="46">
        <f t="shared" ca="1" si="325"/>
        <v>8135.5130007096841</v>
      </c>
      <c r="CX120" s="46">
        <f t="shared" ca="1" si="325"/>
        <v>8271.6326510602521</v>
      </c>
      <c r="CY120" s="46">
        <f t="shared" ca="1" si="325"/>
        <v>8408.7677251976929</v>
      </c>
      <c r="CZ120" s="46">
        <f t="shared" ca="1" si="325"/>
        <v>8546.9249890988849</v>
      </c>
      <c r="DA120" s="46">
        <f t="shared" ca="1" si="325"/>
        <v>8686.111252661256</v>
      </c>
      <c r="DB120" s="46">
        <f t="shared" ca="1" si="325"/>
        <v>8826.3333699856557</v>
      </c>
      <c r="DC120" s="46">
        <f t="shared" ca="1" si="325"/>
        <v>8967.59823966166</v>
      </c>
      <c r="DD120" s="46">
        <f t="shared" ca="1" si="325"/>
        <v>9109.9128050543222</v>
      </c>
      <c r="DE120" s="46">
        <f t="shared" ca="1" si="325"/>
        <v>9253.284054593003</v>
      </c>
      <c r="DF120" s="46">
        <f t="shared" ca="1" si="325"/>
        <v>9397.7190220618722</v>
      </c>
      <c r="DG120" s="46">
        <f t="shared" ca="1" si="325"/>
        <v>9543.2247868924533</v>
      </c>
      <c r="DH120" s="46">
        <f t="shared" ca="1" si="325"/>
        <v>9689.8084744579373</v>
      </c>
      <c r="DI120" s="46">
        <f t="shared" ca="1" si="325"/>
        <v>9837.4772563693859</v>
      </c>
      <c r="DJ120" s="46">
        <f t="shared" ca="1" si="325"/>
        <v>9986.2383507740342</v>
      </c>
      <c r="DK120" s="46">
        <f t="shared" ca="1" si="325"/>
        <v>10136.099022655144</v>
      </c>
      <c r="DL120" s="46">
        <f t="shared" ca="1" si="325"/>
        <v>10287.066584134198</v>
      </c>
      <c r="DM120" s="46">
        <f t="shared" ca="1" si="325"/>
        <v>10439.148394774726</v>
      </c>
      <c r="DN120" s="46">
        <f t="shared" ca="1" si="325"/>
        <v>10592.351861888248</v>
      </c>
      <c r="DO120" s="46">
        <f t="shared" ca="1" si="325"/>
        <v>10746.684440842189</v>
      </c>
      <c r="DP120" s="46">
        <f t="shared" ca="1" si="325"/>
        <v>10902.153635369617</v>
      </c>
      <c r="DQ120" s="46">
        <f t="shared" ca="1" si="325"/>
        <v>11058.766997881237</v>
      </c>
      <c r="DR120" s="46">
        <f t="shared" ca="1" si="325"/>
        <v>11216.532129779172</v>
      </c>
      <c r="DS120" s="46">
        <f t="shared" ref="DS120:EX120" ca="1" si="326">MIN(DS116,MAX(DS118-DS119,0))</f>
        <v>11375.456681772777</v>
      </c>
      <c r="DT120" s="46">
        <f t="shared" ca="1" si="326"/>
        <v>11535.548354196686</v>
      </c>
      <c r="DU120" s="46">
        <f t="shared" ca="1" si="326"/>
        <v>11696.814897330716</v>
      </c>
      <c r="DV120" s="46">
        <f t="shared" ca="1" si="326"/>
        <v>11859.264111721801</v>
      </c>
      <c r="DW120" s="46">
        <f t="shared" ca="1" si="326"/>
        <v>12022.903848508224</v>
      </c>
      <c r="DX120" s="46">
        <f t="shared" ca="1" si="326"/>
        <v>12187.742009745678</v>
      </c>
      <c r="DY120" s="46">
        <f t="shared" ca="1" si="326"/>
        <v>12353.786548735578</v>
      </c>
      <c r="DZ120" s="46">
        <f t="shared" ca="1" si="326"/>
        <v>12521.045470355486</v>
      </c>
      <c r="EA120" s="46">
        <f t="shared" ca="1" si="326"/>
        <v>12689.526831391584</v>
      </c>
      <c r="EB120" s="46">
        <f t="shared" ca="1" si="326"/>
        <v>12859.238740873359</v>
      </c>
      <c r="EC120" s="46">
        <f t="shared" ca="1" si="326"/>
        <v>13030.189360410357</v>
      </c>
      <c r="ED120" s="46">
        <f t="shared" ca="1" si="326"/>
        <v>13202.386904531282</v>
      </c>
      <c r="EE120" s="46">
        <f t="shared" ca="1" si="326"/>
        <v>13375.839641024986</v>
      </c>
      <c r="EF120" s="46">
        <f t="shared" ca="1" si="326"/>
        <v>13550.555891284015</v>
      </c>
      <c r="EG120" s="46">
        <f t="shared" ca="1" si="326"/>
        <v>13726.544030650004</v>
      </c>
      <c r="EH120" s="46">
        <f t="shared" ca="1" si="326"/>
        <v>13903.812488761601</v>
      </c>
      <c r="EI120" s="46">
        <f t="shared" ca="1" si="326"/>
        <v>14082.369749904463</v>
      </c>
      <c r="EJ120" s="46">
        <f t="shared" ca="1" si="326"/>
        <v>14262.224353363428</v>
      </c>
      <c r="EK120" s="46">
        <f t="shared" ca="1" si="326"/>
        <v>14443.384893777253</v>
      </c>
      <c r="EL120" s="46">
        <f t="shared" ca="1" si="326"/>
        <v>14625.860021495331</v>
      </c>
      <c r="EM120" s="46">
        <f t="shared" ca="1" si="326"/>
        <v>14809.658442936843</v>
      </c>
      <c r="EN120" s="46">
        <f t="shared" ca="1" si="326"/>
        <v>14994.788920952204</v>
      </c>
      <c r="EO120" s="46">
        <f t="shared" ca="1" si="326"/>
        <v>15181.260275186838</v>
      </c>
      <c r="EP120" s="46">
        <f t="shared" ca="1" si="326"/>
        <v>203604.95374867565</v>
      </c>
      <c r="EQ120" s="46">
        <f t="shared" ca="1" si="326"/>
        <v>0</v>
      </c>
      <c r="ER120" s="46">
        <f t="shared" ca="1" si="326"/>
        <v>0</v>
      </c>
      <c r="ES120" s="46">
        <f t="shared" ca="1" si="326"/>
        <v>0</v>
      </c>
      <c r="ET120" s="46">
        <f t="shared" ca="1" si="326"/>
        <v>0</v>
      </c>
      <c r="EU120" s="46">
        <f t="shared" ca="1" si="326"/>
        <v>0</v>
      </c>
      <c r="EV120" s="46">
        <f t="shared" ca="1" si="326"/>
        <v>0</v>
      </c>
      <c r="EW120" s="46">
        <f t="shared" ca="1" si="326"/>
        <v>0</v>
      </c>
      <c r="EX120" s="46">
        <f t="shared" ca="1" si="326"/>
        <v>0</v>
      </c>
      <c r="EY120" s="46">
        <f t="shared" ref="EY120:FB120" ca="1" si="327">MIN(EY116,MAX(EY118-EY119,0))</f>
        <v>0</v>
      </c>
      <c r="EZ120" s="46">
        <f t="shared" ca="1" si="327"/>
        <v>0</v>
      </c>
      <c r="FA120" s="46">
        <f t="shared" ca="1" si="327"/>
        <v>0</v>
      </c>
      <c r="FB120" s="46">
        <f t="shared" ca="1" si="327"/>
        <v>0</v>
      </c>
    </row>
    <row r="121" spans="1:158">
      <c r="H121" s="9"/>
      <c r="I121" s="126" t="s">
        <v>175</v>
      </c>
      <c r="J121" s="126"/>
      <c r="K121" s="15"/>
      <c r="L121" s="57"/>
      <c r="M121" s="15"/>
      <c r="N121" s="57">
        <f>N116-N120+(N117-N119)</f>
        <v>2203780.2015000023</v>
      </c>
      <c r="O121" s="57">
        <f t="shared" ref="O121:X121" ca="1" si="328">O116-O120+(O117-O119)</f>
        <v>2191711.4125939794</v>
      </c>
      <c r="P121" s="57">
        <f t="shared" ca="1" si="328"/>
        <v>1090444.0512859137</v>
      </c>
      <c r="Q121" s="57">
        <f t="shared" ca="1" si="328"/>
        <v>1000871.1799022526</v>
      </c>
      <c r="R121" s="57">
        <f t="shared" ca="1" si="328"/>
        <v>886851.73196896096</v>
      </c>
      <c r="S121" s="57">
        <f t="shared" ca="1" si="328"/>
        <v>820092.02704593795</v>
      </c>
      <c r="T121" s="57">
        <f t="shared" ca="1" si="328"/>
        <v>735801.20044067269</v>
      </c>
      <c r="U121" s="57">
        <f t="shared" ca="1" si="328"/>
        <v>632330.70815340453</v>
      </c>
      <c r="V121" s="57">
        <f t="shared" ca="1" si="328"/>
        <v>507895.15621758619</v>
      </c>
      <c r="W121" s="57">
        <f t="shared" ca="1" si="328"/>
        <v>360561.25245801255</v>
      </c>
      <c r="X121" s="57">
        <f t="shared" ca="1" si="328"/>
        <v>0</v>
      </c>
      <c r="Y121" s="15"/>
      <c r="Z121" s="57">
        <f>Z116</f>
        <v>2203780.2015000023</v>
      </c>
      <c r="AA121" s="57">
        <f t="shared" ref="AA121:BF121" ca="1" si="329">AA116-AA120+(AA117-AA119)</f>
        <v>2203784.5688732532</v>
      </c>
      <c r="AB121" s="57">
        <f t="shared" ca="1" si="329"/>
        <v>2203724.113201099</v>
      </c>
      <c r="AC121" s="57">
        <f t="shared" ca="1" si="329"/>
        <v>2203589.5110529591</v>
      </c>
      <c r="AD121" s="57">
        <f t="shared" ca="1" si="329"/>
        <v>2203384.5652378541</v>
      </c>
      <c r="AE121" s="57">
        <f t="shared" ca="1" si="329"/>
        <v>2203108.7073664586</v>
      </c>
      <c r="AF121" s="57">
        <f t="shared" ca="1" si="329"/>
        <v>2202761.3651994192</v>
      </c>
      <c r="AG121" s="57">
        <f t="shared" ca="1" si="329"/>
        <v>2202341.9626222625</v>
      </c>
      <c r="AH121" s="57">
        <f t="shared" ca="1" si="329"/>
        <v>2200388.1975382282</v>
      </c>
      <c r="AI121" s="57">
        <f t="shared" ca="1" si="329"/>
        <v>2198349.3671212285</v>
      </c>
      <c r="AJ121" s="57">
        <f t="shared" ca="1" si="329"/>
        <v>2196224.8032337674</v>
      </c>
      <c r="AK121" s="57">
        <f t="shared" ca="1" si="329"/>
        <v>2194013.8332381574</v>
      </c>
      <c r="AL121" s="57">
        <f t="shared" ca="1" si="329"/>
        <v>2191715.7799672303</v>
      </c>
      <c r="AM121" s="57">
        <f t="shared" ca="1" si="329"/>
        <v>2189329.9616948576</v>
      </c>
      <c r="AN121" s="57">
        <f t="shared" ca="1" si="329"/>
        <v>2186855.6921062814</v>
      </c>
      <c r="AO121" s="57">
        <f t="shared" ca="1" si="329"/>
        <v>2184292.2802682542</v>
      </c>
      <c r="AP121" s="57">
        <f t="shared" ca="1" si="329"/>
        <v>2181639.030598985</v>
      </c>
      <c r="AQ121" s="57">
        <f t="shared" ca="1" si="329"/>
        <v>2178895.2428378919</v>
      </c>
      <c r="AR121" s="57">
        <f t="shared" ca="1" si="329"/>
        <v>2176060.2120151599</v>
      </c>
      <c r="AS121" s="57">
        <f t="shared" ca="1" si="329"/>
        <v>2173133.2284211023</v>
      </c>
      <c r="AT121" s="57">
        <f t="shared" ca="1" si="329"/>
        <v>2169367.9645751636</v>
      </c>
      <c r="AU121" s="57">
        <f t="shared" ca="1" si="329"/>
        <v>2165503.2742105369</v>
      </c>
      <c r="AV121" s="57">
        <f t="shared" ca="1" si="329"/>
        <v>2161538.3922795113</v>
      </c>
      <c r="AW121" s="57">
        <f t="shared" ca="1" si="329"/>
        <v>2157472.5486031445</v>
      </c>
      <c r="AX121" s="57">
        <f t="shared" ca="1" si="329"/>
        <v>1090444.0512859134</v>
      </c>
      <c r="AY121" s="57">
        <f t="shared" ca="1" si="329"/>
        <v>1083964.5363368869</v>
      </c>
      <c r="AZ121" s="57">
        <f t="shared" ca="1" si="329"/>
        <v>1077367.5025309755</v>
      </c>
      <c r="BA121" s="57">
        <f t="shared" ca="1" si="329"/>
        <v>1070652.0673658778</v>
      </c>
      <c r="BB121" s="57">
        <f t="shared" ca="1" si="329"/>
        <v>1063817.3424506085</v>
      </c>
      <c r="BC121" s="57">
        <f t="shared" ca="1" si="329"/>
        <v>1056862.4334672599</v>
      </c>
      <c r="BD121" s="57">
        <f t="shared" ca="1" si="329"/>
        <v>1049786.4401325153</v>
      </c>
      <c r="BE121" s="57">
        <f t="shared" ca="1" si="329"/>
        <v>1042588.4561589162</v>
      </c>
      <c r="BF121" s="57">
        <f t="shared" ca="1" si="329"/>
        <v>1034506.9064977219</v>
      </c>
      <c r="BG121" s="57">
        <f t="shared" ref="BG121:CL121" ca="1" si="330">BG116-BG120+(BG117-BG119)</f>
        <v>1026295.3735561137</v>
      </c>
      <c r="BH121" s="57">
        <f t="shared" ca="1" si="330"/>
        <v>1017952.8910405072</v>
      </c>
      <c r="BI121" s="57">
        <f t="shared" ca="1" si="330"/>
        <v>1009478.4862235275</v>
      </c>
      <c r="BJ121" s="57">
        <f t="shared" ca="1" si="330"/>
        <v>1000871.1799022525</v>
      </c>
      <c r="BK121" s="57">
        <f t="shared" ca="1" si="330"/>
        <v>992129.98635618773</v>
      </c>
      <c r="BL121" s="57">
        <f t="shared" ca="1" si="330"/>
        <v>983253.91330496967</v>
      </c>
      <c r="BM121" s="57">
        <f t="shared" ca="1" si="330"/>
        <v>974241.96186579647</v>
      </c>
      <c r="BN121" s="57">
        <f t="shared" ca="1" si="330"/>
        <v>965093.12651058414</v>
      </c>
      <c r="BO121" s="57">
        <f t="shared" ca="1" si="330"/>
        <v>955806.39502284687</v>
      </c>
      <c r="BP121" s="57">
        <f t="shared" ca="1" si="330"/>
        <v>946380.74845429859</v>
      </c>
      <c r="BQ121" s="57">
        <f t="shared" ca="1" si="330"/>
        <v>936815.16108117532</v>
      </c>
      <c r="BR121" s="57">
        <f t="shared" ca="1" si="330"/>
        <v>927108.6003602756</v>
      </c>
      <c r="BS121" s="57">
        <f t="shared" ca="1" si="330"/>
        <v>917260.0268847174</v>
      </c>
      <c r="BT121" s="57">
        <f t="shared" ca="1" si="330"/>
        <v>907268.39433941012</v>
      </c>
      <c r="BU121" s="57">
        <f t="shared" ca="1" si="330"/>
        <v>897132.64945623896</v>
      </c>
      <c r="BV121" s="57">
        <f t="shared" ca="1" si="330"/>
        <v>886851.73196896096</v>
      </c>
      <c r="BW121" s="57">
        <f t="shared" ca="1" si="330"/>
        <v>881920.07737466274</v>
      </c>
      <c r="BX121" s="57">
        <f t="shared" ca="1" si="330"/>
        <v>876876.46669804212</v>
      </c>
      <c r="BY121" s="57">
        <f t="shared" ca="1" si="330"/>
        <v>871720.04590084753</v>
      </c>
      <c r="BZ121" s="57">
        <f t="shared" ca="1" si="330"/>
        <v>866449.95522707049</v>
      </c>
      <c r="CA121" s="57">
        <f t="shared" ca="1" si="330"/>
        <v>861065.32916578581</v>
      </c>
      <c r="CB121" s="57">
        <f t="shared" ca="1" si="330"/>
        <v>855565.29641375272</v>
      </c>
      <c r="CC121" s="57">
        <f t="shared" ca="1" si="330"/>
        <v>849948.97983777372</v>
      </c>
      <c r="CD121" s="57">
        <f t="shared" ca="1" si="330"/>
        <v>844215.49643681152</v>
      </c>
      <c r="CE121" s="57">
        <f t="shared" ca="1" si="330"/>
        <v>838363.95730386139</v>
      </c>
      <c r="CF121" s="57">
        <f t="shared" ca="1" si="330"/>
        <v>832393.46758757706</v>
      </c>
      <c r="CG121" s="57">
        <f t="shared" ca="1" si="330"/>
        <v>826303.12645364972</v>
      </c>
      <c r="CH121" s="57">
        <f t="shared" ca="1" si="330"/>
        <v>820092.02704593795</v>
      </c>
      <c r="CI121" s="57">
        <f t="shared" ca="1" si="330"/>
        <v>813759.25644734618</v>
      </c>
      <c r="CJ121" s="57">
        <f t="shared" ca="1" si="330"/>
        <v>807303.89564045169</v>
      </c>
      <c r="CK121" s="57">
        <f t="shared" ca="1" si="330"/>
        <v>800725.01946787711</v>
      </c>
      <c r="CL121" s="57">
        <f t="shared" ca="1" si="330"/>
        <v>794021.69659240742</v>
      </c>
      <c r="CM121" s="57">
        <f t="shared" ref="CM121:DR121" ca="1" si="331">CM116-CM120+(CM117-CM119)</f>
        <v>787192.98945684987</v>
      </c>
      <c r="CN121" s="57">
        <f t="shared" ca="1" si="331"/>
        <v>780237.95424363506</v>
      </c>
      <c r="CO121" s="57">
        <f t="shared" ca="1" si="331"/>
        <v>773155.64083415701</v>
      </c>
      <c r="CP121" s="57">
        <f t="shared" ca="1" si="331"/>
        <v>765945.09276785143</v>
      </c>
      <c r="CQ121" s="57">
        <f t="shared" ca="1" si="331"/>
        <v>758605.34720100998</v>
      </c>
      <c r="CR121" s="57">
        <f t="shared" ca="1" si="331"/>
        <v>751135.43486532883</v>
      </c>
      <c r="CS121" s="57">
        <f t="shared" ca="1" si="331"/>
        <v>743534.38002618984</v>
      </c>
      <c r="CT121" s="57">
        <f t="shared" ca="1" si="331"/>
        <v>735801.20044067281</v>
      </c>
      <c r="CU121" s="57">
        <f t="shared" ca="1" si="331"/>
        <v>727934.9073152967</v>
      </c>
      <c r="CV121" s="57">
        <f t="shared" ca="1" si="331"/>
        <v>719934.50526348886</v>
      </c>
      <c r="CW121" s="57">
        <f t="shared" ca="1" si="331"/>
        <v>711798.99226277915</v>
      </c>
      <c r="CX121" s="57">
        <f t="shared" ca="1" si="331"/>
        <v>703527.35961171892</v>
      </c>
      <c r="CY121" s="57">
        <f t="shared" ca="1" si="331"/>
        <v>695118.5918865212</v>
      </c>
      <c r="CZ121" s="57">
        <f t="shared" ca="1" si="331"/>
        <v>686571.66689742228</v>
      </c>
      <c r="DA121" s="57">
        <f t="shared" ca="1" si="331"/>
        <v>677885.55564476107</v>
      </c>
      <c r="DB121" s="57">
        <f t="shared" ca="1" si="331"/>
        <v>669059.22227477538</v>
      </c>
      <c r="DC121" s="57">
        <f t="shared" ca="1" si="331"/>
        <v>660091.62403511372</v>
      </c>
      <c r="DD121" s="57">
        <f t="shared" ca="1" si="331"/>
        <v>650981.71123005939</v>
      </c>
      <c r="DE121" s="57">
        <f t="shared" ca="1" si="331"/>
        <v>641728.42717546644</v>
      </c>
      <c r="DF121" s="57">
        <f t="shared" ca="1" si="331"/>
        <v>632330.70815340453</v>
      </c>
      <c r="DG121" s="57">
        <f t="shared" ca="1" si="331"/>
        <v>622787.48336651211</v>
      </c>
      <c r="DH121" s="57">
        <f t="shared" ca="1" si="331"/>
        <v>613097.67489205417</v>
      </c>
      <c r="DI121" s="57">
        <f t="shared" ca="1" si="331"/>
        <v>603260.19763568474</v>
      </c>
      <c r="DJ121" s="57">
        <f t="shared" ca="1" si="331"/>
        <v>593273.9592849107</v>
      </c>
      <c r="DK121" s="57">
        <f t="shared" ca="1" si="331"/>
        <v>583137.86026225553</v>
      </c>
      <c r="DL121" s="57">
        <f t="shared" ca="1" si="331"/>
        <v>572850.79367812129</v>
      </c>
      <c r="DM121" s="57">
        <f t="shared" ca="1" si="331"/>
        <v>562411.64528334653</v>
      </c>
      <c r="DN121" s="57">
        <f t="shared" ca="1" si="331"/>
        <v>551819.29342145834</v>
      </c>
      <c r="DO121" s="57">
        <f t="shared" ca="1" si="331"/>
        <v>541072.60898061609</v>
      </c>
      <c r="DP121" s="57">
        <f t="shared" ca="1" si="331"/>
        <v>530170.45534524648</v>
      </c>
      <c r="DQ121" s="57">
        <f t="shared" ca="1" si="331"/>
        <v>519111.68834736524</v>
      </c>
      <c r="DR121" s="57">
        <f t="shared" ca="1" si="331"/>
        <v>507895.15621758607</v>
      </c>
      <c r="DS121" s="57">
        <f t="shared" ref="DS121:EX121" ca="1" si="332">DS116-DS120+(DS117-DS119)</f>
        <v>496519.6995358133</v>
      </c>
      <c r="DT121" s="57">
        <f t="shared" ca="1" si="332"/>
        <v>484984.15118161659</v>
      </c>
      <c r="DU121" s="57">
        <f t="shared" ca="1" si="332"/>
        <v>473287.33628428588</v>
      </c>
      <c r="DV121" s="57">
        <f t="shared" ca="1" si="332"/>
        <v>461428.07217256411</v>
      </c>
      <c r="DW121" s="57">
        <f t="shared" ca="1" si="332"/>
        <v>449405.16832405591</v>
      </c>
      <c r="DX121" s="57">
        <f t="shared" ca="1" si="332"/>
        <v>437217.42631431023</v>
      </c>
      <c r="DY121" s="57">
        <f t="shared" ca="1" si="332"/>
        <v>424863.63976557466</v>
      </c>
      <c r="DZ121" s="57">
        <f t="shared" ca="1" si="332"/>
        <v>412342.59429521917</v>
      </c>
      <c r="EA121" s="57">
        <f t="shared" ca="1" si="332"/>
        <v>399653.06746382761</v>
      </c>
      <c r="EB121" s="57">
        <f t="shared" ca="1" si="332"/>
        <v>386793.82872295426</v>
      </c>
      <c r="EC121" s="57">
        <f t="shared" ca="1" si="332"/>
        <v>373763.63936254388</v>
      </c>
      <c r="ED121" s="57">
        <f t="shared" ca="1" si="332"/>
        <v>360561.2524580126</v>
      </c>
      <c r="EE121" s="57">
        <f t="shared" ca="1" si="332"/>
        <v>347185.41281698761</v>
      </c>
      <c r="EF121" s="57">
        <f t="shared" ca="1" si="332"/>
        <v>333634.85692570359</v>
      </c>
      <c r="EG121" s="57">
        <f t="shared" ca="1" si="332"/>
        <v>319908.31289505359</v>
      </c>
      <c r="EH121" s="57">
        <f t="shared" ca="1" si="332"/>
        <v>306004.50040629198</v>
      </c>
      <c r="EI121" s="57">
        <f t="shared" ca="1" si="332"/>
        <v>291922.13065638754</v>
      </c>
      <c r="EJ121" s="57">
        <f t="shared" ca="1" si="332"/>
        <v>277659.90630302409</v>
      </c>
      <c r="EK121" s="57">
        <f t="shared" ca="1" si="332"/>
        <v>263216.52140924684</v>
      </c>
      <c r="EL121" s="57">
        <f t="shared" ca="1" si="332"/>
        <v>248590.66138775152</v>
      </c>
      <c r="EM121" s="57">
        <f t="shared" ca="1" si="332"/>
        <v>233781.00294481468</v>
      </c>
      <c r="EN121" s="57">
        <f t="shared" ca="1" si="332"/>
        <v>218786.21402386247</v>
      </c>
      <c r="EO121" s="57">
        <f t="shared" ca="1" si="332"/>
        <v>203604.95374867565</v>
      </c>
      <c r="EP121" s="57">
        <f t="shared" ca="1" si="332"/>
        <v>0</v>
      </c>
      <c r="EQ121" s="57">
        <f t="shared" ca="1" si="332"/>
        <v>0</v>
      </c>
      <c r="ER121" s="57">
        <f t="shared" ca="1" si="332"/>
        <v>0</v>
      </c>
      <c r="ES121" s="57">
        <f t="shared" ca="1" si="332"/>
        <v>0</v>
      </c>
      <c r="ET121" s="57">
        <f t="shared" ca="1" si="332"/>
        <v>0</v>
      </c>
      <c r="EU121" s="57">
        <f t="shared" ca="1" si="332"/>
        <v>0</v>
      </c>
      <c r="EV121" s="57">
        <f t="shared" ca="1" si="332"/>
        <v>0</v>
      </c>
      <c r="EW121" s="57">
        <f t="shared" ca="1" si="332"/>
        <v>0</v>
      </c>
      <c r="EX121" s="57">
        <f t="shared" ca="1" si="332"/>
        <v>0</v>
      </c>
      <c r="EY121" s="57">
        <f t="shared" ref="EY121:FB121" ca="1" si="333">EY116-EY120+(EY117-EY119)</f>
        <v>0</v>
      </c>
      <c r="EZ121" s="57">
        <f t="shared" ca="1" si="333"/>
        <v>0</v>
      </c>
      <c r="FA121" s="57">
        <f t="shared" ca="1" si="333"/>
        <v>0</v>
      </c>
      <c r="FB121" s="57">
        <f t="shared" ca="1" si="333"/>
        <v>0</v>
      </c>
    </row>
    <row r="122" spans="1:158">
      <c r="H122" s="9"/>
      <c r="I122" s="9" t="s">
        <v>176</v>
      </c>
      <c r="K122" s="9"/>
      <c r="L122" s="9"/>
      <c r="M122" s="9"/>
      <c r="N122" s="24">
        <f>SUMIF($Z$3:$FB$3,N$7,$Z122:$FB122)</f>
        <v>0</v>
      </c>
      <c r="O122" s="24">
        <f t="shared" ref="O122:X122" ca="1" si="334">SUMIF($Z$3:$FB$3,O$7,$Z122:$FB122)</f>
        <v>0</v>
      </c>
      <c r="P122" s="24">
        <f t="shared" ca="1" si="334"/>
        <v>0</v>
      </c>
      <c r="Q122" s="24">
        <f t="shared" ca="1" si="334"/>
        <v>0</v>
      </c>
      <c r="R122" s="24">
        <f t="shared" ca="1" si="334"/>
        <v>0</v>
      </c>
      <c r="S122" s="24">
        <f t="shared" ca="1" si="334"/>
        <v>0</v>
      </c>
      <c r="T122" s="24">
        <f t="shared" ca="1" si="334"/>
        <v>0</v>
      </c>
      <c r="U122" s="24">
        <f t="shared" ca="1" si="334"/>
        <v>0</v>
      </c>
      <c r="V122" s="24">
        <f t="shared" ca="1" si="334"/>
        <v>0</v>
      </c>
      <c r="W122" s="24">
        <f t="shared" ca="1" si="334"/>
        <v>0</v>
      </c>
      <c r="X122" s="24">
        <f t="shared" ca="1" si="334"/>
        <v>3851429.7879973878</v>
      </c>
      <c r="Y122" s="9"/>
      <c r="Z122" s="46">
        <v>0</v>
      </c>
      <c r="AA122" s="46">
        <f t="shared" ref="AA122:BF122" ca="1" si="335">MAX(AA118-AA119-AA120,0)</f>
        <v>0</v>
      </c>
      <c r="AB122" s="46">
        <f t="shared" ca="1" si="335"/>
        <v>0</v>
      </c>
      <c r="AC122" s="46">
        <f t="shared" ca="1" si="335"/>
        <v>0</v>
      </c>
      <c r="AD122" s="46">
        <f t="shared" ca="1" si="335"/>
        <v>0</v>
      </c>
      <c r="AE122" s="46">
        <f t="shared" ca="1" si="335"/>
        <v>0</v>
      </c>
      <c r="AF122" s="46">
        <f t="shared" ca="1" si="335"/>
        <v>0</v>
      </c>
      <c r="AG122" s="46">
        <f t="shared" ca="1" si="335"/>
        <v>0</v>
      </c>
      <c r="AH122" s="46">
        <f t="shared" ca="1" si="335"/>
        <v>0</v>
      </c>
      <c r="AI122" s="46">
        <f t="shared" ca="1" si="335"/>
        <v>0</v>
      </c>
      <c r="AJ122" s="46">
        <f t="shared" ca="1" si="335"/>
        <v>0</v>
      </c>
      <c r="AK122" s="46">
        <f t="shared" ca="1" si="335"/>
        <v>0</v>
      </c>
      <c r="AL122" s="46">
        <f t="shared" ca="1" si="335"/>
        <v>0</v>
      </c>
      <c r="AM122" s="46">
        <f t="shared" ca="1" si="335"/>
        <v>0</v>
      </c>
      <c r="AN122" s="46">
        <f t="shared" ca="1" si="335"/>
        <v>0</v>
      </c>
      <c r="AO122" s="46">
        <f t="shared" ca="1" si="335"/>
        <v>0</v>
      </c>
      <c r="AP122" s="46">
        <f t="shared" ca="1" si="335"/>
        <v>0</v>
      </c>
      <c r="AQ122" s="46">
        <f t="shared" ca="1" si="335"/>
        <v>0</v>
      </c>
      <c r="AR122" s="46">
        <f t="shared" ca="1" si="335"/>
        <v>0</v>
      </c>
      <c r="AS122" s="46">
        <f t="shared" ca="1" si="335"/>
        <v>0</v>
      </c>
      <c r="AT122" s="46">
        <f t="shared" ca="1" si="335"/>
        <v>0</v>
      </c>
      <c r="AU122" s="46">
        <f t="shared" ca="1" si="335"/>
        <v>0</v>
      </c>
      <c r="AV122" s="46">
        <f t="shared" ca="1" si="335"/>
        <v>0</v>
      </c>
      <c r="AW122" s="46">
        <f t="shared" ca="1" si="335"/>
        <v>0</v>
      </c>
      <c r="AX122" s="46">
        <f t="shared" ca="1" si="335"/>
        <v>0</v>
      </c>
      <c r="AY122" s="46">
        <f t="shared" ca="1" si="335"/>
        <v>0</v>
      </c>
      <c r="AZ122" s="46">
        <f t="shared" ca="1" si="335"/>
        <v>0</v>
      </c>
      <c r="BA122" s="46">
        <f t="shared" ca="1" si="335"/>
        <v>0</v>
      </c>
      <c r="BB122" s="46">
        <f t="shared" ca="1" si="335"/>
        <v>0</v>
      </c>
      <c r="BC122" s="46">
        <f t="shared" ca="1" si="335"/>
        <v>0</v>
      </c>
      <c r="BD122" s="46">
        <f t="shared" ca="1" si="335"/>
        <v>0</v>
      </c>
      <c r="BE122" s="46">
        <f t="shared" ca="1" si="335"/>
        <v>0</v>
      </c>
      <c r="BF122" s="46">
        <f t="shared" ca="1" si="335"/>
        <v>0</v>
      </c>
      <c r="BG122" s="46">
        <f t="shared" ref="BG122:CL122" ca="1" si="336">MAX(BG118-BG119-BG120,0)</f>
        <v>0</v>
      </c>
      <c r="BH122" s="46">
        <f t="shared" ca="1" si="336"/>
        <v>0</v>
      </c>
      <c r="BI122" s="46">
        <f t="shared" ca="1" si="336"/>
        <v>0</v>
      </c>
      <c r="BJ122" s="46">
        <f t="shared" ca="1" si="336"/>
        <v>0</v>
      </c>
      <c r="BK122" s="46">
        <f t="shared" ca="1" si="336"/>
        <v>0</v>
      </c>
      <c r="BL122" s="46">
        <f t="shared" ca="1" si="336"/>
        <v>0</v>
      </c>
      <c r="BM122" s="46">
        <f t="shared" ca="1" si="336"/>
        <v>0</v>
      </c>
      <c r="BN122" s="46">
        <f t="shared" ca="1" si="336"/>
        <v>0</v>
      </c>
      <c r="BO122" s="46">
        <f t="shared" ca="1" si="336"/>
        <v>0</v>
      </c>
      <c r="BP122" s="46">
        <f t="shared" ca="1" si="336"/>
        <v>0</v>
      </c>
      <c r="BQ122" s="46">
        <f t="shared" ca="1" si="336"/>
        <v>0</v>
      </c>
      <c r="BR122" s="46">
        <f t="shared" ca="1" si="336"/>
        <v>0</v>
      </c>
      <c r="BS122" s="46">
        <f t="shared" ca="1" si="336"/>
        <v>0</v>
      </c>
      <c r="BT122" s="46">
        <f t="shared" ca="1" si="336"/>
        <v>0</v>
      </c>
      <c r="BU122" s="46">
        <f t="shared" ca="1" si="336"/>
        <v>0</v>
      </c>
      <c r="BV122" s="46">
        <f t="shared" ca="1" si="336"/>
        <v>0</v>
      </c>
      <c r="BW122" s="46">
        <f t="shared" ca="1" si="336"/>
        <v>0</v>
      </c>
      <c r="BX122" s="46">
        <f t="shared" ca="1" si="336"/>
        <v>0</v>
      </c>
      <c r="BY122" s="46">
        <f t="shared" ca="1" si="336"/>
        <v>0</v>
      </c>
      <c r="BZ122" s="46">
        <f t="shared" ca="1" si="336"/>
        <v>0</v>
      </c>
      <c r="CA122" s="46">
        <f t="shared" ca="1" si="336"/>
        <v>0</v>
      </c>
      <c r="CB122" s="46">
        <f t="shared" ca="1" si="336"/>
        <v>0</v>
      </c>
      <c r="CC122" s="46">
        <f t="shared" ca="1" si="336"/>
        <v>0</v>
      </c>
      <c r="CD122" s="46">
        <f t="shared" ca="1" si="336"/>
        <v>0</v>
      </c>
      <c r="CE122" s="46">
        <f t="shared" ca="1" si="336"/>
        <v>0</v>
      </c>
      <c r="CF122" s="46">
        <f t="shared" ca="1" si="336"/>
        <v>0</v>
      </c>
      <c r="CG122" s="46">
        <f t="shared" ca="1" si="336"/>
        <v>0</v>
      </c>
      <c r="CH122" s="46">
        <f t="shared" ca="1" si="336"/>
        <v>0</v>
      </c>
      <c r="CI122" s="46">
        <f t="shared" ca="1" si="336"/>
        <v>0</v>
      </c>
      <c r="CJ122" s="46">
        <f t="shared" ca="1" si="336"/>
        <v>0</v>
      </c>
      <c r="CK122" s="46">
        <f t="shared" ca="1" si="336"/>
        <v>0</v>
      </c>
      <c r="CL122" s="46">
        <f t="shared" ca="1" si="336"/>
        <v>0</v>
      </c>
      <c r="CM122" s="46">
        <f t="shared" ref="CM122:DR122" ca="1" si="337">MAX(CM118-CM119-CM120,0)</f>
        <v>0</v>
      </c>
      <c r="CN122" s="46">
        <f t="shared" ca="1" si="337"/>
        <v>0</v>
      </c>
      <c r="CO122" s="46">
        <f t="shared" ca="1" si="337"/>
        <v>0</v>
      </c>
      <c r="CP122" s="46">
        <f t="shared" ca="1" si="337"/>
        <v>0</v>
      </c>
      <c r="CQ122" s="46">
        <f t="shared" ca="1" si="337"/>
        <v>0</v>
      </c>
      <c r="CR122" s="46">
        <f t="shared" ca="1" si="337"/>
        <v>0</v>
      </c>
      <c r="CS122" s="46">
        <f t="shared" ca="1" si="337"/>
        <v>0</v>
      </c>
      <c r="CT122" s="46">
        <f t="shared" ca="1" si="337"/>
        <v>0</v>
      </c>
      <c r="CU122" s="46">
        <f t="shared" ca="1" si="337"/>
        <v>0</v>
      </c>
      <c r="CV122" s="46">
        <f t="shared" ca="1" si="337"/>
        <v>0</v>
      </c>
      <c r="CW122" s="46">
        <f t="shared" ca="1" si="337"/>
        <v>0</v>
      </c>
      <c r="CX122" s="46">
        <f t="shared" ca="1" si="337"/>
        <v>0</v>
      </c>
      <c r="CY122" s="46">
        <f t="shared" ca="1" si="337"/>
        <v>0</v>
      </c>
      <c r="CZ122" s="46">
        <f t="shared" ca="1" si="337"/>
        <v>0</v>
      </c>
      <c r="DA122" s="46">
        <f t="shared" ca="1" si="337"/>
        <v>0</v>
      </c>
      <c r="DB122" s="46">
        <f t="shared" ca="1" si="337"/>
        <v>0</v>
      </c>
      <c r="DC122" s="46">
        <f t="shared" ca="1" si="337"/>
        <v>0</v>
      </c>
      <c r="DD122" s="46">
        <f t="shared" ca="1" si="337"/>
        <v>0</v>
      </c>
      <c r="DE122" s="46">
        <f t="shared" ca="1" si="337"/>
        <v>0</v>
      </c>
      <c r="DF122" s="46">
        <f t="shared" ca="1" si="337"/>
        <v>0</v>
      </c>
      <c r="DG122" s="46">
        <f t="shared" ca="1" si="337"/>
        <v>0</v>
      </c>
      <c r="DH122" s="46">
        <f t="shared" ca="1" si="337"/>
        <v>0</v>
      </c>
      <c r="DI122" s="46">
        <f t="shared" ca="1" si="337"/>
        <v>0</v>
      </c>
      <c r="DJ122" s="46">
        <f t="shared" ca="1" si="337"/>
        <v>0</v>
      </c>
      <c r="DK122" s="46">
        <f t="shared" ca="1" si="337"/>
        <v>0</v>
      </c>
      <c r="DL122" s="46">
        <f t="shared" ca="1" si="337"/>
        <v>0</v>
      </c>
      <c r="DM122" s="46">
        <f t="shared" ca="1" si="337"/>
        <v>0</v>
      </c>
      <c r="DN122" s="46">
        <f t="shared" ca="1" si="337"/>
        <v>0</v>
      </c>
      <c r="DO122" s="46">
        <f t="shared" ca="1" si="337"/>
        <v>0</v>
      </c>
      <c r="DP122" s="46">
        <f t="shared" ca="1" si="337"/>
        <v>0</v>
      </c>
      <c r="DQ122" s="46">
        <f t="shared" ca="1" si="337"/>
        <v>0</v>
      </c>
      <c r="DR122" s="46">
        <f t="shared" ca="1" si="337"/>
        <v>0</v>
      </c>
      <c r="DS122" s="46">
        <f t="shared" ref="DS122:FB122" ca="1" si="338">MAX(DS118-DS119-DS120,0)</f>
        <v>0</v>
      </c>
      <c r="DT122" s="46">
        <f t="shared" ca="1" si="338"/>
        <v>0</v>
      </c>
      <c r="DU122" s="46">
        <f t="shared" ca="1" si="338"/>
        <v>0</v>
      </c>
      <c r="DV122" s="46">
        <f t="shared" ca="1" si="338"/>
        <v>0</v>
      </c>
      <c r="DW122" s="46">
        <f t="shared" ca="1" si="338"/>
        <v>0</v>
      </c>
      <c r="DX122" s="46">
        <f t="shared" ca="1" si="338"/>
        <v>0</v>
      </c>
      <c r="DY122" s="46">
        <f t="shared" ca="1" si="338"/>
        <v>0</v>
      </c>
      <c r="DZ122" s="46">
        <f t="shared" ca="1" si="338"/>
        <v>0</v>
      </c>
      <c r="EA122" s="46">
        <f t="shared" ca="1" si="338"/>
        <v>0</v>
      </c>
      <c r="EB122" s="46">
        <f t="shared" ca="1" si="338"/>
        <v>0</v>
      </c>
      <c r="EC122" s="46">
        <f t="shared" ca="1" si="338"/>
        <v>0</v>
      </c>
      <c r="ED122" s="46">
        <f t="shared" ca="1" si="338"/>
        <v>0</v>
      </c>
      <c r="EE122" s="46">
        <f t="shared" ca="1" si="338"/>
        <v>0</v>
      </c>
      <c r="EF122" s="46">
        <f t="shared" ca="1" si="338"/>
        <v>0</v>
      </c>
      <c r="EG122" s="46">
        <f t="shared" ca="1" si="338"/>
        <v>0</v>
      </c>
      <c r="EH122" s="46">
        <f t="shared" ca="1" si="338"/>
        <v>0</v>
      </c>
      <c r="EI122" s="46">
        <f t="shared" ca="1" si="338"/>
        <v>0</v>
      </c>
      <c r="EJ122" s="46">
        <f t="shared" ca="1" si="338"/>
        <v>0</v>
      </c>
      <c r="EK122" s="46">
        <f t="shared" ca="1" si="338"/>
        <v>0</v>
      </c>
      <c r="EL122" s="46">
        <f t="shared" ca="1" si="338"/>
        <v>0</v>
      </c>
      <c r="EM122" s="46">
        <f t="shared" ca="1" si="338"/>
        <v>0</v>
      </c>
      <c r="EN122" s="46">
        <f t="shared" ca="1" si="338"/>
        <v>0</v>
      </c>
      <c r="EO122" s="46">
        <f t="shared" ca="1" si="338"/>
        <v>0</v>
      </c>
      <c r="EP122" s="46">
        <f t="shared" ca="1" si="338"/>
        <v>3851429.7879973878</v>
      </c>
      <c r="EQ122" s="46">
        <f t="shared" ca="1" si="338"/>
        <v>0</v>
      </c>
      <c r="ER122" s="46">
        <f t="shared" ca="1" si="338"/>
        <v>0</v>
      </c>
      <c r="ES122" s="46">
        <f t="shared" ca="1" si="338"/>
        <v>0</v>
      </c>
      <c r="ET122" s="46">
        <f t="shared" ca="1" si="338"/>
        <v>0</v>
      </c>
      <c r="EU122" s="46">
        <f t="shared" ca="1" si="338"/>
        <v>0</v>
      </c>
      <c r="EV122" s="46">
        <f t="shared" ca="1" si="338"/>
        <v>0</v>
      </c>
      <c r="EW122" s="46">
        <f t="shared" ca="1" si="338"/>
        <v>0</v>
      </c>
      <c r="EX122" s="46">
        <f t="shared" ca="1" si="338"/>
        <v>0</v>
      </c>
      <c r="EY122" s="46">
        <f t="shared" ca="1" si="338"/>
        <v>0</v>
      </c>
      <c r="EZ122" s="46">
        <f t="shared" ca="1" si="338"/>
        <v>0</v>
      </c>
      <c r="FA122" s="46">
        <f t="shared" ca="1" si="338"/>
        <v>0</v>
      </c>
      <c r="FB122" s="46">
        <f t="shared" ca="1" si="338"/>
        <v>0</v>
      </c>
    </row>
    <row r="123" spans="1:158">
      <c r="H123" s="9"/>
      <c r="K123" s="9"/>
      <c r="L123" s="9"/>
      <c r="M123" s="9"/>
      <c r="Y123" s="9"/>
    </row>
    <row r="124" spans="1:158">
      <c r="G124" s="14"/>
      <c r="H124" s="9"/>
      <c r="I124" s="15" t="s">
        <v>229</v>
      </c>
      <c r="K124" s="9"/>
      <c r="L124" s="9"/>
      <c r="M124" s="9"/>
      <c r="Y124" s="9"/>
    </row>
    <row r="125" spans="1:158" s="64" customFormat="1">
      <c r="A125" s="9"/>
      <c r="B125" s="9"/>
      <c r="C125" s="9"/>
      <c r="D125" s="9"/>
      <c r="E125" s="9"/>
      <c r="F125" s="9"/>
      <c r="G125" s="279"/>
      <c r="H125" s="9"/>
      <c r="I125" s="9" t="s">
        <v>171</v>
      </c>
      <c r="J125" s="277">
        <f>1-J126</f>
        <v>0.7</v>
      </c>
      <c r="K125" s="9"/>
      <c r="L125" s="46">
        <f t="shared" ref="L125:L126" ca="1" si="339">SUM(Z125:FB125)</f>
        <v>2696000.8515981715</v>
      </c>
      <c r="M125" s="9"/>
      <c r="N125" s="24">
        <f>SUMIF($Z$3:$FB$3,N$7,$Z125:$FB125)</f>
        <v>0</v>
      </c>
      <c r="O125" s="24">
        <f t="shared" ref="O125:X126" ca="1" si="340">SUMIF($Z$3:$FB$3,O$7,$Z125:$FB125)</f>
        <v>0</v>
      </c>
      <c r="P125" s="24">
        <f t="shared" ca="1" si="340"/>
        <v>0</v>
      </c>
      <c r="Q125" s="24">
        <f t="shared" ca="1" si="340"/>
        <v>0</v>
      </c>
      <c r="R125" s="24">
        <f t="shared" ca="1" si="340"/>
        <v>0</v>
      </c>
      <c r="S125" s="24">
        <f t="shared" ca="1" si="340"/>
        <v>0</v>
      </c>
      <c r="T125" s="24">
        <f t="shared" ca="1" si="340"/>
        <v>0</v>
      </c>
      <c r="U125" s="24">
        <f t="shared" ca="1" si="340"/>
        <v>0</v>
      </c>
      <c r="V125" s="24">
        <f t="shared" ca="1" si="340"/>
        <v>0</v>
      </c>
      <c r="W125" s="24">
        <f t="shared" ca="1" si="340"/>
        <v>0</v>
      </c>
      <c r="X125" s="24">
        <f t="shared" ca="1" si="340"/>
        <v>2696000.8515981715</v>
      </c>
      <c r="Y125" s="9"/>
      <c r="Z125" s="46">
        <v>0</v>
      </c>
      <c r="AA125" s="46">
        <f t="shared" ref="AA125:BF125" ca="1" si="341">AA122*$J$125</f>
        <v>0</v>
      </c>
      <c r="AB125" s="46">
        <f t="shared" ca="1" si="341"/>
        <v>0</v>
      </c>
      <c r="AC125" s="46">
        <f t="shared" ca="1" si="341"/>
        <v>0</v>
      </c>
      <c r="AD125" s="46">
        <f t="shared" ca="1" si="341"/>
        <v>0</v>
      </c>
      <c r="AE125" s="46">
        <f t="shared" ca="1" si="341"/>
        <v>0</v>
      </c>
      <c r="AF125" s="46">
        <f t="shared" ca="1" si="341"/>
        <v>0</v>
      </c>
      <c r="AG125" s="46">
        <f t="shared" ca="1" si="341"/>
        <v>0</v>
      </c>
      <c r="AH125" s="46">
        <f t="shared" ca="1" si="341"/>
        <v>0</v>
      </c>
      <c r="AI125" s="46">
        <f t="shared" ca="1" si="341"/>
        <v>0</v>
      </c>
      <c r="AJ125" s="46">
        <f t="shared" ca="1" si="341"/>
        <v>0</v>
      </c>
      <c r="AK125" s="46">
        <f t="shared" ca="1" si="341"/>
        <v>0</v>
      </c>
      <c r="AL125" s="46">
        <f t="shared" ca="1" si="341"/>
        <v>0</v>
      </c>
      <c r="AM125" s="46">
        <f t="shared" ca="1" si="341"/>
        <v>0</v>
      </c>
      <c r="AN125" s="46">
        <f t="shared" ca="1" si="341"/>
        <v>0</v>
      </c>
      <c r="AO125" s="46">
        <f t="shared" ca="1" si="341"/>
        <v>0</v>
      </c>
      <c r="AP125" s="46">
        <f t="shared" ca="1" si="341"/>
        <v>0</v>
      </c>
      <c r="AQ125" s="46">
        <f t="shared" ca="1" si="341"/>
        <v>0</v>
      </c>
      <c r="AR125" s="46">
        <f t="shared" ca="1" si="341"/>
        <v>0</v>
      </c>
      <c r="AS125" s="46">
        <f t="shared" ca="1" si="341"/>
        <v>0</v>
      </c>
      <c r="AT125" s="46">
        <f t="shared" ca="1" si="341"/>
        <v>0</v>
      </c>
      <c r="AU125" s="46">
        <f t="shared" ca="1" si="341"/>
        <v>0</v>
      </c>
      <c r="AV125" s="46">
        <f t="shared" ca="1" si="341"/>
        <v>0</v>
      </c>
      <c r="AW125" s="46">
        <f t="shared" ca="1" si="341"/>
        <v>0</v>
      </c>
      <c r="AX125" s="46">
        <f t="shared" ca="1" si="341"/>
        <v>0</v>
      </c>
      <c r="AY125" s="46">
        <f t="shared" ca="1" si="341"/>
        <v>0</v>
      </c>
      <c r="AZ125" s="46">
        <f t="shared" ca="1" si="341"/>
        <v>0</v>
      </c>
      <c r="BA125" s="46">
        <f t="shared" ca="1" si="341"/>
        <v>0</v>
      </c>
      <c r="BB125" s="46">
        <f t="shared" ca="1" si="341"/>
        <v>0</v>
      </c>
      <c r="BC125" s="46">
        <f t="shared" ca="1" si="341"/>
        <v>0</v>
      </c>
      <c r="BD125" s="46">
        <f t="shared" ca="1" si="341"/>
        <v>0</v>
      </c>
      <c r="BE125" s="46">
        <f t="shared" ca="1" si="341"/>
        <v>0</v>
      </c>
      <c r="BF125" s="46">
        <f t="shared" ca="1" si="341"/>
        <v>0</v>
      </c>
      <c r="BG125" s="46">
        <f t="shared" ref="BG125:CL125" ca="1" si="342">BG122*$J$125</f>
        <v>0</v>
      </c>
      <c r="BH125" s="46">
        <f t="shared" ca="1" si="342"/>
        <v>0</v>
      </c>
      <c r="BI125" s="46">
        <f t="shared" ca="1" si="342"/>
        <v>0</v>
      </c>
      <c r="BJ125" s="46">
        <f t="shared" ca="1" si="342"/>
        <v>0</v>
      </c>
      <c r="BK125" s="46">
        <f t="shared" ca="1" si="342"/>
        <v>0</v>
      </c>
      <c r="BL125" s="46">
        <f t="shared" ca="1" si="342"/>
        <v>0</v>
      </c>
      <c r="BM125" s="46">
        <f t="shared" ca="1" si="342"/>
        <v>0</v>
      </c>
      <c r="BN125" s="46">
        <f t="shared" ca="1" si="342"/>
        <v>0</v>
      </c>
      <c r="BO125" s="46">
        <f t="shared" ca="1" si="342"/>
        <v>0</v>
      </c>
      <c r="BP125" s="46">
        <f t="shared" ca="1" si="342"/>
        <v>0</v>
      </c>
      <c r="BQ125" s="46">
        <f t="shared" ca="1" si="342"/>
        <v>0</v>
      </c>
      <c r="BR125" s="46">
        <f t="shared" ca="1" si="342"/>
        <v>0</v>
      </c>
      <c r="BS125" s="46">
        <f t="shared" ca="1" si="342"/>
        <v>0</v>
      </c>
      <c r="BT125" s="46">
        <f t="shared" ca="1" si="342"/>
        <v>0</v>
      </c>
      <c r="BU125" s="46">
        <f t="shared" ca="1" si="342"/>
        <v>0</v>
      </c>
      <c r="BV125" s="46">
        <f t="shared" ca="1" si="342"/>
        <v>0</v>
      </c>
      <c r="BW125" s="46">
        <f t="shared" ca="1" si="342"/>
        <v>0</v>
      </c>
      <c r="BX125" s="46">
        <f t="shared" ca="1" si="342"/>
        <v>0</v>
      </c>
      <c r="BY125" s="46">
        <f t="shared" ca="1" si="342"/>
        <v>0</v>
      </c>
      <c r="BZ125" s="46">
        <f t="shared" ca="1" si="342"/>
        <v>0</v>
      </c>
      <c r="CA125" s="46">
        <f t="shared" ca="1" si="342"/>
        <v>0</v>
      </c>
      <c r="CB125" s="46">
        <f t="shared" ca="1" si="342"/>
        <v>0</v>
      </c>
      <c r="CC125" s="46">
        <f t="shared" ca="1" si="342"/>
        <v>0</v>
      </c>
      <c r="CD125" s="46">
        <f t="shared" ca="1" si="342"/>
        <v>0</v>
      </c>
      <c r="CE125" s="46">
        <f t="shared" ca="1" si="342"/>
        <v>0</v>
      </c>
      <c r="CF125" s="46">
        <f t="shared" ca="1" si="342"/>
        <v>0</v>
      </c>
      <c r="CG125" s="46">
        <f t="shared" ca="1" si="342"/>
        <v>0</v>
      </c>
      <c r="CH125" s="46">
        <f t="shared" ca="1" si="342"/>
        <v>0</v>
      </c>
      <c r="CI125" s="46">
        <f t="shared" ca="1" si="342"/>
        <v>0</v>
      </c>
      <c r="CJ125" s="46">
        <f t="shared" ca="1" si="342"/>
        <v>0</v>
      </c>
      <c r="CK125" s="46">
        <f t="shared" ca="1" si="342"/>
        <v>0</v>
      </c>
      <c r="CL125" s="46">
        <f t="shared" ca="1" si="342"/>
        <v>0</v>
      </c>
      <c r="CM125" s="46">
        <f t="shared" ref="CM125:DR125" ca="1" si="343">CM122*$J$125</f>
        <v>0</v>
      </c>
      <c r="CN125" s="46">
        <f t="shared" ca="1" si="343"/>
        <v>0</v>
      </c>
      <c r="CO125" s="46">
        <f t="shared" ca="1" si="343"/>
        <v>0</v>
      </c>
      <c r="CP125" s="46">
        <f t="shared" ca="1" si="343"/>
        <v>0</v>
      </c>
      <c r="CQ125" s="46">
        <f t="shared" ca="1" si="343"/>
        <v>0</v>
      </c>
      <c r="CR125" s="46">
        <f t="shared" ca="1" si="343"/>
        <v>0</v>
      </c>
      <c r="CS125" s="46">
        <f t="shared" ca="1" si="343"/>
        <v>0</v>
      </c>
      <c r="CT125" s="46">
        <f t="shared" ca="1" si="343"/>
        <v>0</v>
      </c>
      <c r="CU125" s="46">
        <f t="shared" ca="1" si="343"/>
        <v>0</v>
      </c>
      <c r="CV125" s="46">
        <f t="shared" ca="1" si="343"/>
        <v>0</v>
      </c>
      <c r="CW125" s="46">
        <f t="shared" ca="1" si="343"/>
        <v>0</v>
      </c>
      <c r="CX125" s="46">
        <f t="shared" ca="1" si="343"/>
        <v>0</v>
      </c>
      <c r="CY125" s="46">
        <f t="shared" ca="1" si="343"/>
        <v>0</v>
      </c>
      <c r="CZ125" s="46">
        <f t="shared" ca="1" si="343"/>
        <v>0</v>
      </c>
      <c r="DA125" s="46">
        <f t="shared" ca="1" si="343"/>
        <v>0</v>
      </c>
      <c r="DB125" s="46">
        <f t="shared" ca="1" si="343"/>
        <v>0</v>
      </c>
      <c r="DC125" s="46">
        <f t="shared" ca="1" si="343"/>
        <v>0</v>
      </c>
      <c r="DD125" s="46">
        <f t="shared" ca="1" si="343"/>
        <v>0</v>
      </c>
      <c r="DE125" s="46">
        <f t="shared" ca="1" si="343"/>
        <v>0</v>
      </c>
      <c r="DF125" s="46">
        <f t="shared" ca="1" si="343"/>
        <v>0</v>
      </c>
      <c r="DG125" s="46">
        <f t="shared" ca="1" si="343"/>
        <v>0</v>
      </c>
      <c r="DH125" s="46">
        <f t="shared" ca="1" si="343"/>
        <v>0</v>
      </c>
      <c r="DI125" s="46">
        <f t="shared" ca="1" si="343"/>
        <v>0</v>
      </c>
      <c r="DJ125" s="46">
        <f t="shared" ca="1" si="343"/>
        <v>0</v>
      </c>
      <c r="DK125" s="46">
        <f t="shared" ca="1" si="343"/>
        <v>0</v>
      </c>
      <c r="DL125" s="46">
        <f t="shared" ca="1" si="343"/>
        <v>0</v>
      </c>
      <c r="DM125" s="46">
        <f t="shared" ca="1" si="343"/>
        <v>0</v>
      </c>
      <c r="DN125" s="46">
        <f t="shared" ca="1" si="343"/>
        <v>0</v>
      </c>
      <c r="DO125" s="46">
        <f t="shared" ca="1" si="343"/>
        <v>0</v>
      </c>
      <c r="DP125" s="46">
        <f t="shared" ca="1" si="343"/>
        <v>0</v>
      </c>
      <c r="DQ125" s="46">
        <f t="shared" ca="1" si="343"/>
        <v>0</v>
      </c>
      <c r="DR125" s="46">
        <f t="shared" ca="1" si="343"/>
        <v>0</v>
      </c>
      <c r="DS125" s="46">
        <f t="shared" ref="DS125:FB125" ca="1" si="344">DS122*$J$125</f>
        <v>0</v>
      </c>
      <c r="DT125" s="46">
        <f t="shared" ca="1" si="344"/>
        <v>0</v>
      </c>
      <c r="DU125" s="46">
        <f t="shared" ca="1" si="344"/>
        <v>0</v>
      </c>
      <c r="DV125" s="46">
        <f t="shared" ca="1" si="344"/>
        <v>0</v>
      </c>
      <c r="DW125" s="46">
        <f t="shared" ca="1" si="344"/>
        <v>0</v>
      </c>
      <c r="DX125" s="46">
        <f t="shared" ca="1" si="344"/>
        <v>0</v>
      </c>
      <c r="DY125" s="46">
        <f t="shared" ca="1" si="344"/>
        <v>0</v>
      </c>
      <c r="DZ125" s="46">
        <f t="shared" ca="1" si="344"/>
        <v>0</v>
      </c>
      <c r="EA125" s="46">
        <f t="shared" ca="1" si="344"/>
        <v>0</v>
      </c>
      <c r="EB125" s="46">
        <f t="shared" ca="1" si="344"/>
        <v>0</v>
      </c>
      <c r="EC125" s="46">
        <f t="shared" ca="1" si="344"/>
        <v>0</v>
      </c>
      <c r="ED125" s="46">
        <f t="shared" ca="1" si="344"/>
        <v>0</v>
      </c>
      <c r="EE125" s="46">
        <f t="shared" ca="1" si="344"/>
        <v>0</v>
      </c>
      <c r="EF125" s="46">
        <f t="shared" ca="1" si="344"/>
        <v>0</v>
      </c>
      <c r="EG125" s="46">
        <f t="shared" ca="1" si="344"/>
        <v>0</v>
      </c>
      <c r="EH125" s="46">
        <f t="shared" ca="1" si="344"/>
        <v>0</v>
      </c>
      <c r="EI125" s="46">
        <f t="shared" ca="1" si="344"/>
        <v>0</v>
      </c>
      <c r="EJ125" s="46">
        <f t="shared" ca="1" si="344"/>
        <v>0</v>
      </c>
      <c r="EK125" s="46">
        <f t="shared" ca="1" si="344"/>
        <v>0</v>
      </c>
      <c r="EL125" s="46">
        <f t="shared" ca="1" si="344"/>
        <v>0</v>
      </c>
      <c r="EM125" s="46">
        <f t="shared" ca="1" si="344"/>
        <v>0</v>
      </c>
      <c r="EN125" s="46">
        <f t="shared" ca="1" si="344"/>
        <v>0</v>
      </c>
      <c r="EO125" s="46">
        <f t="shared" ca="1" si="344"/>
        <v>0</v>
      </c>
      <c r="EP125" s="46">
        <f t="shared" ca="1" si="344"/>
        <v>2696000.8515981715</v>
      </c>
      <c r="EQ125" s="46">
        <f t="shared" ca="1" si="344"/>
        <v>0</v>
      </c>
      <c r="ER125" s="46">
        <f t="shared" ca="1" si="344"/>
        <v>0</v>
      </c>
      <c r="ES125" s="46">
        <f t="shared" ca="1" si="344"/>
        <v>0</v>
      </c>
      <c r="ET125" s="46">
        <f t="shared" ca="1" si="344"/>
        <v>0</v>
      </c>
      <c r="EU125" s="46">
        <f t="shared" ca="1" si="344"/>
        <v>0</v>
      </c>
      <c r="EV125" s="46">
        <f t="shared" ca="1" si="344"/>
        <v>0</v>
      </c>
      <c r="EW125" s="46">
        <f t="shared" ca="1" si="344"/>
        <v>0</v>
      </c>
      <c r="EX125" s="46">
        <f t="shared" ca="1" si="344"/>
        <v>0</v>
      </c>
      <c r="EY125" s="46">
        <f t="shared" ca="1" si="344"/>
        <v>0</v>
      </c>
      <c r="EZ125" s="46">
        <f t="shared" ca="1" si="344"/>
        <v>0</v>
      </c>
      <c r="FA125" s="46">
        <f t="shared" ca="1" si="344"/>
        <v>0</v>
      </c>
      <c r="FB125" s="46">
        <f t="shared" ca="1" si="344"/>
        <v>0</v>
      </c>
    </row>
    <row r="126" spans="1:158">
      <c r="G126" s="279"/>
      <c r="H126" s="9"/>
      <c r="I126" s="9" t="s">
        <v>170</v>
      </c>
      <c r="J126" s="273">
        <v>0.3</v>
      </c>
      <c r="K126" s="9"/>
      <c r="L126" s="46">
        <f t="shared" ca="1" si="339"/>
        <v>1155428.9363992163</v>
      </c>
      <c r="M126" s="9"/>
      <c r="N126" s="24">
        <f>SUMIF($Z$3:$FB$3,N$7,$Z126:$FB126)</f>
        <v>0</v>
      </c>
      <c r="O126" s="24">
        <f t="shared" ca="1" si="340"/>
        <v>0</v>
      </c>
      <c r="P126" s="24">
        <f t="shared" ca="1" si="340"/>
        <v>0</v>
      </c>
      <c r="Q126" s="24">
        <f t="shared" ca="1" si="340"/>
        <v>0</v>
      </c>
      <c r="R126" s="24">
        <f t="shared" ca="1" si="340"/>
        <v>0</v>
      </c>
      <c r="S126" s="24">
        <f t="shared" ca="1" si="340"/>
        <v>0</v>
      </c>
      <c r="T126" s="24">
        <f t="shared" ca="1" si="340"/>
        <v>0</v>
      </c>
      <c r="U126" s="24">
        <f t="shared" ca="1" si="340"/>
        <v>0</v>
      </c>
      <c r="V126" s="24">
        <f t="shared" ca="1" si="340"/>
        <v>0</v>
      </c>
      <c r="W126" s="24">
        <f t="shared" ca="1" si="340"/>
        <v>0</v>
      </c>
      <c r="X126" s="24">
        <f t="shared" ca="1" si="340"/>
        <v>1155428.9363992163</v>
      </c>
      <c r="Y126" s="9"/>
      <c r="Z126" s="46">
        <v>0</v>
      </c>
      <c r="AA126" s="46">
        <f t="shared" ref="AA126:BF126" ca="1" si="345">AA122*$J$126</f>
        <v>0</v>
      </c>
      <c r="AB126" s="46">
        <f t="shared" ca="1" si="345"/>
        <v>0</v>
      </c>
      <c r="AC126" s="46">
        <f t="shared" ca="1" si="345"/>
        <v>0</v>
      </c>
      <c r="AD126" s="46">
        <f t="shared" ca="1" si="345"/>
        <v>0</v>
      </c>
      <c r="AE126" s="46">
        <f t="shared" ca="1" si="345"/>
        <v>0</v>
      </c>
      <c r="AF126" s="46">
        <f t="shared" ca="1" si="345"/>
        <v>0</v>
      </c>
      <c r="AG126" s="46">
        <f t="shared" ca="1" si="345"/>
        <v>0</v>
      </c>
      <c r="AH126" s="46">
        <f t="shared" ca="1" si="345"/>
        <v>0</v>
      </c>
      <c r="AI126" s="46">
        <f t="shared" ca="1" si="345"/>
        <v>0</v>
      </c>
      <c r="AJ126" s="46">
        <f t="shared" ca="1" si="345"/>
        <v>0</v>
      </c>
      <c r="AK126" s="46">
        <f t="shared" ca="1" si="345"/>
        <v>0</v>
      </c>
      <c r="AL126" s="46">
        <f t="shared" ca="1" si="345"/>
        <v>0</v>
      </c>
      <c r="AM126" s="46">
        <f t="shared" ca="1" si="345"/>
        <v>0</v>
      </c>
      <c r="AN126" s="46">
        <f t="shared" ca="1" si="345"/>
        <v>0</v>
      </c>
      <c r="AO126" s="46">
        <f t="shared" ca="1" si="345"/>
        <v>0</v>
      </c>
      <c r="AP126" s="46">
        <f t="shared" ca="1" si="345"/>
        <v>0</v>
      </c>
      <c r="AQ126" s="46">
        <f t="shared" ca="1" si="345"/>
        <v>0</v>
      </c>
      <c r="AR126" s="46">
        <f t="shared" ca="1" si="345"/>
        <v>0</v>
      </c>
      <c r="AS126" s="46">
        <f t="shared" ca="1" si="345"/>
        <v>0</v>
      </c>
      <c r="AT126" s="46">
        <f t="shared" ca="1" si="345"/>
        <v>0</v>
      </c>
      <c r="AU126" s="46">
        <f t="shared" ca="1" si="345"/>
        <v>0</v>
      </c>
      <c r="AV126" s="46">
        <f t="shared" ca="1" si="345"/>
        <v>0</v>
      </c>
      <c r="AW126" s="46">
        <f t="shared" ca="1" si="345"/>
        <v>0</v>
      </c>
      <c r="AX126" s="46">
        <f t="shared" ca="1" si="345"/>
        <v>0</v>
      </c>
      <c r="AY126" s="46">
        <f t="shared" ca="1" si="345"/>
        <v>0</v>
      </c>
      <c r="AZ126" s="46">
        <f t="shared" ca="1" si="345"/>
        <v>0</v>
      </c>
      <c r="BA126" s="46">
        <f t="shared" ca="1" si="345"/>
        <v>0</v>
      </c>
      <c r="BB126" s="46">
        <f t="shared" ca="1" si="345"/>
        <v>0</v>
      </c>
      <c r="BC126" s="46">
        <f t="shared" ca="1" si="345"/>
        <v>0</v>
      </c>
      <c r="BD126" s="46">
        <f t="shared" ca="1" si="345"/>
        <v>0</v>
      </c>
      <c r="BE126" s="46">
        <f t="shared" ca="1" si="345"/>
        <v>0</v>
      </c>
      <c r="BF126" s="46">
        <f t="shared" ca="1" si="345"/>
        <v>0</v>
      </c>
      <c r="BG126" s="46">
        <f t="shared" ref="BG126:CL126" ca="1" si="346">BG122*$J$126</f>
        <v>0</v>
      </c>
      <c r="BH126" s="46">
        <f t="shared" ca="1" si="346"/>
        <v>0</v>
      </c>
      <c r="BI126" s="46">
        <f t="shared" ca="1" si="346"/>
        <v>0</v>
      </c>
      <c r="BJ126" s="46">
        <f t="shared" ca="1" si="346"/>
        <v>0</v>
      </c>
      <c r="BK126" s="46">
        <f t="shared" ca="1" si="346"/>
        <v>0</v>
      </c>
      <c r="BL126" s="46">
        <f t="shared" ca="1" si="346"/>
        <v>0</v>
      </c>
      <c r="BM126" s="46">
        <f t="shared" ca="1" si="346"/>
        <v>0</v>
      </c>
      <c r="BN126" s="46">
        <f t="shared" ca="1" si="346"/>
        <v>0</v>
      </c>
      <c r="BO126" s="46">
        <f t="shared" ca="1" si="346"/>
        <v>0</v>
      </c>
      <c r="BP126" s="46">
        <f t="shared" ca="1" si="346"/>
        <v>0</v>
      </c>
      <c r="BQ126" s="46">
        <f t="shared" ca="1" si="346"/>
        <v>0</v>
      </c>
      <c r="BR126" s="46">
        <f t="shared" ca="1" si="346"/>
        <v>0</v>
      </c>
      <c r="BS126" s="46">
        <f t="shared" ca="1" si="346"/>
        <v>0</v>
      </c>
      <c r="BT126" s="46">
        <f t="shared" ca="1" si="346"/>
        <v>0</v>
      </c>
      <c r="BU126" s="46">
        <f t="shared" ca="1" si="346"/>
        <v>0</v>
      </c>
      <c r="BV126" s="46">
        <f t="shared" ca="1" si="346"/>
        <v>0</v>
      </c>
      <c r="BW126" s="46">
        <f t="shared" ca="1" si="346"/>
        <v>0</v>
      </c>
      <c r="BX126" s="46">
        <f t="shared" ca="1" si="346"/>
        <v>0</v>
      </c>
      <c r="BY126" s="46">
        <f t="shared" ca="1" si="346"/>
        <v>0</v>
      </c>
      <c r="BZ126" s="46">
        <f t="shared" ca="1" si="346"/>
        <v>0</v>
      </c>
      <c r="CA126" s="46">
        <f t="shared" ca="1" si="346"/>
        <v>0</v>
      </c>
      <c r="CB126" s="46">
        <f t="shared" ca="1" si="346"/>
        <v>0</v>
      </c>
      <c r="CC126" s="46">
        <f t="shared" ca="1" si="346"/>
        <v>0</v>
      </c>
      <c r="CD126" s="46">
        <f t="shared" ca="1" si="346"/>
        <v>0</v>
      </c>
      <c r="CE126" s="46">
        <f t="shared" ca="1" si="346"/>
        <v>0</v>
      </c>
      <c r="CF126" s="46">
        <f t="shared" ca="1" si="346"/>
        <v>0</v>
      </c>
      <c r="CG126" s="46">
        <f t="shared" ca="1" si="346"/>
        <v>0</v>
      </c>
      <c r="CH126" s="46">
        <f t="shared" ca="1" si="346"/>
        <v>0</v>
      </c>
      <c r="CI126" s="46">
        <f t="shared" ca="1" si="346"/>
        <v>0</v>
      </c>
      <c r="CJ126" s="46">
        <f t="shared" ca="1" si="346"/>
        <v>0</v>
      </c>
      <c r="CK126" s="46">
        <f t="shared" ca="1" si="346"/>
        <v>0</v>
      </c>
      <c r="CL126" s="46">
        <f t="shared" ca="1" si="346"/>
        <v>0</v>
      </c>
      <c r="CM126" s="46">
        <f t="shared" ref="CM126:DR126" ca="1" si="347">CM122*$J$126</f>
        <v>0</v>
      </c>
      <c r="CN126" s="46">
        <f t="shared" ca="1" si="347"/>
        <v>0</v>
      </c>
      <c r="CO126" s="46">
        <f t="shared" ca="1" si="347"/>
        <v>0</v>
      </c>
      <c r="CP126" s="46">
        <f t="shared" ca="1" si="347"/>
        <v>0</v>
      </c>
      <c r="CQ126" s="46">
        <f t="shared" ca="1" si="347"/>
        <v>0</v>
      </c>
      <c r="CR126" s="46">
        <f t="shared" ca="1" si="347"/>
        <v>0</v>
      </c>
      <c r="CS126" s="46">
        <f t="shared" ca="1" si="347"/>
        <v>0</v>
      </c>
      <c r="CT126" s="46">
        <f t="shared" ca="1" si="347"/>
        <v>0</v>
      </c>
      <c r="CU126" s="46">
        <f t="shared" ca="1" si="347"/>
        <v>0</v>
      </c>
      <c r="CV126" s="46">
        <f t="shared" ca="1" si="347"/>
        <v>0</v>
      </c>
      <c r="CW126" s="46">
        <f t="shared" ca="1" si="347"/>
        <v>0</v>
      </c>
      <c r="CX126" s="46">
        <f t="shared" ca="1" si="347"/>
        <v>0</v>
      </c>
      <c r="CY126" s="46">
        <f t="shared" ca="1" si="347"/>
        <v>0</v>
      </c>
      <c r="CZ126" s="46">
        <f t="shared" ca="1" si="347"/>
        <v>0</v>
      </c>
      <c r="DA126" s="46">
        <f t="shared" ca="1" si="347"/>
        <v>0</v>
      </c>
      <c r="DB126" s="46">
        <f t="shared" ca="1" si="347"/>
        <v>0</v>
      </c>
      <c r="DC126" s="46">
        <f t="shared" ca="1" si="347"/>
        <v>0</v>
      </c>
      <c r="DD126" s="46">
        <f t="shared" ca="1" si="347"/>
        <v>0</v>
      </c>
      <c r="DE126" s="46">
        <f t="shared" ca="1" si="347"/>
        <v>0</v>
      </c>
      <c r="DF126" s="46">
        <f t="shared" ca="1" si="347"/>
        <v>0</v>
      </c>
      <c r="DG126" s="46">
        <f t="shared" ca="1" si="347"/>
        <v>0</v>
      </c>
      <c r="DH126" s="46">
        <f t="shared" ca="1" si="347"/>
        <v>0</v>
      </c>
      <c r="DI126" s="46">
        <f t="shared" ca="1" si="347"/>
        <v>0</v>
      </c>
      <c r="DJ126" s="46">
        <f t="shared" ca="1" si="347"/>
        <v>0</v>
      </c>
      <c r="DK126" s="46">
        <f t="shared" ca="1" si="347"/>
        <v>0</v>
      </c>
      <c r="DL126" s="46">
        <f t="shared" ca="1" si="347"/>
        <v>0</v>
      </c>
      <c r="DM126" s="46">
        <f t="shared" ca="1" si="347"/>
        <v>0</v>
      </c>
      <c r="DN126" s="46">
        <f t="shared" ca="1" si="347"/>
        <v>0</v>
      </c>
      <c r="DO126" s="46">
        <f t="shared" ca="1" si="347"/>
        <v>0</v>
      </c>
      <c r="DP126" s="46">
        <f t="shared" ca="1" si="347"/>
        <v>0</v>
      </c>
      <c r="DQ126" s="46">
        <f t="shared" ca="1" si="347"/>
        <v>0</v>
      </c>
      <c r="DR126" s="46">
        <f t="shared" ca="1" si="347"/>
        <v>0</v>
      </c>
      <c r="DS126" s="46">
        <f t="shared" ref="DS126:FB126" ca="1" si="348">DS122*$J$126</f>
        <v>0</v>
      </c>
      <c r="DT126" s="46">
        <f t="shared" ca="1" si="348"/>
        <v>0</v>
      </c>
      <c r="DU126" s="46">
        <f t="shared" ca="1" si="348"/>
        <v>0</v>
      </c>
      <c r="DV126" s="46">
        <f t="shared" ca="1" si="348"/>
        <v>0</v>
      </c>
      <c r="DW126" s="46">
        <f t="shared" ca="1" si="348"/>
        <v>0</v>
      </c>
      <c r="DX126" s="46">
        <f t="shared" ca="1" si="348"/>
        <v>0</v>
      </c>
      <c r="DY126" s="46">
        <f t="shared" ca="1" si="348"/>
        <v>0</v>
      </c>
      <c r="DZ126" s="46">
        <f t="shared" ca="1" si="348"/>
        <v>0</v>
      </c>
      <c r="EA126" s="46">
        <f t="shared" ca="1" si="348"/>
        <v>0</v>
      </c>
      <c r="EB126" s="46">
        <f t="shared" ca="1" si="348"/>
        <v>0</v>
      </c>
      <c r="EC126" s="46">
        <f t="shared" ca="1" si="348"/>
        <v>0</v>
      </c>
      <c r="ED126" s="46">
        <f t="shared" ca="1" si="348"/>
        <v>0</v>
      </c>
      <c r="EE126" s="46">
        <f t="shared" ca="1" si="348"/>
        <v>0</v>
      </c>
      <c r="EF126" s="46">
        <f t="shared" ca="1" si="348"/>
        <v>0</v>
      </c>
      <c r="EG126" s="46">
        <f t="shared" ca="1" si="348"/>
        <v>0</v>
      </c>
      <c r="EH126" s="46">
        <f t="shared" ca="1" si="348"/>
        <v>0</v>
      </c>
      <c r="EI126" s="46">
        <f t="shared" ca="1" si="348"/>
        <v>0</v>
      </c>
      <c r="EJ126" s="46">
        <f t="shared" ca="1" si="348"/>
        <v>0</v>
      </c>
      <c r="EK126" s="46">
        <f t="shared" ca="1" si="348"/>
        <v>0</v>
      </c>
      <c r="EL126" s="46">
        <f t="shared" ca="1" si="348"/>
        <v>0</v>
      </c>
      <c r="EM126" s="46">
        <f t="shared" ca="1" si="348"/>
        <v>0</v>
      </c>
      <c r="EN126" s="46">
        <f t="shared" ca="1" si="348"/>
        <v>0</v>
      </c>
      <c r="EO126" s="46">
        <f t="shared" ca="1" si="348"/>
        <v>0</v>
      </c>
      <c r="EP126" s="46">
        <f t="shared" ca="1" si="348"/>
        <v>1155428.9363992163</v>
      </c>
      <c r="EQ126" s="46">
        <f t="shared" ca="1" si="348"/>
        <v>0</v>
      </c>
      <c r="ER126" s="46">
        <f t="shared" ca="1" si="348"/>
        <v>0</v>
      </c>
      <c r="ES126" s="46">
        <f t="shared" ca="1" si="348"/>
        <v>0</v>
      </c>
      <c r="ET126" s="46">
        <f t="shared" ca="1" si="348"/>
        <v>0</v>
      </c>
      <c r="EU126" s="46">
        <f t="shared" ca="1" si="348"/>
        <v>0</v>
      </c>
      <c r="EV126" s="46">
        <f t="shared" ca="1" si="348"/>
        <v>0</v>
      </c>
      <c r="EW126" s="46">
        <f t="shared" ca="1" si="348"/>
        <v>0</v>
      </c>
      <c r="EX126" s="46">
        <f t="shared" ca="1" si="348"/>
        <v>0</v>
      </c>
      <c r="EY126" s="46">
        <f t="shared" ca="1" si="348"/>
        <v>0</v>
      </c>
      <c r="EZ126" s="46">
        <f t="shared" ca="1" si="348"/>
        <v>0</v>
      </c>
      <c r="FA126" s="46">
        <f t="shared" ca="1" si="348"/>
        <v>0</v>
      </c>
      <c r="FB126" s="46">
        <f t="shared" ca="1" si="348"/>
        <v>0</v>
      </c>
    </row>
    <row r="127" spans="1:158">
      <c r="G127" s="14"/>
      <c r="H127" s="9"/>
      <c r="K127" s="9"/>
      <c r="L127" s="9"/>
      <c r="M127" s="9"/>
      <c r="Y127" s="9"/>
    </row>
    <row r="128" spans="1:158">
      <c r="G128" s="14"/>
      <c r="H128" s="9"/>
      <c r="I128" s="15" t="s">
        <v>230</v>
      </c>
      <c r="K128" s="9"/>
      <c r="L128" s="9"/>
      <c r="M128" s="9"/>
      <c r="Y128" s="9"/>
    </row>
    <row r="129" spans="1:158">
      <c r="H129" s="9"/>
      <c r="I129" s="15" t="s">
        <v>222</v>
      </c>
      <c r="L129" s="44">
        <f ca="1">SUM(Z129:FB129)</f>
        <v>3469147.1535920426</v>
      </c>
      <c r="M129" s="9"/>
      <c r="N129" s="143">
        <f>SUMIF($Z$3:$FB$3,N$7,$Z129:$FB129)</f>
        <v>-2203780.2015000023</v>
      </c>
      <c r="O129" s="143">
        <f t="shared" ref="O129:X129" ca="1" si="349">SUMIF($Z$3:$FB$3,O$7,$Z129:$FB129)</f>
        <v>182026.62537141202</v>
      </c>
      <c r="P129" s="143">
        <f t="shared" ca="1" si="349"/>
        <v>1269301.5954394103</v>
      </c>
      <c r="Q129" s="143">
        <f t="shared" ca="1" si="349"/>
        <v>170794.24336146674</v>
      </c>
      <c r="R129" s="143">
        <f t="shared" ca="1" si="349"/>
        <v>187389.02332009308</v>
      </c>
      <c r="S129" s="143">
        <f t="shared" ca="1" si="349"/>
        <v>132976.64487335325</v>
      </c>
      <c r="T129" s="143">
        <f t="shared" ca="1" si="349"/>
        <v>144743.09950843343</v>
      </c>
      <c r="U129" s="143">
        <f t="shared" ca="1" si="349"/>
        <v>156747.05244897821</v>
      </c>
      <c r="V129" s="143">
        <f t="shared" ca="1" si="349"/>
        <v>168993.2974452592</v>
      </c>
      <c r="W129" s="143">
        <f t="shared" ca="1" si="349"/>
        <v>181486.72500630806</v>
      </c>
      <c r="X129" s="143">
        <f t="shared" ca="1" si="349"/>
        <v>3078469.0483173304</v>
      </c>
      <c r="Y129" s="9"/>
      <c r="Z129" s="44">
        <f>IF($J$113=1,-$D$32,-$D$32)</f>
        <v>-2203780.2015000023</v>
      </c>
      <c r="AA129" s="44">
        <f t="shared" ref="AA129:BF129" ca="1" si="350">IF($J$113=1,(AA119+AA120)*$F$7,AA119+AA120)+AA125</f>
        <v>14174.820799029452</v>
      </c>
      <c r="AB129" s="44">
        <f t="shared" ca="1" si="350"/>
        <v>14244.06741730769</v>
      </c>
      <c r="AC129" s="44">
        <f t="shared" ca="1" si="350"/>
        <v>14313.429446616397</v>
      </c>
      <c r="AD129" s="44">
        <f t="shared" ca="1" si="350"/>
        <v>14382.907079307288</v>
      </c>
      <c r="AE129" s="44">
        <f t="shared" ca="1" si="350"/>
        <v>14452.500508052666</v>
      </c>
      <c r="AF129" s="44">
        <f t="shared" ca="1" si="350"/>
        <v>14522.209925845962</v>
      </c>
      <c r="AG129" s="44">
        <f t="shared" ca="1" si="350"/>
        <v>14592.035526002224</v>
      </c>
      <c r="AH129" s="44">
        <f t="shared" ca="1" si="350"/>
        <v>16123.699584070053</v>
      </c>
      <c r="AI129" s="44">
        <f t="shared" ca="1" si="350"/>
        <v>16196.194333656696</v>
      </c>
      <c r="AJ129" s="44">
        <f t="shared" ca="1" si="350"/>
        <v>16268.809907826011</v>
      </c>
      <c r="AK129" s="44">
        <f t="shared" ca="1" si="350"/>
        <v>16341.546507952238</v>
      </c>
      <c r="AL129" s="44">
        <f t="shared" ca="1" si="350"/>
        <v>16414.404335745356</v>
      </c>
      <c r="AM129" s="44">
        <f t="shared" ca="1" si="350"/>
        <v>16487.383593251456</v>
      </c>
      <c r="AN129" s="44">
        <f t="shared" ca="1" si="350"/>
        <v>16560.484482853404</v>
      </c>
      <c r="AO129" s="44">
        <f t="shared" ca="1" si="350"/>
        <v>16633.707207271356</v>
      </c>
      <c r="AP129" s="44">
        <f t="shared" ca="1" si="350"/>
        <v>16707.051969563341</v>
      </c>
      <c r="AQ129" s="44">
        <f t="shared" ca="1" si="350"/>
        <v>16780.518973125822</v>
      </c>
      <c r="AR129" s="44">
        <f t="shared" ca="1" si="350"/>
        <v>16854.108421694218</v>
      </c>
      <c r="AS129" s="44">
        <f t="shared" ca="1" si="350"/>
        <v>16927.820519343586</v>
      </c>
      <c r="AT129" s="44">
        <f t="shared" ca="1" si="350"/>
        <v>17747.268470649084</v>
      </c>
      <c r="AU129" s="44">
        <f t="shared" ca="1" si="350"/>
        <v>17822.469168380041</v>
      </c>
      <c r="AV129" s="44">
        <f t="shared" ca="1" si="350"/>
        <v>17897.795200607201</v>
      </c>
      <c r="AW129" s="44">
        <f t="shared" ca="1" si="350"/>
        <v>17973.246776221407</v>
      </c>
      <c r="AX129" s="44">
        <f t="shared" ca="1" si="350"/>
        <v>1080909.7406564495</v>
      </c>
      <c r="AY129" s="44">
        <f t="shared" ca="1" si="350"/>
        <v>13495.464808274117</v>
      </c>
      <c r="AZ129" s="44">
        <f t="shared" ca="1" si="350"/>
        <v>13571.294270878852</v>
      </c>
      <c r="BA129" s="44">
        <f t="shared" ca="1" si="350"/>
        <v>13647.250115921261</v>
      </c>
      <c r="BB129" s="44">
        <f t="shared" ca="1" si="350"/>
        <v>13723.332554038714</v>
      </c>
      <c r="BC129" s="44">
        <f t="shared" ca="1" si="350"/>
        <v>13799.541796219708</v>
      </c>
      <c r="BD129" s="44">
        <f t="shared" ca="1" si="350"/>
        <v>13875.87805380437</v>
      </c>
      <c r="BE129" s="44">
        <f t="shared" ca="1" si="350"/>
        <v>13952.341538484956</v>
      </c>
      <c r="BF129" s="44">
        <f t="shared" ca="1" si="350"/>
        <v>14789.595180462746</v>
      </c>
      <c r="BG129" s="44">
        <f t="shared" ref="BG129:CL129" ca="1" si="351">IF($J$113=1,(BG119+BG120)*$F$7,BG119+BG120)+BG125</f>
        <v>14867.581527021106</v>
      </c>
      <c r="BH129" s="44">
        <f t="shared" ca="1" si="351"/>
        <v>14945.697850823757</v>
      </c>
      <c r="BI129" s="44">
        <f t="shared" ca="1" si="351"/>
        <v>15023.944368499388</v>
      </c>
      <c r="BJ129" s="44">
        <f t="shared" ca="1" si="351"/>
        <v>15102.321297037806</v>
      </c>
      <c r="BK129" s="44">
        <f t="shared" ca="1" si="351"/>
        <v>15180.828853790485</v>
      </c>
      <c r="BL129" s="44">
        <f t="shared" ca="1" si="351"/>
        <v>15259.467256471045</v>
      </c>
      <c r="BM129" s="44">
        <f t="shared" ca="1" si="351"/>
        <v>15338.236723156113</v>
      </c>
      <c r="BN129" s="44">
        <f t="shared" ca="1" si="351"/>
        <v>15417.137472285633</v>
      </c>
      <c r="BO129" s="44">
        <f t="shared" ca="1" si="351"/>
        <v>15496.169722663726</v>
      </c>
      <c r="BP129" s="44">
        <f t="shared" ca="1" si="351"/>
        <v>15575.33369345909</v>
      </c>
      <c r="BQ129" s="44">
        <f t="shared" ca="1" si="351"/>
        <v>15654.629604205786</v>
      </c>
      <c r="BR129" s="44">
        <f t="shared" ca="1" si="351"/>
        <v>15734.057674803726</v>
      </c>
      <c r="BS129" s="44">
        <f t="shared" ca="1" si="351"/>
        <v>15813.61812551935</v>
      </c>
      <c r="BT129" s="44">
        <f t="shared" ca="1" si="351"/>
        <v>15893.311176986133</v>
      </c>
      <c r="BU129" s="44">
        <f t="shared" ca="1" si="351"/>
        <v>15973.137050205369</v>
      </c>
      <c r="BV129" s="44">
        <f t="shared" ca="1" si="351"/>
        <v>16053.095966546634</v>
      </c>
      <c r="BW129" s="44">
        <f t="shared" ca="1" si="351"/>
        <v>10637.685340895239</v>
      </c>
      <c r="BX129" s="44">
        <f t="shared" ca="1" si="351"/>
        <v>10717.911009065758</v>
      </c>
      <c r="BY129" s="44">
        <f t="shared" ca="1" si="351"/>
        <v>10798.270386683203</v>
      </c>
      <c r="BZ129" s="44">
        <f t="shared" ca="1" si="351"/>
        <v>10878.763696596705</v>
      </c>
      <c r="CA129" s="44">
        <f t="shared" ca="1" si="351"/>
        <v>10959.391162026726</v>
      </c>
      <c r="CB129" s="44">
        <f t="shared" ca="1" si="351"/>
        <v>11040.153006565788</v>
      </c>
      <c r="CC129" s="44">
        <f t="shared" ca="1" si="351"/>
        <v>11121.049454179085</v>
      </c>
      <c r="CD129" s="44">
        <f t="shared" ca="1" si="351"/>
        <v>11202.080729205083</v>
      </c>
      <c r="CE129" s="44">
        <f t="shared" ca="1" si="351"/>
        <v>11283.247056356109</v>
      </c>
      <c r="CF129" s="44">
        <f t="shared" ca="1" si="351"/>
        <v>11364.548660719056</v>
      </c>
      <c r="CG129" s="44">
        <f t="shared" ca="1" si="351"/>
        <v>11445.985767755928</v>
      </c>
      <c r="CH129" s="44">
        <f t="shared" ca="1" si="351"/>
        <v>11527.558603304542</v>
      </c>
      <c r="CI129" s="44">
        <f t="shared" ca="1" si="351"/>
        <v>11609.267393579083</v>
      </c>
      <c r="CJ129" s="44">
        <f t="shared" ca="1" si="351"/>
        <v>11691.112365170733</v>
      </c>
      <c r="CK129" s="44">
        <f t="shared" ca="1" si="351"/>
        <v>11773.093745048356</v>
      </c>
      <c r="CL129" s="44">
        <f t="shared" ca="1" si="351"/>
        <v>11855.21176055915</v>
      </c>
      <c r="CM129" s="44">
        <f t="shared" ref="CM129:DR129" ca="1" si="352">IF($J$113=1,(CM119+CM120)*$F$7,CM119+CM120)+CM125</f>
        <v>11937.466639429085</v>
      </c>
      <c r="CN129" s="44">
        <f t="shared" ca="1" si="352"/>
        <v>12019.85860976382</v>
      </c>
      <c r="CO129" s="44">
        <f t="shared" ca="1" si="352"/>
        <v>12102.387900049109</v>
      </c>
      <c r="CP129" s="44">
        <f t="shared" ca="1" si="352"/>
        <v>12185.054739151545</v>
      </c>
      <c r="CQ129" s="44">
        <f t="shared" ca="1" si="352"/>
        <v>12267.859356319148</v>
      </c>
      <c r="CR129" s="44">
        <f t="shared" ca="1" si="352"/>
        <v>12350.801981182043</v>
      </c>
      <c r="CS129" s="44">
        <f t="shared" ca="1" si="352"/>
        <v>12433.882843753026</v>
      </c>
      <c r="CT129" s="44">
        <f t="shared" ca="1" si="352"/>
        <v>12517.102174428308</v>
      </c>
      <c r="CU129" s="44">
        <f t="shared" ca="1" si="352"/>
        <v>12600.460203988028</v>
      </c>
      <c r="CV129" s="44">
        <f t="shared" ca="1" si="352"/>
        <v>12683.957163597022</v>
      </c>
      <c r="CW129" s="44">
        <f t="shared" ca="1" si="352"/>
        <v>12767.593284805394</v>
      </c>
      <c r="CX129" s="44">
        <f t="shared" ca="1" si="352"/>
        <v>12851.368799549073</v>
      </c>
      <c r="CY129" s="44">
        <f t="shared" ca="1" si="352"/>
        <v>12935.283940150704</v>
      </c>
      <c r="CZ129" s="44">
        <f t="shared" ca="1" si="352"/>
        <v>13019.338939319949</v>
      </c>
      <c r="DA129" s="44">
        <f t="shared" ca="1" si="352"/>
        <v>13103.534030154517</v>
      </c>
      <c r="DB129" s="44">
        <f t="shared" ca="1" si="352"/>
        <v>13187.869446140454</v>
      </c>
      <c r="DC129" s="44">
        <f t="shared" ca="1" si="352"/>
        <v>13272.345421153042</v>
      </c>
      <c r="DD129" s="44">
        <f t="shared" ca="1" si="352"/>
        <v>13356.962189457308</v>
      </c>
      <c r="DE129" s="44">
        <f t="shared" ca="1" si="352"/>
        <v>13441.719985708763</v>
      </c>
      <c r="DF129" s="44">
        <f t="shared" ca="1" si="352"/>
        <v>13526.619044953968</v>
      </c>
      <c r="DG129" s="44">
        <f t="shared" ca="1" si="352"/>
        <v>13611.659602631249</v>
      </c>
      <c r="DH129" s="44">
        <f t="shared" ca="1" si="352"/>
        <v>13696.841894571337</v>
      </c>
      <c r="DI129" s="44">
        <f t="shared" ca="1" si="352"/>
        <v>13782.166156997957</v>
      </c>
      <c r="DJ129" s="44">
        <f t="shared" ca="1" si="352"/>
        <v>13867.63262652865</v>
      </c>
      <c r="DK129" s="44">
        <f t="shared" ca="1" si="352"/>
        <v>13953.241540175208</v>
      </c>
      <c r="DL129" s="44">
        <f t="shared" ca="1" si="352"/>
        <v>14038.993135344523</v>
      </c>
      <c r="DM129" s="44">
        <f t="shared" ca="1" si="352"/>
        <v>14124.88764983912</v>
      </c>
      <c r="DN129" s="44">
        <f t="shared" ca="1" si="352"/>
        <v>14210.925321857869</v>
      </c>
      <c r="DO129" s="44">
        <f t="shared" ca="1" si="352"/>
        <v>14297.10638999667</v>
      </c>
      <c r="DP129" s="44">
        <f t="shared" ca="1" si="352"/>
        <v>14383.431093249013</v>
      </c>
      <c r="DQ129" s="44">
        <f t="shared" ca="1" si="352"/>
        <v>14469.899671006782</v>
      </c>
      <c r="DR129" s="44">
        <f t="shared" ca="1" si="352"/>
        <v>14556.512363060838</v>
      </c>
      <c r="DS129" s="44">
        <f t="shared" ref="DS129:FB129" ca="1" si="353">IF($J$113=1,(DS119+DS120)*$F$7,DS119+DS120)+DS125</f>
        <v>14643.269409601622</v>
      </c>
      <c r="DT129" s="44">
        <f t="shared" ca="1" si="353"/>
        <v>14730.171051219964</v>
      </c>
      <c r="DU129" s="44">
        <f t="shared" ca="1" si="353"/>
        <v>14817.217528907693</v>
      </c>
      <c r="DV129" s="44">
        <f t="shared" ca="1" si="353"/>
        <v>14904.409084058216</v>
      </c>
      <c r="DW129" s="44">
        <f t="shared" ca="1" si="353"/>
        <v>14991.745958467338</v>
      </c>
      <c r="DX129" s="44">
        <f t="shared" ca="1" si="353"/>
        <v>15079.228394333813</v>
      </c>
      <c r="DY129" s="44">
        <f t="shared" ca="1" si="353"/>
        <v>15166.856634260055</v>
      </c>
      <c r="DZ129" s="44">
        <f t="shared" ca="1" si="353"/>
        <v>15254.630921252843</v>
      </c>
      <c r="EA129" s="44">
        <f t="shared" ca="1" si="353"/>
        <v>15342.551498723953</v>
      </c>
      <c r="EB129" s="44">
        <f t="shared" ca="1" si="353"/>
        <v>15430.618610490859</v>
      </c>
      <c r="EC129" s="44">
        <f t="shared" ca="1" si="353"/>
        <v>15518.832500777355</v>
      </c>
      <c r="ED129" s="44">
        <f t="shared" ca="1" si="353"/>
        <v>15607.193414214353</v>
      </c>
      <c r="EE129" s="44">
        <f t="shared" ca="1" si="353"/>
        <v>15695.701595840388</v>
      </c>
      <c r="EF129" s="44">
        <f t="shared" ca="1" si="353"/>
        <v>15784.357291102484</v>
      </c>
      <c r="EG129" s="44">
        <f t="shared" ca="1" si="353"/>
        <v>15873.160745856667</v>
      </c>
      <c r="EH129" s="44">
        <f t="shared" ca="1" si="353"/>
        <v>15962.112206368774</v>
      </c>
      <c r="EI129" s="44">
        <f t="shared" ca="1" si="353"/>
        <v>16051.211919315103</v>
      </c>
      <c r="EJ129" s="44">
        <f t="shared" ca="1" si="353"/>
        <v>16140.46013178298</v>
      </c>
      <c r="EK129" s="44">
        <f t="shared" ca="1" si="353"/>
        <v>16229.85709127164</v>
      </c>
      <c r="EL129" s="44">
        <f t="shared" ca="1" si="353"/>
        <v>16319.403045692789</v>
      </c>
      <c r="EM129" s="44">
        <f t="shared" ca="1" si="353"/>
        <v>16409.098243371303</v>
      </c>
      <c r="EN129" s="44">
        <f t="shared" ca="1" si="353"/>
        <v>16498.942933045942</v>
      </c>
      <c r="EO129" s="44">
        <f t="shared" ca="1" si="353"/>
        <v>16588.937363870024</v>
      </c>
      <c r="EP129" s="44">
        <f t="shared" ca="1" si="353"/>
        <v>2900915.8057498122</v>
      </c>
      <c r="EQ129" s="44">
        <f t="shared" ca="1" si="353"/>
        <v>0</v>
      </c>
      <c r="ER129" s="44">
        <f t="shared" ca="1" si="353"/>
        <v>0</v>
      </c>
      <c r="ES129" s="44">
        <f t="shared" ca="1" si="353"/>
        <v>0</v>
      </c>
      <c r="ET129" s="44">
        <f t="shared" ca="1" si="353"/>
        <v>0</v>
      </c>
      <c r="EU129" s="44">
        <f t="shared" ca="1" si="353"/>
        <v>0</v>
      </c>
      <c r="EV129" s="44">
        <f t="shared" ca="1" si="353"/>
        <v>0</v>
      </c>
      <c r="EW129" s="44">
        <f t="shared" ca="1" si="353"/>
        <v>0</v>
      </c>
      <c r="EX129" s="44">
        <f t="shared" ca="1" si="353"/>
        <v>0</v>
      </c>
      <c r="EY129" s="44">
        <f t="shared" ca="1" si="353"/>
        <v>0</v>
      </c>
      <c r="EZ129" s="44">
        <f t="shared" ca="1" si="353"/>
        <v>0</v>
      </c>
      <c r="FA129" s="44">
        <f t="shared" ca="1" si="353"/>
        <v>0</v>
      </c>
      <c r="FB129" s="44">
        <f t="shared" ca="1" si="353"/>
        <v>0</v>
      </c>
    </row>
    <row r="130" spans="1:158">
      <c r="H130" s="9"/>
      <c r="I130" s="9" t="s">
        <v>16</v>
      </c>
      <c r="L130" s="276">
        <f ca="1">(1+IRR(Z129:FB129,0))^12-1</f>
        <v>0.17533123444698462</v>
      </c>
      <c r="M130" s="9"/>
      <c r="Y130" s="9"/>
    </row>
    <row r="131" spans="1:158">
      <c r="H131" s="9"/>
      <c r="I131" s="9" t="s">
        <v>19</v>
      </c>
      <c r="L131" s="193">
        <f ca="1">(L129+F9)/F9</f>
        <v>2.5741801978394983</v>
      </c>
      <c r="M131" s="9"/>
      <c r="Y131" s="9"/>
    </row>
    <row r="132" spans="1:158">
      <c r="H132" s="9"/>
      <c r="I132" s="126" t="s">
        <v>223</v>
      </c>
      <c r="J132" s="283"/>
      <c r="L132" s="57">
        <f ca="1">SUM(Z132:FB132)</f>
        <v>986904.56804921513</v>
      </c>
      <c r="M132" s="9"/>
      <c r="N132" s="138">
        <f>SUMIF($Z$3:$FB$3,N$7,$Z132:$FB132)</f>
        <v>-388902.38850000047</v>
      </c>
      <c r="O132" s="138">
        <f t="shared" ref="O132:X132" ca="1" si="354">SUMIF($Z$3:$FB$3,O$7,$Z132:$FB132)</f>
        <v>22037.802015000019</v>
      </c>
      <c r="P132" s="138">
        <f t="shared" ca="1" si="354"/>
        <v>22037.802015000019</v>
      </c>
      <c r="Q132" s="138">
        <f t="shared" ca="1" si="354"/>
        <v>22037.802015000019</v>
      </c>
      <c r="R132" s="138">
        <f t="shared" ca="1" si="354"/>
        <v>22037.802015000019</v>
      </c>
      <c r="S132" s="138">
        <f t="shared" ca="1" si="354"/>
        <v>22037.802015000019</v>
      </c>
      <c r="T132" s="138">
        <f t="shared" ca="1" si="354"/>
        <v>22037.802015000019</v>
      </c>
      <c r="U132" s="138">
        <f t="shared" ca="1" si="354"/>
        <v>22037.802015000019</v>
      </c>
      <c r="V132" s="138">
        <f t="shared" ca="1" si="354"/>
        <v>22037.802015000019</v>
      </c>
      <c r="W132" s="138">
        <f t="shared" ca="1" si="354"/>
        <v>22037.802015000019</v>
      </c>
      <c r="X132" s="138">
        <f t="shared" ca="1" si="354"/>
        <v>1177466.7384142163</v>
      </c>
      <c r="Y132" s="9"/>
      <c r="Z132" s="57">
        <f>IF($J$113=1,-$D$31,-$D$31)</f>
        <v>-388902.38850000047</v>
      </c>
      <c r="AA132" s="57">
        <f t="shared" ref="AA132:BF132" ca="1" si="355">IF($J$113=1,(AA119+AA120)*$G$7,0)+AA126+AA110</f>
        <v>1836.4835012500018</v>
      </c>
      <c r="AB132" s="57">
        <f t="shared" ca="1" si="355"/>
        <v>1836.4835012500018</v>
      </c>
      <c r="AC132" s="57">
        <f t="shared" ca="1" si="355"/>
        <v>1836.4835012500018</v>
      </c>
      <c r="AD132" s="57">
        <f t="shared" ca="1" si="355"/>
        <v>1836.4835012500018</v>
      </c>
      <c r="AE132" s="57">
        <f t="shared" ca="1" si="355"/>
        <v>1836.4835012500018</v>
      </c>
      <c r="AF132" s="57">
        <f t="shared" ca="1" si="355"/>
        <v>1836.4835012500018</v>
      </c>
      <c r="AG132" s="57">
        <f t="shared" ca="1" si="355"/>
        <v>1836.4835012500018</v>
      </c>
      <c r="AH132" s="57">
        <f t="shared" ca="1" si="355"/>
        <v>1836.4835012500018</v>
      </c>
      <c r="AI132" s="57">
        <f t="shared" ca="1" si="355"/>
        <v>1836.4835012500018</v>
      </c>
      <c r="AJ132" s="57">
        <f t="shared" ca="1" si="355"/>
        <v>1836.4835012500018</v>
      </c>
      <c r="AK132" s="57">
        <f t="shared" ca="1" si="355"/>
        <v>1836.4835012500018</v>
      </c>
      <c r="AL132" s="57">
        <f t="shared" ca="1" si="355"/>
        <v>1836.4835012500018</v>
      </c>
      <c r="AM132" s="57">
        <f t="shared" ca="1" si="355"/>
        <v>1836.4835012500018</v>
      </c>
      <c r="AN132" s="57">
        <f t="shared" ca="1" si="355"/>
        <v>1836.4835012500018</v>
      </c>
      <c r="AO132" s="57">
        <f t="shared" ca="1" si="355"/>
        <v>1836.4835012500018</v>
      </c>
      <c r="AP132" s="57">
        <f t="shared" ca="1" si="355"/>
        <v>1836.4835012500018</v>
      </c>
      <c r="AQ132" s="57">
        <f t="shared" ca="1" si="355"/>
        <v>1836.4835012500018</v>
      </c>
      <c r="AR132" s="57">
        <f t="shared" ca="1" si="355"/>
        <v>1836.4835012500018</v>
      </c>
      <c r="AS132" s="57">
        <f t="shared" ca="1" si="355"/>
        <v>1836.4835012500018</v>
      </c>
      <c r="AT132" s="57">
        <f t="shared" ca="1" si="355"/>
        <v>1836.4835012500018</v>
      </c>
      <c r="AU132" s="57">
        <f t="shared" ca="1" si="355"/>
        <v>1836.4835012500018</v>
      </c>
      <c r="AV132" s="57">
        <f t="shared" ca="1" si="355"/>
        <v>1836.4835012500018</v>
      </c>
      <c r="AW132" s="57">
        <f t="shared" ca="1" si="355"/>
        <v>1836.4835012500018</v>
      </c>
      <c r="AX132" s="57">
        <f t="shared" ca="1" si="355"/>
        <v>1836.4835012500018</v>
      </c>
      <c r="AY132" s="57">
        <f t="shared" ca="1" si="355"/>
        <v>1836.4835012500018</v>
      </c>
      <c r="AZ132" s="57">
        <f t="shared" ca="1" si="355"/>
        <v>1836.4835012500018</v>
      </c>
      <c r="BA132" s="57">
        <f t="shared" ca="1" si="355"/>
        <v>1836.4835012500018</v>
      </c>
      <c r="BB132" s="57">
        <f t="shared" ca="1" si="355"/>
        <v>1836.4835012500018</v>
      </c>
      <c r="BC132" s="57">
        <f t="shared" ca="1" si="355"/>
        <v>1836.4835012500018</v>
      </c>
      <c r="BD132" s="57">
        <f t="shared" ca="1" si="355"/>
        <v>1836.4835012500018</v>
      </c>
      <c r="BE132" s="57">
        <f t="shared" ca="1" si="355"/>
        <v>1836.4835012500018</v>
      </c>
      <c r="BF132" s="57">
        <f t="shared" ca="1" si="355"/>
        <v>1836.4835012500018</v>
      </c>
      <c r="BG132" s="57">
        <f t="shared" ref="BG132:CL132" ca="1" si="356">IF($J$113=1,(BG119+BG120)*$G$7,0)+BG126+BG110</f>
        <v>1836.4835012500018</v>
      </c>
      <c r="BH132" s="57">
        <f t="shared" ca="1" si="356"/>
        <v>1836.4835012500018</v>
      </c>
      <c r="BI132" s="57">
        <f t="shared" ca="1" si="356"/>
        <v>1836.4835012500018</v>
      </c>
      <c r="BJ132" s="57">
        <f t="shared" ca="1" si="356"/>
        <v>1836.4835012500018</v>
      </c>
      <c r="BK132" s="57">
        <f t="shared" ca="1" si="356"/>
        <v>1836.4835012500018</v>
      </c>
      <c r="BL132" s="57">
        <f t="shared" ca="1" si="356"/>
        <v>1836.4835012500018</v>
      </c>
      <c r="BM132" s="57">
        <f t="shared" ca="1" si="356"/>
        <v>1836.4835012500018</v>
      </c>
      <c r="BN132" s="57">
        <f t="shared" ca="1" si="356"/>
        <v>1836.4835012500018</v>
      </c>
      <c r="BO132" s="57">
        <f t="shared" ca="1" si="356"/>
        <v>1836.4835012500018</v>
      </c>
      <c r="BP132" s="57">
        <f t="shared" ca="1" si="356"/>
        <v>1836.4835012500018</v>
      </c>
      <c r="BQ132" s="57">
        <f t="shared" ca="1" si="356"/>
        <v>1836.4835012500018</v>
      </c>
      <c r="BR132" s="57">
        <f t="shared" ca="1" si="356"/>
        <v>1836.4835012500018</v>
      </c>
      <c r="BS132" s="57">
        <f t="shared" ca="1" si="356"/>
        <v>1836.4835012500018</v>
      </c>
      <c r="BT132" s="57">
        <f t="shared" ca="1" si="356"/>
        <v>1836.4835012500018</v>
      </c>
      <c r="BU132" s="57">
        <f t="shared" ca="1" si="356"/>
        <v>1836.4835012500018</v>
      </c>
      <c r="BV132" s="57">
        <f t="shared" ca="1" si="356"/>
        <v>1836.4835012500018</v>
      </c>
      <c r="BW132" s="57">
        <f t="shared" ca="1" si="356"/>
        <v>1836.4835012500018</v>
      </c>
      <c r="BX132" s="57">
        <f t="shared" ca="1" si="356"/>
        <v>1836.4835012500018</v>
      </c>
      <c r="BY132" s="57">
        <f t="shared" ca="1" si="356"/>
        <v>1836.4835012500018</v>
      </c>
      <c r="BZ132" s="57">
        <f t="shared" ca="1" si="356"/>
        <v>1836.4835012500018</v>
      </c>
      <c r="CA132" s="57">
        <f t="shared" ca="1" si="356"/>
        <v>1836.4835012500018</v>
      </c>
      <c r="CB132" s="57">
        <f t="shared" ca="1" si="356"/>
        <v>1836.4835012500018</v>
      </c>
      <c r="CC132" s="57">
        <f t="shared" ca="1" si="356"/>
        <v>1836.4835012500018</v>
      </c>
      <c r="CD132" s="57">
        <f t="shared" ca="1" si="356"/>
        <v>1836.4835012500018</v>
      </c>
      <c r="CE132" s="57">
        <f t="shared" ca="1" si="356"/>
        <v>1836.4835012500018</v>
      </c>
      <c r="CF132" s="57">
        <f t="shared" ca="1" si="356"/>
        <v>1836.4835012500018</v>
      </c>
      <c r="CG132" s="57">
        <f t="shared" ca="1" si="356"/>
        <v>1836.4835012500018</v>
      </c>
      <c r="CH132" s="57">
        <f t="shared" ca="1" si="356"/>
        <v>1836.4835012500018</v>
      </c>
      <c r="CI132" s="57">
        <f t="shared" ca="1" si="356"/>
        <v>1836.4835012500018</v>
      </c>
      <c r="CJ132" s="57">
        <f t="shared" ca="1" si="356"/>
        <v>1836.4835012500018</v>
      </c>
      <c r="CK132" s="57">
        <f t="shared" ca="1" si="356"/>
        <v>1836.4835012500018</v>
      </c>
      <c r="CL132" s="57">
        <f t="shared" ca="1" si="356"/>
        <v>1836.4835012500018</v>
      </c>
      <c r="CM132" s="57">
        <f t="shared" ref="CM132:DR132" ca="1" si="357">IF($J$113=1,(CM119+CM120)*$G$7,0)+CM126+CM110</f>
        <v>1836.4835012500018</v>
      </c>
      <c r="CN132" s="57">
        <f t="shared" ca="1" si="357"/>
        <v>1836.4835012500018</v>
      </c>
      <c r="CO132" s="57">
        <f t="shared" ca="1" si="357"/>
        <v>1836.4835012500018</v>
      </c>
      <c r="CP132" s="57">
        <f t="shared" ca="1" si="357"/>
        <v>1836.4835012500018</v>
      </c>
      <c r="CQ132" s="57">
        <f t="shared" ca="1" si="357"/>
        <v>1836.4835012500018</v>
      </c>
      <c r="CR132" s="57">
        <f t="shared" ca="1" si="357"/>
        <v>1836.4835012500018</v>
      </c>
      <c r="CS132" s="57">
        <f t="shared" ca="1" si="357"/>
        <v>1836.4835012500018</v>
      </c>
      <c r="CT132" s="57">
        <f t="shared" ca="1" si="357"/>
        <v>1836.4835012500018</v>
      </c>
      <c r="CU132" s="57">
        <f t="shared" ca="1" si="357"/>
        <v>1836.4835012500018</v>
      </c>
      <c r="CV132" s="57">
        <f t="shared" ca="1" si="357"/>
        <v>1836.4835012500018</v>
      </c>
      <c r="CW132" s="57">
        <f t="shared" ca="1" si="357"/>
        <v>1836.4835012500018</v>
      </c>
      <c r="CX132" s="57">
        <f t="shared" ca="1" si="357"/>
        <v>1836.4835012500018</v>
      </c>
      <c r="CY132" s="57">
        <f t="shared" ca="1" si="357"/>
        <v>1836.4835012500018</v>
      </c>
      <c r="CZ132" s="57">
        <f t="shared" ca="1" si="357"/>
        <v>1836.4835012500018</v>
      </c>
      <c r="DA132" s="57">
        <f t="shared" ca="1" si="357"/>
        <v>1836.4835012500018</v>
      </c>
      <c r="DB132" s="57">
        <f t="shared" ca="1" si="357"/>
        <v>1836.4835012500018</v>
      </c>
      <c r="DC132" s="57">
        <f t="shared" ca="1" si="357"/>
        <v>1836.4835012500018</v>
      </c>
      <c r="DD132" s="57">
        <f t="shared" ca="1" si="357"/>
        <v>1836.4835012500018</v>
      </c>
      <c r="DE132" s="57">
        <f t="shared" ca="1" si="357"/>
        <v>1836.4835012500018</v>
      </c>
      <c r="DF132" s="57">
        <f t="shared" ca="1" si="357"/>
        <v>1836.4835012500018</v>
      </c>
      <c r="DG132" s="57">
        <f t="shared" ca="1" si="357"/>
        <v>1836.4835012500018</v>
      </c>
      <c r="DH132" s="57">
        <f t="shared" ca="1" si="357"/>
        <v>1836.4835012500018</v>
      </c>
      <c r="DI132" s="57">
        <f t="shared" ca="1" si="357"/>
        <v>1836.4835012500018</v>
      </c>
      <c r="DJ132" s="57">
        <f t="shared" ca="1" si="357"/>
        <v>1836.4835012500018</v>
      </c>
      <c r="DK132" s="57">
        <f t="shared" ca="1" si="357"/>
        <v>1836.4835012500018</v>
      </c>
      <c r="DL132" s="57">
        <f t="shared" ca="1" si="357"/>
        <v>1836.4835012500018</v>
      </c>
      <c r="DM132" s="57">
        <f t="shared" ca="1" si="357"/>
        <v>1836.4835012500018</v>
      </c>
      <c r="DN132" s="57">
        <f t="shared" ca="1" si="357"/>
        <v>1836.4835012500018</v>
      </c>
      <c r="DO132" s="57">
        <f t="shared" ca="1" si="357"/>
        <v>1836.4835012500018</v>
      </c>
      <c r="DP132" s="57">
        <f t="shared" ca="1" si="357"/>
        <v>1836.4835012500018</v>
      </c>
      <c r="DQ132" s="57">
        <f t="shared" ca="1" si="357"/>
        <v>1836.4835012500018</v>
      </c>
      <c r="DR132" s="57">
        <f t="shared" ca="1" si="357"/>
        <v>1836.4835012500018</v>
      </c>
      <c r="DS132" s="57">
        <f t="shared" ref="DS132:FB132" ca="1" si="358">IF($J$113=1,(DS119+DS120)*$G$7,0)+DS126+DS110</f>
        <v>1836.4835012500018</v>
      </c>
      <c r="DT132" s="57">
        <f t="shared" ca="1" si="358"/>
        <v>1836.4835012500018</v>
      </c>
      <c r="DU132" s="57">
        <f t="shared" ca="1" si="358"/>
        <v>1836.4835012500018</v>
      </c>
      <c r="DV132" s="57">
        <f t="shared" ca="1" si="358"/>
        <v>1836.4835012500018</v>
      </c>
      <c r="DW132" s="57">
        <f t="shared" ca="1" si="358"/>
        <v>1836.4835012500018</v>
      </c>
      <c r="DX132" s="57">
        <f t="shared" ca="1" si="358"/>
        <v>1836.4835012500018</v>
      </c>
      <c r="DY132" s="57">
        <f t="shared" ca="1" si="358"/>
        <v>1836.4835012500018</v>
      </c>
      <c r="DZ132" s="57">
        <f t="shared" ca="1" si="358"/>
        <v>1836.4835012500018</v>
      </c>
      <c r="EA132" s="57">
        <f t="shared" ca="1" si="358"/>
        <v>1836.4835012500018</v>
      </c>
      <c r="EB132" s="57">
        <f t="shared" ca="1" si="358"/>
        <v>1836.4835012500018</v>
      </c>
      <c r="EC132" s="57">
        <f t="shared" ca="1" si="358"/>
        <v>1836.4835012500018</v>
      </c>
      <c r="ED132" s="57">
        <f t="shared" ca="1" si="358"/>
        <v>1836.4835012500018</v>
      </c>
      <c r="EE132" s="57">
        <f t="shared" ca="1" si="358"/>
        <v>1836.4835012500018</v>
      </c>
      <c r="EF132" s="57">
        <f t="shared" ca="1" si="358"/>
        <v>1836.4835012500018</v>
      </c>
      <c r="EG132" s="57">
        <f t="shared" ca="1" si="358"/>
        <v>1836.4835012500018</v>
      </c>
      <c r="EH132" s="57">
        <f t="shared" ca="1" si="358"/>
        <v>1836.4835012500018</v>
      </c>
      <c r="EI132" s="57">
        <f t="shared" ca="1" si="358"/>
        <v>1836.4835012500018</v>
      </c>
      <c r="EJ132" s="57">
        <f t="shared" ca="1" si="358"/>
        <v>1836.4835012500018</v>
      </c>
      <c r="EK132" s="57">
        <f t="shared" ca="1" si="358"/>
        <v>1836.4835012500018</v>
      </c>
      <c r="EL132" s="57">
        <f t="shared" ca="1" si="358"/>
        <v>1836.4835012500018</v>
      </c>
      <c r="EM132" s="57">
        <f t="shared" ca="1" si="358"/>
        <v>1836.4835012500018</v>
      </c>
      <c r="EN132" s="57">
        <f t="shared" ca="1" si="358"/>
        <v>1836.4835012500018</v>
      </c>
      <c r="EO132" s="57">
        <f t="shared" ca="1" si="358"/>
        <v>1836.4835012500018</v>
      </c>
      <c r="EP132" s="57">
        <f t="shared" ca="1" si="358"/>
        <v>1157265.4199004662</v>
      </c>
      <c r="EQ132" s="57">
        <f t="shared" ca="1" si="358"/>
        <v>0</v>
      </c>
      <c r="ER132" s="57">
        <f t="shared" ca="1" si="358"/>
        <v>0</v>
      </c>
      <c r="ES132" s="57">
        <f t="shared" ca="1" si="358"/>
        <v>0</v>
      </c>
      <c r="ET132" s="57">
        <f t="shared" ca="1" si="358"/>
        <v>0</v>
      </c>
      <c r="EU132" s="57">
        <f t="shared" ca="1" si="358"/>
        <v>0</v>
      </c>
      <c r="EV132" s="57">
        <f t="shared" ca="1" si="358"/>
        <v>0</v>
      </c>
      <c r="EW132" s="57">
        <f t="shared" ca="1" si="358"/>
        <v>0</v>
      </c>
      <c r="EX132" s="57">
        <f t="shared" ca="1" si="358"/>
        <v>0</v>
      </c>
      <c r="EY132" s="57">
        <f t="shared" ca="1" si="358"/>
        <v>0</v>
      </c>
      <c r="EZ132" s="57">
        <f t="shared" ca="1" si="358"/>
        <v>0</v>
      </c>
      <c r="FA132" s="57">
        <f t="shared" ca="1" si="358"/>
        <v>0</v>
      </c>
      <c r="FB132" s="57">
        <f t="shared" ca="1" si="358"/>
        <v>0</v>
      </c>
    </row>
    <row r="133" spans="1:158">
      <c r="H133" s="9"/>
      <c r="I133" s="11" t="s">
        <v>16</v>
      </c>
      <c r="K133" s="9"/>
      <c r="L133" s="280">
        <f ca="1">(1+IRR(Z132:FB132,0))^12-1</f>
        <v>0.15522235560537045</v>
      </c>
      <c r="M133" s="9"/>
      <c r="Y133" s="9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46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  <c r="DG133" s="46"/>
      <c r="DH133" s="46"/>
      <c r="DI133" s="46"/>
      <c r="DJ133" s="46"/>
      <c r="DK133" s="46"/>
      <c r="DL133" s="46"/>
      <c r="DM133" s="46"/>
      <c r="DN133" s="46"/>
      <c r="DO133" s="46"/>
      <c r="DP133" s="46"/>
      <c r="DQ133" s="46"/>
      <c r="DR133" s="46"/>
      <c r="DS133" s="46"/>
      <c r="DT133" s="46"/>
      <c r="DU133" s="46"/>
      <c r="DV133" s="46"/>
      <c r="DW133" s="46"/>
      <c r="DX133" s="46"/>
      <c r="DY133" s="46"/>
      <c r="DZ133" s="46"/>
      <c r="EA133" s="46"/>
      <c r="EB133" s="46"/>
      <c r="EC133" s="46"/>
      <c r="ED133" s="46"/>
      <c r="EE133" s="46"/>
      <c r="EF133" s="46"/>
      <c r="EG133" s="46"/>
      <c r="EH133" s="46"/>
      <c r="EI133" s="46"/>
      <c r="EJ133" s="46"/>
      <c r="EK133" s="46"/>
      <c r="EL133" s="46"/>
      <c r="EM133" s="46"/>
      <c r="EN133" s="46"/>
      <c r="EO133" s="46"/>
      <c r="EP133" s="46"/>
      <c r="EQ133" s="46"/>
      <c r="ER133" s="46"/>
      <c r="ES133" s="46"/>
      <c r="ET133" s="46"/>
      <c r="EU133" s="46"/>
      <c r="EV133" s="46"/>
      <c r="EW133" s="46"/>
      <c r="EX133" s="46"/>
      <c r="EY133" s="46"/>
      <c r="EZ133" s="46"/>
      <c r="FA133" s="46"/>
      <c r="FB133" s="46"/>
    </row>
    <row r="134" spans="1:158">
      <c r="I134" s="11" t="s">
        <v>19</v>
      </c>
      <c r="K134" s="9"/>
      <c r="L134" s="193">
        <f ca="1">(G8+G9)/G9</f>
        <v>3.537666512812415</v>
      </c>
      <c r="M134" s="9"/>
      <c r="Y134" s="9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6"/>
      <c r="BE134" s="46"/>
      <c r="BF134" s="46"/>
      <c r="BG134" s="46"/>
      <c r="BH134" s="46"/>
      <c r="BI134" s="46"/>
      <c r="BJ134" s="46"/>
      <c r="BK134" s="46"/>
      <c r="BL134" s="46"/>
      <c r="BM134" s="46"/>
      <c r="BN134" s="46"/>
      <c r="BO134" s="46"/>
      <c r="BP134" s="46"/>
      <c r="BQ134" s="46"/>
      <c r="BR134" s="46"/>
      <c r="BS134" s="46"/>
      <c r="BT134" s="46"/>
      <c r="BU134" s="46"/>
      <c r="BV134" s="46"/>
      <c r="BW134" s="46"/>
      <c r="BX134" s="46"/>
      <c r="BY134" s="46"/>
      <c r="BZ134" s="46"/>
      <c r="CA134" s="46"/>
      <c r="CB134" s="46"/>
      <c r="CC134" s="46"/>
      <c r="CD134" s="46"/>
      <c r="CE134" s="46"/>
      <c r="CF134" s="46"/>
      <c r="CG134" s="46"/>
      <c r="CH134" s="46"/>
      <c r="CI134" s="46"/>
      <c r="CJ134" s="46"/>
      <c r="CK134" s="46"/>
      <c r="CL134" s="46"/>
      <c r="CM134" s="46"/>
      <c r="CN134" s="46"/>
      <c r="CO134" s="46"/>
      <c r="CP134" s="46"/>
      <c r="CQ134" s="46"/>
      <c r="CR134" s="46"/>
      <c r="CS134" s="46"/>
      <c r="CT134" s="46"/>
      <c r="CU134" s="46"/>
      <c r="CV134" s="46"/>
      <c r="CW134" s="46"/>
      <c r="CX134" s="46"/>
      <c r="CY134" s="46"/>
      <c r="CZ134" s="46"/>
      <c r="DA134" s="46"/>
      <c r="DB134" s="46"/>
      <c r="DC134" s="46"/>
      <c r="DD134" s="46"/>
      <c r="DE134" s="46"/>
      <c r="DF134" s="46"/>
      <c r="DG134" s="46"/>
      <c r="DH134" s="46"/>
      <c r="DI134" s="46"/>
      <c r="DJ134" s="46"/>
      <c r="DK134" s="46"/>
      <c r="DL134" s="46"/>
      <c r="DM134" s="46"/>
      <c r="DN134" s="46"/>
      <c r="DO134" s="46"/>
      <c r="DP134" s="46"/>
      <c r="DQ134" s="46"/>
      <c r="DR134" s="46"/>
      <c r="DS134" s="46"/>
      <c r="DT134" s="46"/>
      <c r="DU134" s="46"/>
      <c r="DV134" s="46"/>
      <c r="DW134" s="46"/>
      <c r="DX134" s="46"/>
      <c r="DY134" s="46"/>
      <c r="DZ134" s="46"/>
      <c r="EA134" s="46"/>
      <c r="EB134" s="46"/>
      <c r="EC134" s="46"/>
      <c r="ED134" s="46"/>
      <c r="EE134" s="46"/>
      <c r="EF134" s="46"/>
      <c r="EG134" s="46"/>
      <c r="EH134" s="46"/>
      <c r="EI134" s="46"/>
      <c r="EJ134" s="46"/>
      <c r="EK134" s="46"/>
      <c r="EL134" s="46"/>
      <c r="EM134" s="46"/>
      <c r="EN134" s="46"/>
      <c r="EO134" s="46"/>
      <c r="EP134" s="46"/>
      <c r="EQ134" s="46"/>
      <c r="ER134" s="46"/>
      <c r="ES134" s="46"/>
      <c r="ET134" s="46"/>
      <c r="EU134" s="46"/>
      <c r="EV134" s="46"/>
      <c r="EW134" s="46"/>
      <c r="EX134" s="46"/>
      <c r="EY134" s="46"/>
      <c r="EZ134" s="46"/>
      <c r="FA134" s="46"/>
      <c r="FB134" s="46"/>
    </row>
    <row r="135" spans="1:158">
      <c r="I135" s="15"/>
      <c r="K135" s="9"/>
      <c r="L135" s="44"/>
      <c r="M135" s="9"/>
      <c r="Y135" s="9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46"/>
      <c r="BE135" s="46"/>
      <c r="BF135" s="46"/>
      <c r="BG135" s="46"/>
      <c r="BH135" s="46"/>
      <c r="BI135" s="46"/>
      <c r="BJ135" s="46"/>
      <c r="BK135" s="46"/>
      <c r="BL135" s="46"/>
      <c r="BM135" s="46"/>
      <c r="BN135" s="46"/>
      <c r="BO135" s="46"/>
      <c r="BP135" s="46"/>
      <c r="BQ135" s="46"/>
      <c r="BR135" s="46"/>
      <c r="BS135" s="46"/>
      <c r="BT135" s="46"/>
      <c r="BU135" s="46"/>
      <c r="BV135" s="46"/>
      <c r="BW135" s="46"/>
      <c r="BX135" s="46"/>
      <c r="BY135" s="46"/>
      <c r="BZ135" s="46"/>
      <c r="CA135" s="46"/>
      <c r="CB135" s="46"/>
      <c r="CC135" s="46"/>
      <c r="CD135" s="46"/>
      <c r="CE135" s="46"/>
      <c r="CF135" s="46"/>
      <c r="CG135" s="46"/>
      <c r="CH135" s="46"/>
      <c r="CI135" s="46"/>
      <c r="CJ135" s="46"/>
      <c r="CK135" s="46"/>
      <c r="CL135" s="46"/>
      <c r="CM135" s="46"/>
      <c r="CN135" s="46"/>
      <c r="CO135" s="46"/>
      <c r="CP135" s="46"/>
      <c r="CQ135" s="46"/>
      <c r="CR135" s="46"/>
      <c r="CS135" s="46"/>
      <c r="CT135" s="46"/>
      <c r="CU135" s="46"/>
      <c r="CV135" s="46"/>
      <c r="CW135" s="46"/>
      <c r="CX135" s="46"/>
      <c r="CY135" s="46"/>
      <c r="CZ135" s="46"/>
      <c r="DA135" s="46"/>
      <c r="DB135" s="46"/>
      <c r="DC135" s="46"/>
      <c r="DD135" s="46"/>
      <c r="DE135" s="46"/>
      <c r="DF135" s="46"/>
      <c r="DG135" s="46"/>
      <c r="DH135" s="46"/>
      <c r="DI135" s="46"/>
      <c r="DJ135" s="46"/>
      <c r="DK135" s="46"/>
      <c r="DL135" s="46"/>
      <c r="DM135" s="46"/>
      <c r="DN135" s="46"/>
      <c r="DO135" s="46"/>
      <c r="DP135" s="46"/>
      <c r="DQ135" s="46"/>
      <c r="DR135" s="46"/>
      <c r="DS135" s="46"/>
      <c r="DT135" s="46"/>
      <c r="DU135" s="46"/>
      <c r="DV135" s="46"/>
      <c r="DW135" s="46"/>
      <c r="DX135" s="46"/>
      <c r="DY135" s="46"/>
      <c r="DZ135" s="46"/>
      <c r="EA135" s="46"/>
      <c r="EB135" s="46"/>
      <c r="EC135" s="46"/>
      <c r="ED135" s="46"/>
      <c r="EE135" s="46"/>
      <c r="EF135" s="46"/>
      <c r="EG135" s="46"/>
      <c r="EH135" s="46"/>
      <c r="EI135" s="46"/>
      <c r="EJ135" s="46"/>
      <c r="EK135" s="46"/>
      <c r="EL135" s="46"/>
      <c r="EM135" s="46"/>
      <c r="EN135" s="46"/>
      <c r="EO135" s="46"/>
      <c r="EP135" s="46"/>
      <c r="EQ135" s="46"/>
      <c r="ER135" s="46"/>
      <c r="ES135" s="46"/>
      <c r="ET135" s="46"/>
      <c r="EU135" s="46"/>
      <c r="EV135" s="46"/>
      <c r="EW135" s="46"/>
      <c r="EX135" s="46"/>
      <c r="EY135" s="46"/>
      <c r="EZ135" s="46"/>
      <c r="FA135" s="46"/>
      <c r="FB135" s="46"/>
    </row>
    <row r="136" spans="1:158">
      <c r="I136" s="35" t="s">
        <v>140</v>
      </c>
      <c r="J136" s="116"/>
      <c r="K136" s="9"/>
      <c r="L136" s="192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  <c r="X136" s="116"/>
      <c r="Z136" s="116"/>
      <c r="AA136" s="116"/>
      <c r="AB136" s="116"/>
      <c r="AC136" s="116"/>
      <c r="AD136" s="116"/>
      <c r="AE136" s="116"/>
      <c r="AF136" s="116"/>
      <c r="AG136" s="116"/>
      <c r="AH136" s="116"/>
      <c r="AI136" s="116"/>
      <c r="AJ136" s="116"/>
      <c r="AK136" s="116"/>
      <c r="AL136" s="116"/>
      <c r="AM136" s="116"/>
      <c r="AN136" s="116"/>
      <c r="AO136" s="116"/>
      <c r="AP136" s="116"/>
      <c r="AQ136" s="116"/>
      <c r="AR136" s="116"/>
      <c r="AS136" s="116"/>
      <c r="AT136" s="116"/>
      <c r="AU136" s="116"/>
      <c r="AV136" s="116"/>
      <c r="AW136" s="116"/>
      <c r="AX136" s="116"/>
      <c r="AY136" s="116"/>
      <c r="AZ136" s="116"/>
      <c r="BA136" s="116"/>
      <c r="BB136" s="116"/>
      <c r="BC136" s="116"/>
      <c r="BD136" s="116"/>
      <c r="BE136" s="116"/>
      <c r="BF136" s="116"/>
      <c r="BG136" s="116"/>
      <c r="BH136" s="116"/>
      <c r="BI136" s="116"/>
      <c r="BJ136" s="116"/>
      <c r="BK136" s="116"/>
      <c r="BL136" s="116"/>
      <c r="BM136" s="116"/>
      <c r="BN136" s="116"/>
      <c r="BO136" s="116"/>
      <c r="BP136" s="116"/>
      <c r="BQ136" s="116"/>
      <c r="BR136" s="116"/>
      <c r="BS136" s="116"/>
      <c r="BT136" s="116"/>
      <c r="BU136" s="116"/>
      <c r="BV136" s="116"/>
      <c r="BW136" s="116"/>
      <c r="BX136" s="116"/>
      <c r="BY136" s="116"/>
      <c r="BZ136" s="116"/>
      <c r="CA136" s="116"/>
      <c r="CB136" s="116"/>
      <c r="CC136" s="116"/>
      <c r="CD136" s="116"/>
      <c r="CE136" s="116"/>
      <c r="CF136" s="116"/>
      <c r="CG136" s="116"/>
      <c r="CH136" s="116"/>
      <c r="CI136" s="116"/>
      <c r="CJ136" s="116"/>
      <c r="CK136" s="116"/>
      <c r="CL136" s="116"/>
      <c r="CM136" s="116"/>
      <c r="CN136" s="116"/>
      <c r="CO136" s="116"/>
      <c r="CP136" s="116"/>
      <c r="CQ136" s="116"/>
      <c r="CR136" s="116"/>
      <c r="CS136" s="116"/>
      <c r="CT136" s="116"/>
      <c r="CU136" s="116"/>
      <c r="CV136" s="116"/>
      <c r="CW136" s="116"/>
      <c r="CX136" s="116"/>
      <c r="CY136" s="116"/>
      <c r="CZ136" s="116"/>
      <c r="DA136" s="116"/>
      <c r="DB136" s="116"/>
      <c r="DC136" s="116"/>
      <c r="DD136" s="116"/>
      <c r="DE136" s="116"/>
      <c r="DF136" s="116"/>
      <c r="DG136" s="116"/>
      <c r="DH136" s="116"/>
      <c r="DI136" s="116"/>
      <c r="DJ136" s="116"/>
      <c r="DK136" s="116"/>
      <c r="DL136" s="116"/>
      <c r="DM136" s="116"/>
      <c r="DN136" s="116"/>
      <c r="DO136" s="116"/>
      <c r="DP136" s="116"/>
      <c r="DQ136" s="116"/>
      <c r="DR136" s="116"/>
      <c r="DS136" s="116"/>
      <c r="DT136" s="116"/>
      <c r="DU136" s="116"/>
      <c r="DV136" s="116"/>
      <c r="DW136" s="116"/>
      <c r="DX136" s="116"/>
      <c r="DY136" s="116"/>
      <c r="DZ136" s="116"/>
      <c r="EA136" s="116"/>
      <c r="EB136" s="116"/>
      <c r="EC136" s="116"/>
      <c r="ED136" s="116"/>
      <c r="EE136" s="116"/>
      <c r="EF136" s="116"/>
      <c r="EG136" s="116"/>
      <c r="EH136" s="116"/>
      <c r="EI136" s="116"/>
      <c r="EJ136" s="116"/>
      <c r="EK136" s="116"/>
      <c r="EL136" s="116"/>
      <c r="EM136" s="116"/>
      <c r="EN136" s="116"/>
      <c r="EO136" s="116"/>
      <c r="EP136" s="116"/>
      <c r="EQ136" s="116"/>
      <c r="ER136" s="116"/>
      <c r="ES136" s="116"/>
      <c r="ET136" s="116"/>
      <c r="EU136" s="116"/>
      <c r="EV136" s="116"/>
      <c r="EW136" s="116"/>
      <c r="EX136" s="116"/>
      <c r="EY136" s="116"/>
      <c r="EZ136" s="116"/>
      <c r="FA136" s="116"/>
      <c r="FB136" s="116"/>
    </row>
    <row r="137" spans="1:158">
      <c r="I137" s="15" t="s">
        <v>82</v>
      </c>
      <c r="K137" s="9"/>
      <c r="L137" s="193"/>
    </row>
    <row r="138" spans="1:158">
      <c r="A138" s="11"/>
      <c r="I138" s="9" t="s">
        <v>141</v>
      </c>
      <c r="Z138" s="124">
        <v>0</v>
      </c>
      <c r="AA138" s="124">
        <v>0</v>
      </c>
      <c r="AB138" s="124">
        <v>0</v>
      </c>
      <c r="AC138" s="124">
        <v>0</v>
      </c>
      <c r="AD138" s="124">
        <v>0</v>
      </c>
      <c r="AE138" s="124">
        <v>0</v>
      </c>
      <c r="AF138" s="124">
        <v>0</v>
      </c>
      <c r="AG138" s="124">
        <v>0</v>
      </c>
      <c r="AH138" s="124">
        <v>0</v>
      </c>
      <c r="AI138" s="124">
        <v>0</v>
      </c>
      <c r="AJ138" s="124">
        <v>0</v>
      </c>
      <c r="AK138" s="124">
        <v>0</v>
      </c>
      <c r="AL138" s="124">
        <v>0</v>
      </c>
      <c r="AM138" s="124">
        <v>0</v>
      </c>
      <c r="AN138" s="124">
        <v>0</v>
      </c>
      <c r="AO138" s="124">
        <v>0</v>
      </c>
      <c r="AP138" s="124">
        <v>0</v>
      </c>
      <c r="AQ138" s="124">
        <v>0</v>
      </c>
      <c r="AR138" s="124">
        <v>0</v>
      </c>
      <c r="AS138" s="124">
        <v>0</v>
      </c>
      <c r="AT138" s="124">
        <v>0</v>
      </c>
      <c r="AU138" s="124">
        <v>0</v>
      </c>
      <c r="AV138" s="124">
        <v>0</v>
      </c>
      <c r="AW138" s="124">
        <v>0</v>
      </c>
      <c r="AX138" s="124">
        <v>0</v>
      </c>
      <c r="AY138" s="124">
        <v>0</v>
      </c>
      <c r="AZ138" s="124">
        <v>0</v>
      </c>
      <c r="BA138" s="124">
        <v>0</v>
      </c>
      <c r="BB138" s="124">
        <v>0</v>
      </c>
      <c r="BC138" s="124">
        <v>0</v>
      </c>
      <c r="BD138" s="124">
        <v>0</v>
      </c>
      <c r="BE138" s="124">
        <v>0</v>
      </c>
      <c r="BF138" s="124">
        <v>0</v>
      </c>
      <c r="BG138" s="124">
        <v>0</v>
      </c>
      <c r="BH138" s="124">
        <v>0</v>
      </c>
      <c r="BI138" s="124">
        <v>0</v>
      </c>
      <c r="BJ138" s="124">
        <v>0</v>
      </c>
      <c r="BK138" s="124">
        <v>0</v>
      </c>
      <c r="BL138" s="124">
        <v>0</v>
      </c>
      <c r="BM138" s="124">
        <v>0</v>
      </c>
      <c r="BN138" s="124">
        <v>0</v>
      </c>
      <c r="BO138" s="124">
        <v>0</v>
      </c>
      <c r="BP138" s="124">
        <v>0</v>
      </c>
      <c r="BQ138" s="124">
        <v>0</v>
      </c>
      <c r="BR138" s="124">
        <v>0</v>
      </c>
      <c r="BS138" s="124">
        <v>0</v>
      </c>
      <c r="BT138" s="124">
        <v>0</v>
      </c>
      <c r="BU138" s="124">
        <v>0</v>
      </c>
      <c r="BV138" s="124">
        <v>0</v>
      </c>
      <c r="BW138" s="124">
        <v>0</v>
      </c>
      <c r="BX138" s="124">
        <v>0</v>
      </c>
      <c r="BY138" s="124">
        <v>0</v>
      </c>
      <c r="BZ138" s="124">
        <v>0</v>
      </c>
      <c r="CA138" s="124">
        <v>0</v>
      </c>
      <c r="CB138" s="124">
        <v>0</v>
      </c>
      <c r="CC138" s="124">
        <v>0</v>
      </c>
      <c r="CD138" s="124">
        <v>0</v>
      </c>
      <c r="CE138" s="124">
        <v>0</v>
      </c>
      <c r="CF138" s="124">
        <v>0</v>
      </c>
      <c r="CG138" s="124">
        <v>0</v>
      </c>
      <c r="CH138" s="124">
        <v>0</v>
      </c>
      <c r="CI138" s="124">
        <v>0</v>
      </c>
      <c r="CJ138" s="124">
        <v>0</v>
      </c>
      <c r="CK138" s="124">
        <v>0</v>
      </c>
      <c r="CL138" s="124">
        <v>0</v>
      </c>
      <c r="CM138" s="124">
        <v>0</v>
      </c>
      <c r="CN138" s="124">
        <v>0</v>
      </c>
      <c r="CO138" s="124">
        <v>0</v>
      </c>
      <c r="CP138" s="124">
        <v>0</v>
      </c>
      <c r="CQ138" s="124">
        <v>0</v>
      </c>
      <c r="CR138" s="124">
        <v>0</v>
      </c>
      <c r="CS138" s="124">
        <v>0</v>
      </c>
      <c r="CT138" s="124">
        <v>0</v>
      </c>
      <c r="CU138" s="124">
        <v>0</v>
      </c>
      <c r="CV138" s="124">
        <v>0</v>
      </c>
      <c r="CW138" s="124">
        <v>0</v>
      </c>
      <c r="CX138" s="124">
        <v>0</v>
      </c>
      <c r="CY138" s="124">
        <v>0</v>
      </c>
      <c r="CZ138" s="124">
        <v>0</v>
      </c>
      <c r="DA138" s="124">
        <v>0</v>
      </c>
      <c r="DB138" s="124">
        <v>0</v>
      </c>
      <c r="DC138" s="124">
        <v>0</v>
      </c>
      <c r="DD138" s="124">
        <v>0</v>
      </c>
      <c r="DE138" s="124">
        <v>0</v>
      </c>
      <c r="DF138" s="124">
        <v>0</v>
      </c>
      <c r="DG138" s="124">
        <v>0</v>
      </c>
      <c r="DH138" s="124">
        <v>0</v>
      </c>
      <c r="DI138" s="124">
        <v>0</v>
      </c>
      <c r="DJ138" s="124">
        <v>0</v>
      </c>
      <c r="DK138" s="124">
        <v>0</v>
      </c>
      <c r="DL138" s="124">
        <v>0</v>
      </c>
      <c r="DM138" s="124">
        <v>0</v>
      </c>
      <c r="DN138" s="124">
        <v>0</v>
      </c>
      <c r="DO138" s="124">
        <v>0</v>
      </c>
      <c r="DP138" s="124">
        <v>0</v>
      </c>
      <c r="DQ138" s="124">
        <v>0</v>
      </c>
      <c r="DR138" s="124">
        <v>0</v>
      </c>
      <c r="DS138" s="124">
        <v>0</v>
      </c>
      <c r="DT138" s="124">
        <v>0</v>
      </c>
      <c r="DU138" s="124">
        <v>0</v>
      </c>
      <c r="DV138" s="124">
        <v>0</v>
      </c>
      <c r="DW138" s="124">
        <v>0</v>
      </c>
      <c r="DX138" s="124">
        <v>0</v>
      </c>
      <c r="DY138" s="124">
        <v>0</v>
      </c>
      <c r="DZ138" s="124">
        <v>0</v>
      </c>
      <c r="EA138" s="124">
        <v>0</v>
      </c>
      <c r="EB138" s="124">
        <v>0</v>
      </c>
      <c r="EC138" s="124">
        <v>0</v>
      </c>
      <c r="ED138" s="124">
        <v>0</v>
      </c>
      <c r="EE138" s="124">
        <v>0</v>
      </c>
      <c r="EF138" s="124">
        <v>0</v>
      </c>
      <c r="EG138" s="124">
        <v>0</v>
      </c>
      <c r="EH138" s="124">
        <v>0</v>
      </c>
      <c r="EI138" s="124">
        <v>0</v>
      </c>
      <c r="EJ138" s="124">
        <v>0</v>
      </c>
      <c r="EK138" s="124">
        <v>0</v>
      </c>
      <c r="EL138" s="124">
        <v>0</v>
      </c>
      <c r="EM138" s="124">
        <v>0</v>
      </c>
      <c r="EN138" s="124">
        <v>0</v>
      </c>
      <c r="EO138" s="124">
        <v>0</v>
      </c>
      <c r="EP138" s="124">
        <v>0</v>
      </c>
      <c r="EQ138" s="124">
        <v>0</v>
      </c>
      <c r="ER138" s="124">
        <v>0</v>
      </c>
      <c r="ES138" s="124">
        <v>0</v>
      </c>
      <c r="ET138" s="124">
        <v>0</v>
      </c>
      <c r="EU138" s="124">
        <v>0</v>
      </c>
      <c r="EV138" s="124">
        <v>0</v>
      </c>
      <c r="EW138" s="124">
        <v>0</v>
      </c>
      <c r="EX138" s="124">
        <v>0</v>
      </c>
      <c r="EY138" s="124">
        <v>0</v>
      </c>
      <c r="EZ138" s="124">
        <v>0</v>
      </c>
      <c r="FA138" s="124">
        <v>0</v>
      </c>
      <c r="FB138" s="124">
        <v>0</v>
      </c>
    </row>
    <row r="139" spans="1:158">
      <c r="A139" s="24"/>
      <c r="I139" s="9" t="s">
        <v>142</v>
      </c>
      <c r="Z139" s="124">
        <f t="shared" ref="Z139:BE139" si="359">$D$48/10000</f>
        <v>6.5199999999999994E-6</v>
      </c>
      <c r="AA139" s="124">
        <f t="shared" si="359"/>
        <v>6.5199999999999994E-6</v>
      </c>
      <c r="AB139" s="124">
        <f t="shared" si="359"/>
        <v>6.5199999999999994E-6</v>
      </c>
      <c r="AC139" s="124">
        <f t="shared" si="359"/>
        <v>6.5199999999999994E-6</v>
      </c>
      <c r="AD139" s="124">
        <f t="shared" si="359"/>
        <v>6.5199999999999994E-6</v>
      </c>
      <c r="AE139" s="124">
        <f t="shared" si="359"/>
        <v>6.5199999999999994E-6</v>
      </c>
      <c r="AF139" s="124">
        <f t="shared" si="359"/>
        <v>6.5199999999999994E-6</v>
      </c>
      <c r="AG139" s="124">
        <f t="shared" si="359"/>
        <v>6.5199999999999994E-6</v>
      </c>
      <c r="AH139" s="124">
        <f t="shared" si="359"/>
        <v>6.5199999999999994E-6</v>
      </c>
      <c r="AI139" s="124">
        <f t="shared" si="359"/>
        <v>6.5199999999999994E-6</v>
      </c>
      <c r="AJ139" s="124">
        <f t="shared" si="359"/>
        <v>6.5199999999999994E-6</v>
      </c>
      <c r="AK139" s="124">
        <f t="shared" si="359"/>
        <v>6.5199999999999994E-6</v>
      </c>
      <c r="AL139" s="124">
        <f t="shared" si="359"/>
        <v>6.5199999999999994E-6</v>
      </c>
      <c r="AM139" s="124">
        <f t="shared" si="359"/>
        <v>6.5199999999999994E-6</v>
      </c>
      <c r="AN139" s="124">
        <f t="shared" si="359"/>
        <v>6.5199999999999994E-6</v>
      </c>
      <c r="AO139" s="124">
        <f t="shared" si="359"/>
        <v>6.5199999999999994E-6</v>
      </c>
      <c r="AP139" s="124">
        <f t="shared" si="359"/>
        <v>6.5199999999999994E-6</v>
      </c>
      <c r="AQ139" s="124">
        <f t="shared" si="359"/>
        <v>6.5199999999999994E-6</v>
      </c>
      <c r="AR139" s="124">
        <f t="shared" si="359"/>
        <v>6.5199999999999994E-6</v>
      </c>
      <c r="AS139" s="124">
        <f t="shared" si="359"/>
        <v>6.5199999999999994E-6</v>
      </c>
      <c r="AT139" s="124">
        <f t="shared" si="359"/>
        <v>6.5199999999999994E-6</v>
      </c>
      <c r="AU139" s="124">
        <f t="shared" si="359"/>
        <v>6.5199999999999994E-6</v>
      </c>
      <c r="AV139" s="124">
        <f t="shared" si="359"/>
        <v>6.5199999999999994E-6</v>
      </c>
      <c r="AW139" s="124">
        <f t="shared" si="359"/>
        <v>6.5199999999999994E-6</v>
      </c>
      <c r="AX139" s="124">
        <f t="shared" si="359"/>
        <v>6.5199999999999994E-6</v>
      </c>
      <c r="AY139" s="124">
        <f t="shared" si="359"/>
        <v>6.5199999999999994E-6</v>
      </c>
      <c r="AZ139" s="124">
        <f t="shared" si="359"/>
        <v>6.5199999999999994E-6</v>
      </c>
      <c r="BA139" s="124">
        <f t="shared" si="359"/>
        <v>6.5199999999999994E-6</v>
      </c>
      <c r="BB139" s="124">
        <f t="shared" si="359"/>
        <v>6.5199999999999994E-6</v>
      </c>
      <c r="BC139" s="124">
        <f t="shared" si="359"/>
        <v>6.5199999999999994E-6</v>
      </c>
      <c r="BD139" s="124">
        <f t="shared" si="359"/>
        <v>6.5199999999999994E-6</v>
      </c>
      <c r="BE139" s="124">
        <f t="shared" si="359"/>
        <v>6.5199999999999994E-6</v>
      </c>
      <c r="BF139" s="124">
        <f t="shared" ref="BF139:CK139" si="360">$D$48/10000</f>
        <v>6.5199999999999994E-6</v>
      </c>
      <c r="BG139" s="124">
        <f t="shared" si="360"/>
        <v>6.5199999999999994E-6</v>
      </c>
      <c r="BH139" s="124">
        <f t="shared" si="360"/>
        <v>6.5199999999999994E-6</v>
      </c>
      <c r="BI139" s="124">
        <f t="shared" si="360"/>
        <v>6.5199999999999994E-6</v>
      </c>
      <c r="BJ139" s="124">
        <f t="shared" si="360"/>
        <v>6.5199999999999994E-6</v>
      </c>
      <c r="BK139" s="124">
        <f t="shared" si="360"/>
        <v>6.5199999999999994E-6</v>
      </c>
      <c r="BL139" s="124">
        <f t="shared" si="360"/>
        <v>6.5199999999999994E-6</v>
      </c>
      <c r="BM139" s="124">
        <f t="shared" si="360"/>
        <v>6.5199999999999994E-6</v>
      </c>
      <c r="BN139" s="124">
        <f t="shared" si="360"/>
        <v>6.5199999999999994E-6</v>
      </c>
      <c r="BO139" s="124">
        <f t="shared" si="360"/>
        <v>6.5199999999999994E-6</v>
      </c>
      <c r="BP139" s="124">
        <f t="shared" si="360"/>
        <v>6.5199999999999994E-6</v>
      </c>
      <c r="BQ139" s="124">
        <f t="shared" si="360"/>
        <v>6.5199999999999994E-6</v>
      </c>
      <c r="BR139" s="124">
        <f t="shared" si="360"/>
        <v>6.5199999999999994E-6</v>
      </c>
      <c r="BS139" s="124">
        <f t="shared" si="360"/>
        <v>6.5199999999999994E-6</v>
      </c>
      <c r="BT139" s="124">
        <f t="shared" si="360"/>
        <v>6.5199999999999994E-6</v>
      </c>
      <c r="BU139" s="124">
        <f t="shared" si="360"/>
        <v>6.5199999999999994E-6</v>
      </c>
      <c r="BV139" s="124">
        <f t="shared" si="360"/>
        <v>6.5199999999999994E-6</v>
      </c>
      <c r="BW139" s="124">
        <f t="shared" si="360"/>
        <v>6.5199999999999994E-6</v>
      </c>
      <c r="BX139" s="124">
        <f t="shared" si="360"/>
        <v>6.5199999999999994E-6</v>
      </c>
      <c r="BY139" s="124">
        <f t="shared" si="360"/>
        <v>6.5199999999999994E-6</v>
      </c>
      <c r="BZ139" s="124">
        <f t="shared" si="360"/>
        <v>6.5199999999999994E-6</v>
      </c>
      <c r="CA139" s="124">
        <f t="shared" si="360"/>
        <v>6.5199999999999994E-6</v>
      </c>
      <c r="CB139" s="124">
        <f t="shared" si="360"/>
        <v>6.5199999999999994E-6</v>
      </c>
      <c r="CC139" s="124">
        <f t="shared" si="360"/>
        <v>6.5199999999999994E-6</v>
      </c>
      <c r="CD139" s="124">
        <f t="shared" si="360"/>
        <v>6.5199999999999994E-6</v>
      </c>
      <c r="CE139" s="124">
        <f t="shared" si="360"/>
        <v>6.5199999999999994E-6</v>
      </c>
      <c r="CF139" s="124">
        <f t="shared" si="360"/>
        <v>6.5199999999999994E-6</v>
      </c>
      <c r="CG139" s="124">
        <f t="shared" si="360"/>
        <v>6.5199999999999994E-6</v>
      </c>
      <c r="CH139" s="124">
        <f t="shared" si="360"/>
        <v>6.5199999999999994E-6</v>
      </c>
      <c r="CI139" s="124">
        <f t="shared" si="360"/>
        <v>6.5199999999999994E-6</v>
      </c>
      <c r="CJ139" s="124">
        <f t="shared" si="360"/>
        <v>6.5199999999999994E-6</v>
      </c>
      <c r="CK139" s="124">
        <f t="shared" si="360"/>
        <v>6.5199999999999994E-6</v>
      </c>
      <c r="CL139" s="124">
        <f t="shared" ref="CL139:DQ139" si="361">$D$48/10000</f>
        <v>6.5199999999999994E-6</v>
      </c>
      <c r="CM139" s="124">
        <f t="shared" si="361"/>
        <v>6.5199999999999994E-6</v>
      </c>
      <c r="CN139" s="124">
        <f t="shared" si="361"/>
        <v>6.5199999999999994E-6</v>
      </c>
      <c r="CO139" s="124">
        <f t="shared" si="361"/>
        <v>6.5199999999999994E-6</v>
      </c>
      <c r="CP139" s="124">
        <f t="shared" si="361"/>
        <v>6.5199999999999994E-6</v>
      </c>
      <c r="CQ139" s="124">
        <f t="shared" si="361"/>
        <v>6.5199999999999994E-6</v>
      </c>
      <c r="CR139" s="124">
        <f t="shared" si="361"/>
        <v>6.5199999999999994E-6</v>
      </c>
      <c r="CS139" s="124">
        <f t="shared" si="361"/>
        <v>6.5199999999999994E-6</v>
      </c>
      <c r="CT139" s="124">
        <f t="shared" si="361"/>
        <v>6.5199999999999994E-6</v>
      </c>
      <c r="CU139" s="124">
        <f t="shared" si="361"/>
        <v>6.5199999999999994E-6</v>
      </c>
      <c r="CV139" s="124">
        <f t="shared" si="361"/>
        <v>6.5199999999999994E-6</v>
      </c>
      <c r="CW139" s="124">
        <f t="shared" si="361"/>
        <v>6.5199999999999994E-6</v>
      </c>
      <c r="CX139" s="124">
        <f t="shared" si="361"/>
        <v>6.5199999999999994E-6</v>
      </c>
      <c r="CY139" s="124">
        <f t="shared" si="361"/>
        <v>6.5199999999999994E-6</v>
      </c>
      <c r="CZ139" s="124">
        <f t="shared" si="361"/>
        <v>6.5199999999999994E-6</v>
      </c>
      <c r="DA139" s="124">
        <f t="shared" si="361"/>
        <v>6.5199999999999994E-6</v>
      </c>
      <c r="DB139" s="124">
        <f t="shared" si="361"/>
        <v>6.5199999999999994E-6</v>
      </c>
      <c r="DC139" s="124">
        <f t="shared" si="361"/>
        <v>6.5199999999999994E-6</v>
      </c>
      <c r="DD139" s="124">
        <f t="shared" si="361"/>
        <v>6.5199999999999994E-6</v>
      </c>
      <c r="DE139" s="124">
        <f t="shared" si="361"/>
        <v>6.5199999999999994E-6</v>
      </c>
      <c r="DF139" s="124">
        <f t="shared" si="361"/>
        <v>6.5199999999999994E-6</v>
      </c>
      <c r="DG139" s="124">
        <f t="shared" si="361"/>
        <v>6.5199999999999994E-6</v>
      </c>
      <c r="DH139" s="124">
        <f t="shared" si="361"/>
        <v>6.5199999999999994E-6</v>
      </c>
      <c r="DI139" s="124">
        <f t="shared" si="361"/>
        <v>6.5199999999999994E-6</v>
      </c>
      <c r="DJ139" s="124">
        <f t="shared" si="361"/>
        <v>6.5199999999999994E-6</v>
      </c>
      <c r="DK139" s="124">
        <f t="shared" si="361"/>
        <v>6.5199999999999994E-6</v>
      </c>
      <c r="DL139" s="124">
        <f t="shared" si="361"/>
        <v>6.5199999999999994E-6</v>
      </c>
      <c r="DM139" s="124">
        <f t="shared" si="361"/>
        <v>6.5199999999999994E-6</v>
      </c>
      <c r="DN139" s="124">
        <f t="shared" si="361"/>
        <v>6.5199999999999994E-6</v>
      </c>
      <c r="DO139" s="124">
        <f t="shared" si="361"/>
        <v>6.5199999999999994E-6</v>
      </c>
      <c r="DP139" s="124">
        <f t="shared" si="361"/>
        <v>6.5199999999999994E-6</v>
      </c>
      <c r="DQ139" s="124">
        <f t="shared" si="361"/>
        <v>6.5199999999999994E-6</v>
      </c>
      <c r="DR139" s="124">
        <f t="shared" ref="DR139:FB139" si="362">$D$48/10000</f>
        <v>6.5199999999999994E-6</v>
      </c>
      <c r="DS139" s="124">
        <f t="shared" si="362"/>
        <v>6.5199999999999994E-6</v>
      </c>
      <c r="DT139" s="124">
        <f t="shared" si="362"/>
        <v>6.5199999999999994E-6</v>
      </c>
      <c r="DU139" s="124">
        <f t="shared" si="362"/>
        <v>6.5199999999999994E-6</v>
      </c>
      <c r="DV139" s="124">
        <f t="shared" si="362"/>
        <v>6.5199999999999994E-6</v>
      </c>
      <c r="DW139" s="124">
        <f t="shared" si="362"/>
        <v>6.5199999999999994E-6</v>
      </c>
      <c r="DX139" s="124">
        <f t="shared" si="362"/>
        <v>6.5199999999999994E-6</v>
      </c>
      <c r="DY139" s="124">
        <f t="shared" si="362"/>
        <v>6.5199999999999994E-6</v>
      </c>
      <c r="DZ139" s="124">
        <f t="shared" si="362"/>
        <v>6.5199999999999994E-6</v>
      </c>
      <c r="EA139" s="124">
        <f t="shared" si="362"/>
        <v>6.5199999999999994E-6</v>
      </c>
      <c r="EB139" s="124">
        <f t="shared" si="362"/>
        <v>6.5199999999999994E-6</v>
      </c>
      <c r="EC139" s="124">
        <f t="shared" si="362"/>
        <v>6.5199999999999994E-6</v>
      </c>
      <c r="ED139" s="124">
        <f t="shared" si="362"/>
        <v>6.5199999999999994E-6</v>
      </c>
      <c r="EE139" s="124">
        <f t="shared" si="362"/>
        <v>6.5199999999999994E-6</v>
      </c>
      <c r="EF139" s="124">
        <f t="shared" si="362"/>
        <v>6.5199999999999994E-6</v>
      </c>
      <c r="EG139" s="124">
        <f t="shared" si="362"/>
        <v>6.5199999999999994E-6</v>
      </c>
      <c r="EH139" s="124">
        <f t="shared" si="362"/>
        <v>6.5199999999999994E-6</v>
      </c>
      <c r="EI139" s="124">
        <f t="shared" si="362"/>
        <v>6.5199999999999994E-6</v>
      </c>
      <c r="EJ139" s="124">
        <f t="shared" si="362"/>
        <v>6.5199999999999994E-6</v>
      </c>
      <c r="EK139" s="124">
        <f t="shared" si="362"/>
        <v>6.5199999999999994E-6</v>
      </c>
      <c r="EL139" s="124">
        <f t="shared" si="362"/>
        <v>6.5199999999999994E-6</v>
      </c>
      <c r="EM139" s="124">
        <f t="shared" si="362"/>
        <v>6.5199999999999994E-6</v>
      </c>
      <c r="EN139" s="124">
        <f t="shared" si="362"/>
        <v>6.5199999999999994E-6</v>
      </c>
      <c r="EO139" s="124">
        <f t="shared" si="362"/>
        <v>6.5199999999999994E-6</v>
      </c>
      <c r="EP139" s="124">
        <f t="shared" si="362"/>
        <v>6.5199999999999994E-6</v>
      </c>
      <c r="EQ139" s="124">
        <f t="shared" si="362"/>
        <v>6.5199999999999994E-6</v>
      </c>
      <c r="ER139" s="124">
        <f t="shared" si="362"/>
        <v>6.5199999999999994E-6</v>
      </c>
      <c r="ES139" s="124">
        <f t="shared" si="362"/>
        <v>6.5199999999999994E-6</v>
      </c>
      <c r="ET139" s="124">
        <f t="shared" si="362"/>
        <v>6.5199999999999994E-6</v>
      </c>
      <c r="EU139" s="124">
        <f t="shared" si="362"/>
        <v>6.5199999999999994E-6</v>
      </c>
      <c r="EV139" s="124">
        <f t="shared" si="362"/>
        <v>6.5199999999999994E-6</v>
      </c>
      <c r="EW139" s="124">
        <f t="shared" si="362"/>
        <v>6.5199999999999994E-6</v>
      </c>
      <c r="EX139" s="124">
        <f t="shared" si="362"/>
        <v>6.5199999999999994E-6</v>
      </c>
      <c r="EY139" s="124">
        <f t="shared" si="362"/>
        <v>6.5199999999999994E-6</v>
      </c>
      <c r="EZ139" s="124">
        <f t="shared" si="362"/>
        <v>6.5199999999999994E-6</v>
      </c>
      <c r="FA139" s="124">
        <f t="shared" si="362"/>
        <v>6.5199999999999994E-6</v>
      </c>
      <c r="FB139" s="124">
        <f t="shared" si="362"/>
        <v>6.5199999999999994E-6</v>
      </c>
    </row>
    <row r="140" spans="1:158">
      <c r="A140" s="281"/>
      <c r="H140" s="58"/>
      <c r="I140" s="126" t="s">
        <v>82</v>
      </c>
      <c r="J140" s="126"/>
      <c r="K140" s="13"/>
      <c r="L140" s="138"/>
      <c r="M140" s="13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3"/>
      <c r="Z140" s="127">
        <f t="shared" ref="Z140:BE140" si="363">IF($C$48="Floating",SUM(Z138:Z139),$D$48)</f>
        <v>6.5199999999999994E-2</v>
      </c>
      <c r="AA140" s="127">
        <f t="shared" si="363"/>
        <v>6.5199999999999994E-2</v>
      </c>
      <c r="AB140" s="127">
        <f t="shared" si="363"/>
        <v>6.5199999999999994E-2</v>
      </c>
      <c r="AC140" s="127">
        <f t="shared" si="363"/>
        <v>6.5199999999999994E-2</v>
      </c>
      <c r="AD140" s="127">
        <f t="shared" si="363"/>
        <v>6.5199999999999994E-2</v>
      </c>
      <c r="AE140" s="127">
        <f t="shared" si="363"/>
        <v>6.5199999999999994E-2</v>
      </c>
      <c r="AF140" s="127">
        <f t="shared" si="363"/>
        <v>6.5199999999999994E-2</v>
      </c>
      <c r="AG140" s="127">
        <f t="shared" si="363"/>
        <v>6.5199999999999994E-2</v>
      </c>
      <c r="AH140" s="127">
        <f t="shared" si="363"/>
        <v>6.5199999999999994E-2</v>
      </c>
      <c r="AI140" s="127">
        <f t="shared" si="363"/>
        <v>6.5199999999999994E-2</v>
      </c>
      <c r="AJ140" s="127">
        <f t="shared" si="363"/>
        <v>6.5199999999999994E-2</v>
      </c>
      <c r="AK140" s="127">
        <f t="shared" si="363"/>
        <v>6.5199999999999994E-2</v>
      </c>
      <c r="AL140" s="127">
        <f t="shared" si="363"/>
        <v>6.5199999999999994E-2</v>
      </c>
      <c r="AM140" s="127">
        <f t="shared" si="363"/>
        <v>6.5199999999999994E-2</v>
      </c>
      <c r="AN140" s="127">
        <f t="shared" si="363"/>
        <v>6.5199999999999994E-2</v>
      </c>
      <c r="AO140" s="127">
        <f t="shared" si="363"/>
        <v>6.5199999999999994E-2</v>
      </c>
      <c r="AP140" s="127">
        <f t="shared" si="363"/>
        <v>6.5199999999999994E-2</v>
      </c>
      <c r="AQ140" s="127">
        <f t="shared" si="363"/>
        <v>6.5199999999999994E-2</v>
      </c>
      <c r="AR140" s="127">
        <f t="shared" si="363"/>
        <v>6.5199999999999994E-2</v>
      </c>
      <c r="AS140" s="127">
        <f t="shared" si="363"/>
        <v>6.5199999999999994E-2</v>
      </c>
      <c r="AT140" s="127">
        <f t="shared" si="363"/>
        <v>6.5199999999999994E-2</v>
      </c>
      <c r="AU140" s="127">
        <f t="shared" si="363"/>
        <v>6.5199999999999994E-2</v>
      </c>
      <c r="AV140" s="127">
        <f t="shared" si="363"/>
        <v>6.5199999999999994E-2</v>
      </c>
      <c r="AW140" s="127">
        <f t="shared" si="363"/>
        <v>6.5199999999999994E-2</v>
      </c>
      <c r="AX140" s="127">
        <f t="shared" si="363"/>
        <v>6.5199999999999994E-2</v>
      </c>
      <c r="AY140" s="127">
        <f t="shared" si="363"/>
        <v>6.5199999999999994E-2</v>
      </c>
      <c r="AZ140" s="127">
        <f t="shared" si="363"/>
        <v>6.5199999999999994E-2</v>
      </c>
      <c r="BA140" s="127">
        <f t="shared" si="363"/>
        <v>6.5199999999999994E-2</v>
      </c>
      <c r="BB140" s="127">
        <f t="shared" si="363"/>
        <v>6.5199999999999994E-2</v>
      </c>
      <c r="BC140" s="127">
        <f t="shared" si="363"/>
        <v>6.5199999999999994E-2</v>
      </c>
      <c r="BD140" s="127">
        <f t="shared" si="363"/>
        <v>6.5199999999999994E-2</v>
      </c>
      <c r="BE140" s="127">
        <f t="shared" si="363"/>
        <v>6.5199999999999994E-2</v>
      </c>
      <c r="BF140" s="127">
        <f t="shared" ref="BF140:CK140" si="364">IF($C$48="Floating",SUM(BF138:BF139),$D$48)</f>
        <v>6.5199999999999994E-2</v>
      </c>
      <c r="BG140" s="127">
        <f t="shared" si="364"/>
        <v>6.5199999999999994E-2</v>
      </c>
      <c r="BH140" s="127">
        <f t="shared" si="364"/>
        <v>6.5199999999999994E-2</v>
      </c>
      <c r="BI140" s="127">
        <f t="shared" si="364"/>
        <v>6.5199999999999994E-2</v>
      </c>
      <c r="BJ140" s="127">
        <f t="shared" si="364"/>
        <v>6.5199999999999994E-2</v>
      </c>
      <c r="BK140" s="127">
        <f t="shared" si="364"/>
        <v>6.5199999999999994E-2</v>
      </c>
      <c r="BL140" s="127">
        <f t="shared" si="364"/>
        <v>6.5199999999999994E-2</v>
      </c>
      <c r="BM140" s="127">
        <f t="shared" si="364"/>
        <v>6.5199999999999994E-2</v>
      </c>
      <c r="BN140" s="127">
        <f t="shared" si="364"/>
        <v>6.5199999999999994E-2</v>
      </c>
      <c r="BO140" s="127">
        <f t="shared" si="364"/>
        <v>6.5199999999999994E-2</v>
      </c>
      <c r="BP140" s="127">
        <f t="shared" si="364"/>
        <v>6.5199999999999994E-2</v>
      </c>
      <c r="BQ140" s="127">
        <f t="shared" si="364"/>
        <v>6.5199999999999994E-2</v>
      </c>
      <c r="BR140" s="127">
        <f t="shared" si="364"/>
        <v>6.5199999999999994E-2</v>
      </c>
      <c r="BS140" s="127">
        <f t="shared" si="364"/>
        <v>6.5199999999999994E-2</v>
      </c>
      <c r="BT140" s="127">
        <f t="shared" si="364"/>
        <v>6.5199999999999994E-2</v>
      </c>
      <c r="BU140" s="127">
        <f t="shared" si="364"/>
        <v>6.5199999999999994E-2</v>
      </c>
      <c r="BV140" s="127">
        <f t="shared" si="364"/>
        <v>6.5199999999999994E-2</v>
      </c>
      <c r="BW140" s="127">
        <f t="shared" si="364"/>
        <v>6.5199999999999994E-2</v>
      </c>
      <c r="BX140" s="127">
        <f t="shared" si="364"/>
        <v>6.5199999999999994E-2</v>
      </c>
      <c r="BY140" s="127">
        <f t="shared" si="364"/>
        <v>6.5199999999999994E-2</v>
      </c>
      <c r="BZ140" s="127">
        <f t="shared" si="364"/>
        <v>6.5199999999999994E-2</v>
      </c>
      <c r="CA140" s="127">
        <f t="shared" si="364"/>
        <v>6.5199999999999994E-2</v>
      </c>
      <c r="CB140" s="127">
        <f t="shared" si="364"/>
        <v>6.5199999999999994E-2</v>
      </c>
      <c r="CC140" s="127">
        <f t="shared" si="364"/>
        <v>6.5199999999999994E-2</v>
      </c>
      <c r="CD140" s="127">
        <f t="shared" si="364"/>
        <v>6.5199999999999994E-2</v>
      </c>
      <c r="CE140" s="127">
        <f t="shared" si="364"/>
        <v>6.5199999999999994E-2</v>
      </c>
      <c r="CF140" s="127">
        <f t="shared" si="364"/>
        <v>6.5199999999999994E-2</v>
      </c>
      <c r="CG140" s="127">
        <f t="shared" si="364"/>
        <v>6.5199999999999994E-2</v>
      </c>
      <c r="CH140" s="127">
        <f t="shared" si="364"/>
        <v>6.5199999999999994E-2</v>
      </c>
      <c r="CI140" s="127">
        <f t="shared" si="364"/>
        <v>6.5199999999999994E-2</v>
      </c>
      <c r="CJ140" s="127">
        <f t="shared" si="364"/>
        <v>6.5199999999999994E-2</v>
      </c>
      <c r="CK140" s="127">
        <f t="shared" si="364"/>
        <v>6.5199999999999994E-2</v>
      </c>
      <c r="CL140" s="127">
        <f t="shared" ref="CL140:DQ140" si="365">IF($C$48="Floating",SUM(CL138:CL139),$D$48)</f>
        <v>6.5199999999999994E-2</v>
      </c>
      <c r="CM140" s="127">
        <f t="shared" si="365"/>
        <v>6.5199999999999994E-2</v>
      </c>
      <c r="CN140" s="127">
        <f t="shared" si="365"/>
        <v>6.5199999999999994E-2</v>
      </c>
      <c r="CO140" s="127">
        <f t="shared" si="365"/>
        <v>6.5199999999999994E-2</v>
      </c>
      <c r="CP140" s="127">
        <f t="shared" si="365"/>
        <v>6.5199999999999994E-2</v>
      </c>
      <c r="CQ140" s="127">
        <f t="shared" si="365"/>
        <v>6.5199999999999994E-2</v>
      </c>
      <c r="CR140" s="127">
        <f t="shared" si="365"/>
        <v>6.5199999999999994E-2</v>
      </c>
      <c r="CS140" s="127">
        <f t="shared" si="365"/>
        <v>6.5199999999999994E-2</v>
      </c>
      <c r="CT140" s="127">
        <f t="shared" si="365"/>
        <v>6.5199999999999994E-2</v>
      </c>
      <c r="CU140" s="127">
        <f t="shared" si="365"/>
        <v>6.5199999999999994E-2</v>
      </c>
      <c r="CV140" s="127">
        <f t="shared" si="365"/>
        <v>6.5199999999999994E-2</v>
      </c>
      <c r="CW140" s="127">
        <f t="shared" si="365"/>
        <v>6.5199999999999994E-2</v>
      </c>
      <c r="CX140" s="127">
        <f t="shared" si="365"/>
        <v>6.5199999999999994E-2</v>
      </c>
      <c r="CY140" s="127">
        <f t="shared" si="365"/>
        <v>6.5199999999999994E-2</v>
      </c>
      <c r="CZ140" s="127">
        <f t="shared" si="365"/>
        <v>6.5199999999999994E-2</v>
      </c>
      <c r="DA140" s="127">
        <f t="shared" si="365"/>
        <v>6.5199999999999994E-2</v>
      </c>
      <c r="DB140" s="127">
        <f t="shared" si="365"/>
        <v>6.5199999999999994E-2</v>
      </c>
      <c r="DC140" s="127">
        <f t="shared" si="365"/>
        <v>6.5199999999999994E-2</v>
      </c>
      <c r="DD140" s="127">
        <f t="shared" si="365"/>
        <v>6.5199999999999994E-2</v>
      </c>
      <c r="DE140" s="127">
        <f t="shared" si="365"/>
        <v>6.5199999999999994E-2</v>
      </c>
      <c r="DF140" s="127">
        <f t="shared" si="365"/>
        <v>6.5199999999999994E-2</v>
      </c>
      <c r="DG140" s="127">
        <f t="shared" si="365"/>
        <v>6.5199999999999994E-2</v>
      </c>
      <c r="DH140" s="127">
        <f t="shared" si="365"/>
        <v>6.5199999999999994E-2</v>
      </c>
      <c r="DI140" s="127">
        <f t="shared" si="365"/>
        <v>6.5199999999999994E-2</v>
      </c>
      <c r="DJ140" s="127">
        <f t="shared" si="365"/>
        <v>6.5199999999999994E-2</v>
      </c>
      <c r="DK140" s="127">
        <f t="shared" si="365"/>
        <v>6.5199999999999994E-2</v>
      </c>
      <c r="DL140" s="127">
        <f t="shared" si="365"/>
        <v>6.5199999999999994E-2</v>
      </c>
      <c r="DM140" s="127">
        <f t="shared" si="365"/>
        <v>6.5199999999999994E-2</v>
      </c>
      <c r="DN140" s="127">
        <f t="shared" si="365"/>
        <v>6.5199999999999994E-2</v>
      </c>
      <c r="DO140" s="127">
        <f t="shared" si="365"/>
        <v>6.5199999999999994E-2</v>
      </c>
      <c r="DP140" s="127">
        <f t="shared" si="365"/>
        <v>6.5199999999999994E-2</v>
      </c>
      <c r="DQ140" s="127">
        <f t="shared" si="365"/>
        <v>6.5199999999999994E-2</v>
      </c>
      <c r="DR140" s="127">
        <f t="shared" ref="DR140:EW140" si="366">IF($C$48="Floating",SUM(DR138:DR139),$D$48)</f>
        <v>6.5199999999999994E-2</v>
      </c>
      <c r="DS140" s="127">
        <f t="shared" si="366"/>
        <v>6.5199999999999994E-2</v>
      </c>
      <c r="DT140" s="127">
        <f t="shared" si="366"/>
        <v>6.5199999999999994E-2</v>
      </c>
      <c r="DU140" s="127">
        <f t="shared" si="366"/>
        <v>6.5199999999999994E-2</v>
      </c>
      <c r="DV140" s="127">
        <f t="shared" si="366"/>
        <v>6.5199999999999994E-2</v>
      </c>
      <c r="DW140" s="127">
        <f t="shared" si="366"/>
        <v>6.5199999999999994E-2</v>
      </c>
      <c r="DX140" s="127">
        <f t="shared" si="366"/>
        <v>6.5199999999999994E-2</v>
      </c>
      <c r="DY140" s="127">
        <f t="shared" si="366"/>
        <v>6.5199999999999994E-2</v>
      </c>
      <c r="DZ140" s="127">
        <f t="shared" si="366"/>
        <v>6.5199999999999994E-2</v>
      </c>
      <c r="EA140" s="127">
        <f t="shared" si="366"/>
        <v>6.5199999999999994E-2</v>
      </c>
      <c r="EB140" s="127">
        <f t="shared" si="366"/>
        <v>6.5199999999999994E-2</v>
      </c>
      <c r="EC140" s="127">
        <f t="shared" si="366"/>
        <v>6.5199999999999994E-2</v>
      </c>
      <c r="ED140" s="127">
        <f t="shared" si="366"/>
        <v>6.5199999999999994E-2</v>
      </c>
      <c r="EE140" s="127">
        <f t="shared" si="366"/>
        <v>6.5199999999999994E-2</v>
      </c>
      <c r="EF140" s="127">
        <f t="shared" si="366"/>
        <v>6.5199999999999994E-2</v>
      </c>
      <c r="EG140" s="127">
        <f t="shared" si="366"/>
        <v>6.5199999999999994E-2</v>
      </c>
      <c r="EH140" s="127">
        <f t="shared" si="366"/>
        <v>6.5199999999999994E-2</v>
      </c>
      <c r="EI140" s="127">
        <f t="shared" si="366"/>
        <v>6.5199999999999994E-2</v>
      </c>
      <c r="EJ140" s="127">
        <f t="shared" si="366"/>
        <v>6.5199999999999994E-2</v>
      </c>
      <c r="EK140" s="127">
        <f t="shared" si="366"/>
        <v>6.5199999999999994E-2</v>
      </c>
      <c r="EL140" s="127">
        <f t="shared" si="366"/>
        <v>6.5199999999999994E-2</v>
      </c>
      <c r="EM140" s="127">
        <f t="shared" si="366"/>
        <v>6.5199999999999994E-2</v>
      </c>
      <c r="EN140" s="127">
        <f t="shared" si="366"/>
        <v>6.5199999999999994E-2</v>
      </c>
      <c r="EO140" s="127">
        <f t="shared" si="366"/>
        <v>6.5199999999999994E-2</v>
      </c>
      <c r="EP140" s="127">
        <f t="shared" si="366"/>
        <v>6.5199999999999994E-2</v>
      </c>
      <c r="EQ140" s="127">
        <f t="shared" si="366"/>
        <v>6.5199999999999994E-2</v>
      </c>
      <c r="ER140" s="127">
        <f t="shared" si="366"/>
        <v>6.5199999999999994E-2</v>
      </c>
      <c r="ES140" s="127">
        <f t="shared" si="366"/>
        <v>6.5199999999999994E-2</v>
      </c>
      <c r="ET140" s="127">
        <f t="shared" si="366"/>
        <v>6.5199999999999994E-2</v>
      </c>
      <c r="EU140" s="127">
        <f t="shared" si="366"/>
        <v>6.5199999999999994E-2</v>
      </c>
      <c r="EV140" s="127">
        <f t="shared" si="366"/>
        <v>6.5199999999999994E-2</v>
      </c>
      <c r="EW140" s="127">
        <f t="shared" si="366"/>
        <v>6.5199999999999994E-2</v>
      </c>
      <c r="EX140" s="127">
        <f t="shared" ref="EX140:FB140" si="367">IF($C$48="Floating",SUM(EX138:EX139),$D$48)</f>
        <v>6.5199999999999994E-2</v>
      </c>
      <c r="EY140" s="127">
        <f t="shared" si="367"/>
        <v>6.5199999999999994E-2</v>
      </c>
      <c r="EZ140" s="127">
        <f t="shared" si="367"/>
        <v>6.5199999999999994E-2</v>
      </c>
      <c r="FA140" s="127">
        <f t="shared" si="367"/>
        <v>6.5199999999999994E-2</v>
      </c>
      <c r="FB140" s="127">
        <f t="shared" si="367"/>
        <v>6.5199999999999994E-2</v>
      </c>
    </row>
    <row r="141" spans="1:158">
      <c r="A141" s="281"/>
      <c r="H141" s="55"/>
    </row>
    <row r="142" spans="1:158" s="44" customFormat="1">
      <c r="A142" s="24"/>
      <c r="B142" s="9"/>
      <c r="C142" s="9"/>
      <c r="D142" s="9"/>
      <c r="E142" s="9"/>
      <c r="F142" s="9"/>
      <c r="G142" s="9"/>
      <c r="H142" s="55"/>
      <c r="I142" s="15" t="s">
        <v>143</v>
      </c>
      <c r="J142" s="9"/>
      <c r="K142" s="11"/>
      <c r="L142" s="24"/>
      <c r="M142" s="11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11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  <c r="EM142" s="9"/>
      <c r="EN142" s="9"/>
      <c r="EO142" s="9"/>
      <c r="EP142" s="9"/>
      <c r="EQ142" s="9"/>
      <c r="ER142" s="9"/>
      <c r="ES142" s="9"/>
      <c r="ET142" s="9"/>
      <c r="EU142" s="9"/>
      <c r="EV142" s="9"/>
      <c r="EW142" s="9"/>
      <c r="EX142" s="9"/>
      <c r="EY142" s="9"/>
      <c r="EZ142" s="9"/>
      <c r="FA142" s="9"/>
      <c r="FB142" s="9"/>
    </row>
    <row r="143" spans="1:158" ht="16">
      <c r="A143" s="282"/>
      <c r="I143" s="9" t="s">
        <v>144</v>
      </c>
      <c r="Z143" s="24">
        <v>0</v>
      </c>
      <c r="AA143" s="24">
        <f>Z149</f>
        <v>4700000</v>
      </c>
      <c r="AB143" s="24">
        <f>AA149</f>
        <v>4700000</v>
      </c>
      <c r="AC143" s="24">
        <f t="shared" ref="AC143:CN143" si="368">AB149</f>
        <v>4700000</v>
      </c>
      <c r="AD143" s="24">
        <f>AC149</f>
        <v>4700000</v>
      </c>
      <c r="AE143" s="24">
        <f t="shared" si="368"/>
        <v>4700000</v>
      </c>
      <c r="AF143" s="24">
        <f t="shared" si="368"/>
        <v>4700000</v>
      </c>
      <c r="AG143" s="24">
        <f t="shared" si="368"/>
        <v>4700000</v>
      </c>
      <c r="AH143" s="24">
        <f t="shared" si="368"/>
        <v>4700000</v>
      </c>
      <c r="AI143" s="24">
        <f t="shared" si="368"/>
        <v>4700000</v>
      </c>
      <c r="AJ143" s="24">
        <f t="shared" si="368"/>
        <v>4700000</v>
      </c>
      <c r="AK143" s="24">
        <f t="shared" si="368"/>
        <v>4700000</v>
      </c>
      <c r="AL143" s="24">
        <f t="shared" si="368"/>
        <v>4700000</v>
      </c>
      <c r="AM143" s="24">
        <f t="shared" si="368"/>
        <v>4700000</v>
      </c>
      <c r="AN143" s="24">
        <f t="shared" si="368"/>
        <v>4700000</v>
      </c>
      <c r="AO143" s="24">
        <f t="shared" si="368"/>
        <v>4700000</v>
      </c>
      <c r="AP143" s="24">
        <f>AO149</f>
        <v>4700000</v>
      </c>
      <c r="AQ143" s="24">
        <f t="shared" si="368"/>
        <v>4700000</v>
      </c>
      <c r="AR143" s="24">
        <f t="shared" si="368"/>
        <v>4700000</v>
      </c>
      <c r="AS143" s="24">
        <f t="shared" si="368"/>
        <v>4700000</v>
      </c>
      <c r="AT143" s="24">
        <f t="shared" si="368"/>
        <v>4700000</v>
      </c>
      <c r="AU143" s="24">
        <f t="shared" si="368"/>
        <v>4700000</v>
      </c>
      <c r="AV143" s="24">
        <f t="shared" si="368"/>
        <v>4700000</v>
      </c>
      <c r="AW143" s="24">
        <f t="shared" si="368"/>
        <v>4700000</v>
      </c>
      <c r="AX143" s="24">
        <f t="shared" si="368"/>
        <v>4700000</v>
      </c>
      <c r="AY143" s="24">
        <f t="shared" si="368"/>
        <v>0</v>
      </c>
      <c r="AZ143" s="24">
        <f t="shared" si="368"/>
        <v>0</v>
      </c>
      <c r="BA143" s="24">
        <f t="shared" si="368"/>
        <v>0</v>
      </c>
      <c r="BB143" s="24">
        <f t="shared" si="368"/>
        <v>0</v>
      </c>
      <c r="BC143" s="24">
        <f t="shared" si="368"/>
        <v>0</v>
      </c>
      <c r="BD143" s="24">
        <f t="shared" si="368"/>
        <v>0</v>
      </c>
      <c r="BE143" s="24">
        <f t="shared" si="368"/>
        <v>0</v>
      </c>
      <c r="BF143" s="24">
        <f t="shared" si="368"/>
        <v>0</v>
      </c>
      <c r="BG143" s="24">
        <f t="shared" si="368"/>
        <v>0</v>
      </c>
      <c r="BH143" s="24">
        <f t="shared" si="368"/>
        <v>0</v>
      </c>
      <c r="BI143" s="24">
        <f t="shared" si="368"/>
        <v>0</v>
      </c>
      <c r="BJ143" s="24">
        <f t="shared" si="368"/>
        <v>0</v>
      </c>
      <c r="BK143" s="24">
        <f t="shared" si="368"/>
        <v>0</v>
      </c>
      <c r="BL143" s="24">
        <f t="shared" si="368"/>
        <v>0</v>
      </c>
      <c r="BM143" s="24">
        <f t="shared" si="368"/>
        <v>0</v>
      </c>
      <c r="BN143" s="24">
        <f t="shared" si="368"/>
        <v>0</v>
      </c>
      <c r="BO143" s="24">
        <f t="shared" si="368"/>
        <v>0</v>
      </c>
      <c r="BP143" s="24">
        <f t="shared" si="368"/>
        <v>0</v>
      </c>
      <c r="BQ143" s="24">
        <f t="shared" si="368"/>
        <v>0</v>
      </c>
      <c r="BR143" s="24">
        <f t="shared" si="368"/>
        <v>0</v>
      </c>
      <c r="BS143" s="24">
        <f t="shared" si="368"/>
        <v>0</v>
      </c>
      <c r="BT143" s="24">
        <f t="shared" si="368"/>
        <v>0</v>
      </c>
      <c r="BU143" s="24">
        <f t="shared" si="368"/>
        <v>0</v>
      </c>
      <c r="BV143" s="24">
        <f t="shared" si="368"/>
        <v>0</v>
      </c>
      <c r="BW143" s="24">
        <f t="shared" si="368"/>
        <v>0</v>
      </c>
      <c r="BX143" s="24">
        <f t="shared" si="368"/>
        <v>0</v>
      </c>
      <c r="BY143" s="24">
        <f t="shared" si="368"/>
        <v>0</v>
      </c>
      <c r="BZ143" s="24">
        <f t="shared" si="368"/>
        <v>0</v>
      </c>
      <c r="CA143" s="24">
        <f t="shared" si="368"/>
        <v>0</v>
      </c>
      <c r="CB143" s="24">
        <f t="shared" si="368"/>
        <v>0</v>
      </c>
      <c r="CC143" s="24">
        <f t="shared" si="368"/>
        <v>0</v>
      </c>
      <c r="CD143" s="24">
        <f t="shared" si="368"/>
        <v>0</v>
      </c>
      <c r="CE143" s="24">
        <f t="shared" si="368"/>
        <v>0</v>
      </c>
      <c r="CF143" s="24">
        <f t="shared" si="368"/>
        <v>0</v>
      </c>
      <c r="CG143" s="24">
        <f t="shared" si="368"/>
        <v>0</v>
      </c>
      <c r="CH143" s="24">
        <f t="shared" si="368"/>
        <v>0</v>
      </c>
      <c r="CI143" s="24">
        <f t="shared" si="368"/>
        <v>0</v>
      </c>
      <c r="CJ143" s="24">
        <f t="shared" si="368"/>
        <v>0</v>
      </c>
      <c r="CK143" s="24">
        <f t="shared" si="368"/>
        <v>0</v>
      </c>
      <c r="CL143" s="24">
        <f t="shared" si="368"/>
        <v>0</v>
      </c>
      <c r="CM143" s="24">
        <f t="shared" si="368"/>
        <v>0</v>
      </c>
      <c r="CN143" s="24">
        <f t="shared" si="368"/>
        <v>0</v>
      </c>
      <c r="CO143" s="24">
        <f t="shared" ref="CO143:EZ143" si="369">CN149</f>
        <v>0</v>
      </c>
      <c r="CP143" s="24">
        <f t="shared" si="369"/>
        <v>0</v>
      </c>
      <c r="CQ143" s="24">
        <f t="shared" si="369"/>
        <v>0</v>
      </c>
      <c r="CR143" s="24">
        <f t="shared" si="369"/>
        <v>0</v>
      </c>
      <c r="CS143" s="24">
        <f t="shared" si="369"/>
        <v>0</v>
      </c>
      <c r="CT143" s="24">
        <f t="shared" si="369"/>
        <v>0</v>
      </c>
      <c r="CU143" s="24">
        <f t="shared" si="369"/>
        <v>0</v>
      </c>
      <c r="CV143" s="24">
        <f t="shared" si="369"/>
        <v>0</v>
      </c>
      <c r="CW143" s="24">
        <f t="shared" si="369"/>
        <v>0</v>
      </c>
      <c r="CX143" s="24">
        <f t="shared" si="369"/>
        <v>0</v>
      </c>
      <c r="CY143" s="24">
        <f t="shared" si="369"/>
        <v>0</v>
      </c>
      <c r="CZ143" s="24">
        <f t="shared" si="369"/>
        <v>0</v>
      </c>
      <c r="DA143" s="24">
        <f t="shared" si="369"/>
        <v>0</v>
      </c>
      <c r="DB143" s="24">
        <f t="shared" si="369"/>
        <v>0</v>
      </c>
      <c r="DC143" s="24">
        <f t="shared" si="369"/>
        <v>0</v>
      </c>
      <c r="DD143" s="24">
        <f t="shared" si="369"/>
        <v>0</v>
      </c>
      <c r="DE143" s="24">
        <f t="shared" si="369"/>
        <v>0</v>
      </c>
      <c r="DF143" s="24">
        <f t="shared" si="369"/>
        <v>0</v>
      </c>
      <c r="DG143" s="24">
        <f t="shared" si="369"/>
        <v>0</v>
      </c>
      <c r="DH143" s="24">
        <f t="shared" si="369"/>
        <v>0</v>
      </c>
      <c r="DI143" s="24">
        <f t="shared" si="369"/>
        <v>0</v>
      </c>
      <c r="DJ143" s="24">
        <f t="shared" si="369"/>
        <v>0</v>
      </c>
      <c r="DK143" s="24">
        <f t="shared" si="369"/>
        <v>0</v>
      </c>
      <c r="DL143" s="24">
        <f t="shared" si="369"/>
        <v>0</v>
      </c>
      <c r="DM143" s="24">
        <f t="shared" si="369"/>
        <v>0</v>
      </c>
      <c r="DN143" s="24">
        <f t="shared" si="369"/>
        <v>0</v>
      </c>
      <c r="DO143" s="24">
        <f t="shared" si="369"/>
        <v>0</v>
      </c>
      <c r="DP143" s="24">
        <f t="shared" si="369"/>
        <v>0</v>
      </c>
      <c r="DQ143" s="24">
        <f t="shared" si="369"/>
        <v>0</v>
      </c>
      <c r="DR143" s="24">
        <f t="shared" si="369"/>
        <v>0</v>
      </c>
      <c r="DS143" s="24">
        <f t="shared" si="369"/>
        <v>0</v>
      </c>
      <c r="DT143" s="24">
        <f t="shared" si="369"/>
        <v>0</v>
      </c>
      <c r="DU143" s="24">
        <f t="shared" si="369"/>
        <v>0</v>
      </c>
      <c r="DV143" s="24">
        <f t="shared" si="369"/>
        <v>0</v>
      </c>
      <c r="DW143" s="24">
        <f t="shared" si="369"/>
        <v>0</v>
      </c>
      <c r="DX143" s="24">
        <f t="shared" si="369"/>
        <v>0</v>
      </c>
      <c r="DY143" s="24">
        <f t="shared" si="369"/>
        <v>0</v>
      </c>
      <c r="DZ143" s="24">
        <f t="shared" si="369"/>
        <v>0</v>
      </c>
      <c r="EA143" s="24">
        <f t="shared" si="369"/>
        <v>0</v>
      </c>
      <c r="EB143" s="24">
        <f t="shared" si="369"/>
        <v>0</v>
      </c>
      <c r="EC143" s="24">
        <f t="shared" si="369"/>
        <v>0</v>
      </c>
      <c r="ED143" s="24">
        <f t="shared" si="369"/>
        <v>0</v>
      </c>
      <c r="EE143" s="24">
        <f t="shared" si="369"/>
        <v>0</v>
      </c>
      <c r="EF143" s="24">
        <f t="shared" si="369"/>
        <v>0</v>
      </c>
      <c r="EG143" s="24">
        <f t="shared" si="369"/>
        <v>0</v>
      </c>
      <c r="EH143" s="24">
        <f t="shared" si="369"/>
        <v>0</v>
      </c>
      <c r="EI143" s="24">
        <f t="shared" si="369"/>
        <v>0</v>
      </c>
      <c r="EJ143" s="24">
        <f t="shared" si="369"/>
        <v>0</v>
      </c>
      <c r="EK143" s="24">
        <f t="shared" si="369"/>
        <v>0</v>
      </c>
      <c r="EL143" s="24">
        <f t="shared" si="369"/>
        <v>0</v>
      </c>
      <c r="EM143" s="24">
        <f t="shared" si="369"/>
        <v>0</v>
      </c>
      <c r="EN143" s="24">
        <f t="shared" si="369"/>
        <v>0</v>
      </c>
      <c r="EO143" s="24">
        <f t="shared" si="369"/>
        <v>0</v>
      </c>
      <c r="EP143" s="24">
        <f t="shared" si="369"/>
        <v>0</v>
      </c>
      <c r="EQ143" s="24">
        <f t="shared" si="369"/>
        <v>0</v>
      </c>
      <c r="ER143" s="24">
        <f t="shared" si="369"/>
        <v>0</v>
      </c>
      <c r="ES143" s="24">
        <f t="shared" si="369"/>
        <v>0</v>
      </c>
      <c r="ET143" s="24">
        <f t="shared" si="369"/>
        <v>0</v>
      </c>
      <c r="EU143" s="24">
        <f t="shared" si="369"/>
        <v>0</v>
      </c>
      <c r="EV143" s="24">
        <f t="shared" si="369"/>
        <v>0</v>
      </c>
      <c r="EW143" s="24">
        <f t="shared" si="369"/>
        <v>0</v>
      </c>
      <c r="EX143" s="24">
        <f t="shared" si="369"/>
        <v>0</v>
      </c>
      <c r="EY143" s="24">
        <f t="shared" si="369"/>
        <v>0</v>
      </c>
      <c r="EZ143" s="24">
        <f t="shared" si="369"/>
        <v>0</v>
      </c>
      <c r="FA143" s="24">
        <f t="shared" ref="FA143:FB143" si="370">EZ149</f>
        <v>0</v>
      </c>
      <c r="FB143" s="24">
        <f t="shared" si="370"/>
        <v>0</v>
      </c>
    </row>
    <row r="144" spans="1:158">
      <c r="I144" s="9" t="s">
        <v>145</v>
      </c>
      <c r="L144" s="24">
        <f>SUMIF($Z$4:$FB$4,"&lt;"&amp;$G$18,$Z144:$FB144)</f>
        <v>4700000</v>
      </c>
      <c r="M144" s="55"/>
      <c r="N144" s="24">
        <f t="shared" ref="N144:X149" si="371">SUMIF($Z$3:$FB$3,N$7,$Z144:$FB144)</f>
        <v>4700000</v>
      </c>
      <c r="O144" s="24">
        <f t="shared" si="371"/>
        <v>0</v>
      </c>
      <c r="P144" s="24">
        <f t="shared" si="371"/>
        <v>0</v>
      </c>
      <c r="Q144" s="24">
        <f t="shared" si="371"/>
        <v>0</v>
      </c>
      <c r="R144" s="24">
        <f t="shared" si="371"/>
        <v>0</v>
      </c>
      <c r="S144" s="24">
        <f t="shared" si="371"/>
        <v>0</v>
      </c>
      <c r="T144" s="24">
        <f t="shared" si="371"/>
        <v>0</v>
      </c>
      <c r="U144" s="24">
        <f t="shared" si="371"/>
        <v>0</v>
      </c>
      <c r="V144" s="24">
        <f t="shared" si="371"/>
        <v>0</v>
      </c>
      <c r="W144" s="24">
        <f t="shared" si="371"/>
        <v>0</v>
      </c>
      <c r="X144" s="24">
        <f t="shared" si="371"/>
        <v>0</v>
      </c>
      <c r="Y144" s="55"/>
      <c r="Z144" s="24">
        <f t="shared" ref="Z144:BE144" si="372">IF(Z4=0,$D$46,0)</f>
        <v>4700000</v>
      </c>
      <c r="AA144" s="24">
        <f t="shared" si="372"/>
        <v>0</v>
      </c>
      <c r="AB144" s="24">
        <f t="shared" si="372"/>
        <v>0</v>
      </c>
      <c r="AC144" s="24">
        <f t="shared" si="372"/>
        <v>0</v>
      </c>
      <c r="AD144" s="24">
        <f t="shared" si="372"/>
        <v>0</v>
      </c>
      <c r="AE144" s="24">
        <f t="shared" si="372"/>
        <v>0</v>
      </c>
      <c r="AF144" s="24">
        <f t="shared" si="372"/>
        <v>0</v>
      </c>
      <c r="AG144" s="24">
        <f t="shared" si="372"/>
        <v>0</v>
      </c>
      <c r="AH144" s="24">
        <f t="shared" si="372"/>
        <v>0</v>
      </c>
      <c r="AI144" s="24">
        <f t="shared" si="372"/>
        <v>0</v>
      </c>
      <c r="AJ144" s="24">
        <f t="shared" si="372"/>
        <v>0</v>
      </c>
      <c r="AK144" s="24">
        <f t="shared" si="372"/>
        <v>0</v>
      </c>
      <c r="AL144" s="24">
        <f t="shared" si="372"/>
        <v>0</v>
      </c>
      <c r="AM144" s="24">
        <f t="shared" si="372"/>
        <v>0</v>
      </c>
      <c r="AN144" s="24">
        <f t="shared" si="372"/>
        <v>0</v>
      </c>
      <c r="AO144" s="24">
        <f t="shared" si="372"/>
        <v>0</v>
      </c>
      <c r="AP144" s="24">
        <f t="shared" si="372"/>
        <v>0</v>
      </c>
      <c r="AQ144" s="24">
        <f t="shared" si="372"/>
        <v>0</v>
      </c>
      <c r="AR144" s="24">
        <f t="shared" si="372"/>
        <v>0</v>
      </c>
      <c r="AS144" s="24">
        <f t="shared" si="372"/>
        <v>0</v>
      </c>
      <c r="AT144" s="24">
        <f t="shared" si="372"/>
        <v>0</v>
      </c>
      <c r="AU144" s="24">
        <f t="shared" si="372"/>
        <v>0</v>
      </c>
      <c r="AV144" s="24">
        <f t="shared" si="372"/>
        <v>0</v>
      </c>
      <c r="AW144" s="24">
        <f t="shared" si="372"/>
        <v>0</v>
      </c>
      <c r="AX144" s="24">
        <f t="shared" si="372"/>
        <v>0</v>
      </c>
      <c r="AY144" s="24">
        <f t="shared" si="372"/>
        <v>0</v>
      </c>
      <c r="AZ144" s="24">
        <f t="shared" si="372"/>
        <v>0</v>
      </c>
      <c r="BA144" s="24">
        <f t="shared" si="372"/>
        <v>0</v>
      </c>
      <c r="BB144" s="24">
        <f t="shared" si="372"/>
        <v>0</v>
      </c>
      <c r="BC144" s="24">
        <f t="shared" si="372"/>
        <v>0</v>
      </c>
      <c r="BD144" s="24">
        <f t="shared" si="372"/>
        <v>0</v>
      </c>
      <c r="BE144" s="24">
        <f t="shared" si="372"/>
        <v>0</v>
      </c>
      <c r="BF144" s="24">
        <f t="shared" ref="BF144:CK144" si="373">IF(BF4=0,$D$46,0)</f>
        <v>0</v>
      </c>
      <c r="BG144" s="24">
        <f t="shared" si="373"/>
        <v>0</v>
      </c>
      <c r="BH144" s="24">
        <f t="shared" si="373"/>
        <v>0</v>
      </c>
      <c r="BI144" s="24">
        <f t="shared" si="373"/>
        <v>0</v>
      </c>
      <c r="BJ144" s="24">
        <f t="shared" si="373"/>
        <v>0</v>
      </c>
      <c r="BK144" s="24">
        <f t="shared" si="373"/>
        <v>0</v>
      </c>
      <c r="BL144" s="24">
        <f t="shared" si="373"/>
        <v>0</v>
      </c>
      <c r="BM144" s="24">
        <f t="shared" si="373"/>
        <v>0</v>
      </c>
      <c r="BN144" s="24">
        <f t="shared" si="373"/>
        <v>0</v>
      </c>
      <c r="BO144" s="24">
        <f t="shared" si="373"/>
        <v>0</v>
      </c>
      <c r="BP144" s="24">
        <f t="shared" si="373"/>
        <v>0</v>
      </c>
      <c r="BQ144" s="24">
        <f t="shared" si="373"/>
        <v>0</v>
      </c>
      <c r="BR144" s="24">
        <f t="shared" si="373"/>
        <v>0</v>
      </c>
      <c r="BS144" s="24">
        <f t="shared" si="373"/>
        <v>0</v>
      </c>
      <c r="BT144" s="24">
        <f t="shared" si="373"/>
        <v>0</v>
      </c>
      <c r="BU144" s="24">
        <f t="shared" si="373"/>
        <v>0</v>
      </c>
      <c r="BV144" s="24">
        <f t="shared" si="373"/>
        <v>0</v>
      </c>
      <c r="BW144" s="24">
        <f t="shared" si="373"/>
        <v>0</v>
      </c>
      <c r="BX144" s="24">
        <f t="shared" si="373"/>
        <v>0</v>
      </c>
      <c r="BY144" s="24">
        <f t="shared" si="373"/>
        <v>0</v>
      </c>
      <c r="BZ144" s="24">
        <f t="shared" si="373"/>
        <v>0</v>
      </c>
      <c r="CA144" s="24">
        <f t="shared" si="373"/>
        <v>0</v>
      </c>
      <c r="CB144" s="24">
        <f t="shared" si="373"/>
        <v>0</v>
      </c>
      <c r="CC144" s="24">
        <f t="shared" si="373"/>
        <v>0</v>
      </c>
      <c r="CD144" s="24">
        <f t="shared" si="373"/>
        <v>0</v>
      </c>
      <c r="CE144" s="24">
        <f t="shared" si="373"/>
        <v>0</v>
      </c>
      <c r="CF144" s="24">
        <f t="shared" si="373"/>
        <v>0</v>
      </c>
      <c r="CG144" s="24">
        <f t="shared" si="373"/>
        <v>0</v>
      </c>
      <c r="CH144" s="24">
        <f t="shared" si="373"/>
        <v>0</v>
      </c>
      <c r="CI144" s="24">
        <f t="shared" si="373"/>
        <v>0</v>
      </c>
      <c r="CJ144" s="24">
        <f t="shared" si="373"/>
        <v>0</v>
      </c>
      <c r="CK144" s="24">
        <f t="shared" si="373"/>
        <v>0</v>
      </c>
      <c r="CL144" s="24">
        <f t="shared" ref="CL144:DQ144" si="374">IF(CL4=0,$D$46,0)</f>
        <v>0</v>
      </c>
      <c r="CM144" s="24">
        <f t="shared" si="374"/>
        <v>0</v>
      </c>
      <c r="CN144" s="24">
        <f t="shared" si="374"/>
        <v>0</v>
      </c>
      <c r="CO144" s="24">
        <f t="shared" si="374"/>
        <v>0</v>
      </c>
      <c r="CP144" s="24">
        <f t="shared" si="374"/>
        <v>0</v>
      </c>
      <c r="CQ144" s="24">
        <f t="shared" si="374"/>
        <v>0</v>
      </c>
      <c r="CR144" s="24">
        <f t="shared" si="374"/>
        <v>0</v>
      </c>
      <c r="CS144" s="24">
        <f t="shared" si="374"/>
        <v>0</v>
      </c>
      <c r="CT144" s="24">
        <f t="shared" si="374"/>
        <v>0</v>
      </c>
      <c r="CU144" s="24">
        <f t="shared" si="374"/>
        <v>0</v>
      </c>
      <c r="CV144" s="24">
        <f t="shared" si="374"/>
        <v>0</v>
      </c>
      <c r="CW144" s="24">
        <f t="shared" si="374"/>
        <v>0</v>
      </c>
      <c r="CX144" s="24">
        <f t="shared" si="374"/>
        <v>0</v>
      </c>
      <c r="CY144" s="24">
        <f t="shared" si="374"/>
        <v>0</v>
      </c>
      <c r="CZ144" s="24">
        <f t="shared" si="374"/>
        <v>0</v>
      </c>
      <c r="DA144" s="24">
        <f t="shared" si="374"/>
        <v>0</v>
      </c>
      <c r="DB144" s="24">
        <f t="shared" si="374"/>
        <v>0</v>
      </c>
      <c r="DC144" s="24">
        <f t="shared" si="374"/>
        <v>0</v>
      </c>
      <c r="DD144" s="24">
        <f t="shared" si="374"/>
        <v>0</v>
      </c>
      <c r="DE144" s="24">
        <f t="shared" si="374"/>
        <v>0</v>
      </c>
      <c r="DF144" s="24">
        <f t="shared" si="374"/>
        <v>0</v>
      </c>
      <c r="DG144" s="24">
        <f t="shared" si="374"/>
        <v>0</v>
      </c>
      <c r="DH144" s="24">
        <f t="shared" si="374"/>
        <v>0</v>
      </c>
      <c r="DI144" s="24">
        <f t="shared" si="374"/>
        <v>0</v>
      </c>
      <c r="DJ144" s="24">
        <f t="shared" si="374"/>
        <v>0</v>
      </c>
      <c r="DK144" s="24">
        <f t="shared" si="374"/>
        <v>0</v>
      </c>
      <c r="DL144" s="24">
        <f t="shared" si="374"/>
        <v>0</v>
      </c>
      <c r="DM144" s="24">
        <f t="shared" si="374"/>
        <v>0</v>
      </c>
      <c r="DN144" s="24">
        <f t="shared" si="374"/>
        <v>0</v>
      </c>
      <c r="DO144" s="24">
        <f t="shared" si="374"/>
        <v>0</v>
      </c>
      <c r="DP144" s="24">
        <f t="shared" si="374"/>
        <v>0</v>
      </c>
      <c r="DQ144" s="24">
        <f t="shared" si="374"/>
        <v>0</v>
      </c>
      <c r="DR144" s="24">
        <f t="shared" ref="DR144:FB144" si="375">IF(DR4=0,$D$46,0)</f>
        <v>0</v>
      </c>
      <c r="DS144" s="24">
        <f t="shared" si="375"/>
        <v>0</v>
      </c>
      <c r="DT144" s="24">
        <f t="shared" si="375"/>
        <v>0</v>
      </c>
      <c r="DU144" s="24">
        <f t="shared" si="375"/>
        <v>0</v>
      </c>
      <c r="DV144" s="24">
        <f t="shared" si="375"/>
        <v>0</v>
      </c>
      <c r="DW144" s="24">
        <f t="shared" si="375"/>
        <v>0</v>
      </c>
      <c r="DX144" s="24">
        <f t="shared" si="375"/>
        <v>0</v>
      </c>
      <c r="DY144" s="24">
        <f t="shared" si="375"/>
        <v>0</v>
      </c>
      <c r="DZ144" s="24">
        <f t="shared" si="375"/>
        <v>0</v>
      </c>
      <c r="EA144" s="24">
        <f t="shared" si="375"/>
        <v>0</v>
      </c>
      <c r="EB144" s="24">
        <f t="shared" si="375"/>
        <v>0</v>
      </c>
      <c r="EC144" s="24">
        <f t="shared" si="375"/>
        <v>0</v>
      </c>
      <c r="ED144" s="24">
        <f t="shared" si="375"/>
        <v>0</v>
      </c>
      <c r="EE144" s="24">
        <f t="shared" si="375"/>
        <v>0</v>
      </c>
      <c r="EF144" s="24">
        <f t="shared" si="375"/>
        <v>0</v>
      </c>
      <c r="EG144" s="24">
        <f t="shared" si="375"/>
        <v>0</v>
      </c>
      <c r="EH144" s="24">
        <f t="shared" si="375"/>
        <v>0</v>
      </c>
      <c r="EI144" s="24">
        <f t="shared" si="375"/>
        <v>0</v>
      </c>
      <c r="EJ144" s="24">
        <f t="shared" si="375"/>
        <v>0</v>
      </c>
      <c r="EK144" s="24">
        <f t="shared" si="375"/>
        <v>0</v>
      </c>
      <c r="EL144" s="24">
        <f t="shared" si="375"/>
        <v>0</v>
      </c>
      <c r="EM144" s="24">
        <f t="shared" si="375"/>
        <v>0</v>
      </c>
      <c r="EN144" s="24">
        <f t="shared" si="375"/>
        <v>0</v>
      </c>
      <c r="EO144" s="24">
        <f t="shared" si="375"/>
        <v>0</v>
      </c>
      <c r="EP144" s="24">
        <f t="shared" si="375"/>
        <v>0</v>
      </c>
      <c r="EQ144" s="24">
        <f t="shared" si="375"/>
        <v>0</v>
      </c>
      <c r="ER144" s="24">
        <f t="shared" si="375"/>
        <v>0</v>
      </c>
      <c r="ES144" s="24">
        <f t="shared" si="375"/>
        <v>0</v>
      </c>
      <c r="ET144" s="24">
        <f t="shared" si="375"/>
        <v>0</v>
      </c>
      <c r="EU144" s="24">
        <f t="shared" si="375"/>
        <v>0</v>
      </c>
      <c r="EV144" s="24">
        <f t="shared" si="375"/>
        <v>0</v>
      </c>
      <c r="EW144" s="24">
        <f t="shared" si="375"/>
        <v>0</v>
      </c>
      <c r="EX144" s="24">
        <f t="shared" si="375"/>
        <v>0</v>
      </c>
      <c r="EY144" s="24">
        <f t="shared" si="375"/>
        <v>0</v>
      </c>
      <c r="EZ144" s="24">
        <f t="shared" si="375"/>
        <v>0</v>
      </c>
      <c r="FA144" s="24">
        <f t="shared" si="375"/>
        <v>0</v>
      </c>
      <c r="FB144" s="24">
        <f t="shared" si="375"/>
        <v>0</v>
      </c>
    </row>
    <row r="145" spans="1:158">
      <c r="I145" s="9" t="s">
        <v>146</v>
      </c>
      <c r="L145" s="24">
        <f>SUMIF($Z$4:$FB$4,"&lt;"&amp;$G$18,$Z145:$FB145)</f>
        <v>612880</v>
      </c>
      <c r="M145" s="55"/>
      <c r="N145" s="24">
        <f t="shared" si="371"/>
        <v>0</v>
      </c>
      <c r="O145" s="24">
        <f t="shared" si="371"/>
        <v>306440</v>
      </c>
      <c r="P145" s="24">
        <f t="shared" si="371"/>
        <v>306440</v>
      </c>
      <c r="Q145" s="24">
        <f t="shared" si="371"/>
        <v>0</v>
      </c>
      <c r="R145" s="24">
        <f t="shared" si="371"/>
        <v>0</v>
      </c>
      <c r="S145" s="24">
        <f t="shared" si="371"/>
        <v>0</v>
      </c>
      <c r="T145" s="24">
        <f t="shared" si="371"/>
        <v>0</v>
      </c>
      <c r="U145" s="24">
        <f t="shared" si="371"/>
        <v>0</v>
      </c>
      <c r="V145" s="24">
        <f t="shared" si="371"/>
        <v>0</v>
      </c>
      <c r="W145" s="24">
        <f t="shared" si="371"/>
        <v>0</v>
      </c>
      <c r="X145" s="24">
        <f t="shared" si="371"/>
        <v>0</v>
      </c>
      <c r="Y145" s="55"/>
      <c r="Z145" s="24">
        <f t="shared" ref="Z145:BE145" si="376">IF($B$55=TRUE,0,Z143)*Z140/12</f>
        <v>0</v>
      </c>
      <c r="AA145" s="24">
        <f t="shared" si="376"/>
        <v>25536.666666666668</v>
      </c>
      <c r="AB145" s="24">
        <f t="shared" si="376"/>
        <v>25536.666666666668</v>
      </c>
      <c r="AC145" s="24">
        <f t="shared" si="376"/>
        <v>25536.666666666668</v>
      </c>
      <c r="AD145" s="24">
        <f t="shared" si="376"/>
        <v>25536.666666666668</v>
      </c>
      <c r="AE145" s="24">
        <f t="shared" si="376"/>
        <v>25536.666666666668</v>
      </c>
      <c r="AF145" s="24">
        <f t="shared" si="376"/>
        <v>25536.666666666668</v>
      </c>
      <c r="AG145" s="24">
        <f t="shared" si="376"/>
        <v>25536.666666666668</v>
      </c>
      <c r="AH145" s="24">
        <f t="shared" si="376"/>
        <v>25536.666666666668</v>
      </c>
      <c r="AI145" s="24">
        <f t="shared" si="376"/>
        <v>25536.666666666668</v>
      </c>
      <c r="AJ145" s="24">
        <f t="shared" si="376"/>
        <v>25536.666666666668</v>
      </c>
      <c r="AK145" s="24">
        <f t="shared" si="376"/>
        <v>25536.666666666668</v>
      </c>
      <c r="AL145" s="24">
        <f t="shared" si="376"/>
        <v>25536.666666666668</v>
      </c>
      <c r="AM145" s="24">
        <f t="shared" si="376"/>
        <v>25536.666666666668</v>
      </c>
      <c r="AN145" s="24">
        <f t="shared" si="376"/>
        <v>25536.666666666668</v>
      </c>
      <c r="AO145" s="24">
        <f t="shared" si="376"/>
        <v>25536.666666666668</v>
      </c>
      <c r="AP145" s="24">
        <f t="shared" si="376"/>
        <v>25536.666666666668</v>
      </c>
      <c r="AQ145" s="24">
        <f t="shared" si="376"/>
        <v>25536.666666666668</v>
      </c>
      <c r="AR145" s="24">
        <f t="shared" si="376"/>
        <v>25536.666666666668</v>
      </c>
      <c r="AS145" s="24">
        <f t="shared" si="376"/>
        <v>25536.666666666668</v>
      </c>
      <c r="AT145" s="24">
        <f t="shared" si="376"/>
        <v>25536.666666666668</v>
      </c>
      <c r="AU145" s="24">
        <f t="shared" si="376"/>
        <v>25536.666666666668</v>
      </c>
      <c r="AV145" s="24">
        <f t="shared" si="376"/>
        <v>25536.666666666668</v>
      </c>
      <c r="AW145" s="24">
        <f t="shared" si="376"/>
        <v>25536.666666666668</v>
      </c>
      <c r="AX145" s="24">
        <f t="shared" si="376"/>
        <v>25536.666666666668</v>
      </c>
      <c r="AY145" s="24">
        <f t="shared" si="376"/>
        <v>0</v>
      </c>
      <c r="AZ145" s="24">
        <f t="shared" si="376"/>
        <v>0</v>
      </c>
      <c r="BA145" s="24">
        <f t="shared" si="376"/>
        <v>0</v>
      </c>
      <c r="BB145" s="24">
        <f t="shared" si="376"/>
        <v>0</v>
      </c>
      <c r="BC145" s="24">
        <f t="shared" si="376"/>
        <v>0</v>
      </c>
      <c r="BD145" s="24">
        <f t="shared" si="376"/>
        <v>0</v>
      </c>
      <c r="BE145" s="24">
        <f t="shared" si="376"/>
        <v>0</v>
      </c>
      <c r="BF145" s="24">
        <f t="shared" ref="BF145:CK145" si="377">IF($B$55=TRUE,0,BF143)*BF140/12</f>
        <v>0</v>
      </c>
      <c r="BG145" s="24">
        <f t="shared" si="377"/>
        <v>0</v>
      </c>
      <c r="BH145" s="24">
        <f t="shared" si="377"/>
        <v>0</v>
      </c>
      <c r="BI145" s="24">
        <f t="shared" si="377"/>
        <v>0</v>
      </c>
      <c r="BJ145" s="24">
        <f t="shared" si="377"/>
        <v>0</v>
      </c>
      <c r="BK145" s="24">
        <f t="shared" si="377"/>
        <v>0</v>
      </c>
      <c r="BL145" s="24">
        <f t="shared" si="377"/>
        <v>0</v>
      </c>
      <c r="BM145" s="24">
        <f t="shared" si="377"/>
        <v>0</v>
      </c>
      <c r="BN145" s="24">
        <f t="shared" si="377"/>
        <v>0</v>
      </c>
      <c r="BO145" s="24">
        <f t="shared" si="377"/>
        <v>0</v>
      </c>
      <c r="BP145" s="24">
        <f t="shared" si="377"/>
        <v>0</v>
      </c>
      <c r="BQ145" s="24">
        <f t="shared" si="377"/>
        <v>0</v>
      </c>
      <c r="BR145" s="24">
        <f t="shared" si="377"/>
        <v>0</v>
      </c>
      <c r="BS145" s="24">
        <f t="shared" si="377"/>
        <v>0</v>
      </c>
      <c r="BT145" s="24">
        <f t="shared" si="377"/>
        <v>0</v>
      </c>
      <c r="BU145" s="24">
        <f t="shared" si="377"/>
        <v>0</v>
      </c>
      <c r="BV145" s="24">
        <f t="shared" si="377"/>
        <v>0</v>
      </c>
      <c r="BW145" s="24">
        <f t="shared" si="377"/>
        <v>0</v>
      </c>
      <c r="BX145" s="24">
        <f t="shared" si="377"/>
        <v>0</v>
      </c>
      <c r="BY145" s="24">
        <f t="shared" si="377"/>
        <v>0</v>
      </c>
      <c r="BZ145" s="24">
        <f t="shared" si="377"/>
        <v>0</v>
      </c>
      <c r="CA145" s="24">
        <f t="shared" si="377"/>
        <v>0</v>
      </c>
      <c r="CB145" s="24">
        <f t="shared" si="377"/>
        <v>0</v>
      </c>
      <c r="CC145" s="24">
        <f t="shared" si="377"/>
        <v>0</v>
      </c>
      <c r="CD145" s="24">
        <f t="shared" si="377"/>
        <v>0</v>
      </c>
      <c r="CE145" s="24">
        <f t="shared" si="377"/>
        <v>0</v>
      </c>
      <c r="CF145" s="24">
        <f t="shared" si="377"/>
        <v>0</v>
      </c>
      <c r="CG145" s="24">
        <f t="shared" si="377"/>
        <v>0</v>
      </c>
      <c r="CH145" s="24">
        <f t="shared" si="377"/>
        <v>0</v>
      </c>
      <c r="CI145" s="24">
        <f t="shared" si="377"/>
        <v>0</v>
      </c>
      <c r="CJ145" s="24">
        <f t="shared" si="377"/>
        <v>0</v>
      </c>
      <c r="CK145" s="24">
        <f t="shared" si="377"/>
        <v>0</v>
      </c>
      <c r="CL145" s="24">
        <f t="shared" ref="CL145:DQ145" si="378">IF($B$55=TRUE,0,CL143)*CL140/12</f>
        <v>0</v>
      </c>
      <c r="CM145" s="24">
        <f t="shared" si="378"/>
        <v>0</v>
      </c>
      <c r="CN145" s="24">
        <f t="shared" si="378"/>
        <v>0</v>
      </c>
      <c r="CO145" s="24">
        <f t="shared" si="378"/>
        <v>0</v>
      </c>
      <c r="CP145" s="24">
        <f t="shared" si="378"/>
        <v>0</v>
      </c>
      <c r="CQ145" s="24">
        <f t="shared" si="378"/>
        <v>0</v>
      </c>
      <c r="CR145" s="24">
        <f t="shared" si="378"/>
        <v>0</v>
      </c>
      <c r="CS145" s="24">
        <f t="shared" si="378"/>
        <v>0</v>
      </c>
      <c r="CT145" s="24">
        <f t="shared" si="378"/>
        <v>0</v>
      </c>
      <c r="CU145" s="24">
        <f t="shared" si="378"/>
        <v>0</v>
      </c>
      <c r="CV145" s="24">
        <f t="shared" si="378"/>
        <v>0</v>
      </c>
      <c r="CW145" s="24">
        <f t="shared" si="378"/>
        <v>0</v>
      </c>
      <c r="CX145" s="24">
        <f t="shared" si="378"/>
        <v>0</v>
      </c>
      <c r="CY145" s="24">
        <f t="shared" si="378"/>
        <v>0</v>
      </c>
      <c r="CZ145" s="24">
        <f t="shared" si="378"/>
        <v>0</v>
      </c>
      <c r="DA145" s="24">
        <f t="shared" si="378"/>
        <v>0</v>
      </c>
      <c r="DB145" s="24">
        <f t="shared" si="378"/>
        <v>0</v>
      </c>
      <c r="DC145" s="24">
        <f t="shared" si="378"/>
        <v>0</v>
      </c>
      <c r="DD145" s="24">
        <f t="shared" si="378"/>
        <v>0</v>
      </c>
      <c r="DE145" s="24">
        <f t="shared" si="378"/>
        <v>0</v>
      </c>
      <c r="DF145" s="24">
        <f t="shared" si="378"/>
        <v>0</v>
      </c>
      <c r="DG145" s="24">
        <f t="shared" si="378"/>
        <v>0</v>
      </c>
      <c r="DH145" s="24">
        <f t="shared" si="378"/>
        <v>0</v>
      </c>
      <c r="DI145" s="24">
        <f t="shared" si="378"/>
        <v>0</v>
      </c>
      <c r="DJ145" s="24">
        <f t="shared" si="378"/>
        <v>0</v>
      </c>
      <c r="DK145" s="24">
        <f t="shared" si="378"/>
        <v>0</v>
      </c>
      <c r="DL145" s="24">
        <f t="shared" si="378"/>
        <v>0</v>
      </c>
      <c r="DM145" s="24">
        <f t="shared" si="378"/>
        <v>0</v>
      </c>
      <c r="DN145" s="24">
        <f t="shared" si="378"/>
        <v>0</v>
      </c>
      <c r="DO145" s="24">
        <f t="shared" si="378"/>
        <v>0</v>
      </c>
      <c r="DP145" s="24">
        <f t="shared" si="378"/>
        <v>0</v>
      </c>
      <c r="DQ145" s="24">
        <f t="shared" si="378"/>
        <v>0</v>
      </c>
      <c r="DR145" s="24">
        <f t="shared" ref="DR145:FB145" si="379">IF($B$55=TRUE,0,DR143)*DR140/12</f>
        <v>0</v>
      </c>
      <c r="DS145" s="24">
        <f t="shared" si="379"/>
        <v>0</v>
      </c>
      <c r="DT145" s="24">
        <f t="shared" si="379"/>
        <v>0</v>
      </c>
      <c r="DU145" s="24">
        <f t="shared" si="379"/>
        <v>0</v>
      </c>
      <c r="DV145" s="24">
        <f t="shared" si="379"/>
        <v>0</v>
      </c>
      <c r="DW145" s="24">
        <f t="shared" si="379"/>
        <v>0</v>
      </c>
      <c r="DX145" s="24">
        <f t="shared" si="379"/>
        <v>0</v>
      </c>
      <c r="DY145" s="24">
        <f t="shared" si="379"/>
        <v>0</v>
      </c>
      <c r="DZ145" s="24">
        <f t="shared" si="379"/>
        <v>0</v>
      </c>
      <c r="EA145" s="24">
        <f t="shared" si="379"/>
        <v>0</v>
      </c>
      <c r="EB145" s="24">
        <f t="shared" si="379"/>
        <v>0</v>
      </c>
      <c r="EC145" s="24">
        <f t="shared" si="379"/>
        <v>0</v>
      </c>
      <c r="ED145" s="24">
        <f t="shared" si="379"/>
        <v>0</v>
      </c>
      <c r="EE145" s="24">
        <f t="shared" si="379"/>
        <v>0</v>
      </c>
      <c r="EF145" s="24">
        <f t="shared" si="379"/>
        <v>0</v>
      </c>
      <c r="EG145" s="24">
        <f t="shared" si="379"/>
        <v>0</v>
      </c>
      <c r="EH145" s="24">
        <f t="shared" si="379"/>
        <v>0</v>
      </c>
      <c r="EI145" s="24">
        <f t="shared" si="379"/>
        <v>0</v>
      </c>
      <c r="EJ145" s="24">
        <f t="shared" si="379"/>
        <v>0</v>
      </c>
      <c r="EK145" s="24">
        <f t="shared" si="379"/>
        <v>0</v>
      </c>
      <c r="EL145" s="24">
        <f t="shared" si="379"/>
        <v>0</v>
      </c>
      <c r="EM145" s="24">
        <f t="shared" si="379"/>
        <v>0</v>
      </c>
      <c r="EN145" s="24">
        <f t="shared" si="379"/>
        <v>0</v>
      </c>
      <c r="EO145" s="24">
        <f t="shared" si="379"/>
        <v>0</v>
      </c>
      <c r="EP145" s="24">
        <f t="shared" si="379"/>
        <v>0</v>
      </c>
      <c r="EQ145" s="24">
        <f t="shared" si="379"/>
        <v>0</v>
      </c>
      <c r="ER145" s="24">
        <f t="shared" si="379"/>
        <v>0</v>
      </c>
      <c r="ES145" s="24">
        <f t="shared" si="379"/>
        <v>0</v>
      </c>
      <c r="ET145" s="24">
        <f t="shared" si="379"/>
        <v>0</v>
      </c>
      <c r="EU145" s="24">
        <f t="shared" si="379"/>
        <v>0</v>
      </c>
      <c r="EV145" s="24">
        <f t="shared" si="379"/>
        <v>0</v>
      </c>
      <c r="EW145" s="24">
        <f t="shared" si="379"/>
        <v>0</v>
      </c>
      <c r="EX145" s="24">
        <f t="shared" si="379"/>
        <v>0</v>
      </c>
      <c r="EY145" s="24">
        <f t="shared" si="379"/>
        <v>0</v>
      </c>
      <c r="EZ145" s="24">
        <f t="shared" si="379"/>
        <v>0</v>
      </c>
      <c r="FA145" s="24">
        <f t="shared" si="379"/>
        <v>0</v>
      </c>
      <c r="FB145" s="24">
        <f t="shared" si="379"/>
        <v>0</v>
      </c>
    </row>
    <row r="146" spans="1:158">
      <c r="I146" s="9" t="s">
        <v>147</v>
      </c>
      <c r="L146" s="24">
        <f>SUMIF($Z$4:$FB$4,"&lt;"&amp;$G$18,$Z146:$FB146)</f>
        <v>-612880</v>
      </c>
      <c r="M146" s="55"/>
      <c r="N146" s="24">
        <f t="shared" si="371"/>
        <v>0</v>
      </c>
      <c r="O146" s="24">
        <f t="shared" si="371"/>
        <v>-306440</v>
      </c>
      <c r="P146" s="24">
        <f t="shared" si="371"/>
        <v>-306440</v>
      </c>
      <c r="Q146" s="24">
        <f t="shared" si="371"/>
        <v>0</v>
      </c>
      <c r="R146" s="24">
        <f t="shared" si="371"/>
        <v>0</v>
      </c>
      <c r="S146" s="24">
        <f t="shared" si="371"/>
        <v>0</v>
      </c>
      <c r="T146" s="24">
        <f t="shared" si="371"/>
        <v>0</v>
      </c>
      <c r="U146" s="24">
        <f t="shared" si="371"/>
        <v>0</v>
      </c>
      <c r="V146" s="24">
        <f t="shared" si="371"/>
        <v>0</v>
      </c>
      <c r="W146" s="24">
        <f t="shared" si="371"/>
        <v>0</v>
      </c>
      <c r="X146" s="24">
        <f t="shared" si="371"/>
        <v>0</v>
      </c>
      <c r="Y146" s="55"/>
      <c r="Z146" s="24">
        <f t="shared" ref="Z146:BE146" si="380">-MIN(Z145,Z67*(Z67&gt;0))*(Z4&gt;0)</f>
        <v>0</v>
      </c>
      <c r="AA146" s="24">
        <f t="shared" si="380"/>
        <v>-25536.666666666668</v>
      </c>
      <c r="AB146" s="24">
        <f t="shared" si="380"/>
        <v>-25536.666666666668</v>
      </c>
      <c r="AC146" s="24">
        <f t="shared" si="380"/>
        <v>-25536.666666666668</v>
      </c>
      <c r="AD146" s="24">
        <f t="shared" si="380"/>
        <v>-25536.666666666668</v>
      </c>
      <c r="AE146" s="24">
        <f t="shared" si="380"/>
        <v>-25536.666666666668</v>
      </c>
      <c r="AF146" s="24">
        <f t="shared" si="380"/>
        <v>-25536.666666666668</v>
      </c>
      <c r="AG146" s="24">
        <f t="shared" si="380"/>
        <v>-25536.666666666668</v>
      </c>
      <c r="AH146" s="24">
        <f t="shared" si="380"/>
        <v>-25536.666666666668</v>
      </c>
      <c r="AI146" s="24">
        <f t="shared" si="380"/>
        <v>-25536.666666666668</v>
      </c>
      <c r="AJ146" s="24">
        <f t="shared" si="380"/>
        <v>-25536.666666666668</v>
      </c>
      <c r="AK146" s="24">
        <f t="shared" si="380"/>
        <v>-25536.666666666668</v>
      </c>
      <c r="AL146" s="24">
        <f t="shared" si="380"/>
        <v>-25536.666666666668</v>
      </c>
      <c r="AM146" s="24">
        <f t="shared" si="380"/>
        <v>-25536.666666666668</v>
      </c>
      <c r="AN146" s="24">
        <f t="shared" si="380"/>
        <v>-25536.666666666668</v>
      </c>
      <c r="AO146" s="24">
        <f t="shared" si="380"/>
        <v>-25536.666666666668</v>
      </c>
      <c r="AP146" s="24">
        <f t="shared" si="380"/>
        <v>-25536.666666666668</v>
      </c>
      <c r="AQ146" s="24">
        <f t="shared" si="380"/>
        <v>-25536.666666666668</v>
      </c>
      <c r="AR146" s="24">
        <f t="shared" si="380"/>
        <v>-25536.666666666668</v>
      </c>
      <c r="AS146" s="24">
        <f t="shared" si="380"/>
        <v>-25536.666666666668</v>
      </c>
      <c r="AT146" s="24">
        <f t="shared" si="380"/>
        <v>-25536.666666666668</v>
      </c>
      <c r="AU146" s="24">
        <f t="shared" si="380"/>
        <v>-25536.666666666668</v>
      </c>
      <c r="AV146" s="24">
        <f t="shared" si="380"/>
        <v>-25536.666666666668</v>
      </c>
      <c r="AW146" s="24">
        <f t="shared" si="380"/>
        <v>-25536.666666666668</v>
      </c>
      <c r="AX146" s="24">
        <f t="shared" si="380"/>
        <v>-25536.666666666668</v>
      </c>
      <c r="AY146" s="24">
        <f t="shared" si="380"/>
        <v>0</v>
      </c>
      <c r="AZ146" s="24">
        <f t="shared" si="380"/>
        <v>0</v>
      </c>
      <c r="BA146" s="24">
        <f t="shared" si="380"/>
        <v>0</v>
      </c>
      <c r="BB146" s="24">
        <f t="shared" si="380"/>
        <v>0</v>
      </c>
      <c r="BC146" s="24">
        <f t="shared" si="380"/>
        <v>0</v>
      </c>
      <c r="BD146" s="24">
        <f t="shared" si="380"/>
        <v>0</v>
      </c>
      <c r="BE146" s="24">
        <f t="shared" si="380"/>
        <v>0</v>
      </c>
      <c r="BF146" s="24">
        <f t="shared" ref="BF146:CK146" si="381">-MIN(BF145,BF67*(BF67&gt;0))*(BF4&gt;0)</f>
        <v>0</v>
      </c>
      <c r="BG146" s="24">
        <f t="shared" si="381"/>
        <v>0</v>
      </c>
      <c r="BH146" s="24">
        <f t="shared" si="381"/>
        <v>0</v>
      </c>
      <c r="BI146" s="24">
        <f t="shared" si="381"/>
        <v>0</v>
      </c>
      <c r="BJ146" s="24">
        <f t="shared" si="381"/>
        <v>0</v>
      </c>
      <c r="BK146" s="24">
        <f t="shared" si="381"/>
        <v>0</v>
      </c>
      <c r="BL146" s="24">
        <f t="shared" si="381"/>
        <v>0</v>
      </c>
      <c r="BM146" s="24">
        <f t="shared" si="381"/>
        <v>0</v>
      </c>
      <c r="BN146" s="24">
        <f t="shared" si="381"/>
        <v>0</v>
      </c>
      <c r="BO146" s="24">
        <f t="shared" si="381"/>
        <v>0</v>
      </c>
      <c r="BP146" s="24">
        <f t="shared" si="381"/>
        <v>0</v>
      </c>
      <c r="BQ146" s="24">
        <f t="shared" si="381"/>
        <v>0</v>
      </c>
      <c r="BR146" s="24">
        <f t="shared" si="381"/>
        <v>0</v>
      </c>
      <c r="BS146" s="24">
        <f t="shared" si="381"/>
        <v>0</v>
      </c>
      <c r="BT146" s="24">
        <f t="shared" si="381"/>
        <v>0</v>
      </c>
      <c r="BU146" s="24">
        <f t="shared" si="381"/>
        <v>0</v>
      </c>
      <c r="BV146" s="24">
        <f t="shared" si="381"/>
        <v>0</v>
      </c>
      <c r="BW146" s="24">
        <f t="shared" si="381"/>
        <v>0</v>
      </c>
      <c r="BX146" s="24">
        <f t="shared" si="381"/>
        <v>0</v>
      </c>
      <c r="BY146" s="24">
        <f t="shared" si="381"/>
        <v>0</v>
      </c>
      <c r="BZ146" s="24">
        <f t="shared" si="381"/>
        <v>0</v>
      </c>
      <c r="CA146" s="24">
        <f t="shared" si="381"/>
        <v>0</v>
      </c>
      <c r="CB146" s="24">
        <f t="shared" si="381"/>
        <v>0</v>
      </c>
      <c r="CC146" s="24">
        <f t="shared" si="381"/>
        <v>0</v>
      </c>
      <c r="CD146" s="24">
        <f t="shared" si="381"/>
        <v>0</v>
      </c>
      <c r="CE146" s="24">
        <f t="shared" si="381"/>
        <v>0</v>
      </c>
      <c r="CF146" s="24">
        <f t="shared" si="381"/>
        <v>0</v>
      </c>
      <c r="CG146" s="24">
        <f t="shared" si="381"/>
        <v>0</v>
      </c>
      <c r="CH146" s="24">
        <f t="shared" si="381"/>
        <v>0</v>
      </c>
      <c r="CI146" s="24">
        <f t="shared" si="381"/>
        <v>0</v>
      </c>
      <c r="CJ146" s="24">
        <f t="shared" si="381"/>
        <v>0</v>
      </c>
      <c r="CK146" s="24">
        <f t="shared" si="381"/>
        <v>0</v>
      </c>
      <c r="CL146" s="24">
        <f t="shared" ref="CL146:DQ146" si="382">-MIN(CL145,CL67*(CL67&gt;0))*(CL4&gt;0)</f>
        <v>0</v>
      </c>
      <c r="CM146" s="24">
        <f t="shared" si="382"/>
        <v>0</v>
      </c>
      <c r="CN146" s="24">
        <f t="shared" si="382"/>
        <v>0</v>
      </c>
      <c r="CO146" s="24">
        <f t="shared" si="382"/>
        <v>0</v>
      </c>
      <c r="CP146" s="24">
        <f t="shared" si="382"/>
        <v>0</v>
      </c>
      <c r="CQ146" s="24">
        <f t="shared" si="382"/>
        <v>0</v>
      </c>
      <c r="CR146" s="24">
        <f t="shared" si="382"/>
        <v>0</v>
      </c>
      <c r="CS146" s="24">
        <f t="shared" si="382"/>
        <v>0</v>
      </c>
      <c r="CT146" s="24">
        <f t="shared" si="382"/>
        <v>0</v>
      </c>
      <c r="CU146" s="24">
        <f t="shared" si="382"/>
        <v>0</v>
      </c>
      <c r="CV146" s="24">
        <f t="shared" si="382"/>
        <v>0</v>
      </c>
      <c r="CW146" s="24">
        <f t="shared" si="382"/>
        <v>0</v>
      </c>
      <c r="CX146" s="24">
        <f t="shared" si="382"/>
        <v>0</v>
      </c>
      <c r="CY146" s="24">
        <f t="shared" si="382"/>
        <v>0</v>
      </c>
      <c r="CZ146" s="24">
        <f t="shared" si="382"/>
        <v>0</v>
      </c>
      <c r="DA146" s="24">
        <f t="shared" si="382"/>
        <v>0</v>
      </c>
      <c r="DB146" s="24">
        <f t="shared" si="382"/>
        <v>0</v>
      </c>
      <c r="DC146" s="24">
        <f t="shared" si="382"/>
        <v>0</v>
      </c>
      <c r="DD146" s="24">
        <f t="shared" si="382"/>
        <v>0</v>
      </c>
      <c r="DE146" s="24">
        <f t="shared" si="382"/>
        <v>0</v>
      </c>
      <c r="DF146" s="24">
        <f t="shared" si="382"/>
        <v>0</v>
      </c>
      <c r="DG146" s="24">
        <f t="shared" si="382"/>
        <v>0</v>
      </c>
      <c r="DH146" s="24">
        <f t="shared" si="382"/>
        <v>0</v>
      </c>
      <c r="DI146" s="24">
        <f t="shared" si="382"/>
        <v>0</v>
      </c>
      <c r="DJ146" s="24">
        <f t="shared" si="382"/>
        <v>0</v>
      </c>
      <c r="DK146" s="24">
        <f t="shared" si="382"/>
        <v>0</v>
      </c>
      <c r="DL146" s="24">
        <f t="shared" si="382"/>
        <v>0</v>
      </c>
      <c r="DM146" s="24">
        <f t="shared" si="382"/>
        <v>0</v>
      </c>
      <c r="DN146" s="24">
        <f t="shared" si="382"/>
        <v>0</v>
      </c>
      <c r="DO146" s="24">
        <f t="shared" si="382"/>
        <v>0</v>
      </c>
      <c r="DP146" s="24">
        <f t="shared" si="382"/>
        <v>0</v>
      </c>
      <c r="DQ146" s="24">
        <f t="shared" si="382"/>
        <v>0</v>
      </c>
      <c r="DR146" s="24">
        <f t="shared" ref="DR146:EW146" si="383">-MIN(DR145,DR67*(DR67&gt;0))*(DR4&gt;0)</f>
        <v>0</v>
      </c>
      <c r="DS146" s="24">
        <f t="shared" si="383"/>
        <v>0</v>
      </c>
      <c r="DT146" s="24">
        <f t="shared" si="383"/>
        <v>0</v>
      </c>
      <c r="DU146" s="24">
        <f t="shared" si="383"/>
        <v>0</v>
      </c>
      <c r="DV146" s="24">
        <f t="shared" si="383"/>
        <v>0</v>
      </c>
      <c r="DW146" s="24">
        <f t="shared" si="383"/>
        <v>0</v>
      </c>
      <c r="DX146" s="24">
        <f t="shared" si="383"/>
        <v>0</v>
      </c>
      <c r="DY146" s="24">
        <f t="shared" si="383"/>
        <v>0</v>
      </c>
      <c r="DZ146" s="24">
        <f t="shared" si="383"/>
        <v>0</v>
      </c>
      <c r="EA146" s="24">
        <f t="shared" si="383"/>
        <v>0</v>
      </c>
      <c r="EB146" s="24">
        <f t="shared" si="383"/>
        <v>0</v>
      </c>
      <c r="EC146" s="24">
        <f t="shared" si="383"/>
        <v>0</v>
      </c>
      <c r="ED146" s="24">
        <f t="shared" si="383"/>
        <v>0</v>
      </c>
      <c r="EE146" s="24">
        <f t="shared" si="383"/>
        <v>0</v>
      </c>
      <c r="EF146" s="24">
        <f t="shared" si="383"/>
        <v>0</v>
      </c>
      <c r="EG146" s="24">
        <f t="shared" si="383"/>
        <v>0</v>
      </c>
      <c r="EH146" s="24">
        <f t="shared" si="383"/>
        <v>0</v>
      </c>
      <c r="EI146" s="24">
        <f t="shared" si="383"/>
        <v>0</v>
      </c>
      <c r="EJ146" s="24">
        <f t="shared" si="383"/>
        <v>0</v>
      </c>
      <c r="EK146" s="24">
        <f t="shared" si="383"/>
        <v>0</v>
      </c>
      <c r="EL146" s="24">
        <f t="shared" si="383"/>
        <v>0</v>
      </c>
      <c r="EM146" s="24">
        <f t="shared" si="383"/>
        <v>0</v>
      </c>
      <c r="EN146" s="24">
        <f t="shared" si="383"/>
        <v>0</v>
      </c>
      <c r="EO146" s="24">
        <f t="shared" si="383"/>
        <v>0</v>
      </c>
      <c r="EP146" s="24">
        <f t="shared" si="383"/>
        <v>0</v>
      </c>
      <c r="EQ146" s="24">
        <f t="shared" si="383"/>
        <v>0</v>
      </c>
      <c r="ER146" s="24">
        <f t="shared" si="383"/>
        <v>0</v>
      </c>
      <c r="ES146" s="24">
        <f t="shared" si="383"/>
        <v>0</v>
      </c>
      <c r="ET146" s="24">
        <f t="shared" si="383"/>
        <v>0</v>
      </c>
      <c r="EU146" s="24">
        <f t="shared" si="383"/>
        <v>0</v>
      </c>
      <c r="EV146" s="24">
        <f t="shared" si="383"/>
        <v>0</v>
      </c>
      <c r="EW146" s="24">
        <f t="shared" si="383"/>
        <v>0</v>
      </c>
      <c r="EX146" s="24">
        <f t="shared" ref="EX146:FB146" si="384">-MIN(EX145,EX67*(EX67&gt;0))*(EX4&gt;0)</f>
        <v>0</v>
      </c>
      <c r="EY146" s="24">
        <f t="shared" si="384"/>
        <v>0</v>
      </c>
      <c r="EZ146" s="24">
        <f t="shared" si="384"/>
        <v>0</v>
      </c>
      <c r="FA146" s="24">
        <f t="shared" si="384"/>
        <v>0</v>
      </c>
      <c r="FB146" s="24">
        <f t="shared" si="384"/>
        <v>0</v>
      </c>
    </row>
    <row r="147" spans="1:158" s="11" customFormat="1">
      <c r="A147" s="9"/>
      <c r="B147" s="9"/>
      <c r="C147" s="9"/>
      <c r="D147" s="9"/>
      <c r="E147" s="9"/>
      <c r="F147" s="9"/>
      <c r="G147" s="9"/>
      <c r="I147" s="9" t="s">
        <v>156</v>
      </c>
      <c r="J147" s="9"/>
      <c r="L147" s="24">
        <f>SUMIF($Z$4:$FB$4,"&lt;"&amp;$G$18,$Z147:$FB147)</f>
        <v>0</v>
      </c>
      <c r="M147" s="55"/>
      <c r="N147" s="24">
        <f t="shared" si="371"/>
        <v>0</v>
      </c>
      <c r="O147" s="24">
        <f t="shared" si="371"/>
        <v>0</v>
      </c>
      <c r="P147" s="24">
        <f t="shared" si="371"/>
        <v>0</v>
      </c>
      <c r="Q147" s="24">
        <f t="shared" si="371"/>
        <v>0</v>
      </c>
      <c r="R147" s="24">
        <f t="shared" si="371"/>
        <v>0</v>
      </c>
      <c r="S147" s="24">
        <f t="shared" si="371"/>
        <v>0</v>
      </c>
      <c r="T147" s="24">
        <f t="shared" si="371"/>
        <v>0</v>
      </c>
      <c r="U147" s="24">
        <f t="shared" si="371"/>
        <v>0</v>
      </c>
      <c r="V147" s="24">
        <f t="shared" si="371"/>
        <v>0</v>
      </c>
      <c r="W147" s="24">
        <f t="shared" si="371"/>
        <v>0</v>
      </c>
      <c r="X147" s="24">
        <f t="shared" si="371"/>
        <v>0</v>
      </c>
      <c r="Y147" s="55"/>
      <c r="Z147" s="24">
        <f t="shared" ref="Z147:BE147" si="385">IF(AND(Z6&gt;=EOMONTH($D$15,$C$50),Z6&lt;=$D$17),-($D$50+Z146),0)*(Z4&gt;0)</f>
        <v>0</v>
      </c>
      <c r="AA147" s="24">
        <f t="shared" si="385"/>
        <v>0</v>
      </c>
      <c r="AB147" s="24">
        <f t="shared" si="385"/>
        <v>0</v>
      </c>
      <c r="AC147" s="24">
        <f t="shared" si="385"/>
        <v>0</v>
      </c>
      <c r="AD147" s="24">
        <f t="shared" si="385"/>
        <v>0</v>
      </c>
      <c r="AE147" s="24">
        <f t="shared" si="385"/>
        <v>0</v>
      </c>
      <c r="AF147" s="24">
        <f t="shared" si="385"/>
        <v>0</v>
      </c>
      <c r="AG147" s="24">
        <f t="shared" si="385"/>
        <v>0</v>
      </c>
      <c r="AH147" s="24">
        <f t="shared" si="385"/>
        <v>0</v>
      </c>
      <c r="AI147" s="24">
        <f t="shared" si="385"/>
        <v>0</v>
      </c>
      <c r="AJ147" s="24">
        <f t="shared" si="385"/>
        <v>0</v>
      </c>
      <c r="AK147" s="24">
        <f t="shared" si="385"/>
        <v>0</v>
      </c>
      <c r="AL147" s="24">
        <f t="shared" si="385"/>
        <v>0</v>
      </c>
      <c r="AM147" s="24">
        <f t="shared" si="385"/>
        <v>0</v>
      </c>
      <c r="AN147" s="24">
        <f t="shared" si="385"/>
        <v>0</v>
      </c>
      <c r="AO147" s="24">
        <f t="shared" si="385"/>
        <v>0</v>
      </c>
      <c r="AP147" s="24">
        <f t="shared" si="385"/>
        <v>0</v>
      </c>
      <c r="AQ147" s="24">
        <f t="shared" si="385"/>
        <v>0</v>
      </c>
      <c r="AR147" s="24">
        <f t="shared" si="385"/>
        <v>0</v>
      </c>
      <c r="AS147" s="24">
        <f t="shared" si="385"/>
        <v>0</v>
      </c>
      <c r="AT147" s="24">
        <f t="shared" si="385"/>
        <v>0</v>
      </c>
      <c r="AU147" s="24">
        <f t="shared" si="385"/>
        <v>0</v>
      </c>
      <c r="AV147" s="24">
        <f t="shared" si="385"/>
        <v>0</v>
      </c>
      <c r="AW147" s="24">
        <f t="shared" si="385"/>
        <v>0</v>
      </c>
      <c r="AX147" s="24">
        <f t="shared" si="385"/>
        <v>0</v>
      </c>
      <c r="AY147" s="24">
        <f t="shared" si="385"/>
        <v>0</v>
      </c>
      <c r="AZ147" s="24">
        <f t="shared" si="385"/>
        <v>0</v>
      </c>
      <c r="BA147" s="24">
        <f t="shared" si="385"/>
        <v>0</v>
      </c>
      <c r="BB147" s="24">
        <f t="shared" si="385"/>
        <v>0</v>
      </c>
      <c r="BC147" s="24">
        <f t="shared" si="385"/>
        <v>0</v>
      </c>
      <c r="BD147" s="24">
        <f t="shared" si="385"/>
        <v>0</v>
      </c>
      <c r="BE147" s="24">
        <f t="shared" si="385"/>
        <v>0</v>
      </c>
      <c r="BF147" s="24">
        <f t="shared" ref="BF147:CK147" si="386">IF(AND(BF6&gt;=EOMONTH($D$15,$C$50),BF6&lt;=$D$17),-($D$50+BF146),0)*(BF4&gt;0)</f>
        <v>0</v>
      </c>
      <c r="BG147" s="24">
        <f t="shared" si="386"/>
        <v>0</v>
      </c>
      <c r="BH147" s="24">
        <f t="shared" si="386"/>
        <v>0</v>
      </c>
      <c r="BI147" s="24">
        <f t="shared" si="386"/>
        <v>0</v>
      </c>
      <c r="BJ147" s="24">
        <f t="shared" si="386"/>
        <v>0</v>
      </c>
      <c r="BK147" s="24">
        <f t="shared" si="386"/>
        <v>0</v>
      </c>
      <c r="BL147" s="24">
        <f t="shared" si="386"/>
        <v>0</v>
      </c>
      <c r="BM147" s="24">
        <f t="shared" si="386"/>
        <v>0</v>
      </c>
      <c r="BN147" s="24">
        <f t="shared" si="386"/>
        <v>0</v>
      </c>
      <c r="BO147" s="24">
        <f t="shared" si="386"/>
        <v>0</v>
      </c>
      <c r="BP147" s="24">
        <f t="shared" si="386"/>
        <v>0</v>
      </c>
      <c r="BQ147" s="24">
        <f t="shared" si="386"/>
        <v>0</v>
      </c>
      <c r="BR147" s="24">
        <f t="shared" si="386"/>
        <v>0</v>
      </c>
      <c r="BS147" s="24">
        <f t="shared" si="386"/>
        <v>0</v>
      </c>
      <c r="BT147" s="24">
        <f t="shared" si="386"/>
        <v>0</v>
      </c>
      <c r="BU147" s="24">
        <f t="shared" si="386"/>
        <v>0</v>
      </c>
      <c r="BV147" s="24">
        <f t="shared" si="386"/>
        <v>0</v>
      </c>
      <c r="BW147" s="24">
        <f t="shared" si="386"/>
        <v>0</v>
      </c>
      <c r="BX147" s="24">
        <f t="shared" si="386"/>
        <v>0</v>
      </c>
      <c r="BY147" s="24">
        <f t="shared" si="386"/>
        <v>0</v>
      </c>
      <c r="BZ147" s="24">
        <f t="shared" si="386"/>
        <v>0</v>
      </c>
      <c r="CA147" s="24">
        <f t="shared" si="386"/>
        <v>0</v>
      </c>
      <c r="CB147" s="24">
        <f t="shared" si="386"/>
        <v>0</v>
      </c>
      <c r="CC147" s="24">
        <f t="shared" si="386"/>
        <v>0</v>
      </c>
      <c r="CD147" s="24">
        <f t="shared" si="386"/>
        <v>0</v>
      </c>
      <c r="CE147" s="24">
        <f t="shared" si="386"/>
        <v>0</v>
      </c>
      <c r="CF147" s="24">
        <f t="shared" si="386"/>
        <v>0</v>
      </c>
      <c r="CG147" s="24">
        <f t="shared" si="386"/>
        <v>0</v>
      </c>
      <c r="CH147" s="24">
        <f t="shared" si="386"/>
        <v>0</v>
      </c>
      <c r="CI147" s="24">
        <f t="shared" si="386"/>
        <v>0</v>
      </c>
      <c r="CJ147" s="24">
        <f t="shared" si="386"/>
        <v>0</v>
      </c>
      <c r="CK147" s="24">
        <f t="shared" si="386"/>
        <v>0</v>
      </c>
      <c r="CL147" s="24">
        <f t="shared" ref="CL147:DQ147" si="387">IF(AND(CL6&gt;=EOMONTH($D$15,$C$50),CL6&lt;=$D$17),-($D$50+CL146),0)*(CL4&gt;0)</f>
        <v>0</v>
      </c>
      <c r="CM147" s="24">
        <f t="shared" si="387"/>
        <v>0</v>
      </c>
      <c r="CN147" s="24">
        <f t="shared" si="387"/>
        <v>0</v>
      </c>
      <c r="CO147" s="24">
        <f t="shared" si="387"/>
        <v>0</v>
      </c>
      <c r="CP147" s="24">
        <f t="shared" si="387"/>
        <v>0</v>
      </c>
      <c r="CQ147" s="24">
        <f t="shared" si="387"/>
        <v>0</v>
      </c>
      <c r="CR147" s="24">
        <f t="shared" si="387"/>
        <v>0</v>
      </c>
      <c r="CS147" s="24">
        <f t="shared" si="387"/>
        <v>0</v>
      </c>
      <c r="CT147" s="24">
        <f t="shared" si="387"/>
        <v>0</v>
      </c>
      <c r="CU147" s="24">
        <f t="shared" si="387"/>
        <v>0</v>
      </c>
      <c r="CV147" s="24">
        <f t="shared" si="387"/>
        <v>0</v>
      </c>
      <c r="CW147" s="24">
        <f t="shared" si="387"/>
        <v>0</v>
      </c>
      <c r="CX147" s="24">
        <f t="shared" si="387"/>
        <v>0</v>
      </c>
      <c r="CY147" s="24">
        <f t="shared" si="387"/>
        <v>0</v>
      </c>
      <c r="CZ147" s="24">
        <f t="shared" si="387"/>
        <v>0</v>
      </c>
      <c r="DA147" s="24">
        <f t="shared" si="387"/>
        <v>0</v>
      </c>
      <c r="DB147" s="24">
        <f t="shared" si="387"/>
        <v>0</v>
      </c>
      <c r="DC147" s="24">
        <f t="shared" si="387"/>
        <v>0</v>
      </c>
      <c r="DD147" s="24">
        <f t="shared" si="387"/>
        <v>0</v>
      </c>
      <c r="DE147" s="24">
        <f t="shared" si="387"/>
        <v>0</v>
      </c>
      <c r="DF147" s="24">
        <f t="shared" si="387"/>
        <v>0</v>
      </c>
      <c r="DG147" s="24">
        <f t="shared" si="387"/>
        <v>0</v>
      </c>
      <c r="DH147" s="24">
        <f t="shared" si="387"/>
        <v>0</v>
      </c>
      <c r="DI147" s="24">
        <f t="shared" si="387"/>
        <v>0</v>
      </c>
      <c r="DJ147" s="24">
        <f t="shared" si="387"/>
        <v>0</v>
      </c>
      <c r="DK147" s="24">
        <f t="shared" si="387"/>
        <v>0</v>
      </c>
      <c r="DL147" s="24">
        <f t="shared" si="387"/>
        <v>0</v>
      </c>
      <c r="DM147" s="24">
        <f t="shared" si="387"/>
        <v>0</v>
      </c>
      <c r="DN147" s="24">
        <f t="shared" si="387"/>
        <v>0</v>
      </c>
      <c r="DO147" s="24">
        <f t="shared" si="387"/>
        <v>0</v>
      </c>
      <c r="DP147" s="24">
        <f t="shared" si="387"/>
        <v>0</v>
      </c>
      <c r="DQ147" s="24">
        <f t="shared" si="387"/>
        <v>0</v>
      </c>
      <c r="DR147" s="24">
        <f t="shared" ref="DR147:EW147" si="388">IF(AND(DR6&gt;=EOMONTH($D$15,$C$50),DR6&lt;=$D$17),-($D$50+DR146),0)*(DR4&gt;0)</f>
        <v>0</v>
      </c>
      <c r="DS147" s="24">
        <f t="shared" si="388"/>
        <v>0</v>
      </c>
      <c r="DT147" s="24">
        <f t="shared" si="388"/>
        <v>0</v>
      </c>
      <c r="DU147" s="24">
        <f t="shared" si="388"/>
        <v>0</v>
      </c>
      <c r="DV147" s="24">
        <f t="shared" si="388"/>
        <v>0</v>
      </c>
      <c r="DW147" s="24">
        <f t="shared" si="388"/>
        <v>0</v>
      </c>
      <c r="DX147" s="24">
        <f t="shared" si="388"/>
        <v>0</v>
      </c>
      <c r="DY147" s="24">
        <f t="shared" si="388"/>
        <v>0</v>
      </c>
      <c r="DZ147" s="24">
        <f t="shared" si="388"/>
        <v>0</v>
      </c>
      <c r="EA147" s="24">
        <f t="shared" si="388"/>
        <v>0</v>
      </c>
      <c r="EB147" s="24">
        <f t="shared" si="388"/>
        <v>0</v>
      </c>
      <c r="EC147" s="24">
        <f t="shared" si="388"/>
        <v>0</v>
      </c>
      <c r="ED147" s="24">
        <f t="shared" si="388"/>
        <v>0</v>
      </c>
      <c r="EE147" s="24">
        <f t="shared" si="388"/>
        <v>0</v>
      </c>
      <c r="EF147" s="24">
        <f t="shared" si="388"/>
        <v>0</v>
      </c>
      <c r="EG147" s="24">
        <f t="shared" si="388"/>
        <v>0</v>
      </c>
      <c r="EH147" s="24">
        <f t="shared" si="388"/>
        <v>0</v>
      </c>
      <c r="EI147" s="24">
        <f t="shared" si="388"/>
        <v>0</v>
      </c>
      <c r="EJ147" s="24">
        <f t="shared" si="388"/>
        <v>0</v>
      </c>
      <c r="EK147" s="24">
        <f t="shared" si="388"/>
        <v>0</v>
      </c>
      <c r="EL147" s="24">
        <f t="shared" si="388"/>
        <v>0</v>
      </c>
      <c r="EM147" s="24">
        <f t="shared" si="388"/>
        <v>0</v>
      </c>
      <c r="EN147" s="24">
        <f t="shared" si="388"/>
        <v>0</v>
      </c>
      <c r="EO147" s="24">
        <f t="shared" si="388"/>
        <v>0</v>
      </c>
      <c r="EP147" s="24">
        <f t="shared" si="388"/>
        <v>0</v>
      </c>
      <c r="EQ147" s="24">
        <f t="shared" si="388"/>
        <v>0</v>
      </c>
      <c r="ER147" s="24">
        <f t="shared" si="388"/>
        <v>0</v>
      </c>
      <c r="ES147" s="24">
        <f t="shared" si="388"/>
        <v>0</v>
      </c>
      <c r="ET147" s="24">
        <f t="shared" si="388"/>
        <v>0</v>
      </c>
      <c r="EU147" s="24">
        <f t="shared" si="388"/>
        <v>0</v>
      </c>
      <c r="EV147" s="24">
        <f t="shared" si="388"/>
        <v>0</v>
      </c>
      <c r="EW147" s="24">
        <f t="shared" si="388"/>
        <v>0</v>
      </c>
      <c r="EX147" s="24">
        <f t="shared" ref="EX147:FB147" si="389">IF(AND(EX6&gt;=EOMONTH($D$15,$C$50),EX6&lt;=$D$17),-($D$50+EX146),0)*(EX4&gt;0)</f>
        <v>0</v>
      </c>
      <c r="EY147" s="24">
        <f t="shared" si="389"/>
        <v>0</v>
      </c>
      <c r="EZ147" s="24">
        <f t="shared" si="389"/>
        <v>0</v>
      </c>
      <c r="FA147" s="24">
        <f t="shared" si="389"/>
        <v>0</v>
      </c>
      <c r="FB147" s="24">
        <f t="shared" si="389"/>
        <v>0</v>
      </c>
    </row>
    <row r="148" spans="1:158" s="24" customFormat="1">
      <c r="A148" s="9"/>
      <c r="B148" s="9"/>
      <c r="C148" s="9"/>
      <c r="D148" s="9"/>
      <c r="E148" s="9"/>
      <c r="F148" s="9"/>
      <c r="G148" s="9"/>
      <c r="H148" s="11"/>
      <c r="I148" s="9" t="s">
        <v>149</v>
      </c>
      <c r="J148" s="9"/>
      <c r="K148" s="11"/>
      <c r="L148" s="24">
        <f>SUMIF($Z$4:$FB$4,"&lt;"&amp;$G$18,$Z148:$FB148)</f>
        <v>-4700000</v>
      </c>
      <c r="M148" s="55"/>
      <c r="N148" s="24">
        <f t="shared" si="371"/>
        <v>0</v>
      </c>
      <c r="O148" s="24">
        <f t="shared" si="371"/>
        <v>0</v>
      </c>
      <c r="P148" s="24">
        <f t="shared" si="371"/>
        <v>-4700000</v>
      </c>
      <c r="Q148" s="24">
        <f t="shared" si="371"/>
        <v>0</v>
      </c>
      <c r="R148" s="24">
        <f t="shared" si="371"/>
        <v>0</v>
      </c>
      <c r="S148" s="24">
        <f t="shared" si="371"/>
        <v>0</v>
      </c>
      <c r="T148" s="24">
        <f t="shared" si="371"/>
        <v>0</v>
      </c>
      <c r="U148" s="24">
        <f t="shared" si="371"/>
        <v>0</v>
      </c>
      <c r="V148" s="24">
        <f t="shared" si="371"/>
        <v>0</v>
      </c>
      <c r="W148" s="24">
        <f t="shared" si="371"/>
        <v>0</v>
      </c>
      <c r="X148" s="24">
        <f t="shared" si="371"/>
        <v>0</v>
      </c>
      <c r="Y148" s="55"/>
      <c r="Z148" s="24">
        <f t="shared" ref="Z148:BE148" si="390">IF(Z6=$D$47,-SUM(Z143:Z147),0)</f>
        <v>0</v>
      </c>
      <c r="AA148" s="24">
        <f t="shared" si="390"/>
        <v>0</v>
      </c>
      <c r="AB148" s="24">
        <f t="shared" si="390"/>
        <v>0</v>
      </c>
      <c r="AC148" s="24">
        <f t="shared" si="390"/>
        <v>0</v>
      </c>
      <c r="AD148" s="24">
        <f t="shared" si="390"/>
        <v>0</v>
      </c>
      <c r="AE148" s="24">
        <f t="shared" si="390"/>
        <v>0</v>
      </c>
      <c r="AF148" s="24">
        <f t="shared" si="390"/>
        <v>0</v>
      </c>
      <c r="AG148" s="24">
        <f t="shared" si="390"/>
        <v>0</v>
      </c>
      <c r="AH148" s="24">
        <f t="shared" si="390"/>
        <v>0</v>
      </c>
      <c r="AI148" s="24">
        <f t="shared" si="390"/>
        <v>0</v>
      </c>
      <c r="AJ148" s="24">
        <f t="shared" si="390"/>
        <v>0</v>
      </c>
      <c r="AK148" s="24">
        <f t="shared" si="390"/>
        <v>0</v>
      </c>
      <c r="AL148" s="24">
        <f t="shared" si="390"/>
        <v>0</v>
      </c>
      <c r="AM148" s="24">
        <f t="shared" si="390"/>
        <v>0</v>
      </c>
      <c r="AN148" s="24">
        <f t="shared" si="390"/>
        <v>0</v>
      </c>
      <c r="AO148" s="24">
        <f t="shared" si="390"/>
        <v>0</v>
      </c>
      <c r="AP148" s="24">
        <f t="shared" si="390"/>
        <v>0</v>
      </c>
      <c r="AQ148" s="24">
        <f t="shared" si="390"/>
        <v>0</v>
      </c>
      <c r="AR148" s="24">
        <f t="shared" si="390"/>
        <v>0</v>
      </c>
      <c r="AS148" s="24">
        <f t="shared" si="390"/>
        <v>0</v>
      </c>
      <c r="AT148" s="24">
        <f t="shared" si="390"/>
        <v>0</v>
      </c>
      <c r="AU148" s="24">
        <f t="shared" si="390"/>
        <v>0</v>
      </c>
      <c r="AV148" s="24">
        <f t="shared" si="390"/>
        <v>0</v>
      </c>
      <c r="AW148" s="24">
        <f t="shared" si="390"/>
        <v>0</v>
      </c>
      <c r="AX148" s="24">
        <f t="shared" si="390"/>
        <v>-4700000</v>
      </c>
      <c r="AY148" s="24">
        <f t="shared" si="390"/>
        <v>0</v>
      </c>
      <c r="AZ148" s="24">
        <f t="shared" si="390"/>
        <v>0</v>
      </c>
      <c r="BA148" s="24">
        <f t="shared" si="390"/>
        <v>0</v>
      </c>
      <c r="BB148" s="24">
        <f t="shared" si="390"/>
        <v>0</v>
      </c>
      <c r="BC148" s="24">
        <f t="shared" si="390"/>
        <v>0</v>
      </c>
      <c r="BD148" s="24">
        <f t="shared" si="390"/>
        <v>0</v>
      </c>
      <c r="BE148" s="24">
        <f t="shared" si="390"/>
        <v>0</v>
      </c>
      <c r="BF148" s="24">
        <f t="shared" ref="BF148:CK148" si="391">IF(BF6=$D$47,-SUM(BF143:BF147),0)</f>
        <v>0</v>
      </c>
      <c r="BG148" s="24">
        <f t="shared" si="391"/>
        <v>0</v>
      </c>
      <c r="BH148" s="24">
        <f t="shared" si="391"/>
        <v>0</v>
      </c>
      <c r="BI148" s="24">
        <f t="shared" si="391"/>
        <v>0</v>
      </c>
      <c r="BJ148" s="24">
        <f t="shared" si="391"/>
        <v>0</v>
      </c>
      <c r="BK148" s="24">
        <f t="shared" si="391"/>
        <v>0</v>
      </c>
      <c r="BL148" s="24">
        <f t="shared" si="391"/>
        <v>0</v>
      </c>
      <c r="BM148" s="24">
        <f t="shared" si="391"/>
        <v>0</v>
      </c>
      <c r="BN148" s="24">
        <f t="shared" si="391"/>
        <v>0</v>
      </c>
      <c r="BO148" s="24">
        <f t="shared" si="391"/>
        <v>0</v>
      </c>
      <c r="BP148" s="24">
        <f t="shared" si="391"/>
        <v>0</v>
      </c>
      <c r="BQ148" s="24">
        <f t="shared" si="391"/>
        <v>0</v>
      </c>
      <c r="BR148" s="24">
        <f t="shared" si="391"/>
        <v>0</v>
      </c>
      <c r="BS148" s="24">
        <f t="shared" si="391"/>
        <v>0</v>
      </c>
      <c r="BT148" s="24">
        <f t="shared" si="391"/>
        <v>0</v>
      </c>
      <c r="BU148" s="24">
        <f t="shared" si="391"/>
        <v>0</v>
      </c>
      <c r="BV148" s="24">
        <f t="shared" si="391"/>
        <v>0</v>
      </c>
      <c r="BW148" s="24">
        <f t="shared" si="391"/>
        <v>0</v>
      </c>
      <c r="BX148" s="24">
        <f t="shared" si="391"/>
        <v>0</v>
      </c>
      <c r="BY148" s="24">
        <f t="shared" si="391"/>
        <v>0</v>
      </c>
      <c r="BZ148" s="24">
        <f t="shared" si="391"/>
        <v>0</v>
      </c>
      <c r="CA148" s="24">
        <f t="shared" si="391"/>
        <v>0</v>
      </c>
      <c r="CB148" s="24">
        <f t="shared" si="391"/>
        <v>0</v>
      </c>
      <c r="CC148" s="24">
        <f t="shared" si="391"/>
        <v>0</v>
      </c>
      <c r="CD148" s="24">
        <f t="shared" si="391"/>
        <v>0</v>
      </c>
      <c r="CE148" s="24">
        <f t="shared" si="391"/>
        <v>0</v>
      </c>
      <c r="CF148" s="24">
        <f t="shared" si="391"/>
        <v>0</v>
      </c>
      <c r="CG148" s="24">
        <f t="shared" si="391"/>
        <v>0</v>
      </c>
      <c r="CH148" s="24">
        <f t="shared" si="391"/>
        <v>0</v>
      </c>
      <c r="CI148" s="24">
        <f t="shared" si="391"/>
        <v>0</v>
      </c>
      <c r="CJ148" s="24">
        <f t="shared" si="391"/>
        <v>0</v>
      </c>
      <c r="CK148" s="24">
        <f t="shared" si="391"/>
        <v>0</v>
      </c>
      <c r="CL148" s="24">
        <f t="shared" ref="CL148:DQ148" si="392">IF(CL6=$D$47,-SUM(CL143:CL147),0)</f>
        <v>0</v>
      </c>
      <c r="CM148" s="24">
        <f t="shared" si="392"/>
        <v>0</v>
      </c>
      <c r="CN148" s="24">
        <f t="shared" si="392"/>
        <v>0</v>
      </c>
      <c r="CO148" s="24">
        <f t="shared" si="392"/>
        <v>0</v>
      </c>
      <c r="CP148" s="24">
        <f t="shared" si="392"/>
        <v>0</v>
      </c>
      <c r="CQ148" s="24">
        <f t="shared" si="392"/>
        <v>0</v>
      </c>
      <c r="CR148" s="24">
        <f t="shared" si="392"/>
        <v>0</v>
      </c>
      <c r="CS148" s="24">
        <f t="shared" si="392"/>
        <v>0</v>
      </c>
      <c r="CT148" s="24">
        <f t="shared" si="392"/>
        <v>0</v>
      </c>
      <c r="CU148" s="24">
        <f t="shared" si="392"/>
        <v>0</v>
      </c>
      <c r="CV148" s="24">
        <f t="shared" si="392"/>
        <v>0</v>
      </c>
      <c r="CW148" s="24">
        <f t="shared" si="392"/>
        <v>0</v>
      </c>
      <c r="CX148" s="24">
        <f t="shared" si="392"/>
        <v>0</v>
      </c>
      <c r="CY148" s="24">
        <f t="shared" si="392"/>
        <v>0</v>
      </c>
      <c r="CZ148" s="24">
        <f t="shared" si="392"/>
        <v>0</v>
      </c>
      <c r="DA148" s="24">
        <f t="shared" si="392"/>
        <v>0</v>
      </c>
      <c r="DB148" s="24">
        <f t="shared" si="392"/>
        <v>0</v>
      </c>
      <c r="DC148" s="24">
        <f t="shared" si="392"/>
        <v>0</v>
      </c>
      <c r="DD148" s="24">
        <f t="shared" si="392"/>
        <v>0</v>
      </c>
      <c r="DE148" s="24">
        <f t="shared" si="392"/>
        <v>0</v>
      </c>
      <c r="DF148" s="24">
        <f t="shared" si="392"/>
        <v>0</v>
      </c>
      <c r="DG148" s="24">
        <f t="shared" si="392"/>
        <v>0</v>
      </c>
      <c r="DH148" s="24">
        <f t="shared" si="392"/>
        <v>0</v>
      </c>
      <c r="DI148" s="24">
        <f t="shared" si="392"/>
        <v>0</v>
      </c>
      <c r="DJ148" s="24">
        <f t="shared" si="392"/>
        <v>0</v>
      </c>
      <c r="DK148" s="24">
        <f t="shared" si="392"/>
        <v>0</v>
      </c>
      <c r="DL148" s="24">
        <f t="shared" si="392"/>
        <v>0</v>
      </c>
      <c r="DM148" s="24">
        <f t="shared" si="392"/>
        <v>0</v>
      </c>
      <c r="DN148" s="24">
        <f t="shared" si="392"/>
        <v>0</v>
      </c>
      <c r="DO148" s="24">
        <f t="shared" si="392"/>
        <v>0</v>
      </c>
      <c r="DP148" s="24">
        <f t="shared" si="392"/>
        <v>0</v>
      </c>
      <c r="DQ148" s="24">
        <f t="shared" si="392"/>
        <v>0</v>
      </c>
      <c r="DR148" s="24">
        <f t="shared" ref="DR148:EW148" si="393">IF(DR6=$D$47,-SUM(DR143:DR147),0)</f>
        <v>0</v>
      </c>
      <c r="DS148" s="24">
        <f t="shared" si="393"/>
        <v>0</v>
      </c>
      <c r="DT148" s="24">
        <f t="shared" si="393"/>
        <v>0</v>
      </c>
      <c r="DU148" s="24">
        <f t="shared" si="393"/>
        <v>0</v>
      </c>
      <c r="DV148" s="24">
        <f t="shared" si="393"/>
        <v>0</v>
      </c>
      <c r="DW148" s="24">
        <f t="shared" si="393"/>
        <v>0</v>
      </c>
      <c r="DX148" s="24">
        <f t="shared" si="393"/>
        <v>0</v>
      </c>
      <c r="DY148" s="24">
        <f t="shared" si="393"/>
        <v>0</v>
      </c>
      <c r="DZ148" s="24">
        <f t="shared" si="393"/>
        <v>0</v>
      </c>
      <c r="EA148" s="24">
        <f t="shared" si="393"/>
        <v>0</v>
      </c>
      <c r="EB148" s="24">
        <f t="shared" si="393"/>
        <v>0</v>
      </c>
      <c r="EC148" s="24">
        <f t="shared" si="393"/>
        <v>0</v>
      </c>
      <c r="ED148" s="24">
        <f t="shared" si="393"/>
        <v>0</v>
      </c>
      <c r="EE148" s="24">
        <f t="shared" si="393"/>
        <v>0</v>
      </c>
      <c r="EF148" s="24">
        <f t="shared" si="393"/>
        <v>0</v>
      </c>
      <c r="EG148" s="24">
        <f t="shared" si="393"/>
        <v>0</v>
      </c>
      <c r="EH148" s="24">
        <f t="shared" si="393"/>
        <v>0</v>
      </c>
      <c r="EI148" s="24">
        <f t="shared" si="393"/>
        <v>0</v>
      </c>
      <c r="EJ148" s="24">
        <f t="shared" si="393"/>
        <v>0</v>
      </c>
      <c r="EK148" s="24">
        <f t="shared" si="393"/>
        <v>0</v>
      </c>
      <c r="EL148" s="24">
        <f t="shared" si="393"/>
        <v>0</v>
      </c>
      <c r="EM148" s="24">
        <f t="shared" si="393"/>
        <v>0</v>
      </c>
      <c r="EN148" s="24">
        <f t="shared" si="393"/>
        <v>0</v>
      </c>
      <c r="EO148" s="24">
        <f t="shared" si="393"/>
        <v>0</v>
      </c>
      <c r="EP148" s="24">
        <f t="shared" si="393"/>
        <v>0</v>
      </c>
      <c r="EQ148" s="24">
        <f t="shared" si="393"/>
        <v>0</v>
      </c>
      <c r="ER148" s="24">
        <f t="shared" si="393"/>
        <v>0</v>
      </c>
      <c r="ES148" s="24">
        <f t="shared" si="393"/>
        <v>0</v>
      </c>
      <c r="ET148" s="24">
        <f t="shared" si="393"/>
        <v>0</v>
      </c>
      <c r="EU148" s="24">
        <f t="shared" si="393"/>
        <v>0</v>
      </c>
      <c r="EV148" s="24">
        <f t="shared" si="393"/>
        <v>0</v>
      </c>
      <c r="EW148" s="24">
        <f t="shared" si="393"/>
        <v>0</v>
      </c>
      <c r="EX148" s="24">
        <f t="shared" ref="EX148:FB148" si="394">IF(EX6=$D$47,-SUM(EX143:EX147),0)</f>
        <v>0</v>
      </c>
      <c r="EY148" s="24">
        <f t="shared" si="394"/>
        <v>0</v>
      </c>
      <c r="EZ148" s="24">
        <f t="shared" si="394"/>
        <v>0</v>
      </c>
      <c r="FA148" s="24">
        <f t="shared" si="394"/>
        <v>0</v>
      </c>
      <c r="FB148" s="24">
        <f t="shared" si="394"/>
        <v>0</v>
      </c>
    </row>
    <row r="149" spans="1:158" s="24" customFormat="1">
      <c r="A149" s="11"/>
      <c r="B149" s="9"/>
      <c r="C149" s="9"/>
      <c r="D149" s="9"/>
      <c r="E149" s="9"/>
      <c r="F149" s="9"/>
      <c r="G149" s="9"/>
      <c r="H149" s="11"/>
      <c r="I149" s="57" t="s">
        <v>150</v>
      </c>
      <c r="J149" s="57"/>
      <c r="K149" s="58"/>
      <c r="L149" s="57">
        <f>SUM(L144:L148)</f>
        <v>0</v>
      </c>
      <c r="M149" s="58"/>
      <c r="N149" s="57">
        <f t="shared" si="371"/>
        <v>4700000</v>
      </c>
      <c r="O149" s="57">
        <f t="shared" si="371"/>
        <v>56400000</v>
      </c>
      <c r="P149" s="57">
        <f t="shared" si="371"/>
        <v>51700000</v>
      </c>
      <c r="Q149" s="57">
        <f t="shared" si="371"/>
        <v>0</v>
      </c>
      <c r="R149" s="57">
        <f t="shared" si="371"/>
        <v>0</v>
      </c>
      <c r="S149" s="57">
        <f t="shared" si="371"/>
        <v>0</v>
      </c>
      <c r="T149" s="57">
        <f t="shared" si="371"/>
        <v>0</v>
      </c>
      <c r="U149" s="57">
        <f t="shared" si="371"/>
        <v>0</v>
      </c>
      <c r="V149" s="57">
        <f t="shared" si="371"/>
        <v>0</v>
      </c>
      <c r="W149" s="57">
        <f t="shared" si="371"/>
        <v>0</v>
      </c>
      <c r="X149" s="57">
        <f t="shared" si="371"/>
        <v>0</v>
      </c>
      <c r="Y149" s="58"/>
      <c r="Z149" s="57">
        <f t="shared" ref="Z149:CK149" si="395">SUM(Z143:Z148)</f>
        <v>4700000</v>
      </c>
      <c r="AA149" s="57">
        <f t="shared" si="395"/>
        <v>4700000</v>
      </c>
      <c r="AB149" s="57">
        <f t="shared" si="395"/>
        <v>4700000</v>
      </c>
      <c r="AC149" s="57">
        <f t="shared" si="395"/>
        <v>4700000</v>
      </c>
      <c r="AD149" s="57">
        <f t="shared" si="395"/>
        <v>4700000</v>
      </c>
      <c r="AE149" s="57">
        <f t="shared" si="395"/>
        <v>4700000</v>
      </c>
      <c r="AF149" s="57">
        <f t="shared" si="395"/>
        <v>4700000</v>
      </c>
      <c r="AG149" s="57">
        <f t="shared" si="395"/>
        <v>4700000</v>
      </c>
      <c r="AH149" s="57">
        <f t="shared" si="395"/>
        <v>4700000</v>
      </c>
      <c r="AI149" s="57">
        <f t="shared" si="395"/>
        <v>4700000</v>
      </c>
      <c r="AJ149" s="57">
        <f t="shared" si="395"/>
        <v>4700000</v>
      </c>
      <c r="AK149" s="57">
        <f t="shared" si="395"/>
        <v>4700000</v>
      </c>
      <c r="AL149" s="57">
        <f t="shared" si="395"/>
        <v>4700000</v>
      </c>
      <c r="AM149" s="57">
        <f t="shared" si="395"/>
        <v>4700000</v>
      </c>
      <c r="AN149" s="57">
        <f t="shared" si="395"/>
        <v>4700000</v>
      </c>
      <c r="AO149" s="57">
        <f t="shared" si="395"/>
        <v>4700000</v>
      </c>
      <c r="AP149" s="57">
        <f t="shared" si="395"/>
        <v>4700000</v>
      </c>
      <c r="AQ149" s="57">
        <f t="shared" si="395"/>
        <v>4700000</v>
      </c>
      <c r="AR149" s="57">
        <f t="shared" si="395"/>
        <v>4700000</v>
      </c>
      <c r="AS149" s="57">
        <f t="shared" si="395"/>
        <v>4700000</v>
      </c>
      <c r="AT149" s="57">
        <f t="shared" si="395"/>
        <v>4700000</v>
      </c>
      <c r="AU149" s="57">
        <f t="shared" si="395"/>
        <v>4700000</v>
      </c>
      <c r="AV149" s="57">
        <f t="shared" si="395"/>
        <v>4700000</v>
      </c>
      <c r="AW149" s="57">
        <f t="shared" si="395"/>
        <v>4700000</v>
      </c>
      <c r="AX149" s="57">
        <f t="shared" si="395"/>
        <v>0</v>
      </c>
      <c r="AY149" s="57">
        <f t="shared" si="395"/>
        <v>0</v>
      </c>
      <c r="AZ149" s="57">
        <f t="shared" si="395"/>
        <v>0</v>
      </c>
      <c r="BA149" s="57">
        <f t="shared" si="395"/>
        <v>0</v>
      </c>
      <c r="BB149" s="57">
        <f t="shared" si="395"/>
        <v>0</v>
      </c>
      <c r="BC149" s="57">
        <f t="shared" si="395"/>
        <v>0</v>
      </c>
      <c r="BD149" s="57">
        <f t="shared" si="395"/>
        <v>0</v>
      </c>
      <c r="BE149" s="57">
        <f t="shared" si="395"/>
        <v>0</v>
      </c>
      <c r="BF149" s="57">
        <f t="shared" si="395"/>
        <v>0</v>
      </c>
      <c r="BG149" s="57">
        <f t="shared" si="395"/>
        <v>0</v>
      </c>
      <c r="BH149" s="57">
        <f t="shared" si="395"/>
        <v>0</v>
      </c>
      <c r="BI149" s="57">
        <f t="shared" si="395"/>
        <v>0</v>
      </c>
      <c r="BJ149" s="57">
        <f t="shared" si="395"/>
        <v>0</v>
      </c>
      <c r="BK149" s="57">
        <f t="shared" si="395"/>
        <v>0</v>
      </c>
      <c r="BL149" s="57">
        <f t="shared" si="395"/>
        <v>0</v>
      </c>
      <c r="BM149" s="57">
        <f t="shared" si="395"/>
        <v>0</v>
      </c>
      <c r="BN149" s="57">
        <f t="shared" si="395"/>
        <v>0</v>
      </c>
      <c r="BO149" s="57">
        <f t="shared" si="395"/>
        <v>0</v>
      </c>
      <c r="BP149" s="57">
        <f t="shared" si="395"/>
        <v>0</v>
      </c>
      <c r="BQ149" s="57">
        <f t="shared" si="395"/>
        <v>0</v>
      </c>
      <c r="BR149" s="57">
        <f t="shared" si="395"/>
        <v>0</v>
      </c>
      <c r="BS149" s="57">
        <f t="shared" si="395"/>
        <v>0</v>
      </c>
      <c r="BT149" s="57">
        <f t="shared" si="395"/>
        <v>0</v>
      </c>
      <c r="BU149" s="57">
        <f t="shared" si="395"/>
        <v>0</v>
      </c>
      <c r="BV149" s="57">
        <f t="shared" si="395"/>
        <v>0</v>
      </c>
      <c r="BW149" s="57">
        <f t="shared" si="395"/>
        <v>0</v>
      </c>
      <c r="BX149" s="57">
        <f t="shared" si="395"/>
        <v>0</v>
      </c>
      <c r="BY149" s="57">
        <f t="shared" si="395"/>
        <v>0</v>
      </c>
      <c r="BZ149" s="57">
        <f t="shared" si="395"/>
        <v>0</v>
      </c>
      <c r="CA149" s="57">
        <f t="shared" si="395"/>
        <v>0</v>
      </c>
      <c r="CB149" s="57">
        <f t="shared" si="395"/>
        <v>0</v>
      </c>
      <c r="CC149" s="57">
        <f t="shared" si="395"/>
        <v>0</v>
      </c>
      <c r="CD149" s="57">
        <f t="shared" si="395"/>
        <v>0</v>
      </c>
      <c r="CE149" s="57">
        <f t="shared" si="395"/>
        <v>0</v>
      </c>
      <c r="CF149" s="57">
        <f t="shared" si="395"/>
        <v>0</v>
      </c>
      <c r="CG149" s="57">
        <f t="shared" si="395"/>
        <v>0</v>
      </c>
      <c r="CH149" s="57">
        <f t="shared" si="395"/>
        <v>0</v>
      </c>
      <c r="CI149" s="57">
        <f t="shared" si="395"/>
        <v>0</v>
      </c>
      <c r="CJ149" s="57">
        <f t="shared" si="395"/>
        <v>0</v>
      </c>
      <c r="CK149" s="57">
        <f t="shared" si="395"/>
        <v>0</v>
      </c>
      <c r="CL149" s="57">
        <f t="shared" ref="CL149:EW149" si="396">SUM(CL143:CL148)</f>
        <v>0</v>
      </c>
      <c r="CM149" s="57">
        <f t="shared" si="396"/>
        <v>0</v>
      </c>
      <c r="CN149" s="57">
        <f t="shared" si="396"/>
        <v>0</v>
      </c>
      <c r="CO149" s="57">
        <f t="shared" si="396"/>
        <v>0</v>
      </c>
      <c r="CP149" s="57">
        <f t="shared" si="396"/>
        <v>0</v>
      </c>
      <c r="CQ149" s="57">
        <f t="shared" si="396"/>
        <v>0</v>
      </c>
      <c r="CR149" s="57">
        <f t="shared" si="396"/>
        <v>0</v>
      </c>
      <c r="CS149" s="57">
        <f t="shared" si="396"/>
        <v>0</v>
      </c>
      <c r="CT149" s="57">
        <f t="shared" si="396"/>
        <v>0</v>
      </c>
      <c r="CU149" s="57">
        <f t="shared" si="396"/>
        <v>0</v>
      </c>
      <c r="CV149" s="57">
        <f t="shared" si="396"/>
        <v>0</v>
      </c>
      <c r="CW149" s="57">
        <f t="shared" si="396"/>
        <v>0</v>
      </c>
      <c r="CX149" s="57">
        <f t="shared" si="396"/>
        <v>0</v>
      </c>
      <c r="CY149" s="57">
        <f t="shared" si="396"/>
        <v>0</v>
      </c>
      <c r="CZ149" s="57">
        <f t="shared" si="396"/>
        <v>0</v>
      </c>
      <c r="DA149" s="57">
        <f t="shared" si="396"/>
        <v>0</v>
      </c>
      <c r="DB149" s="57">
        <f t="shared" si="396"/>
        <v>0</v>
      </c>
      <c r="DC149" s="57">
        <f t="shared" si="396"/>
        <v>0</v>
      </c>
      <c r="DD149" s="57">
        <f t="shared" si="396"/>
        <v>0</v>
      </c>
      <c r="DE149" s="57">
        <f t="shared" si="396"/>
        <v>0</v>
      </c>
      <c r="DF149" s="57">
        <f t="shared" si="396"/>
        <v>0</v>
      </c>
      <c r="DG149" s="57">
        <f t="shared" si="396"/>
        <v>0</v>
      </c>
      <c r="DH149" s="57">
        <f t="shared" si="396"/>
        <v>0</v>
      </c>
      <c r="DI149" s="57">
        <f t="shared" si="396"/>
        <v>0</v>
      </c>
      <c r="DJ149" s="57">
        <f t="shared" si="396"/>
        <v>0</v>
      </c>
      <c r="DK149" s="57">
        <f t="shared" si="396"/>
        <v>0</v>
      </c>
      <c r="DL149" s="57">
        <f t="shared" si="396"/>
        <v>0</v>
      </c>
      <c r="DM149" s="57">
        <f t="shared" si="396"/>
        <v>0</v>
      </c>
      <c r="DN149" s="57">
        <f t="shared" si="396"/>
        <v>0</v>
      </c>
      <c r="DO149" s="57">
        <f t="shared" si="396"/>
        <v>0</v>
      </c>
      <c r="DP149" s="57">
        <f t="shared" si="396"/>
        <v>0</v>
      </c>
      <c r="DQ149" s="57">
        <f t="shared" si="396"/>
        <v>0</v>
      </c>
      <c r="DR149" s="57">
        <f t="shared" si="396"/>
        <v>0</v>
      </c>
      <c r="DS149" s="57">
        <f t="shared" si="396"/>
        <v>0</v>
      </c>
      <c r="DT149" s="57">
        <f t="shared" si="396"/>
        <v>0</v>
      </c>
      <c r="DU149" s="57">
        <f t="shared" si="396"/>
        <v>0</v>
      </c>
      <c r="DV149" s="57">
        <f t="shared" si="396"/>
        <v>0</v>
      </c>
      <c r="DW149" s="57">
        <f t="shared" si="396"/>
        <v>0</v>
      </c>
      <c r="DX149" s="57">
        <f t="shared" si="396"/>
        <v>0</v>
      </c>
      <c r="DY149" s="57">
        <f t="shared" si="396"/>
        <v>0</v>
      </c>
      <c r="DZ149" s="57">
        <f t="shared" si="396"/>
        <v>0</v>
      </c>
      <c r="EA149" s="57">
        <f t="shared" si="396"/>
        <v>0</v>
      </c>
      <c r="EB149" s="57">
        <f t="shared" si="396"/>
        <v>0</v>
      </c>
      <c r="EC149" s="57">
        <f t="shared" si="396"/>
        <v>0</v>
      </c>
      <c r="ED149" s="57">
        <f t="shared" si="396"/>
        <v>0</v>
      </c>
      <c r="EE149" s="57">
        <f t="shared" si="396"/>
        <v>0</v>
      </c>
      <c r="EF149" s="57">
        <f t="shared" si="396"/>
        <v>0</v>
      </c>
      <c r="EG149" s="57">
        <f t="shared" si="396"/>
        <v>0</v>
      </c>
      <c r="EH149" s="57">
        <f t="shared" si="396"/>
        <v>0</v>
      </c>
      <c r="EI149" s="57">
        <f t="shared" si="396"/>
        <v>0</v>
      </c>
      <c r="EJ149" s="57">
        <f t="shared" si="396"/>
        <v>0</v>
      </c>
      <c r="EK149" s="57">
        <f t="shared" si="396"/>
        <v>0</v>
      </c>
      <c r="EL149" s="57">
        <f t="shared" si="396"/>
        <v>0</v>
      </c>
      <c r="EM149" s="57">
        <f t="shared" si="396"/>
        <v>0</v>
      </c>
      <c r="EN149" s="57">
        <f t="shared" si="396"/>
        <v>0</v>
      </c>
      <c r="EO149" s="57">
        <f t="shared" si="396"/>
        <v>0</v>
      </c>
      <c r="EP149" s="57">
        <f t="shared" si="396"/>
        <v>0</v>
      </c>
      <c r="EQ149" s="57">
        <f t="shared" si="396"/>
        <v>0</v>
      </c>
      <c r="ER149" s="57">
        <f t="shared" si="396"/>
        <v>0</v>
      </c>
      <c r="ES149" s="57">
        <f t="shared" si="396"/>
        <v>0</v>
      </c>
      <c r="ET149" s="57">
        <f t="shared" si="396"/>
        <v>0</v>
      </c>
      <c r="EU149" s="57">
        <f t="shared" si="396"/>
        <v>0</v>
      </c>
      <c r="EV149" s="57">
        <f t="shared" si="396"/>
        <v>0</v>
      </c>
      <c r="EW149" s="57">
        <f t="shared" si="396"/>
        <v>0</v>
      </c>
      <c r="EX149" s="57">
        <f t="shared" ref="EX149:FB149" si="397">SUM(EX143:EX148)</f>
        <v>0</v>
      </c>
      <c r="EY149" s="57">
        <f t="shared" si="397"/>
        <v>0</v>
      </c>
      <c r="EZ149" s="57">
        <f t="shared" si="397"/>
        <v>0</v>
      </c>
      <c r="FA149" s="57">
        <f t="shared" si="397"/>
        <v>0</v>
      </c>
      <c r="FB149" s="57">
        <f t="shared" si="397"/>
        <v>0</v>
      </c>
    </row>
    <row r="150" spans="1:158" s="24" customFormat="1">
      <c r="A150" s="60"/>
      <c r="B150" s="9"/>
      <c r="C150" s="9"/>
      <c r="D150" s="9"/>
      <c r="E150" s="9"/>
      <c r="F150" s="9"/>
      <c r="G150" s="9"/>
      <c r="H150" s="11"/>
      <c r="I150" s="9"/>
      <c r="J150" s="9"/>
      <c r="K150" s="11"/>
      <c r="M150" s="11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11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  <c r="EM150" s="9"/>
      <c r="EN150" s="9"/>
      <c r="EO150" s="9"/>
      <c r="EP150" s="9"/>
      <c r="EQ150" s="9"/>
      <c r="ER150" s="9"/>
      <c r="ES150" s="9"/>
      <c r="ET150" s="9"/>
      <c r="EU150" s="9"/>
      <c r="EV150" s="9"/>
      <c r="EW150" s="9"/>
      <c r="EX150" s="9"/>
      <c r="EY150" s="9"/>
      <c r="EZ150" s="9"/>
      <c r="FA150" s="9"/>
      <c r="FB150" s="9"/>
    </row>
    <row r="151" spans="1:158" s="24" customFormat="1">
      <c r="A151" s="60"/>
      <c r="B151" s="9"/>
      <c r="C151" s="9"/>
      <c r="D151" s="9"/>
      <c r="E151" s="9"/>
      <c r="F151" s="9"/>
      <c r="G151" s="9"/>
      <c r="H151" s="64"/>
      <c r="I151" s="15" t="s">
        <v>30</v>
      </c>
      <c r="J151" s="9"/>
      <c r="K151" s="11"/>
      <c r="M151" s="11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11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  <c r="EN151" s="9"/>
      <c r="EO151" s="9"/>
      <c r="EP151" s="9"/>
      <c r="EQ151" s="9"/>
      <c r="ER151" s="9"/>
      <c r="ES151" s="9"/>
      <c r="ET151" s="9"/>
      <c r="EU151" s="9"/>
      <c r="EV151" s="9"/>
      <c r="EW151" s="9"/>
      <c r="EX151" s="9"/>
      <c r="EY151" s="9"/>
      <c r="EZ151" s="9"/>
      <c r="FA151" s="9"/>
      <c r="FB151" s="9"/>
    </row>
    <row r="152" spans="1:158" s="282" customFormat="1" ht="16">
      <c r="A152" s="60"/>
      <c r="B152" s="9"/>
      <c r="C152" s="9"/>
      <c r="D152" s="9"/>
      <c r="E152" s="9"/>
      <c r="F152" s="9"/>
      <c r="G152" s="9"/>
      <c r="H152" s="11"/>
      <c r="I152" s="9" t="s">
        <v>144</v>
      </c>
      <c r="J152" s="9"/>
      <c r="K152" s="11"/>
      <c r="L152" s="24"/>
      <c r="M152" s="11"/>
      <c r="N152" s="9">
        <v>0</v>
      </c>
      <c r="O152" s="24">
        <f>N158</f>
        <v>0</v>
      </c>
      <c r="P152" s="24">
        <f t="shared" ref="P152:X152" si="398">O158</f>
        <v>0</v>
      </c>
      <c r="Q152" s="24">
        <f t="shared" ca="1" si="398"/>
        <v>5791820.0166351637</v>
      </c>
      <c r="R152" s="24">
        <f t="shared" ca="1" si="398"/>
        <v>5791820.0166351637</v>
      </c>
      <c r="S152" s="24">
        <f t="shared" ca="1" si="398"/>
        <v>5791820.0166351637</v>
      </c>
      <c r="T152" s="24">
        <f t="shared" ca="1" si="398"/>
        <v>5723951.7197946347</v>
      </c>
      <c r="U152" s="24">
        <f t="shared" ca="1" si="398"/>
        <v>5651718.0109470803</v>
      </c>
      <c r="V152" s="24">
        <f t="shared" ca="1" si="398"/>
        <v>5574838.0988707049</v>
      </c>
      <c r="W152" s="24">
        <f t="shared" ca="1" si="398"/>
        <v>5493013.1313428003</v>
      </c>
      <c r="X152" s="24">
        <f t="shared" ca="1" si="398"/>
        <v>5405925.0334233949</v>
      </c>
      <c r="Y152" s="11"/>
      <c r="Z152" s="24">
        <v>0</v>
      </c>
      <c r="AA152" s="24">
        <f>Z158</f>
        <v>0</v>
      </c>
      <c r="AB152" s="24">
        <f>AA158</f>
        <v>0</v>
      </c>
      <c r="AC152" s="24">
        <f t="shared" ref="AC152" si="399">AB158</f>
        <v>0</v>
      </c>
      <c r="AD152" s="24">
        <f>AC158</f>
        <v>0</v>
      </c>
      <c r="AE152" s="24">
        <f t="shared" ref="AE152:AO152" si="400">AD158</f>
        <v>0</v>
      </c>
      <c r="AF152" s="24">
        <f t="shared" si="400"/>
        <v>0</v>
      </c>
      <c r="AG152" s="24">
        <f t="shared" si="400"/>
        <v>0</v>
      </c>
      <c r="AH152" s="24">
        <f t="shared" si="400"/>
        <v>0</v>
      </c>
      <c r="AI152" s="24">
        <f t="shared" si="400"/>
        <v>0</v>
      </c>
      <c r="AJ152" s="24">
        <f t="shared" si="400"/>
        <v>0</v>
      </c>
      <c r="AK152" s="24">
        <f t="shared" si="400"/>
        <v>0</v>
      </c>
      <c r="AL152" s="24">
        <f t="shared" si="400"/>
        <v>0</v>
      </c>
      <c r="AM152" s="24">
        <f t="shared" si="400"/>
        <v>0</v>
      </c>
      <c r="AN152" s="24">
        <f t="shared" si="400"/>
        <v>0</v>
      </c>
      <c r="AO152" s="24">
        <f t="shared" si="400"/>
        <v>0</v>
      </c>
      <c r="AP152" s="24">
        <f>AO158</f>
        <v>0</v>
      </c>
      <c r="AQ152" s="24">
        <f t="shared" ref="AQ152:AX152" si="401">AP158</f>
        <v>0</v>
      </c>
      <c r="AR152" s="24">
        <f t="shared" si="401"/>
        <v>0</v>
      </c>
      <c r="AS152" s="24">
        <f t="shared" si="401"/>
        <v>0</v>
      </c>
      <c r="AT152" s="24">
        <f t="shared" si="401"/>
        <v>0</v>
      </c>
      <c r="AU152" s="24">
        <f t="shared" si="401"/>
        <v>0</v>
      </c>
      <c r="AV152" s="24">
        <f t="shared" si="401"/>
        <v>0</v>
      </c>
      <c r="AW152" s="24">
        <f t="shared" si="401"/>
        <v>0</v>
      </c>
      <c r="AX152" s="24">
        <f t="shared" si="401"/>
        <v>0</v>
      </c>
      <c r="AY152" s="24">
        <f t="shared" ref="AY152:CD152" ca="1" si="402">AX158</f>
        <v>5791820.0166351637</v>
      </c>
      <c r="AZ152" s="24">
        <f t="shared" ca="1" si="402"/>
        <v>5791820.0166351637</v>
      </c>
      <c r="BA152" s="24">
        <f t="shared" ca="1" si="402"/>
        <v>5791820.0166351637</v>
      </c>
      <c r="BB152" s="24">
        <f t="shared" ca="1" si="402"/>
        <v>5791820.0166351637</v>
      </c>
      <c r="BC152" s="24">
        <f t="shared" ca="1" si="402"/>
        <v>5791820.0166351637</v>
      </c>
      <c r="BD152" s="24">
        <f t="shared" ca="1" si="402"/>
        <v>5791820.0166351637</v>
      </c>
      <c r="BE152" s="24">
        <f t="shared" ca="1" si="402"/>
        <v>5791820.0166351637</v>
      </c>
      <c r="BF152" s="24">
        <f t="shared" ca="1" si="402"/>
        <v>5791820.0166351637</v>
      </c>
      <c r="BG152" s="24">
        <f t="shared" ca="1" si="402"/>
        <v>5791820.0166351637</v>
      </c>
      <c r="BH152" s="24">
        <f t="shared" ca="1" si="402"/>
        <v>5791820.0166351637</v>
      </c>
      <c r="BI152" s="24">
        <f t="shared" ca="1" si="402"/>
        <v>5791820.0166351637</v>
      </c>
      <c r="BJ152" s="24">
        <f t="shared" ca="1" si="402"/>
        <v>5791820.0166351637</v>
      </c>
      <c r="BK152" s="24">
        <f t="shared" ca="1" si="402"/>
        <v>5791820.0166351637</v>
      </c>
      <c r="BL152" s="24">
        <f t="shared" ca="1" si="402"/>
        <v>5791820.0166351637</v>
      </c>
      <c r="BM152" s="24">
        <f t="shared" ca="1" si="402"/>
        <v>5791820.0166351637</v>
      </c>
      <c r="BN152" s="24">
        <f t="shared" ca="1" si="402"/>
        <v>5791820.0166351637</v>
      </c>
      <c r="BO152" s="24">
        <f t="shared" ca="1" si="402"/>
        <v>5791820.0166351637</v>
      </c>
      <c r="BP152" s="24">
        <f t="shared" ca="1" si="402"/>
        <v>5791820.0166351637</v>
      </c>
      <c r="BQ152" s="24">
        <f t="shared" ca="1" si="402"/>
        <v>5791820.0166351637</v>
      </c>
      <c r="BR152" s="24">
        <f t="shared" ca="1" si="402"/>
        <v>5791820.0166351637</v>
      </c>
      <c r="BS152" s="24">
        <f t="shared" ca="1" si="402"/>
        <v>5791820.0166351637</v>
      </c>
      <c r="BT152" s="24">
        <f t="shared" ca="1" si="402"/>
        <v>5791820.0166351637</v>
      </c>
      <c r="BU152" s="24">
        <f t="shared" ca="1" si="402"/>
        <v>5791820.0166351637</v>
      </c>
      <c r="BV152" s="24">
        <f t="shared" ca="1" si="402"/>
        <v>5791820.0166351637</v>
      </c>
      <c r="BW152" s="24">
        <f t="shared" ca="1" si="402"/>
        <v>5791820.0166351637</v>
      </c>
      <c r="BX152" s="24">
        <f t="shared" ca="1" si="402"/>
        <v>5786324.5138283102</v>
      </c>
      <c r="BY152" s="24">
        <f t="shared" ca="1" si="402"/>
        <v>5780800.3886110047</v>
      </c>
      <c r="BZ152" s="24">
        <f t="shared" ca="1" si="402"/>
        <v>5775247.4919081926</v>
      </c>
      <c r="CA152" s="24">
        <f t="shared" ca="1" si="402"/>
        <v>5769665.6738683861</v>
      </c>
      <c r="CB152" s="24">
        <f t="shared" ca="1" si="402"/>
        <v>5764054.7838596227</v>
      </c>
      <c r="CC152" s="24">
        <f t="shared" ca="1" si="402"/>
        <v>5758414.6704653967</v>
      </c>
      <c r="CD152" s="24">
        <f t="shared" ca="1" si="402"/>
        <v>5752745.1814805763</v>
      </c>
      <c r="CE152" s="24">
        <f t="shared" ref="CE152:DJ152" ca="1" si="403">CD158</f>
        <v>5747046.1639072932</v>
      </c>
      <c r="CF152" s="24">
        <f t="shared" ca="1" si="403"/>
        <v>5741317.4639508156</v>
      </c>
      <c r="CG152" s="24">
        <f t="shared" ca="1" si="403"/>
        <v>5735558.9270153977</v>
      </c>
      <c r="CH152" s="24">
        <f t="shared" ca="1" si="403"/>
        <v>5729770.3977001086</v>
      </c>
      <c r="CI152" s="24">
        <f t="shared" ca="1" si="403"/>
        <v>5723951.7197946357</v>
      </c>
      <c r="CJ152" s="24">
        <f t="shared" ca="1" si="403"/>
        <v>5718102.7362750713</v>
      </c>
      <c r="CK152" s="24">
        <f t="shared" ca="1" si="403"/>
        <v>5712223.2892996762</v>
      </c>
      <c r="CL152" s="24">
        <f t="shared" ca="1" si="403"/>
        <v>5706313.2202046169</v>
      </c>
      <c r="CM152" s="24">
        <f t="shared" ca="1" si="403"/>
        <v>5700372.369499688</v>
      </c>
      <c r="CN152" s="24">
        <f t="shared" ca="1" si="403"/>
        <v>5694400.5768640041</v>
      </c>
      <c r="CO152" s="24">
        <f t="shared" ca="1" si="403"/>
        <v>5688397.6811416764</v>
      </c>
      <c r="CP152" s="24">
        <f t="shared" ca="1" si="403"/>
        <v>5682363.5203374615</v>
      </c>
      <c r="CQ152" s="24">
        <f t="shared" ca="1" si="403"/>
        <v>5676297.931612391</v>
      </c>
      <c r="CR152" s="24">
        <f t="shared" ca="1" si="403"/>
        <v>5670200.7512793774</v>
      </c>
      <c r="CS152" s="24">
        <f t="shared" ca="1" si="403"/>
        <v>5664071.8147987956</v>
      </c>
      <c r="CT152" s="24">
        <f t="shared" ca="1" si="403"/>
        <v>5657910.9567740448</v>
      </c>
      <c r="CU152" s="24">
        <f t="shared" ca="1" si="403"/>
        <v>5651718.0109470813</v>
      </c>
      <c r="CV152" s="24">
        <f t="shared" ca="1" si="403"/>
        <v>5645492.8101939363</v>
      </c>
      <c r="CW152" s="24">
        <f t="shared" ca="1" si="403"/>
        <v>5639235.1865202021</v>
      </c>
      <c r="CX152" s="24">
        <f t="shared" ca="1" si="403"/>
        <v>5632944.9710565004</v>
      </c>
      <c r="CY152" s="24">
        <f t="shared" ca="1" si="403"/>
        <v>5626621.9940539254</v>
      </c>
      <c r="CZ152" s="24">
        <f t="shared" ca="1" si="403"/>
        <v>5620266.0848794617</v>
      </c>
      <c r="DA152" s="24">
        <f t="shared" ca="1" si="403"/>
        <v>5613877.0720113805</v>
      </c>
      <c r="DB152" s="24">
        <f t="shared" ca="1" si="403"/>
        <v>5607454.7830346115</v>
      </c>
      <c r="DC152" s="24">
        <f t="shared" ca="1" si="403"/>
        <v>5600999.0446360884</v>
      </c>
      <c r="DD152" s="24">
        <f t="shared" ca="1" si="403"/>
        <v>5594509.6826000735</v>
      </c>
      <c r="DE152" s="24">
        <f t="shared" ca="1" si="403"/>
        <v>5587986.5218034545</v>
      </c>
      <c r="DF152" s="24">
        <f t="shared" ca="1" si="403"/>
        <v>5581429.386211019</v>
      </c>
      <c r="DG152" s="24">
        <f t="shared" ca="1" si="403"/>
        <v>5574838.0988707067</v>
      </c>
      <c r="DH152" s="24">
        <f t="shared" ca="1" si="403"/>
        <v>5568212.4819088299</v>
      </c>
      <c r="DI152" s="24">
        <f t="shared" ca="1" si="403"/>
        <v>5561552.3565252768</v>
      </c>
      <c r="DJ152" s="24">
        <f t="shared" ca="1" si="403"/>
        <v>5554857.542988685</v>
      </c>
      <c r="DK152" s="24">
        <f t="shared" ref="DK152:EP152" ca="1" si="404">DJ158</f>
        <v>5548127.8606315898</v>
      </c>
      <c r="DL152" s="24">
        <f t="shared" ca="1" si="404"/>
        <v>5541363.1278455509</v>
      </c>
      <c r="DM152" s="24">
        <f t="shared" ca="1" si="404"/>
        <v>5534563.1620762516</v>
      </c>
      <c r="DN152" s="24">
        <f t="shared" ca="1" si="404"/>
        <v>5527727.7798185702</v>
      </c>
      <c r="DO152" s="24">
        <f t="shared" ca="1" si="404"/>
        <v>5520856.7966116304</v>
      </c>
      <c r="DP152" s="24">
        <f t="shared" ca="1" si="404"/>
        <v>5513950.0270338207</v>
      </c>
      <c r="DQ152" s="24">
        <f t="shared" ca="1" si="404"/>
        <v>5507007.2846977934</v>
      </c>
      <c r="DR152" s="24">
        <f t="shared" ca="1" si="404"/>
        <v>5500028.3822454326</v>
      </c>
      <c r="DS152" s="24">
        <f t="shared" ca="1" si="404"/>
        <v>5493013.1313427994</v>
      </c>
      <c r="DT152" s="24">
        <f t="shared" ca="1" si="404"/>
        <v>5485961.3426750489</v>
      </c>
      <c r="DU152" s="24">
        <f t="shared" ca="1" si="404"/>
        <v>5478872.8259413196</v>
      </c>
      <c r="DV152" s="24">
        <f t="shared" ca="1" si="404"/>
        <v>5471747.3898496022</v>
      </c>
      <c r="DW152" s="24">
        <f t="shared" ca="1" si="404"/>
        <v>5464584.8421115745</v>
      </c>
      <c r="DX152" s="24">
        <f t="shared" ca="1" si="404"/>
        <v>5457384.9894374106</v>
      </c>
      <c r="DY152" s="24">
        <f t="shared" ca="1" si="404"/>
        <v>5450147.637530569</v>
      </c>
      <c r="DZ152" s="24">
        <f t="shared" ca="1" si="404"/>
        <v>5442872.5910825459</v>
      </c>
      <c r="EA152" s="24">
        <f t="shared" ca="1" si="404"/>
        <v>5435559.6537676062</v>
      </c>
      <c r="EB152" s="24">
        <f t="shared" ca="1" si="404"/>
        <v>5428208.628237484</v>
      </c>
      <c r="EC152" s="24">
        <f t="shared" ca="1" si="404"/>
        <v>5420819.3161160592</v>
      </c>
      <c r="ED152" s="24">
        <f t="shared" ca="1" si="404"/>
        <v>5413391.5179940024</v>
      </c>
      <c r="EE152" s="24">
        <f t="shared" ca="1" si="404"/>
        <v>5405925.033423393</v>
      </c>
      <c r="EF152" s="24">
        <f t="shared" ca="1" si="404"/>
        <v>5398419.6609123116</v>
      </c>
      <c r="EG152" s="24">
        <f t="shared" ca="1" si="404"/>
        <v>5390875.1979194023</v>
      </c>
      <c r="EH152" s="24">
        <f t="shared" ca="1" si="404"/>
        <v>5383291.4408484045</v>
      </c>
      <c r="EI152" s="24">
        <f t="shared" ca="1" si="404"/>
        <v>5375668.1850426616</v>
      </c>
      <c r="EJ152" s="24">
        <f t="shared" ca="1" si="404"/>
        <v>5368005.2247795975</v>
      </c>
      <c r="EK152" s="24">
        <f t="shared" ca="1" si="404"/>
        <v>5360302.3532651635</v>
      </c>
      <c r="EL152" s="24">
        <f t="shared" ca="1" si="404"/>
        <v>5352559.3626282578</v>
      </c>
      <c r="EM152" s="24">
        <f t="shared" ca="1" si="404"/>
        <v>5344776.043915119</v>
      </c>
      <c r="EN152" s="24">
        <f t="shared" ca="1" si="404"/>
        <v>5336952.187083682</v>
      </c>
      <c r="EO152" s="24">
        <f t="shared" ca="1" si="404"/>
        <v>5329087.580997915</v>
      </c>
      <c r="EP152" s="24">
        <f t="shared" ca="1" si="404"/>
        <v>5321182.0134221176</v>
      </c>
      <c r="EQ152" s="24">
        <f t="shared" ref="EQ152:FB152" ca="1" si="405">EP158</f>
        <v>0</v>
      </c>
      <c r="ER152" s="24">
        <f t="shared" ca="1" si="405"/>
        <v>0</v>
      </c>
      <c r="ES152" s="24">
        <f t="shared" ca="1" si="405"/>
        <v>0</v>
      </c>
      <c r="ET152" s="24">
        <f t="shared" ca="1" si="405"/>
        <v>0</v>
      </c>
      <c r="EU152" s="24">
        <f t="shared" ca="1" si="405"/>
        <v>0</v>
      </c>
      <c r="EV152" s="24">
        <f t="shared" ca="1" si="405"/>
        <v>0</v>
      </c>
      <c r="EW152" s="24">
        <f t="shared" ca="1" si="405"/>
        <v>0</v>
      </c>
      <c r="EX152" s="24">
        <f t="shared" ca="1" si="405"/>
        <v>0</v>
      </c>
      <c r="EY152" s="24">
        <f t="shared" ca="1" si="405"/>
        <v>0</v>
      </c>
      <c r="EZ152" s="24">
        <f t="shared" ca="1" si="405"/>
        <v>0</v>
      </c>
      <c r="FA152" s="24">
        <f t="shared" ca="1" si="405"/>
        <v>0</v>
      </c>
      <c r="FB152" s="24">
        <f t="shared" ca="1" si="405"/>
        <v>0</v>
      </c>
    </row>
    <row r="153" spans="1:158">
      <c r="A153" s="60"/>
      <c r="I153" s="9" t="s">
        <v>145</v>
      </c>
      <c r="L153" s="24">
        <f ca="1">SUMIF($Z$4:$FB$4,"&lt;="&amp;$G$18,$Z153:$FB153)</f>
        <v>5791820.0166351637</v>
      </c>
      <c r="M153" s="55"/>
      <c r="N153" s="9">
        <f t="shared" ref="N153:X157" si="406">SUMIF($Z$3:$FB$3,N$7,$Z153:$FB153)</f>
        <v>0</v>
      </c>
      <c r="O153" s="24">
        <f t="shared" si="406"/>
        <v>0</v>
      </c>
      <c r="P153" s="24">
        <f ca="1">SUMIF($Z$3:$FB$3,P$7,$Z153:$FB153)</f>
        <v>5791820.0166351637</v>
      </c>
      <c r="Q153" s="24">
        <f t="shared" si="406"/>
        <v>0</v>
      </c>
      <c r="R153" s="24">
        <f t="shared" si="406"/>
        <v>0</v>
      </c>
      <c r="S153" s="24">
        <f t="shared" si="406"/>
        <v>0</v>
      </c>
      <c r="T153" s="24">
        <f t="shared" si="406"/>
        <v>0</v>
      </c>
      <c r="U153" s="24">
        <f t="shared" si="406"/>
        <v>0</v>
      </c>
      <c r="V153" s="24">
        <f t="shared" si="406"/>
        <v>0</v>
      </c>
      <c r="W153" s="24">
        <f t="shared" si="406"/>
        <v>0</v>
      </c>
      <c r="X153" s="24">
        <f t="shared" si="406"/>
        <v>0</v>
      </c>
      <c r="Y153" s="55"/>
      <c r="Z153" s="24">
        <f t="shared" ref="Z153:BE153" si="407">IF($B$55=TRUE,0,IF(Z4=$C$17,$G$46,0))</f>
        <v>0</v>
      </c>
      <c r="AA153" s="24">
        <f t="shared" si="407"/>
        <v>0</v>
      </c>
      <c r="AB153" s="24">
        <f t="shared" si="407"/>
        <v>0</v>
      </c>
      <c r="AC153" s="24">
        <f t="shared" si="407"/>
        <v>0</v>
      </c>
      <c r="AD153" s="24">
        <f t="shared" si="407"/>
        <v>0</v>
      </c>
      <c r="AE153" s="24">
        <f t="shared" si="407"/>
        <v>0</v>
      </c>
      <c r="AF153" s="24">
        <f t="shared" si="407"/>
        <v>0</v>
      </c>
      <c r="AG153" s="24">
        <f t="shared" si="407"/>
        <v>0</v>
      </c>
      <c r="AH153" s="24">
        <f t="shared" si="407"/>
        <v>0</v>
      </c>
      <c r="AI153" s="24">
        <f t="shared" si="407"/>
        <v>0</v>
      </c>
      <c r="AJ153" s="24">
        <f t="shared" si="407"/>
        <v>0</v>
      </c>
      <c r="AK153" s="24">
        <f t="shared" si="407"/>
        <v>0</v>
      </c>
      <c r="AL153" s="24">
        <f t="shared" si="407"/>
        <v>0</v>
      </c>
      <c r="AM153" s="24">
        <f t="shared" si="407"/>
        <v>0</v>
      </c>
      <c r="AN153" s="24">
        <f t="shared" si="407"/>
        <v>0</v>
      </c>
      <c r="AO153" s="24">
        <f t="shared" si="407"/>
        <v>0</v>
      </c>
      <c r="AP153" s="24">
        <f t="shared" si="407"/>
        <v>0</v>
      </c>
      <c r="AQ153" s="24">
        <f t="shared" si="407"/>
        <v>0</v>
      </c>
      <c r="AR153" s="24">
        <f t="shared" si="407"/>
        <v>0</v>
      </c>
      <c r="AS153" s="24">
        <f t="shared" si="407"/>
        <v>0</v>
      </c>
      <c r="AT153" s="24">
        <f t="shared" si="407"/>
        <v>0</v>
      </c>
      <c r="AU153" s="24">
        <f t="shared" si="407"/>
        <v>0</v>
      </c>
      <c r="AV153" s="24">
        <f t="shared" si="407"/>
        <v>0</v>
      </c>
      <c r="AW153" s="24">
        <f t="shared" si="407"/>
        <v>0</v>
      </c>
      <c r="AX153" s="24">
        <f t="shared" ca="1" si="407"/>
        <v>5791820.0166351637</v>
      </c>
      <c r="AY153" s="24">
        <f t="shared" si="407"/>
        <v>0</v>
      </c>
      <c r="AZ153" s="24">
        <f t="shared" si="407"/>
        <v>0</v>
      </c>
      <c r="BA153" s="24">
        <f t="shared" si="407"/>
        <v>0</v>
      </c>
      <c r="BB153" s="24">
        <f t="shared" si="407"/>
        <v>0</v>
      </c>
      <c r="BC153" s="24">
        <f t="shared" si="407"/>
        <v>0</v>
      </c>
      <c r="BD153" s="24">
        <f t="shared" si="407"/>
        <v>0</v>
      </c>
      <c r="BE153" s="24">
        <f t="shared" si="407"/>
        <v>0</v>
      </c>
      <c r="BF153" s="24">
        <f t="shared" ref="BF153:CK153" si="408">IF($B$55=TRUE,0,IF(BF4=$C$17,$G$46,0))</f>
        <v>0</v>
      </c>
      <c r="BG153" s="24">
        <f t="shared" si="408"/>
        <v>0</v>
      </c>
      <c r="BH153" s="24">
        <f t="shared" si="408"/>
        <v>0</v>
      </c>
      <c r="BI153" s="24">
        <f t="shared" si="408"/>
        <v>0</v>
      </c>
      <c r="BJ153" s="24">
        <f t="shared" si="408"/>
        <v>0</v>
      </c>
      <c r="BK153" s="24">
        <f t="shared" si="408"/>
        <v>0</v>
      </c>
      <c r="BL153" s="24">
        <f t="shared" si="408"/>
        <v>0</v>
      </c>
      <c r="BM153" s="24">
        <f t="shared" si="408"/>
        <v>0</v>
      </c>
      <c r="BN153" s="24">
        <f t="shared" si="408"/>
        <v>0</v>
      </c>
      <c r="BO153" s="24">
        <f t="shared" si="408"/>
        <v>0</v>
      </c>
      <c r="BP153" s="24">
        <f t="shared" si="408"/>
        <v>0</v>
      </c>
      <c r="BQ153" s="24">
        <f t="shared" si="408"/>
        <v>0</v>
      </c>
      <c r="BR153" s="24">
        <f t="shared" si="408"/>
        <v>0</v>
      </c>
      <c r="BS153" s="24">
        <f t="shared" si="408"/>
        <v>0</v>
      </c>
      <c r="BT153" s="24">
        <f t="shared" si="408"/>
        <v>0</v>
      </c>
      <c r="BU153" s="24">
        <f t="shared" si="408"/>
        <v>0</v>
      </c>
      <c r="BV153" s="24">
        <f t="shared" si="408"/>
        <v>0</v>
      </c>
      <c r="BW153" s="24">
        <f t="shared" si="408"/>
        <v>0</v>
      </c>
      <c r="BX153" s="24">
        <f t="shared" si="408"/>
        <v>0</v>
      </c>
      <c r="BY153" s="24">
        <f t="shared" si="408"/>
        <v>0</v>
      </c>
      <c r="BZ153" s="24">
        <f t="shared" si="408"/>
        <v>0</v>
      </c>
      <c r="CA153" s="24">
        <f t="shared" si="408"/>
        <v>0</v>
      </c>
      <c r="CB153" s="24">
        <f t="shared" si="408"/>
        <v>0</v>
      </c>
      <c r="CC153" s="24">
        <f t="shared" si="408"/>
        <v>0</v>
      </c>
      <c r="CD153" s="24">
        <f t="shared" si="408"/>
        <v>0</v>
      </c>
      <c r="CE153" s="24">
        <f t="shared" si="408"/>
        <v>0</v>
      </c>
      <c r="CF153" s="24">
        <f t="shared" si="408"/>
        <v>0</v>
      </c>
      <c r="CG153" s="24">
        <f t="shared" si="408"/>
        <v>0</v>
      </c>
      <c r="CH153" s="24">
        <f t="shared" si="408"/>
        <v>0</v>
      </c>
      <c r="CI153" s="24">
        <f t="shared" si="408"/>
        <v>0</v>
      </c>
      <c r="CJ153" s="24">
        <f t="shared" si="408"/>
        <v>0</v>
      </c>
      <c r="CK153" s="24">
        <f t="shared" si="408"/>
        <v>0</v>
      </c>
      <c r="CL153" s="24">
        <f t="shared" ref="CL153:DQ153" si="409">IF($B$55=TRUE,0,IF(CL4=$C$17,$G$46,0))</f>
        <v>0</v>
      </c>
      <c r="CM153" s="24">
        <f t="shared" si="409"/>
        <v>0</v>
      </c>
      <c r="CN153" s="24">
        <f t="shared" si="409"/>
        <v>0</v>
      </c>
      <c r="CO153" s="24">
        <f t="shared" si="409"/>
        <v>0</v>
      </c>
      <c r="CP153" s="24">
        <f t="shared" si="409"/>
        <v>0</v>
      </c>
      <c r="CQ153" s="24">
        <f t="shared" si="409"/>
        <v>0</v>
      </c>
      <c r="CR153" s="24">
        <f t="shared" si="409"/>
        <v>0</v>
      </c>
      <c r="CS153" s="24">
        <f t="shared" si="409"/>
        <v>0</v>
      </c>
      <c r="CT153" s="24">
        <f t="shared" si="409"/>
        <v>0</v>
      </c>
      <c r="CU153" s="24">
        <f t="shared" si="409"/>
        <v>0</v>
      </c>
      <c r="CV153" s="24">
        <f t="shared" si="409"/>
        <v>0</v>
      </c>
      <c r="CW153" s="24">
        <f t="shared" si="409"/>
        <v>0</v>
      </c>
      <c r="CX153" s="24">
        <f t="shared" si="409"/>
        <v>0</v>
      </c>
      <c r="CY153" s="24">
        <f t="shared" si="409"/>
        <v>0</v>
      </c>
      <c r="CZ153" s="24">
        <f t="shared" si="409"/>
        <v>0</v>
      </c>
      <c r="DA153" s="24">
        <f t="shared" si="409"/>
        <v>0</v>
      </c>
      <c r="DB153" s="24">
        <f t="shared" si="409"/>
        <v>0</v>
      </c>
      <c r="DC153" s="24">
        <f t="shared" si="409"/>
        <v>0</v>
      </c>
      <c r="DD153" s="24">
        <f t="shared" si="409"/>
        <v>0</v>
      </c>
      <c r="DE153" s="24">
        <f t="shared" si="409"/>
        <v>0</v>
      </c>
      <c r="DF153" s="24">
        <f t="shared" si="409"/>
        <v>0</v>
      </c>
      <c r="DG153" s="24">
        <f t="shared" si="409"/>
        <v>0</v>
      </c>
      <c r="DH153" s="24">
        <f t="shared" si="409"/>
        <v>0</v>
      </c>
      <c r="DI153" s="24">
        <f t="shared" si="409"/>
        <v>0</v>
      </c>
      <c r="DJ153" s="24">
        <f t="shared" si="409"/>
        <v>0</v>
      </c>
      <c r="DK153" s="24">
        <f t="shared" si="409"/>
        <v>0</v>
      </c>
      <c r="DL153" s="24">
        <f t="shared" si="409"/>
        <v>0</v>
      </c>
      <c r="DM153" s="24">
        <f t="shared" si="409"/>
        <v>0</v>
      </c>
      <c r="DN153" s="24">
        <f t="shared" si="409"/>
        <v>0</v>
      </c>
      <c r="DO153" s="24">
        <f t="shared" si="409"/>
        <v>0</v>
      </c>
      <c r="DP153" s="24">
        <f t="shared" si="409"/>
        <v>0</v>
      </c>
      <c r="DQ153" s="24">
        <f t="shared" si="409"/>
        <v>0</v>
      </c>
      <c r="DR153" s="24">
        <f t="shared" ref="DR153:FB153" si="410">IF($B$55=TRUE,0,IF(DR4=$C$17,$G$46,0))</f>
        <v>0</v>
      </c>
      <c r="DS153" s="24">
        <f t="shared" si="410"/>
        <v>0</v>
      </c>
      <c r="DT153" s="24">
        <f t="shared" si="410"/>
        <v>0</v>
      </c>
      <c r="DU153" s="24">
        <f t="shared" si="410"/>
        <v>0</v>
      </c>
      <c r="DV153" s="24">
        <f t="shared" si="410"/>
        <v>0</v>
      </c>
      <c r="DW153" s="24">
        <f t="shared" si="410"/>
        <v>0</v>
      </c>
      <c r="DX153" s="24">
        <f t="shared" si="410"/>
        <v>0</v>
      </c>
      <c r="DY153" s="24">
        <f t="shared" si="410"/>
        <v>0</v>
      </c>
      <c r="DZ153" s="24">
        <f t="shared" si="410"/>
        <v>0</v>
      </c>
      <c r="EA153" s="24">
        <f t="shared" si="410"/>
        <v>0</v>
      </c>
      <c r="EB153" s="24">
        <f t="shared" si="410"/>
        <v>0</v>
      </c>
      <c r="EC153" s="24">
        <f t="shared" si="410"/>
        <v>0</v>
      </c>
      <c r="ED153" s="24">
        <f t="shared" si="410"/>
        <v>0</v>
      </c>
      <c r="EE153" s="24">
        <f t="shared" si="410"/>
        <v>0</v>
      </c>
      <c r="EF153" s="24">
        <f t="shared" si="410"/>
        <v>0</v>
      </c>
      <c r="EG153" s="24">
        <f t="shared" si="410"/>
        <v>0</v>
      </c>
      <c r="EH153" s="24">
        <f t="shared" si="410"/>
        <v>0</v>
      </c>
      <c r="EI153" s="24">
        <f t="shared" si="410"/>
        <v>0</v>
      </c>
      <c r="EJ153" s="24">
        <f t="shared" si="410"/>
        <v>0</v>
      </c>
      <c r="EK153" s="24">
        <f t="shared" si="410"/>
        <v>0</v>
      </c>
      <c r="EL153" s="24">
        <f t="shared" si="410"/>
        <v>0</v>
      </c>
      <c r="EM153" s="24">
        <f t="shared" si="410"/>
        <v>0</v>
      </c>
      <c r="EN153" s="24">
        <f t="shared" si="410"/>
        <v>0</v>
      </c>
      <c r="EO153" s="24">
        <f t="shared" si="410"/>
        <v>0</v>
      </c>
      <c r="EP153" s="24">
        <f t="shared" si="410"/>
        <v>0</v>
      </c>
      <c r="EQ153" s="24">
        <f t="shared" si="410"/>
        <v>0</v>
      </c>
      <c r="ER153" s="24">
        <f t="shared" si="410"/>
        <v>0</v>
      </c>
      <c r="ES153" s="24">
        <f t="shared" si="410"/>
        <v>0</v>
      </c>
      <c r="ET153" s="24">
        <f t="shared" si="410"/>
        <v>0</v>
      </c>
      <c r="EU153" s="24">
        <f t="shared" si="410"/>
        <v>0</v>
      </c>
      <c r="EV153" s="24">
        <f t="shared" si="410"/>
        <v>0</v>
      </c>
      <c r="EW153" s="24">
        <f t="shared" si="410"/>
        <v>0</v>
      </c>
      <c r="EX153" s="24">
        <f t="shared" si="410"/>
        <v>0</v>
      </c>
      <c r="EY153" s="24">
        <f t="shared" si="410"/>
        <v>0</v>
      </c>
      <c r="EZ153" s="24">
        <f t="shared" si="410"/>
        <v>0</v>
      </c>
      <c r="FA153" s="24">
        <f t="shared" si="410"/>
        <v>0</v>
      </c>
      <c r="FB153" s="24">
        <f t="shared" si="410"/>
        <v>0</v>
      </c>
    </row>
    <row r="154" spans="1:158">
      <c r="A154" s="60"/>
      <c r="I154" s="9" t="s">
        <v>146</v>
      </c>
      <c r="L154" s="24">
        <f ca="1">SUMIF($Z$4:$FB$4,"&lt;="&amp;$G$18,$Z154:$FB154)</f>
        <v>2813001.4647910511</v>
      </c>
      <c r="M154" s="55"/>
      <c r="N154" s="24">
        <f t="shared" si="406"/>
        <v>0</v>
      </c>
      <c r="O154" s="24">
        <f t="shared" si="406"/>
        <v>0</v>
      </c>
      <c r="P154" s="24">
        <f t="shared" si="406"/>
        <v>0</v>
      </c>
      <c r="Q154" s="24">
        <f t="shared" ref="Q154:X155" ca="1" si="411">SUMIF($Z$3:$FB$3,Q$7,$Z154:$FB154)</f>
        <v>361988.75103969773</v>
      </c>
      <c r="R154" s="24">
        <f t="shared" ca="1" si="411"/>
        <v>361988.75103969773</v>
      </c>
      <c r="S154" s="24">
        <f t="shared" ca="1" si="411"/>
        <v>360066.48788140767</v>
      </c>
      <c r="T154" s="24">
        <f t="shared" ca="1" si="411"/>
        <v>355701.07587438246</v>
      </c>
      <c r="U154" s="24">
        <f t="shared" ca="1" si="411"/>
        <v>351054.87264556112</v>
      </c>
      <c r="V154" s="24">
        <f t="shared" ca="1" si="411"/>
        <v>346109.81719403196</v>
      </c>
      <c r="W154" s="24">
        <f t="shared" ca="1" si="411"/>
        <v>340846.68680253136</v>
      </c>
      <c r="X154" s="24">
        <f t="shared" ca="1" si="411"/>
        <v>335245.0223137397</v>
      </c>
      <c r="Y154" s="55"/>
      <c r="Z154" s="24">
        <f t="shared" ref="Z154:BE154" si="412">IF($B$55=TRUE,0,Z152)*$G$48/12</f>
        <v>0</v>
      </c>
      <c r="AA154" s="24">
        <f t="shared" si="412"/>
        <v>0</v>
      </c>
      <c r="AB154" s="24">
        <f t="shared" si="412"/>
        <v>0</v>
      </c>
      <c r="AC154" s="24">
        <f t="shared" si="412"/>
        <v>0</v>
      </c>
      <c r="AD154" s="24">
        <f t="shared" si="412"/>
        <v>0</v>
      </c>
      <c r="AE154" s="24">
        <f t="shared" si="412"/>
        <v>0</v>
      </c>
      <c r="AF154" s="24">
        <f t="shared" si="412"/>
        <v>0</v>
      </c>
      <c r="AG154" s="24">
        <f t="shared" si="412"/>
        <v>0</v>
      </c>
      <c r="AH154" s="24">
        <f t="shared" si="412"/>
        <v>0</v>
      </c>
      <c r="AI154" s="24">
        <f t="shared" si="412"/>
        <v>0</v>
      </c>
      <c r="AJ154" s="24">
        <f t="shared" si="412"/>
        <v>0</v>
      </c>
      <c r="AK154" s="24">
        <f t="shared" si="412"/>
        <v>0</v>
      </c>
      <c r="AL154" s="24">
        <f t="shared" si="412"/>
        <v>0</v>
      </c>
      <c r="AM154" s="24">
        <f t="shared" si="412"/>
        <v>0</v>
      </c>
      <c r="AN154" s="24">
        <f t="shared" si="412"/>
        <v>0</v>
      </c>
      <c r="AO154" s="24">
        <f t="shared" si="412"/>
        <v>0</v>
      </c>
      <c r="AP154" s="24">
        <f t="shared" si="412"/>
        <v>0</v>
      </c>
      <c r="AQ154" s="24">
        <f t="shared" si="412"/>
        <v>0</v>
      </c>
      <c r="AR154" s="24">
        <f t="shared" si="412"/>
        <v>0</v>
      </c>
      <c r="AS154" s="24">
        <f t="shared" si="412"/>
        <v>0</v>
      </c>
      <c r="AT154" s="24">
        <f t="shared" si="412"/>
        <v>0</v>
      </c>
      <c r="AU154" s="24">
        <f t="shared" si="412"/>
        <v>0</v>
      </c>
      <c r="AV154" s="24">
        <f t="shared" si="412"/>
        <v>0</v>
      </c>
      <c r="AW154" s="24">
        <f t="shared" si="412"/>
        <v>0</v>
      </c>
      <c r="AX154" s="24">
        <f t="shared" si="412"/>
        <v>0</v>
      </c>
      <c r="AY154" s="24">
        <f t="shared" ca="1" si="412"/>
        <v>30165.729253308145</v>
      </c>
      <c r="AZ154" s="24">
        <f t="shared" ca="1" si="412"/>
        <v>30165.729253308145</v>
      </c>
      <c r="BA154" s="24">
        <f t="shared" ca="1" si="412"/>
        <v>30165.729253308145</v>
      </c>
      <c r="BB154" s="24">
        <f t="shared" ca="1" si="412"/>
        <v>30165.729253308145</v>
      </c>
      <c r="BC154" s="24">
        <f t="shared" ca="1" si="412"/>
        <v>30165.729253308145</v>
      </c>
      <c r="BD154" s="24">
        <f t="shared" ca="1" si="412"/>
        <v>30165.729253308145</v>
      </c>
      <c r="BE154" s="24">
        <f t="shared" ca="1" si="412"/>
        <v>30165.729253308145</v>
      </c>
      <c r="BF154" s="24">
        <f t="shared" ref="BF154:CK154" ca="1" si="413">IF($B$55=TRUE,0,BF152)*$G$48/12</f>
        <v>30165.729253308145</v>
      </c>
      <c r="BG154" s="24">
        <f t="shared" ca="1" si="413"/>
        <v>30165.729253308145</v>
      </c>
      <c r="BH154" s="24">
        <f t="shared" ca="1" si="413"/>
        <v>30165.729253308145</v>
      </c>
      <c r="BI154" s="24">
        <f t="shared" ca="1" si="413"/>
        <v>30165.729253308145</v>
      </c>
      <c r="BJ154" s="24">
        <f t="shared" ca="1" si="413"/>
        <v>30165.729253308145</v>
      </c>
      <c r="BK154" s="24">
        <f t="shared" ca="1" si="413"/>
        <v>30165.729253308145</v>
      </c>
      <c r="BL154" s="24">
        <f t="shared" ca="1" si="413"/>
        <v>30165.729253308145</v>
      </c>
      <c r="BM154" s="24">
        <f t="shared" ca="1" si="413"/>
        <v>30165.729253308145</v>
      </c>
      <c r="BN154" s="24">
        <f t="shared" ca="1" si="413"/>
        <v>30165.729253308145</v>
      </c>
      <c r="BO154" s="24">
        <f t="shared" ca="1" si="413"/>
        <v>30165.729253308145</v>
      </c>
      <c r="BP154" s="24">
        <f t="shared" ca="1" si="413"/>
        <v>30165.729253308145</v>
      </c>
      <c r="BQ154" s="24">
        <f t="shared" ca="1" si="413"/>
        <v>30165.729253308145</v>
      </c>
      <c r="BR154" s="24">
        <f t="shared" ca="1" si="413"/>
        <v>30165.729253308145</v>
      </c>
      <c r="BS154" s="24">
        <f t="shared" ca="1" si="413"/>
        <v>30165.729253308145</v>
      </c>
      <c r="BT154" s="24">
        <f t="shared" ca="1" si="413"/>
        <v>30165.729253308145</v>
      </c>
      <c r="BU154" s="24">
        <f t="shared" ca="1" si="413"/>
        <v>30165.729253308145</v>
      </c>
      <c r="BV154" s="24">
        <f t="shared" ca="1" si="413"/>
        <v>30165.729253308145</v>
      </c>
      <c r="BW154" s="24">
        <f t="shared" ca="1" si="413"/>
        <v>30165.729253308145</v>
      </c>
      <c r="BX154" s="24">
        <f t="shared" ca="1" si="413"/>
        <v>30137.106842855781</v>
      </c>
      <c r="BY154" s="24">
        <f t="shared" ca="1" si="413"/>
        <v>30108.335357348984</v>
      </c>
      <c r="BZ154" s="24">
        <f t="shared" ca="1" si="413"/>
        <v>30079.414020355169</v>
      </c>
      <c r="CA154" s="24">
        <f t="shared" ca="1" si="413"/>
        <v>30050.342051397845</v>
      </c>
      <c r="CB154" s="24">
        <f t="shared" ca="1" si="413"/>
        <v>30021.118665935533</v>
      </c>
      <c r="CC154" s="24">
        <f t="shared" ca="1" si="413"/>
        <v>29991.743075340608</v>
      </c>
      <c r="CD154" s="24">
        <f t="shared" ca="1" si="413"/>
        <v>29962.214486878001</v>
      </c>
      <c r="CE154" s="24">
        <f t="shared" ca="1" si="413"/>
        <v>29932.532103683818</v>
      </c>
      <c r="CF154" s="24">
        <f t="shared" ca="1" si="413"/>
        <v>29902.69512474383</v>
      </c>
      <c r="CG154" s="24">
        <f t="shared" ca="1" si="413"/>
        <v>29872.702744871862</v>
      </c>
      <c r="CH154" s="24">
        <f t="shared" ca="1" si="413"/>
        <v>29842.554154688067</v>
      </c>
      <c r="CI154" s="24">
        <f t="shared" ca="1" si="413"/>
        <v>29812.248540597062</v>
      </c>
      <c r="CJ154" s="24">
        <f t="shared" ca="1" si="413"/>
        <v>29781.785084765997</v>
      </c>
      <c r="CK154" s="24">
        <f t="shared" ca="1" si="413"/>
        <v>29751.162965102481</v>
      </c>
      <c r="CL154" s="24">
        <f t="shared" ref="CL154:DQ154" ca="1" si="414">IF($B$55=TRUE,0,CL152)*$G$48/12</f>
        <v>29720.381355232381</v>
      </c>
      <c r="CM154" s="24">
        <f t="shared" ca="1" si="414"/>
        <v>29689.439424477543</v>
      </c>
      <c r="CN154" s="24">
        <f t="shared" ca="1" si="414"/>
        <v>29658.336337833356</v>
      </c>
      <c r="CO154" s="24">
        <f t="shared" ca="1" si="414"/>
        <v>29627.07125594623</v>
      </c>
      <c r="CP154" s="24">
        <f t="shared" ca="1" si="414"/>
        <v>29595.643335090946</v>
      </c>
      <c r="CQ154" s="24">
        <f t="shared" ca="1" si="414"/>
        <v>29564.051727147871</v>
      </c>
      <c r="CR154" s="24">
        <f t="shared" ca="1" si="414"/>
        <v>29532.295579580092</v>
      </c>
      <c r="CS154" s="24">
        <f t="shared" ca="1" si="414"/>
        <v>29500.374035410394</v>
      </c>
      <c r="CT154" s="24">
        <f t="shared" ca="1" si="414"/>
        <v>29468.286233198149</v>
      </c>
      <c r="CU154" s="24">
        <f t="shared" ca="1" si="414"/>
        <v>29436.031307016048</v>
      </c>
      <c r="CV154" s="24">
        <f t="shared" ca="1" si="414"/>
        <v>29403.608386426753</v>
      </c>
      <c r="CW154" s="24">
        <f t="shared" ca="1" si="414"/>
        <v>29371.016596459387</v>
      </c>
      <c r="CX154" s="24">
        <f t="shared" ca="1" si="414"/>
        <v>29338.255057585939</v>
      </c>
      <c r="CY154" s="24">
        <f t="shared" ca="1" si="414"/>
        <v>29305.322885697529</v>
      </c>
      <c r="CZ154" s="24">
        <f t="shared" ca="1" si="414"/>
        <v>29272.219192080531</v>
      </c>
      <c r="DA154" s="24">
        <f t="shared" ca="1" si="414"/>
        <v>29238.943083392605</v>
      </c>
      <c r="DB154" s="24">
        <f t="shared" ca="1" si="414"/>
        <v>29205.4936616386</v>
      </c>
      <c r="DC154" s="24">
        <f t="shared" ca="1" si="414"/>
        <v>29171.870024146294</v>
      </c>
      <c r="DD154" s="24">
        <f t="shared" ca="1" si="414"/>
        <v>29138.07126354205</v>
      </c>
      <c r="DE154" s="24">
        <f t="shared" ca="1" si="414"/>
        <v>29104.096467726325</v>
      </c>
      <c r="DF154" s="24">
        <f t="shared" ca="1" si="414"/>
        <v>29069.944719849056</v>
      </c>
      <c r="DG154" s="24">
        <f t="shared" ca="1" si="414"/>
        <v>29035.615098284932</v>
      </c>
      <c r="DH154" s="24">
        <f t="shared" ca="1" si="414"/>
        <v>29001.106676608488</v>
      </c>
      <c r="DI154" s="24">
        <f t="shared" ca="1" si="414"/>
        <v>28966.418523569151</v>
      </c>
      <c r="DJ154" s="24">
        <f t="shared" ca="1" si="414"/>
        <v>28931.549703066066</v>
      </c>
      <c r="DK154" s="24">
        <f t="shared" ca="1" si="414"/>
        <v>28896.499274122863</v>
      </c>
      <c r="DL154" s="24">
        <f t="shared" ca="1" si="414"/>
        <v>28861.266290862244</v>
      </c>
      <c r="DM154" s="24">
        <f t="shared" ca="1" si="414"/>
        <v>28825.849802480476</v>
      </c>
      <c r="DN154" s="24">
        <f t="shared" ca="1" si="414"/>
        <v>28790.248853221721</v>
      </c>
      <c r="DO154" s="24">
        <f t="shared" ca="1" si="414"/>
        <v>28754.462482352243</v>
      </c>
      <c r="DP154" s="24">
        <f t="shared" ca="1" si="414"/>
        <v>28718.489724134484</v>
      </c>
      <c r="DQ154" s="24">
        <f t="shared" ca="1" si="414"/>
        <v>28682.329607801006</v>
      </c>
      <c r="DR154" s="24">
        <f t="shared" ref="DR154:FB154" ca="1" si="415">IF($B$55=TRUE,0,DR152)*$G$48/12</f>
        <v>28645.981157528295</v>
      </c>
      <c r="DS154" s="24">
        <f t="shared" ca="1" si="415"/>
        <v>28609.443392410412</v>
      </c>
      <c r="DT154" s="24">
        <f t="shared" ca="1" si="415"/>
        <v>28572.715326432546</v>
      </c>
      <c r="DU154" s="24">
        <f t="shared" ca="1" si="415"/>
        <v>28535.795968444374</v>
      </c>
      <c r="DV154" s="24">
        <f t="shared" ca="1" si="415"/>
        <v>28498.684322133344</v>
      </c>
      <c r="DW154" s="24">
        <f t="shared" ca="1" si="415"/>
        <v>28461.379385997785</v>
      </c>
      <c r="DX154" s="24">
        <f t="shared" ca="1" si="415"/>
        <v>28423.880153319846</v>
      </c>
      <c r="DY154" s="24">
        <f t="shared" ca="1" si="415"/>
        <v>28386.185612138379</v>
      </c>
      <c r="DZ154" s="24">
        <f t="shared" ca="1" si="415"/>
        <v>28348.294745221592</v>
      </c>
      <c r="EA154" s="24">
        <f t="shared" ca="1" si="415"/>
        <v>28310.206530039617</v>
      </c>
      <c r="EB154" s="24">
        <f t="shared" ca="1" si="415"/>
        <v>28271.919938736897</v>
      </c>
      <c r="EC154" s="24">
        <f t="shared" ca="1" si="415"/>
        <v>28233.433938104474</v>
      </c>
      <c r="ED154" s="24">
        <f t="shared" ca="1" si="415"/>
        <v>28194.747489552097</v>
      </c>
      <c r="EE154" s="24">
        <f t="shared" ca="1" si="415"/>
        <v>28155.859549080171</v>
      </c>
      <c r="EF154" s="24">
        <f t="shared" ca="1" si="415"/>
        <v>28116.769067251622</v>
      </c>
      <c r="EG154" s="24">
        <f t="shared" ca="1" si="415"/>
        <v>28077.474989163555</v>
      </c>
      <c r="EH154" s="24">
        <f t="shared" ca="1" si="415"/>
        <v>28037.976254418772</v>
      </c>
      <c r="EI154" s="24">
        <f t="shared" ca="1" si="415"/>
        <v>27998.271797097197</v>
      </c>
      <c r="EJ154" s="24">
        <f t="shared" ca="1" si="415"/>
        <v>27958.360545727071</v>
      </c>
      <c r="EK154" s="24">
        <f t="shared" ca="1" si="415"/>
        <v>27918.241423256059</v>
      </c>
      <c r="EL154" s="24">
        <f t="shared" ca="1" si="415"/>
        <v>27877.913347022175</v>
      </c>
      <c r="EM154" s="24">
        <f t="shared" ca="1" si="415"/>
        <v>27837.375228724577</v>
      </c>
      <c r="EN154" s="24">
        <f t="shared" ca="1" si="415"/>
        <v>27796.625974394177</v>
      </c>
      <c r="EO154" s="24">
        <f t="shared" ca="1" si="415"/>
        <v>27755.664484364141</v>
      </c>
      <c r="EP154" s="24">
        <f t="shared" ca="1" si="415"/>
        <v>27714.489653240194</v>
      </c>
      <c r="EQ154" s="24">
        <f t="shared" ca="1" si="415"/>
        <v>0</v>
      </c>
      <c r="ER154" s="24">
        <f t="shared" ca="1" si="415"/>
        <v>0</v>
      </c>
      <c r="ES154" s="24">
        <f t="shared" ca="1" si="415"/>
        <v>0</v>
      </c>
      <c r="ET154" s="24">
        <f t="shared" ca="1" si="415"/>
        <v>0</v>
      </c>
      <c r="EU154" s="24">
        <f t="shared" ca="1" si="415"/>
        <v>0</v>
      </c>
      <c r="EV154" s="24">
        <f t="shared" ca="1" si="415"/>
        <v>0</v>
      </c>
      <c r="EW154" s="24">
        <f t="shared" ca="1" si="415"/>
        <v>0</v>
      </c>
      <c r="EX154" s="24">
        <f t="shared" ca="1" si="415"/>
        <v>0</v>
      </c>
      <c r="EY154" s="24">
        <f t="shared" ca="1" si="415"/>
        <v>0</v>
      </c>
      <c r="EZ154" s="24">
        <f t="shared" ca="1" si="415"/>
        <v>0</v>
      </c>
      <c r="FA154" s="24">
        <f t="shared" ca="1" si="415"/>
        <v>0</v>
      </c>
      <c r="FB154" s="24">
        <f t="shared" ca="1" si="415"/>
        <v>0</v>
      </c>
    </row>
    <row r="155" spans="1:158">
      <c r="A155" s="60"/>
      <c r="I155" s="9" t="s">
        <v>147</v>
      </c>
      <c r="L155" s="24">
        <f ca="1">SUMIF($Z$4:$FB$4,"&lt;="&amp;$G$18,$Z155:$FB155)</f>
        <v>-2813001.4647910511</v>
      </c>
      <c r="M155" s="55"/>
      <c r="N155" s="24">
        <f t="shared" si="406"/>
        <v>0</v>
      </c>
      <c r="O155" s="24">
        <f t="shared" si="406"/>
        <v>0</v>
      </c>
      <c r="P155" s="24">
        <f t="shared" si="406"/>
        <v>0</v>
      </c>
      <c r="Q155" s="24">
        <f t="shared" ca="1" si="411"/>
        <v>-361988.75103969773</v>
      </c>
      <c r="R155" s="24">
        <f t="shared" ca="1" si="411"/>
        <v>-361988.75103969773</v>
      </c>
      <c r="S155" s="24">
        <f t="shared" ca="1" si="411"/>
        <v>-360066.48788140767</v>
      </c>
      <c r="T155" s="24">
        <f t="shared" ca="1" si="411"/>
        <v>-355701.07587438246</v>
      </c>
      <c r="U155" s="24">
        <f t="shared" ca="1" si="411"/>
        <v>-351054.87264556112</v>
      </c>
      <c r="V155" s="24">
        <f t="shared" ca="1" si="411"/>
        <v>-346109.81719403196</v>
      </c>
      <c r="W155" s="24">
        <f t="shared" ca="1" si="411"/>
        <v>-340846.68680253136</v>
      </c>
      <c r="X155" s="24">
        <f t="shared" ca="1" si="411"/>
        <v>-335245.0223137397</v>
      </c>
      <c r="Y155" s="55"/>
      <c r="Z155" s="24">
        <f t="shared" ref="Z155:BE155" si="416">-MIN(Z154,Z67*(Z67&gt;0))</f>
        <v>0</v>
      </c>
      <c r="AA155" s="24">
        <f t="shared" si="416"/>
        <v>0</v>
      </c>
      <c r="AB155" s="24">
        <f t="shared" si="416"/>
        <v>0</v>
      </c>
      <c r="AC155" s="24">
        <f t="shared" si="416"/>
        <v>0</v>
      </c>
      <c r="AD155" s="24">
        <f t="shared" si="416"/>
        <v>0</v>
      </c>
      <c r="AE155" s="24">
        <f t="shared" si="416"/>
        <v>0</v>
      </c>
      <c r="AF155" s="24">
        <f t="shared" si="416"/>
        <v>0</v>
      </c>
      <c r="AG155" s="24">
        <f t="shared" si="416"/>
        <v>0</v>
      </c>
      <c r="AH155" s="24">
        <f t="shared" si="416"/>
        <v>0</v>
      </c>
      <c r="AI155" s="24">
        <f t="shared" si="416"/>
        <v>0</v>
      </c>
      <c r="AJ155" s="24">
        <f t="shared" si="416"/>
        <v>0</v>
      </c>
      <c r="AK155" s="24">
        <f t="shared" si="416"/>
        <v>0</v>
      </c>
      <c r="AL155" s="24">
        <f t="shared" si="416"/>
        <v>0</v>
      </c>
      <c r="AM155" s="24">
        <f t="shared" si="416"/>
        <v>0</v>
      </c>
      <c r="AN155" s="24">
        <f t="shared" si="416"/>
        <v>0</v>
      </c>
      <c r="AO155" s="24">
        <f t="shared" si="416"/>
        <v>0</v>
      </c>
      <c r="AP155" s="24">
        <f t="shared" si="416"/>
        <v>0</v>
      </c>
      <c r="AQ155" s="24">
        <f t="shared" si="416"/>
        <v>0</v>
      </c>
      <c r="AR155" s="24">
        <f t="shared" si="416"/>
        <v>0</v>
      </c>
      <c r="AS155" s="24">
        <f t="shared" si="416"/>
        <v>0</v>
      </c>
      <c r="AT155" s="24">
        <f t="shared" si="416"/>
        <v>0</v>
      </c>
      <c r="AU155" s="24">
        <f t="shared" si="416"/>
        <v>0</v>
      </c>
      <c r="AV155" s="24">
        <f t="shared" si="416"/>
        <v>0</v>
      </c>
      <c r="AW155" s="24">
        <f t="shared" si="416"/>
        <v>0</v>
      </c>
      <c r="AX155" s="24">
        <f t="shared" si="416"/>
        <v>0</v>
      </c>
      <c r="AY155" s="24">
        <f t="shared" ca="1" si="416"/>
        <v>-30165.729253308145</v>
      </c>
      <c r="AZ155" s="24">
        <f t="shared" ca="1" si="416"/>
        <v>-30165.729253308145</v>
      </c>
      <c r="BA155" s="24">
        <f t="shared" ca="1" si="416"/>
        <v>-30165.729253308145</v>
      </c>
      <c r="BB155" s="24">
        <f t="shared" ca="1" si="416"/>
        <v>-30165.729253308145</v>
      </c>
      <c r="BC155" s="24">
        <f t="shared" ca="1" si="416"/>
        <v>-30165.729253308145</v>
      </c>
      <c r="BD155" s="24">
        <f t="shared" ca="1" si="416"/>
        <v>-30165.729253308145</v>
      </c>
      <c r="BE155" s="24">
        <f t="shared" ca="1" si="416"/>
        <v>-30165.729253308145</v>
      </c>
      <c r="BF155" s="24">
        <f t="shared" ref="BF155:CK155" ca="1" si="417">-MIN(BF154,BF67*(BF67&gt;0))</f>
        <v>-30165.729253308145</v>
      </c>
      <c r="BG155" s="24">
        <f t="shared" ca="1" si="417"/>
        <v>-30165.729253308145</v>
      </c>
      <c r="BH155" s="24">
        <f t="shared" ca="1" si="417"/>
        <v>-30165.729253308145</v>
      </c>
      <c r="BI155" s="24">
        <f t="shared" ca="1" si="417"/>
        <v>-30165.729253308145</v>
      </c>
      <c r="BJ155" s="24">
        <f t="shared" ca="1" si="417"/>
        <v>-30165.729253308145</v>
      </c>
      <c r="BK155" s="24">
        <f t="shared" ca="1" si="417"/>
        <v>-30165.729253308145</v>
      </c>
      <c r="BL155" s="24">
        <f t="shared" ca="1" si="417"/>
        <v>-30165.729253308145</v>
      </c>
      <c r="BM155" s="24">
        <f t="shared" ca="1" si="417"/>
        <v>-30165.729253308145</v>
      </c>
      <c r="BN155" s="24">
        <f t="shared" ca="1" si="417"/>
        <v>-30165.729253308145</v>
      </c>
      <c r="BO155" s="24">
        <f t="shared" ca="1" si="417"/>
        <v>-30165.729253308145</v>
      </c>
      <c r="BP155" s="24">
        <f t="shared" ca="1" si="417"/>
        <v>-30165.729253308145</v>
      </c>
      <c r="BQ155" s="24">
        <f t="shared" ca="1" si="417"/>
        <v>-30165.729253308145</v>
      </c>
      <c r="BR155" s="24">
        <f t="shared" ca="1" si="417"/>
        <v>-30165.729253308145</v>
      </c>
      <c r="BS155" s="24">
        <f t="shared" ca="1" si="417"/>
        <v>-30165.729253308145</v>
      </c>
      <c r="BT155" s="24">
        <f t="shared" ca="1" si="417"/>
        <v>-30165.729253308145</v>
      </c>
      <c r="BU155" s="24">
        <f t="shared" ca="1" si="417"/>
        <v>-30165.729253308145</v>
      </c>
      <c r="BV155" s="24">
        <f t="shared" ca="1" si="417"/>
        <v>-30165.729253308145</v>
      </c>
      <c r="BW155" s="24">
        <f t="shared" ca="1" si="417"/>
        <v>-30165.729253308145</v>
      </c>
      <c r="BX155" s="24">
        <f t="shared" ca="1" si="417"/>
        <v>-30137.106842855781</v>
      </c>
      <c r="BY155" s="24">
        <f t="shared" ca="1" si="417"/>
        <v>-30108.335357348984</v>
      </c>
      <c r="BZ155" s="24">
        <f t="shared" ca="1" si="417"/>
        <v>-30079.414020355169</v>
      </c>
      <c r="CA155" s="24">
        <f t="shared" ca="1" si="417"/>
        <v>-30050.342051397845</v>
      </c>
      <c r="CB155" s="24">
        <f t="shared" ca="1" si="417"/>
        <v>-30021.118665935533</v>
      </c>
      <c r="CC155" s="24">
        <f t="shared" ca="1" si="417"/>
        <v>-29991.743075340608</v>
      </c>
      <c r="CD155" s="24">
        <f t="shared" ca="1" si="417"/>
        <v>-29962.214486878001</v>
      </c>
      <c r="CE155" s="24">
        <f t="shared" ca="1" si="417"/>
        <v>-29932.532103683818</v>
      </c>
      <c r="CF155" s="24">
        <f t="shared" ca="1" si="417"/>
        <v>-29902.69512474383</v>
      </c>
      <c r="CG155" s="24">
        <f t="shared" ca="1" si="417"/>
        <v>-29872.702744871862</v>
      </c>
      <c r="CH155" s="24">
        <f t="shared" ca="1" si="417"/>
        <v>-29842.554154688067</v>
      </c>
      <c r="CI155" s="24">
        <f t="shared" ca="1" si="417"/>
        <v>-29812.248540597062</v>
      </c>
      <c r="CJ155" s="24">
        <f t="shared" ca="1" si="417"/>
        <v>-29781.785084765997</v>
      </c>
      <c r="CK155" s="24">
        <f t="shared" ca="1" si="417"/>
        <v>-29751.162965102481</v>
      </c>
      <c r="CL155" s="24">
        <f t="shared" ref="CL155:DQ155" ca="1" si="418">-MIN(CL154,CL67*(CL67&gt;0))</f>
        <v>-29720.381355232381</v>
      </c>
      <c r="CM155" s="24">
        <f t="shared" ca="1" si="418"/>
        <v>-29689.439424477543</v>
      </c>
      <c r="CN155" s="24">
        <f t="shared" ca="1" si="418"/>
        <v>-29658.336337833356</v>
      </c>
      <c r="CO155" s="24">
        <f t="shared" ca="1" si="418"/>
        <v>-29627.07125594623</v>
      </c>
      <c r="CP155" s="24">
        <f t="shared" ca="1" si="418"/>
        <v>-29595.643335090946</v>
      </c>
      <c r="CQ155" s="24">
        <f t="shared" ca="1" si="418"/>
        <v>-29564.051727147871</v>
      </c>
      <c r="CR155" s="24">
        <f t="shared" ca="1" si="418"/>
        <v>-29532.295579580092</v>
      </c>
      <c r="CS155" s="24">
        <f t="shared" ca="1" si="418"/>
        <v>-29500.374035410394</v>
      </c>
      <c r="CT155" s="24">
        <f t="shared" ca="1" si="418"/>
        <v>-29468.286233198149</v>
      </c>
      <c r="CU155" s="24">
        <f t="shared" ca="1" si="418"/>
        <v>-29436.031307016048</v>
      </c>
      <c r="CV155" s="24">
        <f t="shared" ca="1" si="418"/>
        <v>-29403.608386426753</v>
      </c>
      <c r="CW155" s="24">
        <f t="shared" ca="1" si="418"/>
        <v>-29371.016596459387</v>
      </c>
      <c r="CX155" s="24">
        <f t="shared" ca="1" si="418"/>
        <v>-29338.255057585939</v>
      </c>
      <c r="CY155" s="24">
        <f t="shared" ca="1" si="418"/>
        <v>-29305.322885697529</v>
      </c>
      <c r="CZ155" s="24">
        <f t="shared" ca="1" si="418"/>
        <v>-29272.219192080531</v>
      </c>
      <c r="DA155" s="24">
        <f t="shared" ca="1" si="418"/>
        <v>-29238.943083392605</v>
      </c>
      <c r="DB155" s="24">
        <f t="shared" ca="1" si="418"/>
        <v>-29205.4936616386</v>
      </c>
      <c r="DC155" s="24">
        <f t="shared" ca="1" si="418"/>
        <v>-29171.870024146294</v>
      </c>
      <c r="DD155" s="24">
        <f t="shared" ca="1" si="418"/>
        <v>-29138.07126354205</v>
      </c>
      <c r="DE155" s="24">
        <f t="shared" ca="1" si="418"/>
        <v>-29104.096467726325</v>
      </c>
      <c r="DF155" s="24">
        <f t="shared" ca="1" si="418"/>
        <v>-29069.944719849056</v>
      </c>
      <c r="DG155" s="24">
        <f t="shared" ca="1" si="418"/>
        <v>-29035.615098284932</v>
      </c>
      <c r="DH155" s="24">
        <f t="shared" ca="1" si="418"/>
        <v>-29001.106676608488</v>
      </c>
      <c r="DI155" s="24">
        <f t="shared" ca="1" si="418"/>
        <v>-28966.418523569151</v>
      </c>
      <c r="DJ155" s="24">
        <f t="shared" ca="1" si="418"/>
        <v>-28931.549703066066</v>
      </c>
      <c r="DK155" s="24">
        <f t="shared" ca="1" si="418"/>
        <v>-28896.499274122863</v>
      </c>
      <c r="DL155" s="24">
        <f t="shared" ca="1" si="418"/>
        <v>-28861.266290862244</v>
      </c>
      <c r="DM155" s="24">
        <f t="shared" ca="1" si="418"/>
        <v>-28825.849802480476</v>
      </c>
      <c r="DN155" s="24">
        <f t="shared" ca="1" si="418"/>
        <v>-28790.248853221721</v>
      </c>
      <c r="DO155" s="24">
        <f t="shared" ca="1" si="418"/>
        <v>-28754.462482352243</v>
      </c>
      <c r="DP155" s="24">
        <f t="shared" ca="1" si="418"/>
        <v>-28718.489724134484</v>
      </c>
      <c r="DQ155" s="24">
        <f t="shared" ca="1" si="418"/>
        <v>-28682.329607801006</v>
      </c>
      <c r="DR155" s="24">
        <f t="shared" ref="DR155:EW155" ca="1" si="419">-MIN(DR154,DR67*(DR67&gt;0))</f>
        <v>-28645.981157528295</v>
      </c>
      <c r="DS155" s="24">
        <f t="shared" ca="1" si="419"/>
        <v>-28609.443392410412</v>
      </c>
      <c r="DT155" s="24">
        <f t="shared" ca="1" si="419"/>
        <v>-28572.715326432546</v>
      </c>
      <c r="DU155" s="24">
        <f t="shared" ca="1" si="419"/>
        <v>-28535.795968444374</v>
      </c>
      <c r="DV155" s="24">
        <f t="shared" ca="1" si="419"/>
        <v>-28498.684322133344</v>
      </c>
      <c r="DW155" s="24">
        <f t="shared" ca="1" si="419"/>
        <v>-28461.379385997785</v>
      </c>
      <c r="DX155" s="24">
        <f t="shared" ca="1" si="419"/>
        <v>-28423.880153319846</v>
      </c>
      <c r="DY155" s="24">
        <f t="shared" ca="1" si="419"/>
        <v>-28386.185612138379</v>
      </c>
      <c r="DZ155" s="24">
        <f t="shared" ca="1" si="419"/>
        <v>-28348.294745221592</v>
      </c>
      <c r="EA155" s="24">
        <f t="shared" ca="1" si="419"/>
        <v>-28310.206530039617</v>
      </c>
      <c r="EB155" s="24">
        <f t="shared" ca="1" si="419"/>
        <v>-28271.919938736897</v>
      </c>
      <c r="EC155" s="24">
        <f t="shared" ca="1" si="419"/>
        <v>-28233.433938104474</v>
      </c>
      <c r="ED155" s="24">
        <f t="shared" ca="1" si="419"/>
        <v>-28194.747489552097</v>
      </c>
      <c r="EE155" s="24">
        <f t="shared" ca="1" si="419"/>
        <v>-28155.859549080171</v>
      </c>
      <c r="EF155" s="24">
        <f t="shared" ca="1" si="419"/>
        <v>-28116.769067251622</v>
      </c>
      <c r="EG155" s="24">
        <f t="shared" ca="1" si="419"/>
        <v>-28077.474989163555</v>
      </c>
      <c r="EH155" s="24">
        <f t="shared" ca="1" si="419"/>
        <v>-28037.976254418772</v>
      </c>
      <c r="EI155" s="24">
        <f t="shared" ca="1" si="419"/>
        <v>-27998.271797097197</v>
      </c>
      <c r="EJ155" s="24">
        <f t="shared" ca="1" si="419"/>
        <v>-27958.360545727071</v>
      </c>
      <c r="EK155" s="24">
        <f t="shared" ca="1" si="419"/>
        <v>-27918.241423256059</v>
      </c>
      <c r="EL155" s="24">
        <f t="shared" ca="1" si="419"/>
        <v>-27877.913347022175</v>
      </c>
      <c r="EM155" s="24">
        <f t="shared" ca="1" si="419"/>
        <v>-27837.375228724577</v>
      </c>
      <c r="EN155" s="24">
        <f t="shared" ca="1" si="419"/>
        <v>-27796.625974394177</v>
      </c>
      <c r="EO155" s="24">
        <f t="shared" ca="1" si="419"/>
        <v>-27755.664484364141</v>
      </c>
      <c r="EP155" s="24">
        <f t="shared" ca="1" si="419"/>
        <v>-27714.489653240194</v>
      </c>
      <c r="EQ155" s="24">
        <f t="shared" ca="1" si="419"/>
        <v>0</v>
      </c>
      <c r="ER155" s="24">
        <f t="shared" ca="1" si="419"/>
        <v>0</v>
      </c>
      <c r="ES155" s="24">
        <f t="shared" ca="1" si="419"/>
        <v>0</v>
      </c>
      <c r="ET155" s="24">
        <f t="shared" ca="1" si="419"/>
        <v>0</v>
      </c>
      <c r="EU155" s="24">
        <f t="shared" ca="1" si="419"/>
        <v>0</v>
      </c>
      <c r="EV155" s="24">
        <f t="shared" ca="1" si="419"/>
        <v>0</v>
      </c>
      <c r="EW155" s="24">
        <f t="shared" ca="1" si="419"/>
        <v>0</v>
      </c>
      <c r="EX155" s="24">
        <f t="shared" ref="EX155:FB155" ca="1" si="420">-MIN(EX154,EX67*(EX67&gt;0))</f>
        <v>0</v>
      </c>
      <c r="EY155" s="24">
        <f t="shared" ca="1" si="420"/>
        <v>0</v>
      </c>
      <c r="EZ155" s="24">
        <f t="shared" ca="1" si="420"/>
        <v>0</v>
      </c>
      <c r="FA155" s="24">
        <f t="shared" ca="1" si="420"/>
        <v>0</v>
      </c>
      <c r="FB155" s="24">
        <f t="shared" ca="1" si="420"/>
        <v>0</v>
      </c>
    </row>
    <row r="156" spans="1:158">
      <c r="A156" s="60"/>
      <c r="I156" s="9" t="s">
        <v>148</v>
      </c>
      <c r="L156" s="24">
        <f ca="1">SUMIF($Z$4:$FB$4,"&lt;="&amp;$G$18,$Z156:$FB156)</f>
        <v>-478584.74561996636</v>
      </c>
      <c r="M156" s="55"/>
      <c r="N156" s="24">
        <f t="shared" si="406"/>
        <v>0</v>
      </c>
      <c r="O156" s="24">
        <f t="shared" si="406"/>
        <v>0</v>
      </c>
      <c r="P156" s="24">
        <f t="shared" si="406"/>
        <v>0</v>
      </c>
      <c r="Q156" s="24">
        <f t="shared" si="406"/>
        <v>0</v>
      </c>
      <c r="R156" s="24">
        <f t="shared" si="406"/>
        <v>0</v>
      </c>
      <c r="S156" s="24">
        <f t="shared" ref="S156:X156" ca="1" si="421">SUMIF($Z$3:$FB$3,S$7,$Z156:$FB156)</f>
        <v>-67868.296840529118</v>
      </c>
      <c r="T156" s="24">
        <f t="shared" ca="1" si="421"/>
        <v>-72233.70884755427</v>
      </c>
      <c r="U156" s="24">
        <f t="shared" ca="1" si="421"/>
        <v>-76879.912076375636</v>
      </c>
      <c r="V156" s="24">
        <f t="shared" ca="1" si="421"/>
        <v>-81824.96752790481</v>
      </c>
      <c r="W156" s="24">
        <f t="shared" ca="1" si="421"/>
        <v>-87088.097919405409</v>
      </c>
      <c r="X156" s="24">
        <f t="shared" ca="1" si="421"/>
        <v>-92689.762408197043</v>
      </c>
      <c r="Y156" s="55"/>
      <c r="Z156" s="24">
        <f t="shared" ref="Z156:BE156" si="422">IF(AND(Z6&gt;=EOMONTH($D$17,$F$50+1),Z6&lt;=$F$18),-($G$50+Z155),0)</f>
        <v>0</v>
      </c>
      <c r="AA156" s="24">
        <f t="shared" si="422"/>
        <v>0</v>
      </c>
      <c r="AB156" s="24">
        <f t="shared" si="422"/>
        <v>0</v>
      </c>
      <c r="AC156" s="24">
        <f t="shared" si="422"/>
        <v>0</v>
      </c>
      <c r="AD156" s="24">
        <f t="shared" si="422"/>
        <v>0</v>
      </c>
      <c r="AE156" s="24">
        <f t="shared" si="422"/>
        <v>0</v>
      </c>
      <c r="AF156" s="24">
        <f t="shared" si="422"/>
        <v>0</v>
      </c>
      <c r="AG156" s="24">
        <f t="shared" si="422"/>
        <v>0</v>
      </c>
      <c r="AH156" s="24">
        <f t="shared" si="422"/>
        <v>0</v>
      </c>
      <c r="AI156" s="24">
        <f t="shared" si="422"/>
        <v>0</v>
      </c>
      <c r="AJ156" s="24">
        <f t="shared" si="422"/>
        <v>0</v>
      </c>
      <c r="AK156" s="24">
        <f t="shared" si="422"/>
        <v>0</v>
      </c>
      <c r="AL156" s="24">
        <f t="shared" si="422"/>
        <v>0</v>
      </c>
      <c r="AM156" s="24">
        <f t="shared" si="422"/>
        <v>0</v>
      </c>
      <c r="AN156" s="24">
        <f t="shared" si="422"/>
        <v>0</v>
      </c>
      <c r="AO156" s="24">
        <f t="shared" si="422"/>
        <v>0</v>
      </c>
      <c r="AP156" s="24">
        <f t="shared" si="422"/>
        <v>0</v>
      </c>
      <c r="AQ156" s="24">
        <f t="shared" si="422"/>
        <v>0</v>
      </c>
      <c r="AR156" s="24">
        <f t="shared" si="422"/>
        <v>0</v>
      </c>
      <c r="AS156" s="24">
        <f t="shared" si="422"/>
        <v>0</v>
      </c>
      <c r="AT156" s="24">
        <f t="shared" si="422"/>
        <v>0</v>
      </c>
      <c r="AU156" s="24">
        <f t="shared" si="422"/>
        <v>0</v>
      </c>
      <c r="AV156" s="24">
        <f t="shared" si="422"/>
        <v>0</v>
      </c>
      <c r="AW156" s="24">
        <f t="shared" si="422"/>
        <v>0</v>
      </c>
      <c r="AX156" s="24">
        <f t="shared" si="422"/>
        <v>0</v>
      </c>
      <c r="AY156" s="24">
        <f t="shared" si="422"/>
        <v>0</v>
      </c>
      <c r="AZ156" s="24">
        <f t="shared" si="422"/>
        <v>0</v>
      </c>
      <c r="BA156" s="24">
        <f t="shared" si="422"/>
        <v>0</v>
      </c>
      <c r="BB156" s="24">
        <f t="shared" si="422"/>
        <v>0</v>
      </c>
      <c r="BC156" s="24">
        <f t="shared" si="422"/>
        <v>0</v>
      </c>
      <c r="BD156" s="24">
        <f t="shared" si="422"/>
        <v>0</v>
      </c>
      <c r="BE156" s="24">
        <f t="shared" si="422"/>
        <v>0</v>
      </c>
      <c r="BF156" s="24">
        <f t="shared" ref="BF156:CK156" si="423">IF(AND(BF6&gt;=EOMONTH($D$17,$F$50+1),BF6&lt;=$F$18),-($G$50+BF155),0)</f>
        <v>0</v>
      </c>
      <c r="BG156" s="24">
        <f t="shared" si="423"/>
        <v>0</v>
      </c>
      <c r="BH156" s="24">
        <f t="shared" si="423"/>
        <v>0</v>
      </c>
      <c r="BI156" s="24">
        <f t="shared" si="423"/>
        <v>0</v>
      </c>
      <c r="BJ156" s="24">
        <f t="shared" si="423"/>
        <v>0</v>
      </c>
      <c r="BK156" s="24">
        <f t="shared" si="423"/>
        <v>0</v>
      </c>
      <c r="BL156" s="24">
        <f t="shared" si="423"/>
        <v>0</v>
      </c>
      <c r="BM156" s="24">
        <f t="shared" si="423"/>
        <v>0</v>
      </c>
      <c r="BN156" s="24">
        <f t="shared" si="423"/>
        <v>0</v>
      </c>
      <c r="BO156" s="24">
        <f t="shared" si="423"/>
        <v>0</v>
      </c>
      <c r="BP156" s="24">
        <f t="shared" si="423"/>
        <v>0</v>
      </c>
      <c r="BQ156" s="24">
        <f t="shared" si="423"/>
        <v>0</v>
      </c>
      <c r="BR156" s="24">
        <f t="shared" si="423"/>
        <v>0</v>
      </c>
      <c r="BS156" s="24">
        <f t="shared" si="423"/>
        <v>0</v>
      </c>
      <c r="BT156" s="24">
        <f t="shared" si="423"/>
        <v>0</v>
      </c>
      <c r="BU156" s="24">
        <f t="shared" si="423"/>
        <v>0</v>
      </c>
      <c r="BV156" s="24">
        <f t="shared" si="423"/>
        <v>0</v>
      </c>
      <c r="BW156" s="24">
        <f t="shared" ca="1" si="423"/>
        <v>-5495.502806853252</v>
      </c>
      <c r="BX156" s="24">
        <f t="shared" ca="1" si="423"/>
        <v>-5524.1252173056164</v>
      </c>
      <c r="BY156" s="24">
        <f t="shared" ca="1" si="423"/>
        <v>-5552.8967028124134</v>
      </c>
      <c r="BZ156" s="24">
        <f t="shared" ca="1" si="423"/>
        <v>-5581.8180398062286</v>
      </c>
      <c r="CA156" s="24">
        <f t="shared" ca="1" si="423"/>
        <v>-5610.890008763552</v>
      </c>
      <c r="CB156" s="24">
        <f t="shared" ca="1" si="423"/>
        <v>-5640.1133942258639</v>
      </c>
      <c r="CC156" s="24">
        <f t="shared" ca="1" si="423"/>
        <v>-5669.4889848207895</v>
      </c>
      <c r="CD156" s="24">
        <f t="shared" ca="1" si="423"/>
        <v>-5699.0175732833959</v>
      </c>
      <c r="CE156" s="24">
        <f t="shared" ca="1" si="423"/>
        <v>-5728.6999564775797</v>
      </c>
      <c r="CF156" s="24">
        <f t="shared" ca="1" si="423"/>
        <v>-5758.5369354175673</v>
      </c>
      <c r="CG156" s="24">
        <f t="shared" ca="1" si="423"/>
        <v>-5788.5293152895356</v>
      </c>
      <c r="CH156" s="24">
        <f t="shared" ca="1" si="423"/>
        <v>-5818.6779054733306</v>
      </c>
      <c r="CI156" s="24">
        <f t="shared" ca="1" si="423"/>
        <v>-5848.9835195643354</v>
      </c>
      <c r="CJ156" s="24">
        <f t="shared" ca="1" si="423"/>
        <v>-5879.4469753953999</v>
      </c>
      <c r="CK156" s="24">
        <f t="shared" ca="1" si="423"/>
        <v>-5910.069095058916</v>
      </c>
      <c r="CL156" s="24">
        <f t="shared" ref="CL156:DQ156" ca="1" si="424">IF(AND(CL6&gt;=EOMONTH($D$17,$F$50+1),CL6&lt;=$F$18),-($G$50+CL155),0)</f>
        <v>-5940.8507049290165</v>
      </c>
      <c r="CM156" s="24">
        <f t="shared" ca="1" si="424"/>
        <v>-5971.7926356838543</v>
      </c>
      <c r="CN156" s="24">
        <f t="shared" ca="1" si="424"/>
        <v>-6002.8957223280413</v>
      </c>
      <c r="CO156" s="24">
        <f t="shared" ca="1" si="424"/>
        <v>-6034.1608042151674</v>
      </c>
      <c r="CP156" s="24">
        <f t="shared" ca="1" si="424"/>
        <v>-6065.5887250704509</v>
      </c>
      <c r="CQ156" s="24">
        <f t="shared" ca="1" si="424"/>
        <v>-6097.1803330135263</v>
      </c>
      <c r="CR156" s="24">
        <f t="shared" ca="1" si="424"/>
        <v>-6128.9364805813057</v>
      </c>
      <c r="CS156" s="24">
        <f t="shared" ca="1" si="424"/>
        <v>-6160.8580247510035</v>
      </c>
      <c r="CT156" s="24">
        <f t="shared" ca="1" si="424"/>
        <v>-6192.9458269632487</v>
      </c>
      <c r="CU156" s="24">
        <f t="shared" ca="1" si="424"/>
        <v>-6225.2007531453492</v>
      </c>
      <c r="CV156" s="24">
        <f t="shared" ca="1" si="424"/>
        <v>-6257.6236737346444</v>
      </c>
      <c r="CW156" s="24">
        <f t="shared" ca="1" si="424"/>
        <v>-6290.2154637020103</v>
      </c>
      <c r="CX156" s="24">
        <f t="shared" ca="1" si="424"/>
        <v>-6322.9770025754588</v>
      </c>
      <c r="CY156" s="24">
        <f t="shared" ca="1" si="424"/>
        <v>-6355.9091744638681</v>
      </c>
      <c r="CZ156" s="24">
        <f t="shared" ca="1" si="424"/>
        <v>-6389.0128680808666</v>
      </c>
      <c r="DA156" s="24">
        <f t="shared" ca="1" si="424"/>
        <v>-6422.2889767687921</v>
      </c>
      <c r="DB156" s="24">
        <f t="shared" ca="1" si="424"/>
        <v>-6455.7383985227971</v>
      </c>
      <c r="DC156" s="24">
        <f t="shared" ca="1" si="424"/>
        <v>-6489.3620360151035</v>
      </c>
      <c r="DD156" s="24">
        <f t="shared" ca="1" si="424"/>
        <v>-6523.1607966193478</v>
      </c>
      <c r="DE156" s="24">
        <f t="shared" ca="1" si="424"/>
        <v>-6557.1355924350719</v>
      </c>
      <c r="DF156" s="24">
        <f t="shared" ca="1" si="424"/>
        <v>-6591.2873403123413</v>
      </c>
      <c r="DG156" s="24">
        <f t="shared" ca="1" si="424"/>
        <v>-6625.6169618764652</v>
      </c>
      <c r="DH156" s="24">
        <f t="shared" ca="1" si="424"/>
        <v>-6660.1253835529096</v>
      </c>
      <c r="DI156" s="24">
        <f t="shared" ca="1" si="424"/>
        <v>-6694.8135365922462</v>
      </c>
      <c r="DJ156" s="24">
        <f t="shared" ca="1" si="424"/>
        <v>-6729.6823570953311</v>
      </c>
      <c r="DK156" s="24">
        <f t="shared" ca="1" si="424"/>
        <v>-6764.732786038534</v>
      </c>
      <c r="DL156" s="24">
        <f t="shared" ca="1" si="424"/>
        <v>-6799.9657692991532</v>
      </c>
      <c r="DM156" s="24">
        <f t="shared" ca="1" si="424"/>
        <v>-6835.3822576809216</v>
      </c>
      <c r="DN156" s="24">
        <f t="shared" ca="1" si="424"/>
        <v>-6870.9832069396762</v>
      </c>
      <c r="DO156" s="24">
        <f t="shared" ca="1" si="424"/>
        <v>-6906.7695778091547</v>
      </c>
      <c r="DP156" s="24">
        <f t="shared" ca="1" si="424"/>
        <v>-6942.7423360269131</v>
      </c>
      <c r="DQ156" s="24">
        <f t="shared" ca="1" si="424"/>
        <v>-6978.9024523603912</v>
      </c>
      <c r="DR156" s="24">
        <f t="shared" ref="DR156:EW156" ca="1" si="425">IF(AND(DR6&gt;=EOMONTH($D$17,$F$50+1),DR6&lt;=$F$18),-($G$50+DR155),0)</f>
        <v>-7015.2509026331027</v>
      </c>
      <c r="DS156" s="24">
        <f t="shared" ca="1" si="425"/>
        <v>-7051.788667750985</v>
      </c>
      <c r="DT156" s="24">
        <f t="shared" ca="1" si="425"/>
        <v>-7088.5167337288512</v>
      </c>
      <c r="DU156" s="24">
        <f t="shared" ca="1" si="425"/>
        <v>-7125.4360917170234</v>
      </c>
      <c r="DV156" s="24">
        <f t="shared" ca="1" si="425"/>
        <v>-7162.5477380280536</v>
      </c>
      <c r="DW156" s="24">
        <f t="shared" ca="1" si="425"/>
        <v>-7199.8526741636124</v>
      </c>
      <c r="DX156" s="24">
        <f t="shared" ca="1" si="425"/>
        <v>-7237.3519068415517</v>
      </c>
      <c r="DY156" s="24">
        <f t="shared" ca="1" si="425"/>
        <v>-7275.0464480230185</v>
      </c>
      <c r="DZ156" s="24">
        <f t="shared" ca="1" si="425"/>
        <v>-7312.9373149398052</v>
      </c>
      <c r="EA156" s="24">
        <f t="shared" ca="1" si="425"/>
        <v>-7351.0255301217803</v>
      </c>
      <c r="EB156" s="24">
        <f t="shared" ca="1" si="425"/>
        <v>-7389.3121214245002</v>
      </c>
      <c r="EC156" s="24">
        <f t="shared" ca="1" si="425"/>
        <v>-7427.7981220569236</v>
      </c>
      <c r="ED156" s="24">
        <f t="shared" ca="1" si="425"/>
        <v>-7466.4845706093001</v>
      </c>
      <c r="EE156" s="24">
        <f t="shared" ca="1" si="425"/>
        <v>-7505.3725110812265</v>
      </c>
      <c r="EF156" s="24">
        <f t="shared" ca="1" si="425"/>
        <v>-7544.4629929097755</v>
      </c>
      <c r="EG156" s="24">
        <f t="shared" ca="1" si="425"/>
        <v>-7583.7570709978427</v>
      </c>
      <c r="EH156" s="24">
        <f t="shared" ca="1" si="425"/>
        <v>-7623.2558057426249</v>
      </c>
      <c r="EI156" s="24">
        <f t="shared" ca="1" si="425"/>
        <v>-7662.9602630642003</v>
      </c>
      <c r="EJ156" s="24">
        <f t="shared" ca="1" si="425"/>
        <v>-7702.8715144343259</v>
      </c>
      <c r="EK156" s="24">
        <f t="shared" ca="1" si="425"/>
        <v>-7742.9906369053388</v>
      </c>
      <c r="EL156" s="24">
        <f t="shared" ca="1" si="425"/>
        <v>-7783.3187131392224</v>
      </c>
      <c r="EM156" s="24">
        <f t="shared" ca="1" si="425"/>
        <v>-7823.8568314368204</v>
      </c>
      <c r="EN156" s="24">
        <f t="shared" ca="1" si="425"/>
        <v>-7864.6060857672201</v>
      </c>
      <c r="EO156" s="24">
        <f t="shared" ca="1" si="425"/>
        <v>-7905.5675757972567</v>
      </c>
      <c r="EP156" s="24">
        <f t="shared" ca="1" si="425"/>
        <v>-7946.7424069212029</v>
      </c>
      <c r="EQ156" s="24">
        <f t="shared" si="425"/>
        <v>0</v>
      </c>
      <c r="ER156" s="24">
        <f t="shared" si="425"/>
        <v>0</v>
      </c>
      <c r="ES156" s="24">
        <f t="shared" si="425"/>
        <v>0</v>
      </c>
      <c r="ET156" s="24">
        <f t="shared" si="425"/>
        <v>0</v>
      </c>
      <c r="EU156" s="24">
        <f t="shared" si="425"/>
        <v>0</v>
      </c>
      <c r="EV156" s="24">
        <f t="shared" si="425"/>
        <v>0</v>
      </c>
      <c r="EW156" s="24">
        <f t="shared" si="425"/>
        <v>0</v>
      </c>
      <c r="EX156" s="24">
        <f t="shared" ref="EX156:FB156" si="426">IF(AND(EX6&gt;=EOMONTH($D$17,$F$50+1),EX6&lt;=$F$18),-($G$50+EX155),0)</f>
        <v>0</v>
      </c>
      <c r="EY156" s="24">
        <f t="shared" si="426"/>
        <v>0</v>
      </c>
      <c r="EZ156" s="24">
        <f t="shared" si="426"/>
        <v>0</v>
      </c>
      <c r="FA156" s="24">
        <f t="shared" si="426"/>
        <v>0</v>
      </c>
      <c r="FB156" s="24">
        <f t="shared" si="426"/>
        <v>0</v>
      </c>
    </row>
    <row r="157" spans="1:158">
      <c r="I157" s="9" t="s">
        <v>149</v>
      </c>
      <c r="L157" s="24">
        <f ca="1">SUMIF($Z$4:$FB$4,"&lt;="&amp;$G$18,$Z157:$FB157)</f>
        <v>-5313235.2710151961</v>
      </c>
      <c r="M157" s="55"/>
      <c r="N157" s="24">
        <f t="shared" si="406"/>
        <v>0</v>
      </c>
      <c r="O157" s="24">
        <f t="shared" si="406"/>
        <v>0</v>
      </c>
      <c r="P157" s="24">
        <f t="shared" si="406"/>
        <v>0</v>
      </c>
      <c r="Q157" s="24">
        <f t="shared" si="406"/>
        <v>0</v>
      </c>
      <c r="R157" s="24">
        <f t="shared" si="406"/>
        <v>0</v>
      </c>
      <c r="S157" s="24">
        <f t="shared" si="406"/>
        <v>0</v>
      </c>
      <c r="T157" s="24">
        <f t="shared" si="406"/>
        <v>0</v>
      </c>
      <c r="U157" s="24">
        <f t="shared" si="406"/>
        <v>0</v>
      </c>
      <c r="V157" s="24">
        <f t="shared" si="406"/>
        <v>0</v>
      </c>
      <c r="W157" s="24">
        <f t="shared" si="406"/>
        <v>0</v>
      </c>
      <c r="X157" s="24">
        <f ca="1">SUMIF($Z$3:$FB$3,X$7,$Z157:$FB157)</f>
        <v>-5313235.2710151961</v>
      </c>
      <c r="Y157" s="55"/>
      <c r="Z157" s="24">
        <f t="shared" ref="Z157:BE157" si="427">IF(Z6=$F$18,-SUM(Z152:Z156),0)</f>
        <v>0</v>
      </c>
      <c r="AA157" s="24">
        <f t="shared" si="427"/>
        <v>0</v>
      </c>
      <c r="AB157" s="24">
        <f t="shared" si="427"/>
        <v>0</v>
      </c>
      <c r="AC157" s="24">
        <f t="shared" si="427"/>
        <v>0</v>
      </c>
      <c r="AD157" s="24">
        <f t="shared" si="427"/>
        <v>0</v>
      </c>
      <c r="AE157" s="24">
        <f t="shared" si="427"/>
        <v>0</v>
      </c>
      <c r="AF157" s="24">
        <f t="shared" si="427"/>
        <v>0</v>
      </c>
      <c r="AG157" s="24">
        <f t="shared" si="427"/>
        <v>0</v>
      </c>
      <c r="AH157" s="24">
        <f t="shared" si="427"/>
        <v>0</v>
      </c>
      <c r="AI157" s="24">
        <f t="shared" si="427"/>
        <v>0</v>
      </c>
      <c r="AJ157" s="24">
        <f t="shared" si="427"/>
        <v>0</v>
      </c>
      <c r="AK157" s="24">
        <f t="shared" si="427"/>
        <v>0</v>
      </c>
      <c r="AL157" s="24">
        <f t="shared" si="427"/>
        <v>0</v>
      </c>
      <c r="AM157" s="24">
        <f t="shared" si="427"/>
        <v>0</v>
      </c>
      <c r="AN157" s="24">
        <f t="shared" si="427"/>
        <v>0</v>
      </c>
      <c r="AO157" s="24">
        <f t="shared" si="427"/>
        <v>0</v>
      </c>
      <c r="AP157" s="24">
        <f t="shared" si="427"/>
        <v>0</v>
      </c>
      <c r="AQ157" s="24">
        <f t="shared" si="427"/>
        <v>0</v>
      </c>
      <c r="AR157" s="24">
        <f t="shared" si="427"/>
        <v>0</v>
      </c>
      <c r="AS157" s="24">
        <f t="shared" si="427"/>
        <v>0</v>
      </c>
      <c r="AT157" s="24">
        <f t="shared" si="427"/>
        <v>0</v>
      </c>
      <c r="AU157" s="24">
        <f t="shared" si="427"/>
        <v>0</v>
      </c>
      <c r="AV157" s="24">
        <f t="shared" si="427"/>
        <v>0</v>
      </c>
      <c r="AW157" s="24">
        <f t="shared" si="427"/>
        <v>0</v>
      </c>
      <c r="AX157" s="24">
        <f t="shared" si="427"/>
        <v>0</v>
      </c>
      <c r="AY157" s="24">
        <f t="shared" si="427"/>
        <v>0</v>
      </c>
      <c r="AZ157" s="24">
        <f t="shared" si="427"/>
        <v>0</v>
      </c>
      <c r="BA157" s="24">
        <f t="shared" si="427"/>
        <v>0</v>
      </c>
      <c r="BB157" s="24">
        <f t="shared" si="427"/>
        <v>0</v>
      </c>
      <c r="BC157" s="24">
        <f t="shared" si="427"/>
        <v>0</v>
      </c>
      <c r="BD157" s="24">
        <f t="shared" si="427"/>
        <v>0</v>
      </c>
      <c r="BE157" s="24">
        <f t="shared" si="427"/>
        <v>0</v>
      </c>
      <c r="BF157" s="24">
        <f t="shared" ref="BF157:CK157" si="428">IF(BF6=$F$18,-SUM(BF152:BF156),0)</f>
        <v>0</v>
      </c>
      <c r="BG157" s="24">
        <f t="shared" si="428"/>
        <v>0</v>
      </c>
      <c r="BH157" s="24">
        <f t="shared" si="428"/>
        <v>0</v>
      </c>
      <c r="BI157" s="24">
        <f t="shared" si="428"/>
        <v>0</v>
      </c>
      <c r="BJ157" s="24">
        <f t="shared" si="428"/>
        <v>0</v>
      </c>
      <c r="BK157" s="24">
        <f t="shared" si="428"/>
        <v>0</v>
      </c>
      <c r="BL157" s="24">
        <f t="shared" si="428"/>
        <v>0</v>
      </c>
      <c r="BM157" s="24">
        <f t="shared" si="428"/>
        <v>0</v>
      </c>
      <c r="BN157" s="24">
        <f t="shared" si="428"/>
        <v>0</v>
      </c>
      <c r="BO157" s="24">
        <f t="shared" si="428"/>
        <v>0</v>
      </c>
      <c r="BP157" s="24">
        <f t="shared" si="428"/>
        <v>0</v>
      </c>
      <c r="BQ157" s="24">
        <f t="shared" si="428"/>
        <v>0</v>
      </c>
      <c r="BR157" s="24">
        <f t="shared" si="428"/>
        <v>0</v>
      </c>
      <c r="BS157" s="24">
        <f t="shared" si="428"/>
        <v>0</v>
      </c>
      <c r="BT157" s="24">
        <f t="shared" si="428"/>
        <v>0</v>
      </c>
      <c r="BU157" s="24">
        <f t="shared" si="428"/>
        <v>0</v>
      </c>
      <c r="BV157" s="24">
        <f t="shared" si="428"/>
        <v>0</v>
      </c>
      <c r="BW157" s="24">
        <f t="shared" si="428"/>
        <v>0</v>
      </c>
      <c r="BX157" s="24">
        <f t="shared" si="428"/>
        <v>0</v>
      </c>
      <c r="BY157" s="24">
        <f t="shared" si="428"/>
        <v>0</v>
      </c>
      <c r="BZ157" s="24">
        <f t="shared" si="428"/>
        <v>0</v>
      </c>
      <c r="CA157" s="24">
        <f t="shared" si="428"/>
        <v>0</v>
      </c>
      <c r="CB157" s="24">
        <f t="shared" si="428"/>
        <v>0</v>
      </c>
      <c r="CC157" s="24">
        <f t="shared" si="428"/>
        <v>0</v>
      </c>
      <c r="CD157" s="24">
        <f t="shared" si="428"/>
        <v>0</v>
      </c>
      <c r="CE157" s="24">
        <f t="shared" si="428"/>
        <v>0</v>
      </c>
      <c r="CF157" s="24">
        <f t="shared" si="428"/>
        <v>0</v>
      </c>
      <c r="CG157" s="24">
        <f t="shared" si="428"/>
        <v>0</v>
      </c>
      <c r="CH157" s="24">
        <f t="shared" si="428"/>
        <v>0</v>
      </c>
      <c r="CI157" s="24">
        <f t="shared" si="428"/>
        <v>0</v>
      </c>
      <c r="CJ157" s="24">
        <f t="shared" si="428"/>
        <v>0</v>
      </c>
      <c r="CK157" s="24">
        <f t="shared" si="428"/>
        <v>0</v>
      </c>
      <c r="CL157" s="24">
        <f t="shared" ref="CL157:DQ157" si="429">IF(CL6=$F$18,-SUM(CL152:CL156),0)</f>
        <v>0</v>
      </c>
      <c r="CM157" s="24">
        <f t="shared" si="429"/>
        <v>0</v>
      </c>
      <c r="CN157" s="24">
        <f t="shared" si="429"/>
        <v>0</v>
      </c>
      <c r="CO157" s="24">
        <f t="shared" si="429"/>
        <v>0</v>
      </c>
      <c r="CP157" s="24">
        <f t="shared" si="429"/>
        <v>0</v>
      </c>
      <c r="CQ157" s="24">
        <f t="shared" si="429"/>
        <v>0</v>
      </c>
      <c r="CR157" s="24">
        <f t="shared" si="429"/>
        <v>0</v>
      </c>
      <c r="CS157" s="24">
        <f t="shared" si="429"/>
        <v>0</v>
      </c>
      <c r="CT157" s="24">
        <f t="shared" si="429"/>
        <v>0</v>
      </c>
      <c r="CU157" s="24">
        <f t="shared" si="429"/>
        <v>0</v>
      </c>
      <c r="CV157" s="24">
        <f t="shared" si="429"/>
        <v>0</v>
      </c>
      <c r="CW157" s="24">
        <f t="shared" si="429"/>
        <v>0</v>
      </c>
      <c r="CX157" s="24">
        <f t="shared" si="429"/>
        <v>0</v>
      </c>
      <c r="CY157" s="24">
        <f t="shared" si="429"/>
        <v>0</v>
      </c>
      <c r="CZ157" s="24">
        <f t="shared" si="429"/>
        <v>0</v>
      </c>
      <c r="DA157" s="24">
        <f t="shared" si="429"/>
        <v>0</v>
      </c>
      <c r="DB157" s="24">
        <f t="shared" si="429"/>
        <v>0</v>
      </c>
      <c r="DC157" s="24">
        <f t="shared" si="429"/>
        <v>0</v>
      </c>
      <c r="DD157" s="24">
        <f t="shared" si="429"/>
        <v>0</v>
      </c>
      <c r="DE157" s="24">
        <f t="shared" si="429"/>
        <v>0</v>
      </c>
      <c r="DF157" s="24">
        <f t="shared" si="429"/>
        <v>0</v>
      </c>
      <c r="DG157" s="24">
        <f t="shared" si="429"/>
        <v>0</v>
      </c>
      <c r="DH157" s="24">
        <f t="shared" si="429"/>
        <v>0</v>
      </c>
      <c r="DI157" s="24">
        <f t="shared" si="429"/>
        <v>0</v>
      </c>
      <c r="DJ157" s="24">
        <f t="shared" si="429"/>
        <v>0</v>
      </c>
      <c r="DK157" s="24">
        <f t="shared" si="429"/>
        <v>0</v>
      </c>
      <c r="DL157" s="24">
        <f t="shared" si="429"/>
        <v>0</v>
      </c>
      <c r="DM157" s="24">
        <f t="shared" si="429"/>
        <v>0</v>
      </c>
      <c r="DN157" s="24">
        <f t="shared" si="429"/>
        <v>0</v>
      </c>
      <c r="DO157" s="24">
        <f t="shared" si="429"/>
        <v>0</v>
      </c>
      <c r="DP157" s="24">
        <f t="shared" si="429"/>
        <v>0</v>
      </c>
      <c r="DQ157" s="24">
        <f t="shared" si="429"/>
        <v>0</v>
      </c>
      <c r="DR157" s="24">
        <f t="shared" ref="DR157:EW157" si="430">IF(DR6=$F$18,-SUM(DR152:DR156),0)</f>
        <v>0</v>
      </c>
      <c r="DS157" s="24">
        <f t="shared" si="430"/>
        <v>0</v>
      </c>
      <c r="DT157" s="24">
        <f t="shared" si="430"/>
        <v>0</v>
      </c>
      <c r="DU157" s="24">
        <f t="shared" si="430"/>
        <v>0</v>
      </c>
      <c r="DV157" s="24">
        <f t="shared" si="430"/>
        <v>0</v>
      </c>
      <c r="DW157" s="24">
        <f t="shared" si="430"/>
        <v>0</v>
      </c>
      <c r="DX157" s="24">
        <f t="shared" si="430"/>
        <v>0</v>
      </c>
      <c r="DY157" s="24">
        <f t="shared" si="430"/>
        <v>0</v>
      </c>
      <c r="DZ157" s="24">
        <f t="shared" si="430"/>
        <v>0</v>
      </c>
      <c r="EA157" s="24">
        <f t="shared" si="430"/>
        <v>0</v>
      </c>
      <c r="EB157" s="24">
        <f t="shared" si="430"/>
        <v>0</v>
      </c>
      <c r="EC157" s="24">
        <f t="shared" si="430"/>
        <v>0</v>
      </c>
      <c r="ED157" s="24">
        <f t="shared" si="430"/>
        <v>0</v>
      </c>
      <c r="EE157" s="24">
        <f t="shared" si="430"/>
        <v>0</v>
      </c>
      <c r="EF157" s="24">
        <f t="shared" si="430"/>
        <v>0</v>
      </c>
      <c r="EG157" s="24">
        <f t="shared" si="430"/>
        <v>0</v>
      </c>
      <c r="EH157" s="24">
        <f t="shared" si="430"/>
        <v>0</v>
      </c>
      <c r="EI157" s="24">
        <f t="shared" si="430"/>
        <v>0</v>
      </c>
      <c r="EJ157" s="24">
        <f t="shared" si="430"/>
        <v>0</v>
      </c>
      <c r="EK157" s="24">
        <f t="shared" si="430"/>
        <v>0</v>
      </c>
      <c r="EL157" s="24">
        <f t="shared" si="430"/>
        <v>0</v>
      </c>
      <c r="EM157" s="24">
        <f t="shared" si="430"/>
        <v>0</v>
      </c>
      <c r="EN157" s="24">
        <f t="shared" si="430"/>
        <v>0</v>
      </c>
      <c r="EO157" s="24">
        <f t="shared" si="430"/>
        <v>0</v>
      </c>
      <c r="EP157" s="24">
        <f t="shared" ca="1" si="430"/>
        <v>-5313235.2710151961</v>
      </c>
      <c r="EQ157" s="24">
        <f t="shared" si="430"/>
        <v>0</v>
      </c>
      <c r="ER157" s="24">
        <f t="shared" si="430"/>
        <v>0</v>
      </c>
      <c r="ES157" s="24">
        <f t="shared" si="430"/>
        <v>0</v>
      </c>
      <c r="ET157" s="24">
        <f t="shared" si="430"/>
        <v>0</v>
      </c>
      <c r="EU157" s="24">
        <f t="shared" si="430"/>
        <v>0</v>
      </c>
      <c r="EV157" s="24">
        <f t="shared" si="430"/>
        <v>0</v>
      </c>
      <c r="EW157" s="24">
        <f t="shared" si="430"/>
        <v>0</v>
      </c>
      <c r="EX157" s="24">
        <f t="shared" ref="EX157:FB157" si="431">IF(EX6=$F$18,-SUM(EX152:EX156),0)</f>
        <v>0</v>
      </c>
      <c r="EY157" s="24">
        <f t="shared" si="431"/>
        <v>0</v>
      </c>
      <c r="EZ157" s="24">
        <f t="shared" si="431"/>
        <v>0</v>
      </c>
      <c r="FA157" s="24">
        <f t="shared" si="431"/>
        <v>0</v>
      </c>
      <c r="FB157" s="24">
        <f t="shared" si="431"/>
        <v>0</v>
      </c>
    </row>
    <row r="158" spans="1:158" s="11" customFormat="1">
      <c r="A158" s="9"/>
      <c r="B158" s="9"/>
      <c r="C158" s="9"/>
      <c r="D158" s="9"/>
      <c r="E158" s="9"/>
      <c r="F158" s="9"/>
      <c r="G158" s="9"/>
      <c r="I158" s="57" t="s">
        <v>150</v>
      </c>
      <c r="J158" s="57"/>
      <c r="K158" s="58"/>
      <c r="L158" s="57">
        <f ca="1">SUM(L153:L157)</f>
        <v>0</v>
      </c>
      <c r="M158" s="58"/>
      <c r="N158" s="57">
        <f>SUM(N152:N157)</f>
        <v>0</v>
      </c>
      <c r="O158" s="57">
        <f t="shared" ref="O158:X158" si="432">SUM(O152:O157)</f>
        <v>0</v>
      </c>
      <c r="P158" s="57">
        <f t="shared" ca="1" si="432"/>
        <v>5791820.0166351637</v>
      </c>
      <c r="Q158" s="57">
        <f t="shared" ca="1" si="432"/>
        <v>5791820.0166351637</v>
      </c>
      <c r="R158" s="57">
        <f t="shared" ca="1" si="432"/>
        <v>5791820.0166351637</v>
      </c>
      <c r="S158" s="57">
        <f t="shared" ca="1" si="432"/>
        <v>5723951.7197946347</v>
      </c>
      <c r="T158" s="57">
        <f t="shared" ca="1" si="432"/>
        <v>5651718.0109470803</v>
      </c>
      <c r="U158" s="57">
        <f t="shared" ca="1" si="432"/>
        <v>5574838.0988707049</v>
      </c>
      <c r="V158" s="57">
        <f t="shared" ca="1" si="432"/>
        <v>5493013.1313428003</v>
      </c>
      <c r="W158" s="57">
        <f t="shared" ca="1" si="432"/>
        <v>5405925.0334233949</v>
      </c>
      <c r="X158" s="57">
        <f t="shared" ca="1" si="432"/>
        <v>0</v>
      </c>
      <c r="Y158" s="58"/>
      <c r="Z158" s="57">
        <f t="shared" ref="Z158:AW158" si="433">SUM(Z152:Z157)</f>
        <v>0</v>
      </c>
      <c r="AA158" s="57">
        <f t="shared" si="433"/>
        <v>0</v>
      </c>
      <c r="AB158" s="57">
        <f t="shared" si="433"/>
        <v>0</v>
      </c>
      <c r="AC158" s="57">
        <f t="shared" si="433"/>
        <v>0</v>
      </c>
      <c r="AD158" s="57">
        <f t="shared" si="433"/>
        <v>0</v>
      </c>
      <c r="AE158" s="57">
        <f t="shared" si="433"/>
        <v>0</v>
      </c>
      <c r="AF158" s="57">
        <f t="shared" si="433"/>
        <v>0</v>
      </c>
      <c r="AG158" s="57">
        <f t="shared" si="433"/>
        <v>0</v>
      </c>
      <c r="AH158" s="57">
        <f t="shared" si="433"/>
        <v>0</v>
      </c>
      <c r="AI158" s="57">
        <f t="shared" si="433"/>
        <v>0</v>
      </c>
      <c r="AJ158" s="57">
        <f t="shared" si="433"/>
        <v>0</v>
      </c>
      <c r="AK158" s="57">
        <f t="shared" si="433"/>
        <v>0</v>
      </c>
      <c r="AL158" s="57">
        <f t="shared" si="433"/>
        <v>0</v>
      </c>
      <c r="AM158" s="57">
        <f t="shared" si="433"/>
        <v>0</v>
      </c>
      <c r="AN158" s="57">
        <f t="shared" si="433"/>
        <v>0</v>
      </c>
      <c r="AO158" s="57">
        <f t="shared" si="433"/>
        <v>0</v>
      </c>
      <c r="AP158" s="57">
        <f t="shared" si="433"/>
        <v>0</v>
      </c>
      <c r="AQ158" s="57">
        <f t="shared" si="433"/>
        <v>0</v>
      </c>
      <c r="AR158" s="57">
        <f t="shared" si="433"/>
        <v>0</v>
      </c>
      <c r="AS158" s="57">
        <f t="shared" si="433"/>
        <v>0</v>
      </c>
      <c r="AT158" s="57">
        <f t="shared" si="433"/>
        <v>0</v>
      </c>
      <c r="AU158" s="57">
        <f t="shared" si="433"/>
        <v>0</v>
      </c>
      <c r="AV158" s="57">
        <f t="shared" si="433"/>
        <v>0</v>
      </c>
      <c r="AW158" s="57">
        <f t="shared" si="433"/>
        <v>0</v>
      </c>
      <c r="AX158" s="57">
        <f t="shared" ref="AX158:CC158" ca="1" si="434">SUM(AX152:AX157)</f>
        <v>5791820.0166351637</v>
      </c>
      <c r="AY158" s="57">
        <f t="shared" ca="1" si="434"/>
        <v>5791820.0166351637</v>
      </c>
      <c r="AZ158" s="57">
        <f t="shared" ca="1" si="434"/>
        <v>5791820.0166351637</v>
      </c>
      <c r="BA158" s="57">
        <f t="shared" ca="1" si="434"/>
        <v>5791820.0166351637</v>
      </c>
      <c r="BB158" s="57">
        <f t="shared" ca="1" si="434"/>
        <v>5791820.0166351637</v>
      </c>
      <c r="BC158" s="57">
        <f t="shared" ca="1" si="434"/>
        <v>5791820.0166351637</v>
      </c>
      <c r="BD158" s="57">
        <f t="shared" ca="1" si="434"/>
        <v>5791820.0166351637</v>
      </c>
      <c r="BE158" s="57">
        <f t="shared" ca="1" si="434"/>
        <v>5791820.0166351637</v>
      </c>
      <c r="BF158" s="57">
        <f t="shared" ca="1" si="434"/>
        <v>5791820.0166351637</v>
      </c>
      <c r="BG158" s="57">
        <f t="shared" ca="1" si="434"/>
        <v>5791820.0166351637</v>
      </c>
      <c r="BH158" s="57">
        <f t="shared" ca="1" si="434"/>
        <v>5791820.0166351637</v>
      </c>
      <c r="BI158" s="57">
        <f t="shared" ca="1" si="434"/>
        <v>5791820.0166351637</v>
      </c>
      <c r="BJ158" s="57">
        <f t="shared" ca="1" si="434"/>
        <v>5791820.0166351637</v>
      </c>
      <c r="BK158" s="57">
        <f t="shared" ca="1" si="434"/>
        <v>5791820.0166351637</v>
      </c>
      <c r="BL158" s="57">
        <f t="shared" ca="1" si="434"/>
        <v>5791820.0166351637</v>
      </c>
      <c r="BM158" s="57">
        <f t="shared" ca="1" si="434"/>
        <v>5791820.0166351637</v>
      </c>
      <c r="BN158" s="57">
        <f t="shared" ca="1" si="434"/>
        <v>5791820.0166351637</v>
      </c>
      <c r="BO158" s="57">
        <f t="shared" ca="1" si="434"/>
        <v>5791820.0166351637</v>
      </c>
      <c r="BP158" s="57">
        <f t="shared" ca="1" si="434"/>
        <v>5791820.0166351637</v>
      </c>
      <c r="BQ158" s="57">
        <f t="shared" ca="1" si="434"/>
        <v>5791820.0166351637</v>
      </c>
      <c r="BR158" s="57">
        <f t="shared" ca="1" si="434"/>
        <v>5791820.0166351637</v>
      </c>
      <c r="BS158" s="57">
        <f t="shared" ca="1" si="434"/>
        <v>5791820.0166351637</v>
      </c>
      <c r="BT158" s="57">
        <f t="shared" ca="1" si="434"/>
        <v>5791820.0166351637</v>
      </c>
      <c r="BU158" s="57">
        <f t="shared" ca="1" si="434"/>
        <v>5791820.0166351637</v>
      </c>
      <c r="BV158" s="57">
        <f t="shared" ca="1" si="434"/>
        <v>5791820.0166351637</v>
      </c>
      <c r="BW158" s="57">
        <f t="shared" ca="1" si="434"/>
        <v>5786324.5138283102</v>
      </c>
      <c r="BX158" s="57">
        <f t="shared" ca="1" si="434"/>
        <v>5780800.3886110047</v>
      </c>
      <c r="BY158" s="57">
        <f t="shared" ca="1" si="434"/>
        <v>5775247.4919081926</v>
      </c>
      <c r="BZ158" s="57">
        <f t="shared" ca="1" si="434"/>
        <v>5769665.6738683861</v>
      </c>
      <c r="CA158" s="57">
        <f t="shared" ca="1" si="434"/>
        <v>5764054.7838596227</v>
      </c>
      <c r="CB158" s="57">
        <f t="shared" ca="1" si="434"/>
        <v>5758414.6704653967</v>
      </c>
      <c r="CC158" s="57">
        <f t="shared" ca="1" si="434"/>
        <v>5752745.1814805763</v>
      </c>
      <c r="CD158" s="57">
        <f t="shared" ref="CD158:DI158" ca="1" si="435">SUM(CD152:CD157)</f>
        <v>5747046.1639072932</v>
      </c>
      <c r="CE158" s="57">
        <f t="shared" ca="1" si="435"/>
        <v>5741317.4639508156</v>
      </c>
      <c r="CF158" s="57">
        <f t="shared" ca="1" si="435"/>
        <v>5735558.9270153977</v>
      </c>
      <c r="CG158" s="57">
        <f t="shared" ca="1" si="435"/>
        <v>5729770.3977001086</v>
      </c>
      <c r="CH158" s="57">
        <f t="shared" ca="1" si="435"/>
        <v>5723951.7197946357</v>
      </c>
      <c r="CI158" s="57">
        <f t="shared" ca="1" si="435"/>
        <v>5718102.7362750713</v>
      </c>
      <c r="CJ158" s="57">
        <f t="shared" ca="1" si="435"/>
        <v>5712223.2892996762</v>
      </c>
      <c r="CK158" s="57">
        <f t="shared" ca="1" si="435"/>
        <v>5706313.2202046169</v>
      </c>
      <c r="CL158" s="57">
        <f t="shared" ca="1" si="435"/>
        <v>5700372.369499688</v>
      </c>
      <c r="CM158" s="57">
        <f t="shared" ca="1" si="435"/>
        <v>5694400.5768640041</v>
      </c>
      <c r="CN158" s="57">
        <f t="shared" ca="1" si="435"/>
        <v>5688397.6811416764</v>
      </c>
      <c r="CO158" s="57">
        <f t="shared" ca="1" si="435"/>
        <v>5682363.5203374615</v>
      </c>
      <c r="CP158" s="57">
        <f t="shared" ca="1" si="435"/>
        <v>5676297.931612391</v>
      </c>
      <c r="CQ158" s="57">
        <f t="shared" ca="1" si="435"/>
        <v>5670200.7512793774</v>
      </c>
      <c r="CR158" s="57">
        <f t="shared" ca="1" si="435"/>
        <v>5664071.8147987956</v>
      </c>
      <c r="CS158" s="57">
        <f t="shared" ca="1" si="435"/>
        <v>5657910.9567740448</v>
      </c>
      <c r="CT158" s="57">
        <f t="shared" ca="1" si="435"/>
        <v>5651718.0109470813</v>
      </c>
      <c r="CU158" s="57">
        <f t="shared" ca="1" si="435"/>
        <v>5645492.8101939363</v>
      </c>
      <c r="CV158" s="57">
        <f t="shared" ca="1" si="435"/>
        <v>5639235.1865202021</v>
      </c>
      <c r="CW158" s="57">
        <f t="shared" ca="1" si="435"/>
        <v>5632944.9710565004</v>
      </c>
      <c r="CX158" s="57">
        <f t="shared" ca="1" si="435"/>
        <v>5626621.9940539254</v>
      </c>
      <c r="CY158" s="57">
        <f t="shared" ca="1" si="435"/>
        <v>5620266.0848794617</v>
      </c>
      <c r="CZ158" s="57">
        <f t="shared" ca="1" si="435"/>
        <v>5613877.0720113805</v>
      </c>
      <c r="DA158" s="57">
        <f t="shared" ca="1" si="435"/>
        <v>5607454.7830346115</v>
      </c>
      <c r="DB158" s="57">
        <f t="shared" ca="1" si="435"/>
        <v>5600999.0446360884</v>
      </c>
      <c r="DC158" s="57">
        <f t="shared" ca="1" si="435"/>
        <v>5594509.6826000735</v>
      </c>
      <c r="DD158" s="57">
        <f t="shared" ca="1" si="435"/>
        <v>5587986.5218034545</v>
      </c>
      <c r="DE158" s="57">
        <f t="shared" ca="1" si="435"/>
        <v>5581429.386211019</v>
      </c>
      <c r="DF158" s="57">
        <f t="shared" ca="1" si="435"/>
        <v>5574838.0988707067</v>
      </c>
      <c r="DG158" s="57">
        <f t="shared" ca="1" si="435"/>
        <v>5568212.4819088299</v>
      </c>
      <c r="DH158" s="57">
        <f t="shared" ca="1" si="435"/>
        <v>5561552.3565252768</v>
      </c>
      <c r="DI158" s="57">
        <f t="shared" ca="1" si="435"/>
        <v>5554857.542988685</v>
      </c>
      <c r="DJ158" s="57">
        <f t="shared" ref="DJ158:EO158" ca="1" si="436">SUM(DJ152:DJ157)</f>
        <v>5548127.8606315898</v>
      </c>
      <c r="DK158" s="57">
        <f t="shared" ca="1" si="436"/>
        <v>5541363.1278455509</v>
      </c>
      <c r="DL158" s="57">
        <f t="shared" ca="1" si="436"/>
        <v>5534563.1620762516</v>
      </c>
      <c r="DM158" s="57">
        <f t="shared" ca="1" si="436"/>
        <v>5527727.7798185702</v>
      </c>
      <c r="DN158" s="57">
        <f t="shared" ca="1" si="436"/>
        <v>5520856.7966116304</v>
      </c>
      <c r="DO158" s="57">
        <f t="shared" ca="1" si="436"/>
        <v>5513950.0270338207</v>
      </c>
      <c r="DP158" s="57">
        <f t="shared" ca="1" si="436"/>
        <v>5507007.2846977934</v>
      </c>
      <c r="DQ158" s="57">
        <f t="shared" ca="1" si="436"/>
        <v>5500028.3822454326</v>
      </c>
      <c r="DR158" s="57">
        <f t="shared" ca="1" si="436"/>
        <v>5493013.1313427994</v>
      </c>
      <c r="DS158" s="57">
        <f t="shared" ca="1" si="436"/>
        <v>5485961.3426750489</v>
      </c>
      <c r="DT158" s="57">
        <f t="shared" ca="1" si="436"/>
        <v>5478872.8259413196</v>
      </c>
      <c r="DU158" s="57">
        <f t="shared" ca="1" si="436"/>
        <v>5471747.3898496022</v>
      </c>
      <c r="DV158" s="57">
        <f t="shared" ca="1" si="436"/>
        <v>5464584.8421115745</v>
      </c>
      <c r="DW158" s="57">
        <f t="shared" ca="1" si="436"/>
        <v>5457384.9894374106</v>
      </c>
      <c r="DX158" s="57">
        <f t="shared" ca="1" si="436"/>
        <v>5450147.637530569</v>
      </c>
      <c r="DY158" s="57">
        <f t="shared" ca="1" si="436"/>
        <v>5442872.5910825459</v>
      </c>
      <c r="DZ158" s="57">
        <f t="shared" ca="1" si="436"/>
        <v>5435559.6537676062</v>
      </c>
      <c r="EA158" s="57">
        <f t="shared" ca="1" si="436"/>
        <v>5428208.628237484</v>
      </c>
      <c r="EB158" s="57">
        <f t="shared" ca="1" si="436"/>
        <v>5420819.3161160592</v>
      </c>
      <c r="EC158" s="57">
        <f t="shared" ca="1" si="436"/>
        <v>5413391.5179940024</v>
      </c>
      <c r="ED158" s="57">
        <f t="shared" ca="1" si="436"/>
        <v>5405925.033423393</v>
      </c>
      <c r="EE158" s="57">
        <f t="shared" ca="1" si="436"/>
        <v>5398419.6609123116</v>
      </c>
      <c r="EF158" s="57">
        <f t="shared" ca="1" si="436"/>
        <v>5390875.1979194023</v>
      </c>
      <c r="EG158" s="57">
        <f t="shared" ca="1" si="436"/>
        <v>5383291.4408484045</v>
      </c>
      <c r="EH158" s="57">
        <f t="shared" ca="1" si="436"/>
        <v>5375668.1850426616</v>
      </c>
      <c r="EI158" s="57">
        <f t="shared" ca="1" si="436"/>
        <v>5368005.2247795975</v>
      </c>
      <c r="EJ158" s="57">
        <f t="shared" ca="1" si="436"/>
        <v>5360302.3532651635</v>
      </c>
      <c r="EK158" s="57">
        <f t="shared" ca="1" si="436"/>
        <v>5352559.3626282578</v>
      </c>
      <c r="EL158" s="57">
        <f t="shared" ca="1" si="436"/>
        <v>5344776.043915119</v>
      </c>
      <c r="EM158" s="57">
        <f t="shared" ca="1" si="436"/>
        <v>5336952.187083682</v>
      </c>
      <c r="EN158" s="57">
        <f t="shared" ca="1" si="436"/>
        <v>5329087.580997915</v>
      </c>
      <c r="EO158" s="57">
        <f t="shared" ca="1" si="436"/>
        <v>5321182.0134221176</v>
      </c>
      <c r="EP158" s="57">
        <f t="shared" ref="EP158:FB158" ca="1" si="437">SUM(EP152:EP157)</f>
        <v>0</v>
      </c>
      <c r="EQ158" s="57">
        <f t="shared" ca="1" si="437"/>
        <v>0</v>
      </c>
      <c r="ER158" s="57">
        <f t="shared" ca="1" si="437"/>
        <v>0</v>
      </c>
      <c r="ES158" s="57">
        <f t="shared" ca="1" si="437"/>
        <v>0</v>
      </c>
      <c r="ET158" s="57">
        <f t="shared" ca="1" si="437"/>
        <v>0</v>
      </c>
      <c r="EU158" s="57">
        <f t="shared" ca="1" si="437"/>
        <v>0</v>
      </c>
      <c r="EV158" s="57">
        <f t="shared" ca="1" si="437"/>
        <v>0</v>
      </c>
      <c r="EW158" s="57">
        <f t="shared" ca="1" si="437"/>
        <v>0</v>
      </c>
      <c r="EX158" s="57">
        <f t="shared" ca="1" si="437"/>
        <v>0</v>
      </c>
      <c r="EY158" s="57">
        <f t="shared" ca="1" si="437"/>
        <v>0</v>
      </c>
      <c r="EZ158" s="57">
        <f t="shared" ca="1" si="437"/>
        <v>0</v>
      </c>
      <c r="FA158" s="57">
        <f t="shared" ca="1" si="437"/>
        <v>0</v>
      </c>
      <c r="FB158" s="57">
        <f t="shared" ca="1" si="437"/>
        <v>0</v>
      </c>
    </row>
    <row r="159" spans="1:158">
      <c r="M159" s="9"/>
      <c r="Y159" s="9"/>
    </row>
    <row r="160" spans="1:158">
      <c r="H160" s="64"/>
    </row>
    <row r="168" spans="1:158" s="46" customFormat="1">
      <c r="A168" s="9"/>
      <c r="B168" s="9"/>
      <c r="C168" s="9"/>
      <c r="D168" s="9"/>
      <c r="E168" s="9"/>
      <c r="F168" s="9"/>
      <c r="G168" s="9"/>
      <c r="H168" s="11"/>
      <c r="I168" s="9"/>
      <c r="J168" s="9"/>
      <c r="K168" s="11"/>
      <c r="L168" s="24"/>
      <c r="M168" s="11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11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9"/>
      <c r="DZ168" s="9"/>
      <c r="EA168" s="9"/>
      <c r="EB168" s="9"/>
      <c r="EC168" s="9"/>
      <c r="ED168" s="9"/>
      <c r="EE168" s="9"/>
      <c r="EF168" s="9"/>
      <c r="EG168" s="9"/>
      <c r="EH168" s="9"/>
      <c r="EI168" s="9"/>
      <c r="EJ168" s="9"/>
      <c r="EK168" s="9"/>
      <c r="EL168" s="9"/>
      <c r="EM168" s="9"/>
      <c r="EN168" s="9"/>
      <c r="EO168" s="9"/>
      <c r="EP168" s="9"/>
      <c r="EQ168" s="9"/>
      <c r="ER168" s="9"/>
      <c r="ES168" s="9"/>
      <c r="ET168" s="9"/>
      <c r="EU168" s="9"/>
      <c r="EV168" s="9"/>
      <c r="EW168" s="9"/>
      <c r="EX168" s="9"/>
      <c r="EY168" s="9"/>
      <c r="EZ168" s="9"/>
      <c r="FA168" s="9"/>
      <c r="FB168" s="9"/>
    </row>
    <row r="172" spans="1:158">
      <c r="A172" s="32"/>
      <c r="H172" s="33"/>
      <c r="I172" s="46"/>
      <c r="J172" s="46"/>
      <c r="K172" s="64"/>
      <c r="M172" s="64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64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46"/>
      <c r="BG172" s="46"/>
      <c r="BH172" s="46"/>
      <c r="BI172" s="46"/>
      <c r="BJ172" s="46"/>
      <c r="BK172" s="46"/>
      <c r="BL172" s="46"/>
      <c r="BM172" s="46"/>
      <c r="BN172" s="46"/>
      <c r="BO172" s="46"/>
      <c r="BP172" s="46"/>
      <c r="BQ172" s="46"/>
      <c r="BR172" s="46"/>
      <c r="BS172" s="46"/>
      <c r="BT172" s="46"/>
      <c r="BU172" s="46"/>
      <c r="BV172" s="46"/>
      <c r="BW172" s="46"/>
      <c r="BX172" s="46"/>
      <c r="BY172" s="46"/>
      <c r="BZ172" s="46"/>
      <c r="CA172" s="46"/>
      <c r="CB172" s="46"/>
      <c r="CC172" s="46"/>
      <c r="CD172" s="46"/>
      <c r="CE172" s="46"/>
      <c r="CF172" s="46"/>
      <c r="CG172" s="46"/>
      <c r="CH172" s="46"/>
      <c r="CI172" s="46"/>
      <c r="CJ172" s="46"/>
      <c r="CK172" s="46"/>
      <c r="CL172" s="46"/>
      <c r="CM172" s="46"/>
      <c r="CN172" s="46"/>
      <c r="CO172" s="46"/>
      <c r="CP172" s="46"/>
      <c r="CQ172" s="46"/>
      <c r="CR172" s="46"/>
      <c r="CS172" s="46"/>
      <c r="CT172" s="46"/>
      <c r="CU172" s="46"/>
      <c r="CV172" s="46"/>
      <c r="CW172" s="46"/>
      <c r="CX172" s="46"/>
      <c r="CY172" s="46"/>
      <c r="CZ172" s="46"/>
      <c r="DA172" s="46"/>
      <c r="DB172" s="46"/>
      <c r="DC172" s="46"/>
      <c r="DD172" s="46"/>
      <c r="DE172" s="46"/>
      <c r="DF172" s="46"/>
      <c r="DG172" s="46"/>
      <c r="DH172" s="46"/>
      <c r="DI172" s="46"/>
      <c r="DJ172" s="46"/>
      <c r="DK172" s="46"/>
      <c r="DL172" s="46"/>
      <c r="DM172" s="46"/>
      <c r="DN172" s="46"/>
      <c r="DO172" s="46"/>
      <c r="DP172" s="46"/>
      <c r="DQ172" s="46"/>
      <c r="DR172" s="46"/>
      <c r="DS172" s="46"/>
      <c r="DT172" s="46"/>
      <c r="DU172" s="46"/>
      <c r="DV172" s="46"/>
      <c r="DW172" s="46"/>
      <c r="DX172" s="46"/>
      <c r="DY172" s="46"/>
      <c r="DZ172" s="46"/>
      <c r="EA172" s="46"/>
      <c r="EB172" s="46"/>
      <c r="EC172" s="46"/>
      <c r="ED172" s="46"/>
      <c r="EE172" s="46"/>
      <c r="EF172" s="46"/>
      <c r="EG172" s="46"/>
      <c r="EH172" s="46"/>
      <c r="EI172" s="46"/>
      <c r="EJ172" s="46"/>
      <c r="EK172" s="46"/>
      <c r="EL172" s="46"/>
      <c r="EM172" s="46"/>
      <c r="EN172" s="46"/>
      <c r="EO172" s="46"/>
      <c r="EP172" s="46"/>
      <c r="EQ172" s="46"/>
      <c r="ER172" s="46"/>
      <c r="ES172" s="46"/>
      <c r="ET172" s="46"/>
      <c r="EU172" s="46"/>
      <c r="EV172" s="46"/>
      <c r="EW172" s="46"/>
      <c r="EX172" s="46"/>
      <c r="EY172" s="46"/>
      <c r="EZ172" s="46"/>
      <c r="FA172" s="46"/>
      <c r="FB172" s="46"/>
    </row>
    <row r="174" spans="1:158">
      <c r="A174" s="32"/>
      <c r="H174" s="33"/>
    </row>
    <row r="180" spans="1:158">
      <c r="A180" s="52"/>
      <c r="H180" s="51"/>
    </row>
    <row r="181" spans="1:158" s="32" customFormat="1">
      <c r="A181" s="46"/>
      <c r="B181" s="9"/>
      <c r="C181" s="9"/>
      <c r="D181" s="9"/>
      <c r="E181" s="9"/>
      <c r="F181" s="9"/>
      <c r="G181" s="9"/>
      <c r="H181" s="64"/>
      <c r="I181" s="46"/>
      <c r="J181" s="46"/>
      <c r="K181" s="64"/>
      <c r="L181" s="24"/>
      <c r="M181" s="64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64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  <c r="AM181" s="46"/>
      <c r="AN181" s="46"/>
      <c r="AO181" s="46"/>
      <c r="AP181" s="46"/>
      <c r="AQ181" s="46"/>
      <c r="AR181" s="46"/>
      <c r="AS181" s="46"/>
      <c r="AT181" s="46"/>
      <c r="AU181" s="46"/>
      <c r="AV181" s="46"/>
      <c r="AW181" s="46"/>
      <c r="AX181" s="46"/>
      <c r="AY181" s="46"/>
      <c r="AZ181" s="46"/>
      <c r="BA181" s="46"/>
      <c r="BB181" s="46"/>
      <c r="BC181" s="46"/>
      <c r="BD181" s="46"/>
      <c r="BE181" s="46"/>
      <c r="BF181" s="46"/>
      <c r="BG181" s="46"/>
      <c r="BH181" s="46"/>
      <c r="BI181" s="46"/>
      <c r="BJ181" s="46"/>
      <c r="BK181" s="46"/>
      <c r="BL181" s="46"/>
      <c r="BM181" s="46"/>
      <c r="BN181" s="46"/>
      <c r="BO181" s="46"/>
      <c r="BP181" s="46"/>
      <c r="BQ181" s="46"/>
      <c r="BR181" s="46"/>
      <c r="BS181" s="46"/>
      <c r="BT181" s="46"/>
      <c r="BU181" s="46"/>
      <c r="BV181" s="46"/>
      <c r="BW181" s="46"/>
      <c r="BX181" s="46"/>
      <c r="BY181" s="46"/>
      <c r="BZ181" s="46"/>
      <c r="CA181" s="46"/>
      <c r="CB181" s="46"/>
      <c r="CC181" s="46"/>
      <c r="CD181" s="46"/>
      <c r="CE181" s="46"/>
      <c r="CF181" s="46"/>
      <c r="CG181" s="46"/>
      <c r="CH181" s="46"/>
      <c r="CI181" s="46"/>
      <c r="CJ181" s="46"/>
      <c r="CK181" s="46"/>
      <c r="CL181" s="46"/>
      <c r="CM181" s="46"/>
      <c r="CN181" s="46"/>
      <c r="CO181" s="46"/>
      <c r="CP181" s="46"/>
      <c r="CQ181" s="46"/>
      <c r="CR181" s="46"/>
      <c r="CS181" s="46"/>
      <c r="CT181" s="46"/>
      <c r="CU181" s="46"/>
      <c r="CV181" s="46"/>
      <c r="CW181" s="46"/>
      <c r="CX181" s="46"/>
      <c r="CY181" s="46"/>
      <c r="CZ181" s="46"/>
      <c r="DA181" s="46"/>
      <c r="DB181" s="46"/>
      <c r="DC181" s="46"/>
      <c r="DD181" s="46"/>
      <c r="DE181" s="46"/>
      <c r="DF181" s="46"/>
      <c r="DG181" s="46"/>
      <c r="DH181" s="46"/>
      <c r="DI181" s="46"/>
      <c r="DJ181" s="46"/>
      <c r="DK181" s="46"/>
      <c r="DL181" s="46"/>
      <c r="DM181" s="46"/>
      <c r="DN181" s="46"/>
      <c r="DO181" s="46"/>
      <c r="DP181" s="46"/>
      <c r="DQ181" s="46"/>
      <c r="DR181" s="46"/>
      <c r="DS181" s="46"/>
      <c r="DT181" s="46"/>
      <c r="DU181" s="46"/>
      <c r="DV181" s="46"/>
      <c r="DW181" s="46"/>
      <c r="DX181" s="46"/>
      <c r="DY181" s="46"/>
      <c r="DZ181" s="46"/>
      <c r="EA181" s="46"/>
      <c r="EB181" s="46"/>
      <c r="EC181" s="46"/>
      <c r="ED181" s="46"/>
      <c r="EE181" s="46"/>
      <c r="EF181" s="46"/>
      <c r="EG181" s="46"/>
      <c r="EH181" s="46"/>
      <c r="EI181" s="46"/>
      <c r="EJ181" s="46"/>
      <c r="EK181" s="46"/>
      <c r="EL181" s="46"/>
      <c r="EM181" s="46"/>
      <c r="EN181" s="46"/>
      <c r="EO181" s="46"/>
      <c r="EP181" s="46"/>
      <c r="EQ181" s="46"/>
      <c r="ER181" s="46"/>
      <c r="ES181" s="46"/>
      <c r="ET181" s="46"/>
      <c r="EU181" s="46"/>
      <c r="EV181" s="46"/>
      <c r="EW181" s="46"/>
      <c r="EX181" s="46"/>
      <c r="EY181" s="46"/>
      <c r="EZ181" s="46"/>
      <c r="FA181" s="46"/>
      <c r="FB181" s="46"/>
    </row>
    <row r="183" spans="1:158" s="32" customFormat="1">
      <c r="A183" s="9"/>
      <c r="B183" s="9"/>
      <c r="C183" s="9"/>
      <c r="D183" s="9"/>
      <c r="E183" s="9"/>
      <c r="F183" s="9"/>
      <c r="G183" s="9"/>
      <c r="H183" s="11"/>
      <c r="I183" s="9"/>
      <c r="J183" s="9"/>
      <c r="K183" s="11"/>
      <c r="L183" s="24"/>
      <c r="M183" s="11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11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  <c r="EM183" s="9"/>
      <c r="EN183" s="9"/>
      <c r="EO183" s="9"/>
      <c r="EP183" s="9"/>
      <c r="EQ183" s="9"/>
      <c r="ER183" s="9"/>
      <c r="ES183" s="9"/>
      <c r="ET183" s="9"/>
      <c r="EU183" s="9"/>
      <c r="EV183" s="9"/>
      <c r="EW183" s="9"/>
      <c r="EX183" s="9"/>
      <c r="EY183" s="9"/>
      <c r="EZ183" s="9"/>
      <c r="FA183" s="9"/>
      <c r="FB183" s="9"/>
    </row>
    <row r="189" spans="1:158" s="52" customFormat="1">
      <c r="A189" s="9"/>
      <c r="B189" s="9"/>
      <c r="C189" s="9"/>
      <c r="D189" s="9"/>
      <c r="E189" s="9"/>
      <c r="F189" s="9"/>
      <c r="G189" s="9"/>
      <c r="H189" s="11"/>
      <c r="I189" s="9"/>
      <c r="J189" s="9"/>
      <c r="K189" s="11"/>
      <c r="L189" s="24"/>
      <c r="M189" s="11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11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/>
      <c r="EL189" s="9"/>
      <c r="EM189" s="9"/>
      <c r="EN189" s="9"/>
      <c r="EO189" s="9"/>
      <c r="EP189" s="9"/>
      <c r="EQ189" s="9"/>
      <c r="ER189" s="9"/>
      <c r="ES189" s="9"/>
      <c r="ET189" s="9"/>
      <c r="EU189" s="9"/>
      <c r="EV189" s="9"/>
      <c r="EW189" s="9"/>
      <c r="EX189" s="9"/>
      <c r="EY189" s="9"/>
      <c r="EZ189" s="9"/>
      <c r="FA189" s="9"/>
      <c r="FB189" s="9"/>
    </row>
    <row r="190" spans="1:158" s="46" customFormat="1">
      <c r="A190" s="9"/>
      <c r="B190" s="9"/>
      <c r="C190" s="9"/>
      <c r="D190" s="9"/>
      <c r="E190" s="9"/>
      <c r="F190" s="9"/>
      <c r="G190" s="9"/>
      <c r="H190" s="11"/>
      <c r="I190" s="9"/>
      <c r="J190" s="9"/>
      <c r="K190" s="11"/>
      <c r="L190" s="24"/>
      <c r="M190" s="11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11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  <c r="EC190" s="9"/>
      <c r="ED190" s="9"/>
      <c r="EE190" s="9"/>
      <c r="EF190" s="9"/>
      <c r="EG190" s="9"/>
      <c r="EH190" s="9"/>
      <c r="EI190" s="9"/>
      <c r="EJ190" s="9"/>
      <c r="EK190" s="9"/>
      <c r="EL190" s="9"/>
      <c r="EM190" s="9"/>
      <c r="EN190" s="9"/>
      <c r="EO190" s="9"/>
      <c r="EP190" s="9"/>
      <c r="EQ190" s="9"/>
      <c r="ER190" s="9"/>
      <c r="ES190" s="9"/>
      <c r="ET190" s="9"/>
      <c r="EU190" s="9"/>
      <c r="EV190" s="9"/>
      <c r="EW190" s="9"/>
      <c r="EX190" s="9"/>
      <c r="EY190" s="9"/>
      <c r="EZ190" s="9"/>
      <c r="FA190" s="9"/>
      <c r="FB190" s="9"/>
    </row>
    <row r="192" spans="1:158">
      <c r="B192" s="52"/>
      <c r="C192" s="52"/>
      <c r="D192" s="52"/>
      <c r="E192" s="52"/>
      <c r="F192" s="52"/>
      <c r="G192" s="52"/>
    </row>
    <row r="193" spans="2:158">
      <c r="B193" s="46"/>
      <c r="C193" s="46"/>
      <c r="D193" s="46"/>
      <c r="E193" s="46"/>
      <c r="F193" s="46"/>
      <c r="G193" s="46"/>
    </row>
    <row r="194" spans="2:158">
      <c r="D194" s="122"/>
      <c r="I194" s="32"/>
      <c r="J194" s="32"/>
      <c r="K194" s="33"/>
      <c r="L194" s="141"/>
      <c r="M194" s="33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3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  <c r="CD194" s="32"/>
      <c r="CE194" s="32"/>
      <c r="CF194" s="32"/>
      <c r="CG194" s="32"/>
      <c r="CH194" s="32"/>
      <c r="CI194" s="32"/>
      <c r="CJ194" s="32"/>
      <c r="CK194" s="32"/>
      <c r="CL194" s="32"/>
      <c r="CM194" s="32"/>
      <c r="CN194" s="32"/>
      <c r="CO194" s="32"/>
      <c r="CP194" s="32"/>
      <c r="CQ194" s="32"/>
      <c r="CR194" s="32"/>
      <c r="CS194" s="32"/>
      <c r="CT194" s="32"/>
      <c r="CU194" s="32"/>
      <c r="CV194" s="32"/>
      <c r="CW194" s="32"/>
      <c r="CX194" s="32"/>
      <c r="CY194" s="32"/>
      <c r="CZ194" s="32"/>
      <c r="DA194" s="32"/>
      <c r="DB194" s="32"/>
      <c r="DC194" s="32"/>
      <c r="DD194" s="32"/>
      <c r="DE194" s="32"/>
      <c r="DF194" s="32"/>
      <c r="DG194" s="32"/>
      <c r="DH194" s="32"/>
      <c r="DI194" s="32"/>
      <c r="DJ194" s="32"/>
      <c r="DK194" s="32"/>
      <c r="DL194" s="32"/>
      <c r="DM194" s="32"/>
      <c r="DN194" s="32"/>
      <c r="DO194" s="32"/>
      <c r="DP194" s="32"/>
      <c r="DQ194" s="32"/>
      <c r="DR194" s="32"/>
      <c r="DS194" s="32"/>
      <c r="DT194" s="32"/>
      <c r="DU194" s="32"/>
      <c r="DV194" s="32"/>
      <c r="DW194" s="32"/>
      <c r="DX194" s="32"/>
      <c r="DY194" s="32"/>
      <c r="DZ194" s="32"/>
      <c r="EA194" s="32"/>
      <c r="EB194" s="32"/>
      <c r="EC194" s="32"/>
      <c r="ED194" s="32"/>
      <c r="EE194" s="32"/>
      <c r="EF194" s="32"/>
      <c r="EG194" s="32"/>
      <c r="EH194" s="32"/>
      <c r="EI194" s="32"/>
      <c r="EJ194" s="32"/>
      <c r="EK194" s="32"/>
      <c r="EL194" s="32"/>
      <c r="EM194" s="32"/>
      <c r="EN194" s="32"/>
      <c r="EO194" s="32"/>
      <c r="EP194" s="32"/>
      <c r="EQ194" s="32"/>
      <c r="ER194" s="32"/>
      <c r="ES194" s="32"/>
      <c r="ET194" s="32"/>
      <c r="EU194" s="32"/>
      <c r="EV194" s="32"/>
      <c r="EW194" s="32"/>
      <c r="EX194" s="32"/>
      <c r="EY194" s="32"/>
      <c r="EZ194" s="32"/>
      <c r="FA194" s="32"/>
      <c r="FB194" s="32"/>
    </row>
    <row r="196" spans="2:158">
      <c r="I196" s="32"/>
      <c r="J196" s="32"/>
      <c r="K196" s="33"/>
      <c r="L196" s="141"/>
      <c r="M196" s="33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3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  <c r="BW196" s="32"/>
      <c r="BX196" s="32"/>
      <c r="BY196" s="32"/>
      <c r="BZ196" s="32"/>
      <c r="CA196" s="32"/>
      <c r="CB196" s="32"/>
      <c r="CC196" s="32"/>
      <c r="CD196" s="32"/>
      <c r="CE196" s="32"/>
      <c r="CF196" s="32"/>
      <c r="CG196" s="32"/>
      <c r="CH196" s="32"/>
      <c r="CI196" s="32"/>
      <c r="CJ196" s="32"/>
      <c r="CK196" s="32"/>
      <c r="CL196" s="32"/>
      <c r="CM196" s="32"/>
      <c r="CN196" s="32"/>
      <c r="CO196" s="32"/>
      <c r="CP196" s="32"/>
      <c r="CQ196" s="32"/>
      <c r="CR196" s="32"/>
      <c r="CS196" s="32"/>
      <c r="CT196" s="32"/>
      <c r="CU196" s="32"/>
      <c r="CV196" s="32"/>
      <c r="CW196" s="32"/>
      <c r="CX196" s="32"/>
      <c r="CY196" s="32"/>
      <c r="CZ196" s="32"/>
      <c r="DA196" s="32"/>
      <c r="DB196" s="32"/>
      <c r="DC196" s="32"/>
      <c r="DD196" s="32"/>
      <c r="DE196" s="32"/>
      <c r="DF196" s="32"/>
      <c r="DG196" s="32"/>
      <c r="DH196" s="32"/>
      <c r="DI196" s="32"/>
      <c r="DJ196" s="32"/>
      <c r="DK196" s="32"/>
      <c r="DL196" s="32"/>
      <c r="DM196" s="32"/>
      <c r="DN196" s="32"/>
      <c r="DO196" s="32"/>
      <c r="DP196" s="32"/>
      <c r="DQ196" s="32"/>
      <c r="DR196" s="32"/>
      <c r="DS196" s="32"/>
      <c r="DT196" s="32"/>
      <c r="DU196" s="32"/>
      <c r="DV196" s="32"/>
      <c r="DW196" s="32"/>
      <c r="DX196" s="32"/>
      <c r="DY196" s="32"/>
      <c r="DZ196" s="32"/>
      <c r="EA196" s="32"/>
      <c r="EB196" s="32"/>
      <c r="EC196" s="32"/>
      <c r="ED196" s="32"/>
      <c r="EE196" s="32"/>
      <c r="EF196" s="32"/>
      <c r="EG196" s="32"/>
      <c r="EH196" s="32"/>
      <c r="EI196" s="32"/>
      <c r="EJ196" s="32"/>
      <c r="EK196" s="32"/>
      <c r="EL196" s="32"/>
      <c r="EM196" s="32"/>
      <c r="EN196" s="32"/>
      <c r="EO196" s="32"/>
      <c r="EP196" s="32"/>
      <c r="EQ196" s="32"/>
      <c r="ER196" s="32"/>
      <c r="ES196" s="32"/>
      <c r="ET196" s="32"/>
      <c r="EU196" s="32"/>
      <c r="EV196" s="32"/>
      <c r="EW196" s="32"/>
      <c r="EX196" s="32"/>
      <c r="EY196" s="32"/>
      <c r="EZ196" s="32"/>
      <c r="FA196" s="32"/>
      <c r="FB196" s="32"/>
    </row>
    <row r="202" spans="2:158">
      <c r="I202" s="52"/>
      <c r="J202" s="52"/>
      <c r="K202" s="51"/>
      <c r="L202" s="3"/>
      <c r="M202" s="51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1"/>
      <c r="Z202" s="52"/>
      <c r="AA202" s="52"/>
      <c r="AB202" s="52"/>
      <c r="AC202" s="52"/>
      <c r="AD202" s="52"/>
      <c r="AE202" s="52"/>
      <c r="AF202" s="52"/>
      <c r="AG202" s="52"/>
      <c r="AH202" s="52"/>
      <c r="AI202" s="52"/>
      <c r="AJ202" s="52"/>
      <c r="AK202" s="52"/>
      <c r="AL202" s="52"/>
      <c r="AM202" s="52"/>
      <c r="AN202" s="52"/>
      <c r="AO202" s="52"/>
      <c r="AP202" s="52"/>
      <c r="AQ202" s="52"/>
      <c r="AR202" s="52"/>
      <c r="AS202" s="52"/>
      <c r="AT202" s="52"/>
      <c r="AU202" s="52"/>
      <c r="AV202" s="52"/>
      <c r="AW202" s="52"/>
      <c r="AX202" s="52"/>
      <c r="AY202" s="52"/>
      <c r="AZ202" s="52"/>
      <c r="BA202" s="52"/>
      <c r="BB202" s="52"/>
      <c r="BC202" s="52"/>
      <c r="BD202" s="52"/>
      <c r="BE202" s="52"/>
      <c r="BF202" s="52"/>
      <c r="BG202" s="52"/>
      <c r="BH202" s="52"/>
      <c r="BI202" s="52"/>
      <c r="BJ202" s="52"/>
      <c r="BK202" s="52"/>
      <c r="BL202" s="52"/>
      <c r="BM202" s="52"/>
      <c r="BN202" s="52"/>
      <c r="BO202" s="52"/>
      <c r="BP202" s="52"/>
      <c r="BQ202" s="52"/>
      <c r="BR202" s="52"/>
      <c r="BS202" s="52"/>
      <c r="BT202" s="52"/>
      <c r="BU202" s="52"/>
      <c r="BV202" s="52"/>
      <c r="BW202" s="52"/>
      <c r="BX202" s="52"/>
      <c r="BY202" s="52"/>
      <c r="BZ202" s="52"/>
      <c r="CA202" s="52"/>
      <c r="CB202" s="52"/>
      <c r="CC202" s="52"/>
      <c r="CD202" s="52"/>
      <c r="CE202" s="52"/>
      <c r="CF202" s="52"/>
      <c r="CG202" s="52"/>
      <c r="CH202" s="52"/>
      <c r="CI202" s="52"/>
      <c r="CJ202" s="52"/>
      <c r="CK202" s="52"/>
      <c r="CL202" s="52"/>
      <c r="CM202" s="52"/>
      <c r="CN202" s="52"/>
      <c r="CO202" s="52"/>
      <c r="CP202" s="52"/>
      <c r="CQ202" s="52"/>
      <c r="CR202" s="52"/>
      <c r="CS202" s="52"/>
      <c r="CT202" s="52"/>
      <c r="CU202" s="52"/>
      <c r="CV202" s="52"/>
      <c r="CW202" s="52"/>
      <c r="CX202" s="52"/>
      <c r="CY202" s="52"/>
      <c r="CZ202" s="52"/>
      <c r="DA202" s="52"/>
      <c r="DB202" s="52"/>
      <c r="DC202" s="52"/>
      <c r="DD202" s="52"/>
      <c r="DE202" s="52"/>
      <c r="DF202" s="52"/>
      <c r="DG202" s="52"/>
      <c r="DH202" s="52"/>
      <c r="DI202" s="52"/>
      <c r="DJ202" s="52"/>
      <c r="DK202" s="52"/>
      <c r="DL202" s="52"/>
      <c r="DM202" s="52"/>
      <c r="DN202" s="52"/>
      <c r="DO202" s="52"/>
      <c r="DP202" s="52"/>
      <c r="DQ202" s="52"/>
      <c r="DR202" s="52"/>
      <c r="DS202" s="52"/>
      <c r="DT202" s="52"/>
      <c r="DU202" s="52"/>
      <c r="DV202" s="52"/>
      <c r="DW202" s="52"/>
      <c r="DX202" s="52"/>
      <c r="DY202" s="52"/>
      <c r="DZ202" s="52"/>
      <c r="EA202" s="52"/>
      <c r="EB202" s="52"/>
      <c r="EC202" s="52"/>
      <c r="ED202" s="52"/>
      <c r="EE202" s="52"/>
      <c r="EF202" s="52"/>
      <c r="EG202" s="52"/>
      <c r="EH202" s="52"/>
      <c r="EI202" s="52"/>
      <c r="EJ202" s="52"/>
      <c r="EK202" s="52"/>
      <c r="EL202" s="52"/>
      <c r="EM202" s="52"/>
      <c r="EN202" s="52"/>
      <c r="EO202" s="52"/>
      <c r="EP202" s="52"/>
      <c r="EQ202" s="52"/>
      <c r="ER202" s="52"/>
      <c r="ES202" s="52"/>
      <c r="ET202" s="52"/>
      <c r="EU202" s="52"/>
      <c r="EV202" s="52"/>
      <c r="EW202" s="52"/>
      <c r="EX202" s="52"/>
      <c r="EY202" s="52"/>
      <c r="EZ202" s="52"/>
      <c r="FA202" s="52"/>
      <c r="FB202" s="52"/>
    </row>
    <row r="203" spans="2:158">
      <c r="I203" s="46"/>
      <c r="J203" s="46"/>
      <c r="K203" s="64"/>
      <c r="M203" s="64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64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6"/>
      <c r="AN203" s="46"/>
      <c r="AO203" s="46"/>
      <c r="AP203" s="46"/>
      <c r="AQ203" s="46"/>
      <c r="AR203" s="46"/>
      <c r="AS203" s="46"/>
      <c r="AT203" s="46"/>
      <c r="AU203" s="46"/>
      <c r="AV203" s="46"/>
      <c r="AW203" s="46"/>
      <c r="AX203" s="46"/>
      <c r="AY203" s="46"/>
      <c r="AZ203" s="46"/>
      <c r="BA203" s="46"/>
      <c r="BB203" s="46"/>
      <c r="BC203" s="46"/>
      <c r="BD203" s="46"/>
      <c r="BE203" s="46"/>
      <c r="BF203" s="46"/>
      <c r="BG203" s="46"/>
      <c r="BH203" s="46"/>
      <c r="BI203" s="46"/>
      <c r="BJ203" s="46"/>
      <c r="BK203" s="46"/>
      <c r="BL203" s="46"/>
      <c r="BM203" s="46"/>
      <c r="BN203" s="46"/>
      <c r="BO203" s="46"/>
      <c r="BP203" s="46"/>
      <c r="BQ203" s="46"/>
      <c r="BR203" s="46"/>
      <c r="BS203" s="46"/>
      <c r="BT203" s="46"/>
      <c r="BU203" s="46"/>
      <c r="BV203" s="46"/>
      <c r="BW203" s="46"/>
      <c r="BX203" s="46"/>
      <c r="BY203" s="46"/>
      <c r="BZ203" s="46"/>
      <c r="CA203" s="46"/>
      <c r="CB203" s="46"/>
      <c r="CC203" s="46"/>
      <c r="CD203" s="46"/>
      <c r="CE203" s="46"/>
      <c r="CF203" s="46"/>
      <c r="CG203" s="46"/>
      <c r="CH203" s="46"/>
      <c r="CI203" s="46"/>
      <c r="CJ203" s="46"/>
      <c r="CK203" s="46"/>
      <c r="CL203" s="46"/>
      <c r="CM203" s="46"/>
      <c r="CN203" s="46"/>
      <c r="CO203" s="46"/>
      <c r="CP203" s="46"/>
      <c r="CQ203" s="46"/>
      <c r="CR203" s="46"/>
      <c r="CS203" s="46"/>
      <c r="CT203" s="46"/>
      <c r="CU203" s="46"/>
      <c r="CV203" s="46"/>
      <c r="CW203" s="46"/>
      <c r="CX203" s="46"/>
      <c r="CY203" s="46"/>
      <c r="CZ203" s="46"/>
      <c r="DA203" s="46"/>
      <c r="DB203" s="46"/>
      <c r="DC203" s="46"/>
      <c r="DD203" s="46"/>
      <c r="DE203" s="46"/>
      <c r="DF203" s="46"/>
      <c r="DG203" s="46"/>
      <c r="DH203" s="46"/>
      <c r="DI203" s="46"/>
      <c r="DJ203" s="46"/>
      <c r="DK203" s="46"/>
      <c r="DL203" s="46"/>
      <c r="DM203" s="46"/>
      <c r="DN203" s="46"/>
      <c r="DO203" s="46"/>
      <c r="DP203" s="46"/>
      <c r="DQ203" s="46"/>
      <c r="DR203" s="46"/>
      <c r="DS203" s="46"/>
      <c r="DT203" s="46"/>
      <c r="DU203" s="46"/>
      <c r="DV203" s="46"/>
      <c r="DW203" s="46"/>
      <c r="DX203" s="46"/>
      <c r="DY203" s="46"/>
      <c r="DZ203" s="46"/>
      <c r="EA203" s="46"/>
      <c r="EB203" s="46"/>
      <c r="EC203" s="46"/>
      <c r="ED203" s="46"/>
      <c r="EE203" s="46"/>
      <c r="EF203" s="46"/>
      <c r="EG203" s="46"/>
      <c r="EH203" s="46"/>
      <c r="EI203" s="46"/>
      <c r="EJ203" s="46"/>
      <c r="EK203" s="46"/>
      <c r="EL203" s="46"/>
      <c r="EM203" s="46"/>
      <c r="EN203" s="46"/>
      <c r="EO203" s="46"/>
      <c r="EP203" s="46"/>
      <c r="EQ203" s="46"/>
      <c r="ER203" s="46"/>
      <c r="ES203" s="46"/>
      <c r="ET203" s="46"/>
      <c r="EU203" s="46"/>
      <c r="EV203" s="46"/>
      <c r="EW203" s="46"/>
      <c r="EX203" s="46"/>
      <c r="EY203" s="46"/>
      <c r="EZ203" s="46"/>
      <c r="FA203" s="46"/>
      <c r="FB203" s="46"/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101600</xdr:colOff>
                    <xdr:row>53</xdr:row>
                    <xdr:rowOff>139700</xdr:rowOff>
                  </from>
                  <to>
                    <xdr:col>3</xdr:col>
                    <xdr:colOff>787400</xdr:colOff>
                    <xdr:row>55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700E8-FC4E-4AE1-8359-D8226DBF2C8A}">
  <dimension ref="B2:K17"/>
  <sheetViews>
    <sheetView showGridLines="0" zoomScale="115" zoomScaleNormal="115" workbookViewId="0">
      <selection activeCell="F11" sqref="F11"/>
    </sheetView>
  </sheetViews>
  <sheetFormatPr baseColWidth="10" defaultColWidth="8.83203125" defaultRowHeight="18" outlineLevelRow="1"/>
  <cols>
    <col min="2" max="2" width="2.33203125" bestFit="1" customWidth="1"/>
    <col min="3" max="3" width="20" bestFit="1" customWidth="1"/>
    <col min="4" max="4" width="18.6640625" customWidth="1"/>
    <col min="5" max="5" width="10.6640625" bestFit="1" customWidth="1"/>
    <col min="6" max="6" width="12.1640625" bestFit="1" customWidth="1"/>
    <col min="7" max="7" width="7.6640625" bestFit="1" customWidth="1"/>
    <col min="8" max="8" width="9.33203125" bestFit="1" customWidth="1"/>
    <col min="9" max="9" width="7.5" bestFit="1" customWidth="1"/>
    <col min="10" max="10" width="7.5" style="199" bestFit="1" customWidth="1"/>
    <col min="11" max="11" width="35.6640625" customWidth="1"/>
    <col min="12" max="12" width="40.6640625" customWidth="1"/>
  </cols>
  <sheetData>
    <row r="2" spans="2:11">
      <c r="B2" s="223" t="s">
        <v>205</v>
      </c>
      <c r="C2" s="224"/>
      <c r="D2" s="224"/>
      <c r="E2" s="224"/>
      <c r="F2" s="224"/>
      <c r="G2" s="224"/>
      <c r="H2" s="224"/>
      <c r="I2" s="224"/>
      <c r="J2" s="224"/>
      <c r="K2" s="226"/>
    </row>
    <row r="3" spans="2:11" outlineLevel="1">
      <c r="B3" s="230" t="s">
        <v>1</v>
      </c>
      <c r="C3" s="21" t="s">
        <v>188</v>
      </c>
      <c r="D3" s="21" t="s">
        <v>206</v>
      </c>
      <c r="E3" s="21" t="s">
        <v>207</v>
      </c>
      <c r="F3" s="45" t="s">
        <v>208</v>
      </c>
      <c r="G3" s="45" t="s">
        <v>187</v>
      </c>
      <c r="H3" s="45" t="s">
        <v>161</v>
      </c>
      <c r="I3" s="45" t="s">
        <v>164</v>
      </c>
      <c r="J3" s="45" t="s">
        <v>18</v>
      </c>
      <c r="K3" s="240" t="s">
        <v>125</v>
      </c>
    </row>
    <row r="4" spans="2:11" s="239" customFormat="1" ht="48" outlineLevel="1">
      <c r="B4" s="241" t="s">
        <v>198</v>
      </c>
      <c r="C4" s="242" t="s">
        <v>209</v>
      </c>
      <c r="D4" s="242" t="s">
        <v>212</v>
      </c>
      <c r="E4" s="249" t="s">
        <v>163</v>
      </c>
      <c r="F4" s="243" t="s">
        <v>210</v>
      </c>
      <c r="G4" s="244" t="s">
        <v>211</v>
      </c>
      <c r="H4" s="245">
        <f>'Pro Forma'!D24</f>
        <v>6700000.0000000028</v>
      </c>
      <c r="I4" s="242">
        <f>'Pro Forma'!C63</f>
        <v>56</v>
      </c>
      <c r="J4" s="258">
        <f>H4/I4</f>
        <v>119642.85714285719</v>
      </c>
      <c r="K4" s="246" t="s">
        <v>216</v>
      </c>
    </row>
    <row r="5" spans="2:11" s="191" customFormat="1" outlineLevel="1">
      <c r="B5" s="227" t="s">
        <v>102</v>
      </c>
      <c r="C5" s="138"/>
      <c r="D5" s="138"/>
      <c r="E5" s="138"/>
      <c r="F5" s="163" t="str">
        <f>F4</f>
        <v>2010 &amp; 2013</v>
      </c>
      <c r="G5" s="233"/>
      <c r="H5" s="57">
        <f>SUM(H2:H4)</f>
        <v>6700000.0000000028</v>
      </c>
      <c r="I5" s="138">
        <f>SUM(I2:I4)</f>
        <v>56</v>
      </c>
      <c r="J5" s="259">
        <f>H5/I5</f>
        <v>119642.85714285719</v>
      </c>
      <c r="K5" s="247"/>
    </row>
    <row r="6" spans="2:11">
      <c r="B6" s="230" t="s">
        <v>1</v>
      </c>
      <c r="C6" s="21" t="s">
        <v>188</v>
      </c>
      <c r="D6" s="21" t="s">
        <v>206</v>
      </c>
      <c r="E6" s="21" t="s">
        <v>207</v>
      </c>
      <c r="F6" s="45" t="s">
        <v>208</v>
      </c>
      <c r="G6" s="45" t="s">
        <v>187</v>
      </c>
      <c r="H6" s="45" t="s">
        <v>161</v>
      </c>
      <c r="I6" s="45" t="s">
        <v>164</v>
      </c>
      <c r="J6" s="45" t="s">
        <v>18</v>
      </c>
      <c r="K6" s="240" t="s">
        <v>125</v>
      </c>
    </row>
    <row r="7" spans="2:11" s="234" customFormat="1" ht="32">
      <c r="B7" s="248">
        <v>1</v>
      </c>
      <c r="C7" s="249" t="s">
        <v>202</v>
      </c>
      <c r="D7" s="249" t="s">
        <v>201</v>
      </c>
      <c r="E7" s="249" t="s">
        <v>163</v>
      </c>
      <c r="F7" s="250">
        <v>2000</v>
      </c>
      <c r="G7" s="251">
        <v>46037</v>
      </c>
      <c r="H7" s="252">
        <v>2700000</v>
      </c>
      <c r="I7" s="249">
        <v>29</v>
      </c>
      <c r="J7" s="260">
        <f>H7/I7</f>
        <v>93103.448275862072</v>
      </c>
      <c r="K7" s="246" t="s">
        <v>217</v>
      </c>
    </row>
    <row r="8" spans="2:11" s="234" customFormat="1" ht="32">
      <c r="B8" s="248">
        <f>B7+1</f>
        <v>2</v>
      </c>
      <c r="C8" s="249" t="s">
        <v>191</v>
      </c>
      <c r="D8" s="249" t="s">
        <v>189</v>
      </c>
      <c r="E8" s="249" t="s">
        <v>190</v>
      </c>
      <c r="F8" s="250">
        <v>2016</v>
      </c>
      <c r="G8" s="251">
        <v>45833</v>
      </c>
      <c r="H8" s="252">
        <v>17300000</v>
      </c>
      <c r="I8" s="249">
        <v>120</v>
      </c>
      <c r="J8" s="260">
        <f>H8/I8</f>
        <v>144166.66666666666</v>
      </c>
      <c r="K8" s="246" t="s">
        <v>213</v>
      </c>
    </row>
    <row r="9" spans="2:11" s="234" customFormat="1" ht="48">
      <c r="B9" s="248">
        <f t="shared" ref="B9:B12" si="0">B8+1</f>
        <v>3</v>
      </c>
      <c r="C9" s="249" t="s">
        <v>204</v>
      </c>
      <c r="D9" s="249" t="s">
        <v>203</v>
      </c>
      <c r="E9" s="249" t="s">
        <v>163</v>
      </c>
      <c r="F9" s="250">
        <v>2004</v>
      </c>
      <c r="G9" s="251">
        <v>45807</v>
      </c>
      <c r="H9" s="252">
        <v>2350000</v>
      </c>
      <c r="I9" s="249">
        <v>32</v>
      </c>
      <c r="J9" s="260">
        <f>H9/I9</f>
        <v>73437.5</v>
      </c>
      <c r="K9" s="246" t="s">
        <v>219</v>
      </c>
    </row>
    <row r="10" spans="2:11" s="234" customFormat="1" ht="32">
      <c r="B10" s="248">
        <f t="shared" si="0"/>
        <v>4</v>
      </c>
      <c r="C10" s="249" t="s">
        <v>194</v>
      </c>
      <c r="D10" s="249" t="s">
        <v>192</v>
      </c>
      <c r="E10" s="249" t="s">
        <v>193</v>
      </c>
      <c r="F10" s="250">
        <v>2016</v>
      </c>
      <c r="G10" s="251">
        <v>45657</v>
      </c>
      <c r="H10" s="252">
        <v>3750000</v>
      </c>
      <c r="I10" s="249">
        <v>23</v>
      </c>
      <c r="J10" s="260">
        <f>H10/I10</f>
        <v>163043.47826086957</v>
      </c>
      <c r="K10" s="246" t="s">
        <v>214</v>
      </c>
    </row>
    <row r="11" spans="2:11" s="234" customFormat="1" ht="32">
      <c r="B11" s="248">
        <f t="shared" si="0"/>
        <v>5</v>
      </c>
      <c r="C11" s="249" t="s">
        <v>200</v>
      </c>
      <c r="D11" s="249" t="s">
        <v>199</v>
      </c>
      <c r="E11" s="249" t="s">
        <v>193</v>
      </c>
      <c r="F11" s="250">
        <v>2020</v>
      </c>
      <c r="G11" s="251">
        <v>45377</v>
      </c>
      <c r="H11" s="252">
        <v>5450000</v>
      </c>
      <c r="I11" s="249">
        <v>28</v>
      </c>
      <c r="J11" s="260">
        <f>H11/I11</f>
        <v>194642.85714285713</v>
      </c>
      <c r="K11" s="246" t="s">
        <v>218</v>
      </c>
    </row>
    <row r="12" spans="2:11" s="234" customFormat="1" ht="32">
      <c r="B12" s="253">
        <f t="shared" si="0"/>
        <v>6</v>
      </c>
      <c r="C12" s="235" t="s">
        <v>197</v>
      </c>
      <c r="D12" s="235" t="s">
        <v>195</v>
      </c>
      <c r="E12" s="235" t="s">
        <v>196</v>
      </c>
      <c r="F12" s="236">
        <v>2001</v>
      </c>
      <c r="G12" s="237">
        <v>45344</v>
      </c>
      <c r="H12" s="238">
        <v>5625000</v>
      </c>
      <c r="I12" s="235">
        <v>40</v>
      </c>
      <c r="J12" s="261">
        <f t="shared" ref="J12" si="1">H12/I12</f>
        <v>140625</v>
      </c>
      <c r="K12" s="254" t="s">
        <v>215</v>
      </c>
    </row>
    <row r="13" spans="2:11" s="191" customFormat="1">
      <c r="B13" s="225" t="s">
        <v>102</v>
      </c>
      <c r="C13" s="189"/>
      <c r="D13" s="189"/>
      <c r="E13" s="189"/>
      <c r="F13" s="262">
        <f>SUMPRODUCT(F7:F12,I7:I12)/I13</f>
        <v>2011.0882352941176</v>
      </c>
      <c r="G13" s="255"/>
      <c r="H13" s="228">
        <f>SUM(H7:H12)</f>
        <v>37175000</v>
      </c>
      <c r="I13" s="189">
        <f>SUM(I7:I12)</f>
        <v>272</v>
      </c>
      <c r="J13" s="257">
        <f>H13/I13</f>
        <v>136672.79411764705</v>
      </c>
      <c r="K13" s="256"/>
    </row>
    <row r="14" spans="2:11" s="191" customFormat="1">
      <c r="B14" s="225" t="s">
        <v>220</v>
      </c>
      <c r="C14" s="189"/>
      <c r="D14" s="189"/>
      <c r="E14" s="189"/>
      <c r="F14" s="262">
        <f>(F8*I8+F10*I10+F11*I11)/I14</f>
        <v>2016.6549707602339</v>
      </c>
      <c r="G14" s="255"/>
      <c r="H14" s="228">
        <f>SUM(H8,H10:H11)</f>
        <v>26500000</v>
      </c>
      <c r="I14" s="189">
        <f>SUM(I8,I10:I11)</f>
        <v>171</v>
      </c>
      <c r="J14" s="257">
        <f>H14/I14</f>
        <v>154970.76023391812</v>
      </c>
      <c r="K14" s="256"/>
    </row>
    <row r="15" spans="2:11" s="191" customFormat="1">
      <c r="B15" s="225" t="s">
        <v>221</v>
      </c>
      <c r="C15" s="189"/>
      <c r="D15" s="189"/>
      <c r="E15" s="189"/>
      <c r="F15" s="262">
        <f>(F7*I7+F9*I9+F12*I12)/I15</f>
        <v>2001.6633663366338</v>
      </c>
      <c r="G15" s="255"/>
      <c r="H15" s="228">
        <f>SUM(H7,H9,H12)</f>
        <v>10675000</v>
      </c>
      <c r="I15" s="189">
        <f>SUM(I7,I9,I12)</f>
        <v>101</v>
      </c>
      <c r="J15" s="257">
        <f>H15/I15</f>
        <v>105693.06930693069</v>
      </c>
      <c r="K15" s="256"/>
    </row>
    <row r="16" spans="2:11">
      <c r="H16" s="263"/>
      <c r="J16" s="260"/>
    </row>
    <row r="17" spans="10:10">
      <c r="J17" s="264">
        <f>(J13-J5)/J13</f>
        <v>0.12460370832932999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 Forma</vt:lpstr>
      <vt:lpstr>Sales Comps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동욱 정</dc:creator>
  <cp:lastModifiedBy>Leila Collins (Helmy)</cp:lastModifiedBy>
  <dcterms:created xsi:type="dcterms:W3CDTF">2026-03-14T21:17:44Z</dcterms:created>
  <dcterms:modified xsi:type="dcterms:W3CDTF">2026-05-29T17:59:03Z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13" linkTarget="Prop_13">
    <vt:lpwstr>#REF!</vt:lpwstr>
  </property>
  <property fmtid="{D5CDD505-2E9C-101B-9397-08002B2CF9AE}" pid="3" name="Acq_Cost" linkTarget="Prop_Acq_Cost">
    <vt:lpwstr>#REF!</vt:lpwstr>
  </property>
</Properties>
</file>